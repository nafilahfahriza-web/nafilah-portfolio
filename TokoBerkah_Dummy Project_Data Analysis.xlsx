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20F6D0-A5E7-4254-B47D-485DDC287E6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EADME" sheetId="1" r:id="rId1"/>
    <sheet name="orders" sheetId="2" r:id="rId2"/>
    <sheet name="order_items" sheetId="3" r:id="rId3"/>
    <sheet name="products" sheetId="4" r:id="rId4"/>
    <sheet name="customers" sheetId="5" r:id="rId5"/>
    <sheet name="Pivot_Pesanan_per_Bulan" sheetId="6" r:id="rId6"/>
    <sheet name="Pivot_Qty_per_Produk" sheetId="8" r:id="rId7"/>
    <sheet name="Pivot_Revenue_per_Produk" sheetId="9" r:id="rId8"/>
    <sheet name="Pivot_Profit_per_Produk" sheetId="11" r:id="rId9"/>
    <sheet name="Pivot_Pesanan_per_Kota" sheetId="13" r:id="rId10"/>
    <sheet name="Pivot_Revenue_per_Kota" sheetId="14" r:id="rId11"/>
  </sheets>
  <definedNames>
    <definedName name="_xlnm._FilterDatabase" localSheetId="4" hidden="1">customers!$A$1:$E$201</definedName>
    <definedName name="_xlcn.WorksheetConnection_TokoBerkah_DummyProject_DataAnalysis.xlsxTable11" hidden="1">Table1[]</definedName>
  </definedNames>
  <calcPr calcId="191029"/>
  <pivotCaches>
    <pivotCache cacheId="18" r:id="rId12"/>
    <pivotCache cacheId="9" r:id="rId13"/>
    <pivotCache cacheId="12" r:id="rId14"/>
    <pivotCache cacheId="17" r:id="rId15"/>
    <pivotCache cacheId="33" r:id="rId16"/>
    <pivotCache cacheId="36" r:id="rId1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TokoBerkah_Dummy Project_Data Analysi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2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78DA94-F531-45C1-AAC2-A3EBDFBABEA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253BD93-5FFD-4BF6-8C2F-D6E5ABAD27DA}" name="WorksheetConnection_TokoBerkah_Dummy Project_Data Analysis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okoBerkah_DummyProject_DataAnalysis.xlsxTable11"/>
        </x15:connection>
      </ext>
    </extLst>
  </connection>
</connections>
</file>

<file path=xl/sharedStrings.xml><?xml version="1.0" encoding="utf-8"?>
<sst xmlns="http://schemas.openxmlformats.org/spreadsheetml/2006/main" count="7699" uniqueCount="2676">
  <si>
    <t>Dataset Dummy: TokoBerkah E-Commerce</t>
  </si>
  <si>
    <t>Sheet: orders -&gt; 1 baris = 1 pesanan (order_id unik)</t>
  </si>
  <si>
    <t>Sheet: order_items -&gt; 1 baris = 1 produk dalam pesanan (1 order bisa banyak item)</t>
  </si>
  <si>
    <t>Sheet: products -&gt; master data produk, kategori, harga modal &amp; jual</t>
  </si>
  <si>
    <t>Sheet: customers -&gt; master data pelanggan</t>
  </si>
  <si>
    <t>Relasi: orders.order_id = order_items.order_id</t>
  </si>
  <si>
    <t>Relasi: order_items.product_id = products.product_id</t>
  </si>
  <si>
    <t>Relasi: orders.customer_id = customers.customer_id</t>
  </si>
  <si>
    <t>Catatan: ada data kotor sengaja (kota huruf kapital tidak konsisten,</t>
  </si>
  <si>
    <t>spasi berlebih di nama, 1 nilai segmen kosong, 1 baris duplikat di order_items)</t>
  </si>
  <si>
    <t>untuk latihan data cleaning.</t>
  </si>
  <si>
    <t>Periode data: Januari - Desember 2025</t>
  </si>
  <si>
    <t>Total orders: 800 | Total customers: 200 | Total produk: 24</t>
  </si>
  <si>
    <t>order_id</t>
  </si>
  <si>
    <t>customer_id</t>
  </si>
  <si>
    <t>tanggal_order</t>
  </si>
  <si>
    <t>status</t>
  </si>
  <si>
    <t>diskon_persen</t>
  </si>
  <si>
    <t>ORD00256</t>
  </si>
  <si>
    <t>CUST0167</t>
  </si>
  <si>
    <t>Selesai</t>
  </si>
  <si>
    <t>ORD00409</t>
  </si>
  <si>
    <t>ORD00478</t>
  </si>
  <si>
    <t>CUST0159</t>
  </si>
  <si>
    <t>ORD00684</t>
  </si>
  <si>
    <t>CUST0141</t>
  </si>
  <si>
    <t>ORD00517</t>
  </si>
  <si>
    <t>CUST0165</t>
  </si>
  <si>
    <t>Dibatalkan</t>
  </si>
  <si>
    <t>ORD00313</t>
  </si>
  <si>
    <t>CUST0093</t>
  </si>
  <si>
    <t>ORD00109</t>
  </si>
  <si>
    <t>CUST0015</t>
  </si>
  <si>
    <t>ORD00274</t>
  </si>
  <si>
    <t>CUST0089</t>
  </si>
  <si>
    <t>ORD00643</t>
  </si>
  <si>
    <t>ORD00131</t>
  </si>
  <si>
    <t>CUST0041</t>
  </si>
  <si>
    <t>ORD00392</t>
  </si>
  <si>
    <t>CUST0070</t>
  </si>
  <si>
    <t>ORD00789</t>
  </si>
  <si>
    <t>ORD00013</t>
  </si>
  <si>
    <t>CUST0196</t>
  </si>
  <si>
    <t>ORD00763</t>
  </si>
  <si>
    <t>CUST0095</t>
  </si>
  <si>
    <t>ORD00403</t>
  </si>
  <si>
    <t>Dikirim</t>
  </si>
  <si>
    <t>ORD00195</t>
  </si>
  <si>
    <t>CUST0055</t>
  </si>
  <si>
    <t>ORD00466</t>
  </si>
  <si>
    <t>CUST0066</t>
  </si>
  <si>
    <t>ORD00272</t>
  </si>
  <si>
    <t>CUST0154</t>
  </si>
  <si>
    <t>ORD00442</t>
  </si>
  <si>
    <t>ORD00004</t>
  </si>
  <si>
    <t>CUST0109</t>
  </si>
  <si>
    <t>ORD00382</t>
  </si>
  <si>
    <t>ORD00128</t>
  </si>
  <si>
    <t>CUST0068</t>
  </si>
  <si>
    <t>ORD00769</t>
  </si>
  <si>
    <t>CUST0082</t>
  </si>
  <si>
    <t>ORD00669</t>
  </si>
  <si>
    <t>ORD00142</t>
  </si>
  <si>
    <t>ORD00589</t>
  </si>
  <si>
    <t>ORD00003</t>
  </si>
  <si>
    <t>CUST0174</t>
  </si>
  <si>
    <t>ORD00344</t>
  </si>
  <si>
    <t>CUST0060</t>
  </si>
  <si>
    <t>ORD00531</t>
  </si>
  <si>
    <t>CUST0059</t>
  </si>
  <si>
    <t>ORD00714</t>
  </si>
  <si>
    <t>CUST0010</t>
  </si>
  <si>
    <t>ORD00363</t>
  </si>
  <si>
    <t>ORD00415</t>
  </si>
  <si>
    <t>ORD00379</t>
  </si>
  <si>
    <t>CUST0160</t>
  </si>
  <si>
    <t>ORD00508</t>
  </si>
  <si>
    <t>CUST0061</t>
  </si>
  <si>
    <t>ORD00149</t>
  </si>
  <si>
    <t>ORD00027</t>
  </si>
  <si>
    <t>CUST0180</t>
  </si>
  <si>
    <t>ORD00329</t>
  </si>
  <si>
    <t>ORD00644</t>
  </si>
  <si>
    <t>CUST0080</t>
  </si>
  <si>
    <t>ORD00780</t>
  </si>
  <si>
    <t>CUST0071</t>
  </si>
  <si>
    <t>ORD00365</t>
  </si>
  <si>
    <t>CUST0112</t>
  </si>
  <si>
    <t>ORD00423</t>
  </si>
  <si>
    <t>CUST0074</t>
  </si>
  <si>
    <t>ORD00733</t>
  </si>
  <si>
    <t>ORD00588</t>
  </si>
  <si>
    <t>CUST0104</t>
  </si>
  <si>
    <t>ORD00051</t>
  </si>
  <si>
    <t>CUST0030</t>
  </si>
  <si>
    <t>ORD00354</t>
  </si>
  <si>
    <t>ORD00758</t>
  </si>
  <si>
    <t>ORD00562</t>
  </si>
  <si>
    <t>ORD00539</t>
  </si>
  <si>
    <t>CUST0144</t>
  </si>
  <si>
    <t>ORD00452</t>
  </si>
  <si>
    <t>ORD00761</t>
  </si>
  <si>
    <t>ORD00186</t>
  </si>
  <si>
    <t>ORD00068</t>
  </si>
  <si>
    <t>CUST0195</t>
  </si>
  <si>
    <t>ORD00019</t>
  </si>
  <si>
    <t>ORD00634</t>
  </si>
  <si>
    <t>CUST0086</t>
  </si>
  <si>
    <t>ORD00310</t>
  </si>
  <si>
    <t>CUST0190</t>
  </si>
  <si>
    <t>ORD00682</t>
  </si>
  <si>
    <t>CUST0002</t>
  </si>
  <si>
    <t>ORD00608</t>
  </si>
  <si>
    <t>CUST0161</t>
  </si>
  <si>
    <t>ORD00649</t>
  </si>
  <si>
    <t>ORD00639</t>
  </si>
  <si>
    <t>ORD00578</t>
  </si>
  <si>
    <t>CUST0128</t>
  </si>
  <si>
    <t>ORD00391</t>
  </si>
  <si>
    <t>ORD00451</t>
  </si>
  <si>
    <t>ORD00030</t>
  </si>
  <si>
    <t>CUST0042</t>
  </si>
  <si>
    <t>ORD00383</t>
  </si>
  <si>
    <t>ORD00314</t>
  </si>
  <si>
    <t>CUST0004</t>
  </si>
  <si>
    <t>ORD00602</t>
  </si>
  <si>
    <t>CUST0155</t>
  </si>
  <si>
    <t>ORD00254</t>
  </si>
  <si>
    <t>CUST0139</t>
  </si>
  <si>
    <t>ORD00728</t>
  </si>
  <si>
    <t>ORD00526</t>
  </si>
  <si>
    <t>ORD00226</t>
  </si>
  <si>
    <t>ORD00574</t>
  </si>
  <si>
    <t>ORD00073</t>
  </si>
  <si>
    <t>ORD00586</t>
  </si>
  <si>
    <t>ORD00367</t>
  </si>
  <si>
    <t>CUST0105</t>
  </si>
  <si>
    <t>ORD00792</t>
  </si>
  <si>
    <t>ORD00596</t>
  </si>
  <si>
    <t>ORD00032</t>
  </si>
  <si>
    <t>CUST0084</t>
  </si>
  <si>
    <t>ORD00102</t>
  </si>
  <si>
    <t>CUST0125</t>
  </si>
  <si>
    <t>ORD00475</t>
  </si>
  <si>
    <t>CUST0150</t>
  </si>
  <si>
    <t>ORD00262</t>
  </si>
  <si>
    <t>CUST0197</t>
  </si>
  <si>
    <t>ORD00156</t>
  </si>
  <si>
    <t>ORD00375</t>
  </si>
  <si>
    <t>CUST0132</t>
  </si>
  <si>
    <t>ORD00603</t>
  </si>
  <si>
    <t>CUST0168</t>
  </si>
  <si>
    <t>ORD00550</t>
  </si>
  <si>
    <t>ORD00287</t>
  </si>
  <si>
    <t>CUST0023</t>
  </si>
  <si>
    <t>ORD00697</t>
  </si>
  <si>
    <t>CUST0140</t>
  </si>
  <si>
    <t>ORD00018</t>
  </si>
  <si>
    <t>CUST0076</t>
  </si>
  <si>
    <t>ORD00680</t>
  </si>
  <si>
    <t>CUST0179</t>
  </si>
  <si>
    <t>ORD00781</t>
  </si>
  <si>
    <t>CUST0078</t>
  </si>
  <si>
    <t>ORD00271</t>
  </si>
  <si>
    <t>ORD00225</t>
  </si>
  <si>
    <t>ORD00132</t>
  </si>
  <si>
    <t>CUST0181</t>
  </si>
  <si>
    <t>ORD00624</t>
  </si>
  <si>
    <t>CUST0113</t>
  </si>
  <si>
    <t>ORD00389</t>
  </si>
  <si>
    <t>ORD00490</t>
  </si>
  <si>
    <t>CUST0009</t>
  </si>
  <si>
    <t>ORD00193</t>
  </si>
  <si>
    <t>CUST0156</t>
  </si>
  <si>
    <t>ORD00723</t>
  </si>
  <si>
    <t>CUST0022</t>
  </si>
  <si>
    <t>ORD00486</t>
  </si>
  <si>
    <t>ORD00694</t>
  </si>
  <si>
    <t>CUST0147</t>
  </si>
  <si>
    <t>ORD00640</t>
  </si>
  <si>
    <t>CUST0085</t>
  </si>
  <si>
    <t>ORD00397</t>
  </si>
  <si>
    <t>CUST0107</t>
  </si>
  <si>
    <t>ORD00774</t>
  </si>
  <si>
    <t>ORD00106</t>
  </si>
  <si>
    <t>CUST0188</t>
  </si>
  <si>
    <t>ORD00520</t>
  </si>
  <si>
    <t>CUST0114</t>
  </si>
  <si>
    <t>ORD00567</t>
  </si>
  <si>
    <t>ORD00491</t>
  </si>
  <si>
    <t>ORD00671</t>
  </si>
  <si>
    <t>ORD00515</t>
  </si>
  <si>
    <t>CUST0158</t>
  </si>
  <si>
    <t>ORD00076</t>
  </si>
  <si>
    <t>CUST0031</t>
  </si>
  <si>
    <t>ORD00331</t>
  </si>
  <si>
    <t>ORD00793</t>
  </si>
  <si>
    <t>ORD00422</t>
  </si>
  <si>
    <t>CUST0018</t>
  </si>
  <si>
    <t>ORD00729</t>
  </si>
  <si>
    <t>ORD00100</t>
  </si>
  <si>
    <t>ORD00360</t>
  </si>
  <si>
    <t>ORD00689</t>
  </si>
  <si>
    <t>CUST0029</t>
  </si>
  <si>
    <t>ORD00110</t>
  </si>
  <si>
    <t>ORD00119</t>
  </si>
  <si>
    <t>CUST0108</t>
  </si>
  <si>
    <t>ORD00066</t>
  </si>
  <si>
    <t>CUST0146</t>
  </si>
  <si>
    <t>ORD00702</t>
  </si>
  <si>
    <t>ORD00145</t>
  </si>
  <si>
    <t>ORD00436</t>
  </si>
  <si>
    <t>ORD00481</t>
  </si>
  <si>
    <t>ORD00598</t>
  </si>
  <si>
    <t>CUST0090</t>
  </si>
  <si>
    <t>ORD00518</t>
  </si>
  <si>
    <t>CUST0103</t>
  </si>
  <si>
    <t>ORD00659</t>
  </si>
  <si>
    <t>CUST0121</t>
  </si>
  <si>
    <t>ORD00399</t>
  </si>
  <si>
    <t>CUST0073</t>
  </si>
  <si>
    <t>ORD00600</t>
  </si>
  <si>
    <t>ORD00467</t>
  </si>
  <si>
    <t>ORD00200</t>
  </si>
  <si>
    <t>ORD00536</t>
  </si>
  <si>
    <t>CUST0024</t>
  </si>
  <si>
    <t>ORD00113</t>
  </si>
  <si>
    <t>ORD00237</t>
  </si>
  <si>
    <t>ORD00358</t>
  </si>
  <si>
    <t>ORD00267</t>
  </si>
  <si>
    <t>ORD00614</t>
  </si>
  <si>
    <t>ORD00334</t>
  </si>
  <si>
    <t>ORD00662</t>
  </si>
  <si>
    <t>ORD00204</t>
  </si>
  <si>
    <t>ORD00067</t>
  </si>
  <si>
    <t>ORD00512</t>
  </si>
  <si>
    <t>CUST0017</t>
  </si>
  <si>
    <t>ORD00527</t>
  </si>
  <si>
    <t>ORD00751</t>
  </si>
  <si>
    <t>CUST0032</t>
  </si>
  <si>
    <t>ORD00138</t>
  </si>
  <si>
    <t>ORD00615</t>
  </si>
  <si>
    <t>ORD00339</t>
  </si>
  <si>
    <t>ORD00760</t>
  </si>
  <si>
    <t>ORD00210</t>
  </si>
  <si>
    <t>ORD00135</t>
  </si>
  <si>
    <t>CUST0170</t>
  </si>
  <si>
    <t>ORD00645</t>
  </si>
  <si>
    <t>ORD00635</t>
  </si>
  <si>
    <t>ORD00482</t>
  </si>
  <si>
    <t>CUST0036</t>
  </si>
  <si>
    <t>ORD00002</t>
  </si>
  <si>
    <t>ORD00450</t>
  </si>
  <si>
    <t>CUST0176</t>
  </si>
  <si>
    <t>ORD00570</t>
  </si>
  <si>
    <t>CUST0111</t>
  </si>
  <si>
    <t>ORD00727</t>
  </si>
  <si>
    <t>ORD00241</t>
  </si>
  <si>
    <t>ORD00540</t>
  </si>
  <si>
    <t>ORD00687</t>
  </si>
  <si>
    <t>CUST0013</t>
  </si>
  <si>
    <t>ORD00235</t>
  </si>
  <si>
    <t>CUST0123</t>
  </si>
  <si>
    <t>ORD00352</t>
  </si>
  <si>
    <t>ORD00473</t>
  </si>
  <si>
    <t>ORD00371</t>
  </si>
  <si>
    <t>ORD00463</t>
  </si>
  <si>
    <t>ORD00485</t>
  </si>
  <si>
    <t>ORD00245</t>
  </si>
  <si>
    <t>CUST0137</t>
  </si>
  <si>
    <t>ORD00386</t>
  </si>
  <si>
    <t>CUST0062</t>
  </si>
  <si>
    <t>ORD00275</t>
  </si>
  <si>
    <t>ORD00746</t>
  </si>
  <si>
    <t>CUST0007</t>
  </si>
  <si>
    <t>ORD00658</t>
  </si>
  <si>
    <t>ORD00507</t>
  </si>
  <si>
    <t>ORD00560</t>
  </si>
  <si>
    <t>CUST0136</t>
  </si>
  <si>
    <t>ORD00384</t>
  </si>
  <si>
    <t>ORD00525</t>
  </si>
  <si>
    <t>ORD00001</t>
  </si>
  <si>
    <t>ORD00121</t>
  </si>
  <si>
    <t>CUST0067</t>
  </si>
  <si>
    <t>ORD00006</t>
  </si>
  <si>
    <t>ORD00762</t>
  </si>
  <si>
    <t>ORD00041</t>
  </si>
  <si>
    <t>ORD00112</t>
  </si>
  <si>
    <t>ORD00715</t>
  </si>
  <si>
    <t>CUST0049</t>
  </si>
  <si>
    <t>ORD00328</t>
  </si>
  <si>
    <t>ORD00465</t>
  </si>
  <si>
    <t>CUST0129</t>
  </si>
  <si>
    <t>ORD00673</t>
  </si>
  <si>
    <t>ORD00674</t>
  </si>
  <si>
    <t>ORD00114</t>
  </si>
  <si>
    <t>CUST0021</t>
  </si>
  <si>
    <t>ORD00708</t>
  </si>
  <si>
    <t>ORD00458</t>
  </si>
  <si>
    <t>ORD00646</t>
  </si>
  <si>
    <t>CUST0058</t>
  </si>
  <si>
    <t>ORD00201</t>
  </si>
  <si>
    <t>ORD00558</t>
  </si>
  <si>
    <t>ORD00302</t>
  </si>
  <si>
    <t>ORD00566</t>
  </si>
  <si>
    <t>ORD00457</t>
  </si>
  <si>
    <t>ORD00395</t>
  </si>
  <si>
    <t>ORD00753</t>
  </si>
  <si>
    <t>ORD00800</t>
  </si>
  <si>
    <t>ORD00627</t>
  </si>
  <si>
    <t>CUST0199</t>
  </si>
  <si>
    <t>ORD00681</t>
  </si>
  <si>
    <t>ORD00253</t>
  </si>
  <si>
    <t>ORD00538</t>
  </si>
  <si>
    <t>CUST0143</t>
  </si>
  <si>
    <t>ORD00406</t>
  </si>
  <si>
    <t>ORD00034</t>
  </si>
  <si>
    <t>ORD00107</t>
  </si>
  <si>
    <t>ORD00159</t>
  </si>
  <si>
    <t>CUST0106</t>
  </si>
  <si>
    <t>ORD00072</t>
  </si>
  <si>
    <t>ORD00470</t>
  </si>
  <si>
    <t>ORD00143</t>
  </si>
  <si>
    <t>ORD00738</t>
  </si>
  <si>
    <t>ORD00618</t>
  </si>
  <si>
    <t>ORD00091</t>
  </si>
  <si>
    <t>ORD00704</t>
  </si>
  <si>
    <t>CUST0149</t>
  </si>
  <si>
    <t>ORD00229</t>
  </si>
  <si>
    <t>ORD00182</t>
  </si>
  <si>
    <t>ORD00045</t>
  </si>
  <si>
    <t>ORD00312</t>
  </si>
  <si>
    <t>CUST0026</t>
  </si>
  <si>
    <t>ORD00477</t>
  </si>
  <si>
    <t>ORD00647</t>
  </si>
  <si>
    <t>ORD00798</t>
  </si>
  <si>
    <t>ORD00250</t>
  </si>
  <si>
    <t>ORD00037</t>
  </si>
  <si>
    <t>ORD00103</t>
  </si>
  <si>
    <t>ORD00411</t>
  </si>
  <si>
    <t>ORD00426</t>
  </si>
  <si>
    <t>ORD00718</t>
  </si>
  <si>
    <t>ORD00495</t>
  </si>
  <si>
    <t>ORD00755</t>
  </si>
  <si>
    <t>CUST0182</t>
  </si>
  <si>
    <t>ORD00648</t>
  </si>
  <si>
    <t>ORD00584</t>
  </si>
  <si>
    <t>CUST0005</t>
  </si>
  <si>
    <t>ORD00054</t>
  </si>
  <si>
    <t>ORD00165</t>
  </si>
  <si>
    <t>ORD00277</t>
  </si>
  <si>
    <t>ORD00305</t>
  </si>
  <si>
    <t>ORD00745</t>
  </si>
  <si>
    <t>CUST0072</t>
  </si>
  <si>
    <t>ORD00255</t>
  </si>
  <si>
    <t>ORD00580</t>
  </si>
  <si>
    <t>ORD00690</t>
  </si>
  <si>
    <t>ORD00378</t>
  </si>
  <si>
    <t>ORD00178</t>
  </si>
  <si>
    <t>ORD00089</t>
  </si>
  <si>
    <t>ORD00438</t>
  </si>
  <si>
    <t>ORD00297</t>
  </si>
  <si>
    <t>ORD00685</t>
  </si>
  <si>
    <t>ORD00767</t>
  </si>
  <si>
    <t>ORD00552</t>
  </si>
  <si>
    <t>ORD00187</t>
  </si>
  <si>
    <t>CUST0050</t>
  </si>
  <si>
    <t>ORD00020</t>
  </si>
  <si>
    <t>CUST0148</t>
  </si>
  <si>
    <t>ORD00177</t>
  </si>
  <si>
    <t>ORD00190</t>
  </si>
  <si>
    <t>ORD00028</t>
  </si>
  <si>
    <t>ORD00170</t>
  </si>
  <si>
    <t>ORD00710</t>
  </si>
  <si>
    <t>CUST0118</t>
  </si>
  <si>
    <t>ORD00441</t>
  </si>
  <si>
    <t>ORD00074</t>
  </si>
  <si>
    <t>ORD00146</t>
  </si>
  <si>
    <t>ORD00637</t>
  </si>
  <si>
    <t>CUST0101</t>
  </si>
  <si>
    <t>ORD00668</t>
  </si>
  <si>
    <t>CUST0133</t>
  </si>
  <si>
    <t>ORD00295</t>
  </si>
  <si>
    <t>ORD00456</t>
  </si>
  <si>
    <t>ORD00164</t>
  </si>
  <si>
    <t>ORD00778</t>
  </si>
  <si>
    <t>ORD00665</t>
  </si>
  <si>
    <t>ORD00775</t>
  </si>
  <si>
    <t>ORD00059</t>
  </si>
  <si>
    <t>CUST0130</t>
  </si>
  <si>
    <t>ORD00503</t>
  </si>
  <si>
    <t>ORD00469</t>
  </si>
  <si>
    <t>CUST0120</t>
  </si>
  <si>
    <t>ORD00023</t>
  </si>
  <si>
    <t>ORD00610</t>
  </si>
  <si>
    <t>CUST0162</t>
  </si>
  <si>
    <t>ORD00440</t>
  </si>
  <si>
    <t>ORD00161</t>
  </si>
  <si>
    <t>CUST0069</t>
  </si>
  <si>
    <t>ORD00533</t>
  </si>
  <si>
    <t>CUST0187</t>
  </si>
  <si>
    <t>ORD00284</t>
  </si>
  <si>
    <t>ORD00022</t>
  </si>
  <si>
    <t>CUST0075</t>
  </si>
  <si>
    <t>ORD00748</t>
  </si>
  <si>
    <t>ORD00118</t>
  </si>
  <si>
    <t>CUST0153</t>
  </si>
  <si>
    <t>ORD00548</t>
  </si>
  <si>
    <t>ORD00227</t>
  </si>
  <si>
    <t>ORD00431</t>
  </si>
  <si>
    <t>ORD00175</t>
  </si>
  <si>
    <t>ORD00129</t>
  </si>
  <si>
    <t>ORD00577</t>
  </si>
  <si>
    <t>ORD00173</t>
  </si>
  <si>
    <t>ORD00664</t>
  </si>
  <si>
    <t>CUST0052</t>
  </si>
  <si>
    <t>ORD00790</t>
  </si>
  <si>
    <t>ORD00069</t>
  </si>
  <si>
    <t>CUST0033</t>
  </si>
  <si>
    <t>ORD00642</t>
  </si>
  <si>
    <t>CUST0166</t>
  </si>
  <si>
    <t>ORD00294</t>
  </si>
  <si>
    <t>ORD00348</t>
  </si>
  <si>
    <t>CUST0039</t>
  </si>
  <si>
    <t>ORD00361</t>
  </si>
  <si>
    <t>ORD00510</t>
  </si>
  <si>
    <t>ORD00341</t>
  </si>
  <si>
    <t>ORD00266</t>
  </si>
  <si>
    <t>ORD00387</t>
  </si>
  <si>
    <t>ORD00543</t>
  </si>
  <si>
    <t>ORD00230</t>
  </si>
  <si>
    <t>ORD00340</t>
  </si>
  <si>
    <t>ORD00544</t>
  </si>
  <si>
    <t>ORD00410</t>
  </si>
  <si>
    <t>ORD00417</t>
  </si>
  <si>
    <t>ORD00719</t>
  </si>
  <si>
    <t>ORD00098</t>
  </si>
  <si>
    <t>ORD00620</t>
  </si>
  <si>
    <t>ORD00325</t>
  </si>
  <si>
    <t>CUST0014</t>
  </si>
  <si>
    <t>ORD00564</t>
  </si>
  <si>
    <t>ORD00217</t>
  </si>
  <si>
    <t>ORD00663</t>
  </si>
  <si>
    <t>ORD00756</t>
  </si>
  <si>
    <t>ORD00524</t>
  </si>
  <si>
    <t>ORD00461</t>
  </si>
  <si>
    <t>ORD00298</t>
  </si>
  <si>
    <t>CUST0122</t>
  </si>
  <si>
    <t>ORD00459</t>
  </si>
  <si>
    <t>ORD00336</t>
  </si>
  <si>
    <t>ORD00282</t>
  </si>
  <si>
    <t>ORD00205</t>
  </si>
  <si>
    <t>ORD00316</t>
  </si>
  <si>
    <t>ORD00197</t>
  </si>
  <si>
    <t>ORD00401</t>
  </si>
  <si>
    <t>ORD00572</t>
  </si>
  <si>
    <t>CUST0135</t>
  </si>
  <si>
    <t>ORD00771</t>
  </si>
  <si>
    <t>ORD00280</t>
  </si>
  <si>
    <t>ORD00008</t>
  </si>
  <si>
    <t>ORD00555</t>
  </si>
  <si>
    <t>ORD00724</t>
  </si>
  <si>
    <t>ORD00511</t>
  </si>
  <si>
    <t>ORD00191</t>
  </si>
  <si>
    <t>CUST0001</t>
  </si>
  <si>
    <t>ORD00265</t>
  </si>
  <si>
    <t>ORD00489</t>
  </si>
  <si>
    <t>ORD00705</t>
  </si>
  <si>
    <t>CUST0091</t>
  </si>
  <si>
    <t>ORD00154</t>
  </si>
  <si>
    <t>ORD00418</t>
  </si>
  <si>
    <t>CUST0173</t>
  </si>
  <si>
    <t>ORD00155</t>
  </si>
  <si>
    <t>ORD00435</t>
  </si>
  <si>
    <t>ORD00058</t>
  </si>
  <si>
    <t>CUST0077</t>
  </si>
  <si>
    <t>ORD00623</t>
  </si>
  <si>
    <t>CUST0045</t>
  </si>
  <si>
    <t>ORD00743</t>
  </si>
  <si>
    <t>CUST0020</t>
  </si>
  <si>
    <t>ORD00541</t>
  </si>
  <si>
    <t>CUST0171</t>
  </si>
  <si>
    <t>ORD00579</t>
  </si>
  <si>
    <t>ORD00412</t>
  </si>
  <si>
    <t>CUST0117</t>
  </si>
  <si>
    <t>ORD00134</t>
  </si>
  <si>
    <t>ORD00147</t>
  </si>
  <si>
    <t>ORD00172</t>
  </si>
  <si>
    <t>ORD00795</t>
  </si>
  <si>
    <t>ORD00126</t>
  </si>
  <si>
    <t>ORD00496</t>
  </si>
  <si>
    <t>ORD00788</t>
  </si>
  <si>
    <t>CUST0198</t>
  </si>
  <si>
    <t>ORD00695</t>
  </si>
  <si>
    <t>ORD00327</t>
  </si>
  <si>
    <t>ORD00501</t>
  </si>
  <si>
    <t>ORD00082</t>
  </si>
  <si>
    <t>ORD00105</t>
  </si>
  <si>
    <t>ORD00444</t>
  </si>
  <si>
    <t>ORD00335</t>
  </si>
  <si>
    <t>CUST0054</t>
  </si>
  <si>
    <t>ORD00672</t>
  </si>
  <si>
    <t>CUST0057</t>
  </si>
  <si>
    <t>ORD00561</t>
  </si>
  <si>
    <t>ORD00071</t>
  </si>
  <si>
    <t>ORD00263</t>
  </si>
  <si>
    <t>ORD00222</t>
  </si>
  <si>
    <t>CUST0134</t>
  </si>
  <si>
    <t>ORD00576</t>
  </si>
  <si>
    <t>ORD00446</t>
  </si>
  <si>
    <t>ORD00240</t>
  </si>
  <si>
    <t>ORD00330</t>
  </si>
  <si>
    <t>ORD00050</t>
  </si>
  <si>
    <t>CUST0003</t>
  </si>
  <si>
    <t>ORD00625</t>
  </si>
  <si>
    <t>ORD00192</t>
  </si>
  <si>
    <t>ORD00024</t>
  </si>
  <si>
    <t>ORD00342</t>
  </si>
  <si>
    <t>ORD00317</t>
  </si>
  <si>
    <t>ORD00509</t>
  </si>
  <si>
    <t>ORD00630</t>
  </si>
  <si>
    <t>ORD00338</t>
  </si>
  <si>
    <t>CUST0142</t>
  </si>
  <si>
    <t>ORD00556</t>
  </si>
  <si>
    <t>ORD00015</t>
  </si>
  <si>
    <t>ORD00347</t>
  </si>
  <si>
    <t>ORD00799</t>
  </si>
  <si>
    <t>CUST0184</t>
  </si>
  <si>
    <t>ORD00122</t>
  </si>
  <si>
    <t>ORD00036</t>
  </si>
  <si>
    <t>ORD00390</t>
  </si>
  <si>
    <t>ORD00044</t>
  </si>
  <si>
    <t>CUST0131</t>
  </si>
  <si>
    <t>ORD00439</t>
  </si>
  <si>
    <t>ORD00196</t>
  </si>
  <si>
    <t>CUST0189</t>
  </si>
  <si>
    <t>ORD00203</t>
  </si>
  <si>
    <t>ORD00713</t>
  </si>
  <si>
    <t>ORD00158</t>
  </si>
  <si>
    <t>ORD00498</t>
  </si>
  <si>
    <t>CUST0006</t>
  </si>
  <si>
    <t>ORD00238</t>
  </si>
  <si>
    <t>ORD00007</t>
  </si>
  <si>
    <t>ORD00613</t>
  </si>
  <si>
    <t>CUST0116</t>
  </si>
  <si>
    <t>ORD00049</t>
  </si>
  <si>
    <t>ORD00752</t>
  </si>
  <si>
    <t>ORD00127</t>
  </si>
  <si>
    <t>CUST0019</t>
  </si>
  <si>
    <t>ORD00029</t>
  </si>
  <si>
    <t>ORD00083</t>
  </si>
  <si>
    <t>ORD00324</t>
  </si>
  <si>
    <t>ORD00661</t>
  </si>
  <si>
    <t>ORD00288</t>
  </si>
  <si>
    <t>ORD00420</t>
  </si>
  <si>
    <t>ORD00224</t>
  </si>
  <si>
    <t>CUST0183</t>
  </si>
  <si>
    <t>ORD00061</t>
  </si>
  <si>
    <t>ORD00252</t>
  </si>
  <si>
    <t>ORD00202</t>
  </si>
  <si>
    <t>CUST0012</t>
  </si>
  <si>
    <t>ORD00711</t>
  </si>
  <si>
    <t>ORD00629</t>
  </si>
  <si>
    <t>ORD00754</t>
  </si>
  <si>
    <t>ORD00372</t>
  </si>
  <si>
    <t>ORD00448</t>
  </si>
  <si>
    <t>ORD00717</t>
  </si>
  <si>
    <t>ORD00016</t>
  </si>
  <si>
    <t>ORD00487</t>
  </si>
  <si>
    <t>CUST0191</t>
  </si>
  <si>
    <t>ORD00677</t>
  </si>
  <si>
    <t>ORD00174</t>
  </si>
  <si>
    <t>ORD00093</t>
  </si>
  <si>
    <t>CUST0028</t>
  </si>
  <si>
    <t>ORD00591</t>
  </si>
  <si>
    <t>ORD00396</t>
  </si>
  <si>
    <t>CUST0035</t>
  </si>
  <si>
    <t>ORD00709</t>
  </si>
  <si>
    <t>ORD00021</t>
  </si>
  <si>
    <t>ORD00604</t>
  </si>
  <si>
    <t>ORD00300</t>
  </si>
  <si>
    <t>ORD00583</t>
  </si>
  <si>
    <t>ORD00696</t>
  </si>
  <si>
    <t>ORD00115</t>
  </si>
  <si>
    <t>ORD00546</t>
  </si>
  <si>
    <t>ORD00773</t>
  </si>
  <si>
    <t>CUST0047</t>
  </si>
  <si>
    <t>ORD00323</t>
  </si>
  <si>
    <t>ORD00528</t>
  </si>
  <si>
    <t>ORD00462</t>
  </si>
  <si>
    <t>ORD00040</t>
  </si>
  <si>
    <t>ORD00278</t>
  </si>
  <si>
    <t>ORD00609</t>
  </si>
  <si>
    <t>ORD00162</t>
  </si>
  <si>
    <t>ORD00553</t>
  </si>
  <si>
    <t>CUST0178</t>
  </si>
  <si>
    <t>ORD00787</t>
  </si>
  <si>
    <t>CUST0008</t>
  </si>
  <si>
    <t>ORD00304</t>
  </si>
  <si>
    <t>ORD00721</t>
  </si>
  <si>
    <t>ORD00735</t>
  </si>
  <si>
    <t>CUST0192</t>
  </si>
  <si>
    <t>ORD00514</t>
  </si>
  <si>
    <t>ORD00281</t>
  </si>
  <si>
    <t>ORD00559</t>
  </si>
  <si>
    <t>CUST0163</t>
  </si>
  <si>
    <t>ORD00258</t>
  </si>
  <si>
    <t>ORD00484</t>
  </si>
  <si>
    <t>CUST0138</t>
  </si>
  <si>
    <t>ORD00424</t>
  </si>
  <si>
    <t>ORD00676</t>
  </si>
  <si>
    <t>ORD00292</t>
  </si>
  <si>
    <t>ORD00168</t>
  </si>
  <si>
    <t>ORD00573</t>
  </si>
  <si>
    <t>ORD00653</t>
  </si>
  <si>
    <t>ORD00052</t>
  </si>
  <si>
    <t>ORD00140</t>
  </si>
  <si>
    <t>ORD00171</t>
  </si>
  <si>
    <t>ORD00636</t>
  </si>
  <si>
    <t>ORD00094</t>
  </si>
  <si>
    <t>ORD00385</t>
  </si>
  <si>
    <t>ORD00480</t>
  </si>
  <si>
    <t>ORD00176</t>
  </si>
  <si>
    <t>ORD00592</t>
  </si>
  <si>
    <t>ORD00488</t>
  </si>
  <si>
    <t>ORD00005</t>
  </si>
  <si>
    <t>CUST0056</t>
  </si>
  <si>
    <t>ORD00303</t>
  </si>
  <si>
    <t>ORD00179</t>
  </si>
  <si>
    <t>ORD00523</t>
  </si>
  <si>
    <t>ORD00542</t>
  </si>
  <si>
    <t>CUST0185</t>
  </si>
  <si>
    <t>ORD00445</t>
  </si>
  <si>
    <t>CUST0124</t>
  </si>
  <si>
    <t>ORD00211</t>
  </si>
  <si>
    <t>ORD00214</t>
  </si>
  <si>
    <t>ORD00388</t>
  </si>
  <si>
    <t>ORD00239</t>
  </si>
  <si>
    <t>ORD00307</t>
  </si>
  <si>
    <t>ORD00549</t>
  </si>
  <si>
    <t>CUST0110</t>
  </si>
  <si>
    <t>ORD00320</t>
  </si>
  <si>
    <t>ORD00607</t>
  </si>
  <si>
    <t>ORD00530</t>
  </si>
  <si>
    <t>ORD00055</t>
  </si>
  <si>
    <t>ORD00184</t>
  </si>
  <si>
    <t>ORD00472</t>
  </si>
  <si>
    <t>CUST0102</t>
  </si>
  <si>
    <t>ORD00259</t>
  </si>
  <si>
    <t>ORD00183</t>
  </si>
  <si>
    <t>ORD00199</t>
  </si>
  <si>
    <t>ORD00133</t>
  </si>
  <si>
    <t>ORD00081</t>
  </si>
  <si>
    <t>ORD00759</t>
  </si>
  <si>
    <t>ORD00502</t>
  </si>
  <si>
    <t>CUST0151</t>
  </si>
  <si>
    <t>ORD00223</t>
  </si>
  <si>
    <t>ORD00569</t>
  </si>
  <si>
    <t>ORD00402</t>
  </si>
  <si>
    <t>ORD00296</t>
  </si>
  <si>
    <t>ORD00123</t>
  </si>
  <si>
    <t>ORD00483</t>
  </si>
  <si>
    <t>CUST0127</t>
  </si>
  <si>
    <t>ORD00493</t>
  </si>
  <si>
    <t>ORD00009</t>
  </si>
  <si>
    <t>ORD00070</t>
  </si>
  <si>
    <t>ORD00359</t>
  </si>
  <si>
    <t>ORD00796</t>
  </si>
  <si>
    <t>ORD00797</t>
  </si>
  <si>
    <t>ORD00766</t>
  </si>
  <si>
    <t>ORD00393</t>
  </si>
  <si>
    <t>ORD00593</t>
  </si>
  <si>
    <t>ORD00413</t>
  </si>
  <si>
    <t>ORD00594</t>
  </si>
  <si>
    <t>ORD00468</t>
  </si>
  <si>
    <t>CUST0087</t>
  </si>
  <si>
    <t>ORD00351</t>
  </si>
  <si>
    <t>ORD00785</t>
  </si>
  <si>
    <t>ORD00516</t>
  </si>
  <si>
    <t>CUST0169</t>
  </si>
  <si>
    <t>ORD00062</t>
  </si>
  <si>
    <t>ORD00078</t>
  </si>
  <si>
    <t>ORD00784</t>
  </si>
  <si>
    <t>ORD00460</t>
  </si>
  <si>
    <t>ORD00311</t>
  </si>
  <si>
    <t>ORD00345</t>
  </si>
  <si>
    <t>ORD00595</t>
  </si>
  <si>
    <t>CUST0044</t>
  </si>
  <si>
    <t>ORD00633</t>
  </si>
  <si>
    <t>ORD00283</t>
  </si>
  <si>
    <t>ORD00400</t>
  </si>
  <si>
    <t>ORD00025</t>
  </si>
  <si>
    <t>ORD00582</t>
  </si>
  <si>
    <t>ORD00703</t>
  </si>
  <si>
    <t>ORD00666</t>
  </si>
  <si>
    <t>ORD00368</t>
  </si>
  <si>
    <t>CUST0172</t>
  </si>
  <si>
    <t>ORD00260</t>
  </si>
  <si>
    <t>ORD00547</t>
  </si>
  <si>
    <t>ORD00355</t>
  </si>
  <si>
    <t>ORD00332</t>
  </si>
  <si>
    <t>ORD00471</t>
  </si>
  <si>
    <t>ORD00047</t>
  </si>
  <si>
    <t>CUST0175</t>
  </si>
  <si>
    <t>ORD00575</t>
  </si>
  <si>
    <t>ORD00683</t>
  </si>
  <si>
    <t>ORD00407</t>
  </si>
  <si>
    <t>ORD00621</t>
  </si>
  <si>
    <t>CUST0027</t>
  </si>
  <si>
    <t>ORD00650</t>
  </si>
  <si>
    <t>ORD00362</t>
  </si>
  <si>
    <t>CUST0194</t>
  </si>
  <si>
    <t>ORD00084</t>
  </si>
  <si>
    <t>ORD00521</t>
  </si>
  <si>
    <t>ORD00479</t>
  </si>
  <si>
    <t>CUST0157</t>
  </si>
  <si>
    <t>ORD00130</t>
  </si>
  <si>
    <t>CUST0063</t>
  </si>
  <si>
    <t>ORD00088</t>
  </si>
  <si>
    <t>ORD00601</t>
  </si>
  <si>
    <t>ORD00136</t>
  </si>
  <si>
    <t>ORD00505</t>
  </si>
  <si>
    <t>CUST0038</t>
  </si>
  <si>
    <t>ORD00638</t>
  </si>
  <si>
    <t>ORD00301</t>
  </si>
  <si>
    <t>ORD00641</t>
  </si>
  <si>
    <t>ORD00181</t>
  </si>
  <si>
    <t>CUST0094</t>
  </si>
  <si>
    <t>ORD00744</t>
  </si>
  <si>
    <t>ORD00565</t>
  </si>
  <si>
    <t>ORD00167</t>
  </si>
  <si>
    <t>ORD00077</t>
  </si>
  <si>
    <t>ORD00086</t>
  </si>
  <si>
    <t>ORD00394</t>
  </si>
  <si>
    <t>ORD00581</t>
  </si>
  <si>
    <t>ORD00079</t>
  </si>
  <si>
    <t>ORD00053</t>
  </si>
  <si>
    <t>CUST0088</t>
  </si>
  <si>
    <t>ORD00033</t>
  </si>
  <si>
    <t>ORD00622</t>
  </si>
  <si>
    <t>ORD00096</t>
  </si>
  <si>
    <t>CUST0064</t>
  </si>
  <si>
    <t>ORD00150</t>
  </si>
  <si>
    <t>ORD00309</t>
  </si>
  <si>
    <t>CUST0177</t>
  </si>
  <si>
    <t>ORD00655</t>
  </si>
  <si>
    <t>ORD00333</t>
  </si>
  <si>
    <t>ORD00152</t>
  </si>
  <si>
    <t>CUST0011</t>
  </si>
  <si>
    <t>ORD00757</t>
  </si>
  <si>
    <t>ORD00012</t>
  </si>
  <si>
    <t>ORD00141</t>
  </si>
  <si>
    <t>CUST0065</t>
  </si>
  <si>
    <t>ORD00794</t>
  </si>
  <si>
    <t>ORD00356</t>
  </si>
  <si>
    <t>ORD00706</t>
  </si>
  <si>
    <t>ORD00777</t>
  </si>
  <si>
    <t>ORD00026</t>
  </si>
  <si>
    <t>ORD00612</t>
  </si>
  <si>
    <t>ORD00447</t>
  </si>
  <si>
    <t>ORD00474</t>
  </si>
  <si>
    <t>ORD00504</t>
  </si>
  <si>
    <t>ORD00590</t>
  </si>
  <si>
    <t>ORD00117</t>
  </si>
  <si>
    <t>ORD00207</t>
  </si>
  <si>
    <t>ORD00632</t>
  </si>
  <si>
    <t>ORD00449</t>
  </si>
  <si>
    <t>ORD00419</t>
  </si>
  <si>
    <t>ORD00693</t>
  </si>
  <si>
    <t>ORD00779</t>
  </si>
  <si>
    <t>ORD00532</t>
  </si>
  <si>
    <t>ORD00725</t>
  </si>
  <si>
    <t>ORD00768</t>
  </si>
  <si>
    <t>ORD00231</t>
  </si>
  <si>
    <t>CUST0053</t>
  </si>
  <si>
    <t>ORD00039</t>
  </si>
  <si>
    <t>ORD00353</t>
  </si>
  <si>
    <t>ORD00364</t>
  </si>
  <si>
    <t>ORD00722</t>
  </si>
  <si>
    <t>ORD00421</t>
  </si>
  <si>
    <t>ORD00597</t>
  </si>
  <si>
    <t>ORD00270</t>
  </si>
  <si>
    <t>ORD00691</t>
  </si>
  <si>
    <t>ORD00111</t>
  </si>
  <si>
    <t>CUST0081</t>
  </si>
  <si>
    <t>ORD00698</t>
  </si>
  <si>
    <t>ORD00057</t>
  </si>
  <si>
    <t>ORD00322</t>
  </si>
  <si>
    <t>ORD00104</t>
  </si>
  <si>
    <t>CUST0098</t>
  </si>
  <si>
    <t>ORD00506</t>
  </si>
  <si>
    <t>ORD00014</t>
  </si>
  <si>
    <t>ORD00437</t>
  </si>
  <si>
    <t>ORD00268</t>
  </si>
  <si>
    <t>CUST0097</t>
  </si>
  <si>
    <t>ORD00346</t>
  </si>
  <si>
    <t>CUST0051</t>
  </si>
  <si>
    <t>ORD00233</t>
  </si>
  <si>
    <t>ORD00157</t>
  </si>
  <si>
    <t>CUST0046</t>
  </si>
  <si>
    <t>ORD00750</t>
  </si>
  <si>
    <t>ORD00537</t>
  </si>
  <si>
    <t>CUST0025</t>
  </si>
  <si>
    <t>ORD00732</t>
  </si>
  <si>
    <t>ORD00551</t>
  </si>
  <si>
    <t>ORD00290</t>
  </si>
  <si>
    <t>ORD00216</t>
  </si>
  <si>
    <t>ORD00529</t>
  </si>
  <si>
    <t>ORD00497</t>
  </si>
  <si>
    <t>ORD00628</t>
  </si>
  <si>
    <t>ORD00124</t>
  </si>
  <si>
    <t>ORD00737</t>
  </si>
  <si>
    <t>ORD00251</t>
  </si>
  <si>
    <t>ORD00692</t>
  </si>
  <si>
    <t>ORD00405</t>
  </si>
  <si>
    <t>ORD00249</t>
  </si>
  <si>
    <t>ORD00343</t>
  </si>
  <si>
    <t>ORD00244</t>
  </si>
  <si>
    <t>ORD00357</t>
  </si>
  <si>
    <t>ORD00408</t>
  </si>
  <si>
    <t>ORD00180</t>
  </si>
  <si>
    <t>ORD00599</t>
  </si>
  <si>
    <t>ORD00257</t>
  </si>
  <si>
    <t>ORD00563</t>
  </si>
  <si>
    <t>ORD00429</t>
  </si>
  <si>
    <t>ORD00499</t>
  </si>
  <si>
    <t>ORD00398</t>
  </si>
  <si>
    <t>ORD00160</t>
  </si>
  <si>
    <t>ORD00010</t>
  </si>
  <si>
    <t>ORD00585</t>
  </si>
  <si>
    <t>ORD00660</t>
  </si>
  <si>
    <t>ORD00534</t>
  </si>
  <si>
    <t>ORD00221</t>
  </si>
  <si>
    <t>ORD00492</t>
  </si>
  <si>
    <t>ORD00626</t>
  </si>
  <si>
    <t>CUST0096</t>
  </si>
  <si>
    <t>ORD00188</t>
  </si>
  <si>
    <t>ORD00097</t>
  </si>
  <si>
    <t>ORD00428</t>
  </si>
  <si>
    <t>ORD00247</t>
  </si>
  <si>
    <t>ORD00064</t>
  </si>
  <si>
    <t>ORD00080</t>
  </si>
  <si>
    <t>ORD00554</t>
  </si>
  <si>
    <t>ORD00242</t>
  </si>
  <si>
    <t>ORD00075</t>
  </si>
  <si>
    <t>ORD00712</t>
  </si>
  <si>
    <t>ORD00667</t>
  </si>
  <si>
    <t>ORD00299</t>
  </si>
  <si>
    <t>CUST0115</t>
  </si>
  <si>
    <t>ORD00373</t>
  </si>
  <si>
    <t>ORD00414</t>
  </si>
  <si>
    <t>CUST0040</t>
  </si>
  <si>
    <t>ORD00765</t>
  </si>
  <si>
    <t>ORD00652</t>
  </si>
  <si>
    <t>ORD00770</t>
  </si>
  <si>
    <t>ORD00276</t>
  </si>
  <si>
    <t>ORD00099</t>
  </si>
  <si>
    <t>ORD00108</t>
  </si>
  <si>
    <t>ORD00631</t>
  </si>
  <si>
    <t>ORD00228</t>
  </si>
  <si>
    <t>ORD00137</t>
  </si>
  <si>
    <t>ORD00319</t>
  </si>
  <si>
    <t>ORD00679</t>
  </si>
  <si>
    <t>ORD00522</t>
  </si>
  <si>
    <t>ORD00095</t>
  </si>
  <si>
    <t>ORD00749</t>
  </si>
  <si>
    <t>ORD00434</t>
  </si>
  <si>
    <t>ORD00060</t>
  </si>
  <si>
    <t>ORD00670</t>
  </si>
  <si>
    <t>ORD00427</t>
  </si>
  <si>
    <t>ORD00293</t>
  </si>
  <si>
    <t>ORD00153</t>
  </si>
  <si>
    <t>ORD00139</t>
  </si>
  <si>
    <t>ORD00166</t>
  </si>
  <si>
    <t>ORD00675</t>
  </si>
  <si>
    <t>ORD00720</t>
  </si>
  <si>
    <t>CUST0099</t>
  </si>
  <si>
    <t>ORD00454</t>
  </si>
  <si>
    <t>ORD00739</t>
  </si>
  <si>
    <t>ORD00035</t>
  </si>
  <si>
    <t>ORD00048</t>
  </si>
  <si>
    <t>ORD00701</t>
  </si>
  <si>
    <t>ORD00616</t>
  </si>
  <si>
    <t>ORD00571</t>
  </si>
  <si>
    <t>ORD00206</t>
  </si>
  <si>
    <t>ORD00291</t>
  </si>
  <si>
    <t>ORD00046</t>
  </si>
  <si>
    <t>ORD00308</t>
  </si>
  <si>
    <t>ORD00248</t>
  </si>
  <si>
    <t>CUST0119</t>
  </si>
  <si>
    <t>ORD00545</t>
  </si>
  <si>
    <t>ORD00535</t>
  </si>
  <si>
    <t>ORD00194</t>
  </si>
  <si>
    <t>ORD00741</t>
  </si>
  <si>
    <t>ORD00416</t>
  </si>
  <si>
    <t>ORD00215</t>
  </si>
  <si>
    <t>ORD00678</t>
  </si>
  <si>
    <t>ORD00286</t>
  </si>
  <si>
    <t>ORD00786</t>
  </si>
  <si>
    <t>CUST0145</t>
  </si>
  <si>
    <t>ORD00430</t>
  </si>
  <si>
    <t>ORD00740</t>
  </si>
  <si>
    <t>ORD00606</t>
  </si>
  <si>
    <t>ORD00279</t>
  </si>
  <si>
    <t>ORD00776</t>
  </si>
  <si>
    <t>CUST0043</t>
  </si>
  <si>
    <t>ORD00269</t>
  </si>
  <si>
    <t>ORD00232</t>
  </si>
  <si>
    <t>ORD00038</t>
  </si>
  <si>
    <t>ORD00425</t>
  </si>
  <si>
    <t>ORD00090</t>
  </si>
  <si>
    <t>ORD00432</t>
  </si>
  <si>
    <t>ORD00370</t>
  </si>
  <si>
    <t>ORD00500</t>
  </si>
  <si>
    <t>ORD00730</t>
  </si>
  <si>
    <t>ORD00742</t>
  </si>
  <si>
    <t>ORD00326</t>
  </si>
  <si>
    <t>ORD00381</t>
  </si>
  <si>
    <t>ORD00218</t>
  </si>
  <si>
    <t>ORD00321</t>
  </si>
  <si>
    <t>ORD00568</t>
  </si>
  <si>
    <t>ORD00185</t>
  </si>
  <si>
    <t>ORD00791</t>
  </si>
  <si>
    <t>CUST0164</t>
  </si>
  <si>
    <t>ORD00198</t>
  </si>
  <si>
    <t>ORD00056</t>
  </si>
  <si>
    <t>ORD00017</t>
  </si>
  <si>
    <t>ORD00782</t>
  </si>
  <si>
    <t>ORD00212</t>
  </si>
  <si>
    <t>ORD00605</t>
  </si>
  <si>
    <t>ORD00716</t>
  </si>
  <si>
    <t>CUST0200</t>
  </si>
  <si>
    <t>ORD00654</t>
  </si>
  <si>
    <t>ORD00213</t>
  </si>
  <si>
    <t>ORD00261</t>
  </si>
  <si>
    <t>ORD00043</t>
  </si>
  <si>
    <t>ORD00617</t>
  </si>
  <si>
    <t>ORD00455</t>
  </si>
  <si>
    <t>ORD00453</t>
  </si>
  <si>
    <t>ORD00144</t>
  </si>
  <si>
    <t>ORD00246</t>
  </si>
  <si>
    <t>ORD00349</t>
  </si>
  <si>
    <t>CUST0037</t>
  </si>
  <si>
    <t>ORD00337</t>
  </si>
  <si>
    <t>ORD00519</t>
  </si>
  <si>
    <t>CUST0126</t>
  </si>
  <si>
    <t>ORD00120</t>
  </si>
  <si>
    <t>ORD00243</t>
  </si>
  <si>
    <t>ORD00116</t>
  </si>
  <si>
    <t>ORD00476</t>
  </si>
  <si>
    <t>ORD00208</t>
  </si>
  <si>
    <t>CUST0193</t>
  </si>
  <si>
    <t>ORD00611</t>
  </si>
  <si>
    <t>CUST0152</t>
  </si>
  <si>
    <t>ORD00443</t>
  </si>
  <si>
    <t>ORD00125</t>
  </si>
  <si>
    <t>ORD00513</t>
  </si>
  <si>
    <t>ORD00315</t>
  </si>
  <si>
    <t>ORD00734</t>
  </si>
  <si>
    <t>ORD00587</t>
  </si>
  <si>
    <t>ORD00148</t>
  </si>
  <si>
    <t>ORD00656</t>
  </si>
  <si>
    <t>ORD00042</t>
  </si>
  <si>
    <t>ORD00264</t>
  </si>
  <si>
    <t>ORD00219</t>
  </si>
  <si>
    <t>ORD00189</t>
  </si>
  <si>
    <t>ORD00686</t>
  </si>
  <si>
    <t>ORD00031</t>
  </si>
  <si>
    <t>ORD00169</t>
  </si>
  <si>
    <t>ORD00220</t>
  </si>
  <si>
    <t>ORD00209</t>
  </si>
  <si>
    <t>ORD00289</t>
  </si>
  <si>
    <t>ORD00380</t>
  </si>
  <si>
    <t>ORD00651</t>
  </si>
  <si>
    <t>CUST0034</t>
  </si>
  <si>
    <t>ORD00011</t>
  </si>
  <si>
    <t>ORD00101</t>
  </si>
  <si>
    <t>ORD00273</t>
  </si>
  <si>
    <t>ORD00433</t>
  </si>
  <si>
    <t>ORD00374</t>
  </si>
  <si>
    <t>CUST0083</t>
  </si>
  <si>
    <t>ORD00726</t>
  </si>
  <si>
    <t>ORD00087</t>
  </si>
  <si>
    <t>ORD00688</t>
  </si>
  <si>
    <t>ORD00772</t>
  </si>
  <si>
    <t>ORD00376</t>
  </si>
  <si>
    <t>ORD00366</t>
  </si>
  <si>
    <t>ORD00700</t>
  </si>
  <si>
    <t>CUST0100</t>
  </si>
  <si>
    <t>ORD00285</t>
  </si>
  <si>
    <t>ORD00163</t>
  </si>
  <si>
    <t>ORD00369</t>
  </si>
  <si>
    <t>ORD00464</t>
  </si>
  <si>
    <t>ORD00236</t>
  </si>
  <si>
    <t>ORD00404</t>
  </si>
  <si>
    <t>ORD00377</t>
  </si>
  <si>
    <t>ORD00707</t>
  </si>
  <si>
    <t>ORD00731</t>
  </si>
  <si>
    <t>ORD00234</t>
  </si>
  <si>
    <t>ORD00699</t>
  </si>
  <si>
    <t>ORD00736</t>
  </si>
  <si>
    <t>ORD00657</t>
  </si>
  <si>
    <t>ORD00085</t>
  </si>
  <si>
    <t>ORD00764</t>
  </si>
  <si>
    <t>ORD00557</t>
  </si>
  <si>
    <t>ORD00318</t>
  </si>
  <si>
    <t>ORD00747</t>
  </si>
  <si>
    <t>ORD00092</t>
  </si>
  <si>
    <t>CUST0016</t>
  </si>
  <si>
    <t>ORD00494</t>
  </si>
  <si>
    <t>ORD00783</t>
  </si>
  <si>
    <t>ORD00063</t>
  </si>
  <si>
    <t>ORD00065</t>
  </si>
  <si>
    <t>CUST0079</t>
  </si>
  <si>
    <t>ORD00619</t>
  </si>
  <si>
    <t>ORD00306</t>
  </si>
  <si>
    <t>ORD00151</t>
  </si>
  <si>
    <t>ORD00350</t>
  </si>
  <si>
    <t>item_id</t>
  </si>
  <si>
    <t>product_id</t>
  </si>
  <si>
    <t>qty</t>
  </si>
  <si>
    <t>harga_satuan</t>
  </si>
  <si>
    <t>ITM00001</t>
  </si>
  <si>
    <t>PRD021</t>
  </si>
  <si>
    <t>ITM00002</t>
  </si>
  <si>
    <t>PRD020</t>
  </si>
  <si>
    <t>ITM00003</t>
  </si>
  <si>
    <t>ITM00004</t>
  </si>
  <si>
    <t>ITM00005</t>
  </si>
  <si>
    <t>PRD005</t>
  </si>
  <si>
    <t>ITM00006</t>
  </si>
  <si>
    <t>PRD009</t>
  </si>
  <si>
    <t>ITM00007</t>
  </si>
  <si>
    <t>PRD022</t>
  </si>
  <si>
    <t>ITM00008</t>
  </si>
  <si>
    <t>ITM00009</t>
  </si>
  <si>
    <t>PRD012</t>
  </si>
  <si>
    <t>ITM00010</t>
  </si>
  <si>
    <t>ITM00011</t>
  </si>
  <si>
    <t>ITM00012</t>
  </si>
  <si>
    <t>PRD007</t>
  </si>
  <si>
    <t>ITM00013</t>
  </si>
  <si>
    <t>ITM00014</t>
  </si>
  <si>
    <t>ITM00015</t>
  </si>
  <si>
    <t>PRD017</t>
  </si>
  <si>
    <t>ITM00016</t>
  </si>
  <si>
    <t>PRD023</t>
  </si>
  <si>
    <t>ITM00017</t>
  </si>
  <si>
    <t>ITM00018</t>
  </si>
  <si>
    <t>PRD014</t>
  </si>
  <si>
    <t>ITM00019</t>
  </si>
  <si>
    <t>ITM00020</t>
  </si>
  <si>
    <t>ITM00021</t>
  </si>
  <si>
    <t>PRD006</t>
  </si>
  <si>
    <t>ITM00022</t>
  </si>
  <si>
    <t>ITM00023</t>
  </si>
  <si>
    <t>ITM00024</t>
  </si>
  <si>
    <t>ITM00025</t>
  </si>
  <si>
    <t>ITM00026</t>
  </si>
  <si>
    <t>ITM00027</t>
  </si>
  <si>
    <t>ITM00028</t>
  </si>
  <si>
    <t>ITM00029</t>
  </si>
  <si>
    <t>ITM00030</t>
  </si>
  <si>
    <t>ITM00031</t>
  </si>
  <si>
    <t>ITM00032</t>
  </si>
  <si>
    <t>ITM00033</t>
  </si>
  <si>
    <t>ITM00034</t>
  </si>
  <si>
    <t>ITM00035</t>
  </si>
  <si>
    <t>ITM00036</t>
  </si>
  <si>
    <t>ITM00037</t>
  </si>
  <si>
    <t>ITM00038</t>
  </si>
  <si>
    <t>ITM00039</t>
  </si>
  <si>
    <t>ITM00040</t>
  </si>
  <si>
    <t>ITM00041</t>
  </si>
  <si>
    <t>ITM00042</t>
  </si>
  <si>
    <t>ITM00043</t>
  </si>
  <si>
    <t>PRD003</t>
  </si>
  <si>
    <t>ITM00044</t>
  </si>
  <si>
    <t>ITM00045</t>
  </si>
  <si>
    <t>ITM00046</t>
  </si>
  <si>
    <t>ITM00047</t>
  </si>
  <si>
    <t>ITM00048</t>
  </si>
  <si>
    <t>PRD008</t>
  </si>
  <si>
    <t>ITM00049</t>
  </si>
  <si>
    <t>PRD019</t>
  </si>
  <si>
    <t>ITM00050</t>
  </si>
  <si>
    <t>ITM00051</t>
  </si>
  <si>
    <t>ITM00052</t>
  </si>
  <si>
    <t>ITM00053</t>
  </si>
  <si>
    <t>PRD002</t>
  </si>
  <si>
    <t>ITM00054</t>
  </si>
  <si>
    <t>ITM00055</t>
  </si>
  <si>
    <t>ITM00056</t>
  </si>
  <si>
    <t>ITM00057</t>
  </si>
  <si>
    <t>ITM00058</t>
  </si>
  <si>
    <t>ITM00059</t>
  </si>
  <si>
    <t>ITM00060</t>
  </si>
  <si>
    <t>ITM00061</t>
  </si>
  <si>
    <t>ITM00062</t>
  </si>
  <si>
    <t>ITM00063</t>
  </si>
  <si>
    <t>ITM00064</t>
  </si>
  <si>
    <t>ITM00065</t>
  </si>
  <si>
    <t>ITM00066</t>
  </si>
  <si>
    <t>ITM00067</t>
  </si>
  <si>
    <t>ITM00068</t>
  </si>
  <si>
    <t>ITM00069</t>
  </si>
  <si>
    <t>ITM00070</t>
  </si>
  <si>
    <t>ITM00071</t>
  </si>
  <si>
    <t>ITM00072</t>
  </si>
  <si>
    <t>ITM00073</t>
  </si>
  <si>
    <t>ITM00074</t>
  </si>
  <si>
    <t>PRD018</t>
  </si>
  <si>
    <t>ITM00075</t>
  </si>
  <si>
    <t>ITM00076</t>
  </si>
  <si>
    <t>ITM00077</t>
  </si>
  <si>
    <t>ITM00078</t>
  </si>
  <si>
    <t>ITM00079</t>
  </si>
  <si>
    <t>ITM00080</t>
  </si>
  <si>
    <t>ITM00081</t>
  </si>
  <si>
    <t>ITM00082</t>
  </si>
  <si>
    <t>ITM00083</t>
  </si>
  <si>
    <t>ITM00084</t>
  </si>
  <si>
    <t>ITM00085</t>
  </si>
  <si>
    <t>ITM00086</t>
  </si>
  <si>
    <t>ITM00087</t>
  </si>
  <si>
    <t>ITM00088</t>
  </si>
  <si>
    <t>ITM00089</t>
  </si>
  <si>
    <t>ITM00090</t>
  </si>
  <si>
    <t>ITM00091</t>
  </si>
  <si>
    <t>ITM00092</t>
  </si>
  <si>
    <t>ITM00093</t>
  </si>
  <si>
    <t>ITM00094</t>
  </si>
  <si>
    <t>ITM00095</t>
  </si>
  <si>
    <t>ITM00096</t>
  </si>
  <si>
    <t>ITM00097</t>
  </si>
  <si>
    <t>ITM00098</t>
  </si>
  <si>
    <t>ITM00099</t>
  </si>
  <si>
    <t>ITM00100</t>
  </si>
  <si>
    <t>ITM00101</t>
  </si>
  <si>
    <t>ITM00102</t>
  </si>
  <si>
    <t>ITM00103</t>
  </si>
  <si>
    <t>ITM00104</t>
  </si>
  <si>
    <t>ITM00105</t>
  </si>
  <si>
    <t>ITM00106</t>
  </si>
  <si>
    <t>ITM00107</t>
  </si>
  <si>
    <t>ITM00108</t>
  </si>
  <si>
    <t>ITM00109</t>
  </si>
  <si>
    <t>ITM00110</t>
  </si>
  <si>
    <t>ITM00111</t>
  </si>
  <si>
    <t>ITM00112</t>
  </si>
  <si>
    <t>ITM00113</t>
  </si>
  <si>
    <t>ITM00114</t>
  </si>
  <si>
    <t>ITM00115</t>
  </si>
  <si>
    <t>ITM00116</t>
  </si>
  <si>
    <t>ITM00117</t>
  </si>
  <si>
    <t>ITM00118</t>
  </si>
  <si>
    <t>ITM00119</t>
  </si>
  <si>
    <t>ITM00120</t>
  </si>
  <si>
    <t>ITM00121</t>
  </si>
  <si>
    <t>ITM00122</t>
  </si>
  <si>
    <t>ITM00123</t>
  </si>
  <si>
    <t>ITM00124</t>
  </si>
  <si>
    <t>ITM00125</t>
  </si>
  <si>
    <t>ITM00126</t>
  </si>
  <si>
    <t>ITM00127</t>
  </si>
  <si>
    <t>ITM00128</t>
  </si>
  <si>
    <t>ITM00129</t>
  </si>
  <si>
    <t>ITM00130</t>
  </si>
  <si>
    <t>ITM00131</t>
  </si>
  <si>
    <t>ITM00132</t>
  </si>
  <si>
    <t>PRD024</t>
  </si>
  <si>
    <t>ITM00133</t>
  </si>
  <si>
    <t>ITM00134</t>
  </si>
  <si>
    <t>ITM00135</t>
  </si>
  <si>
    <t>ITM00136</t>
  </si>
  <si>
    <t>ITM00137</t>
  </si>
  <si>
    <t>ITM00138</t>
  </si>
  <si>
    <t>ITM00139</t>
  </si>
  <si>
    <t>ITM00140</t>
  </si>
  <si>
    <t>ITM00141</t>
  </si>
  <si>
    <t>ITM00142</t>
  </si>
  <si>
    <t>ITM00143</t>
  </si>
  <si>
    <t>ITM00144</t>
  </si>
  <si>
    <t>ITM00145</t>
  </si>
  <si>
    <t>ITM00146</t>
  </si>
  <si>
    <t>ITM00147</t>
  </si>
  <si>
    <t>ITM00148</t>
  </si>
  <si>
    <t>ITM00149</t>
  </si>
  <si>
    <t>ITM00150</t>
  </si>
  <si>
    <t>ITM00151</t>
  </si>
  <si>
    <t>ITM00152</t>
  </si>
  <si>
    <t>ITM00153</t>
  </si>
  <si>
    <t>ITM00154</t>
  </si>
  <si>
    <t>ITM00155</t>
  </si>
  <si>
    <t>ITM00156</t>
  </si>
  <si>
    <t>ITM00157</t>
  </si>
  <si>
    <t>ITM00158</t>
  </si>
  <si>
    <t>ITM00159</t>
  </si>
  <si>
    <t>ITM00160</t>
  </si>
  <si>
    <t>ITM00161</t>
  </si>
  <si>
    <t>PRD013</t>
  </si>
  <si>
    <t>ITM00162</t>
  </si>
  <si>
    <t>ITM00163</t>
  </si>
  <si>
    <t>ITM00164</t>
  </si>
  <si>
    <t>ITM00165</t>
  </si>
  <si>
    <t>ITM00166</t>
  </si>
  <si>
    <t>ITM00167</t>
  </si>
  <si>
    <t>ITM00168</t>
  </si>
  <si>
    <t>ITM00169</t>
  </si>
  <si>
    <t>ITM00170</t>
  </si>
  <si>
    <t>ITM00171</t>
  </si>
  <si>
    <t>ITM00172</t>
  </si>
  <si>
    <t>ITM00173</t>
  </si>
  <si>
    <t>ITM00174</t>
  </si>
  <si>
    <t>ITM00175</t>
  </si>
  <si>
    <t>ITM00176</t>
  </si>
  <si>
    <t>ITM00177</t>
  </si>
  <si>
    <t>ITM00178</t>
  </si>
  <si>
    <t>ITM00179</t>
  </si>
  <si>
    <t>ITM00180</t>
  </si>
  <si>
    <t>ITM00181</t>
  </si>
  <si>
    <t>ITM00182</t>
  </si>
  <si>
    <t>ITM00183</t>
  </si>
  <si>
    <t>ITM00184</t>
  </si>
  <si>
    <t>ITM00185</t>
  </si>
  <si>
    <t>ITM00186</t>
  </si>
  <si>
    <t>ITM00187</t>
  </si>
  <si>
    <t>ITM00188</t>
  </si>
  <si>
    <t>ITM00189</t>
  </si>
  <si>
    <t>ITM00190</t>
  </si>
  <si>
    <t>ITM00191</t>
  </si>
  <si>
    <t>ITM00192</t>
  </si>
  <si>
    <t>ITM00193</t>
  </si>
  <si>
    <t>ITM00194</t>
  </si>
  <si>
    <t>ITM00195</t>
  </si>
  <si>
    <t>ITM00196</t>
  </si>
  <si>
    <t>ITM00197</t>
  </si>
  <si>
    <t>ITM00198</t>
  </si>
  <si>
    <t>ITM00199</t>
  </si>
  <si>
    <t>ITM00200</t>
  </si>
  <si>
    <t>ITM00201</t>
  </si>
  <si>
    <t>ITM00202</t>
  </si>
  <si>
    <t>ITM00203</t>
  </si>
  <si>
    <t>ITM00204</t>
  </si>
  <si>
    <t>ITM00205</t>
  </si>
  <si>
    <t>ITM00206</t>
  </si>
  <si>
    <t>ITM00207</t>
  </si>
  <si>
    <t>ITM00208</t>
  </si>
  <si>
    <t>ITM00209</t>
  </si>
  <si>
    <t>ITM00210</t>
  </si>
  <si>
    <t>ITM00211</t>
  </si>
  <si>
    <t>ITM00212</t>
  </si>
  <si>
    <t>ITM00213</t>
  </si>
  <si>
    <t>ITM00214</t>
  </si>
  <si>
    <t>ITM00215</t>
  </si>
  <si>
    <t>ITM00216</t>
  </si>
  <si>
    <t>ITM00217</t>
  </si>
  <si>
    <t>ITM00218</t>
  </si>
  <si>
    <t>ITM00219</t>
  </si>
  <si>
    <t>ITM00220</t>
  </si>
  <si>
    <t>ITM00221</t>
  </si>
  <si>
    <t>ITM00222</t>
  </si>
  <si>
    <t>ITM00223</t>
  </si>
  <si>
    <t>ITM00224</t>
  </si>
  <si>
    <t>ITM00225</t>
  </si>
  <si>
    <t>ITM00226</t>
  </si>
  <si>
    <t>ITM00227</t>
  </si>
  <si>
    <t>ITM00228</t>
  </si>
  <si>
    <t>ITM00229</t>
  </si>
  <si>
    <t>ITM00230</t>
  </si>
  <si>
    <t>ITM00231</t>
  </si>
  <si>
    <t>ITM00232</t>
  </si>
  <si>
    <t>ITM00233</t>
  </si>
  <si>
    <t>ITM00234</t>
  </si>
  <si>
    <t>ITM00235</t>
  </si>
  <si>
    <t>ITM00236</t>
  </si>
  <si>
    <t>ITM00237</t>
  </si>
  <si>
    <t>ITM00238</t>
  </si>
  <si>
    <t>ITM00239</t>
  </si>
  <si>
    <t>ITM00240</t>
  </si>
  <si>
    <t>ITM00241</t>
  </si>
  <si>
    <t>ITM00242</t>
  </si>
  <si>
    <t>ITM00243</t>
  </si>
  <si>
    <t>ITM00244</t>
  </si>
  <si>
    <t>ITM00245</t>
  </si>
  <si>
    <t>PRD015</t>
  </si>
  <si>
    <t>ITM00246</t>
  </si>
  <si>
    <t>ITM00247</t>
  </si>
  <si>
    <t>ITM00248</t>
  </si>
  <si>
    <t>ITM00249</t>
  </si>
  <si>
    <t>ITM00250</t>
  </si>
  <si>
    <t>ITM00251</t>
  </si>
  <si>
    <t>ITM00252</t>
  </si>
  <si>
    <t>ITM00253</t>
  </si>
  <si>
    <t>ITM00254</t>
  </si>
  <si>
    <t>ITM00255</t>
  </si>
  <si>
    <t>ITM00256</t>
  </si>
  <si>
    <t>ITM00257</t>
  </si>
  <si>
    <t>ITM00258</t>
  </si>
  <si>
    <t>ITM00259</t>
  </si>
  <si>
    <t>ITM00260</t>
  </si>
  <si>
    <t>ITM00261</t>
  </si>
  <si>
    <t>ITM00262</t>
  </si>
  <si>
    <t>ITM00263</t>
  </si>
  <si>
    <t>ITM00264</t>
  </si>
  <si>
    <t>ITM00265</t>
  </si>
  <si>
    <t>ITM00266</t>
  </si>
  <si>
    <t>ITM00267</t>
  </si>
  <si>
    <t>ITM00268</t>
  </si>
  <si>
    <t>ITM00269</t>
  </si>
  <si>
    <t>ITM00270</t>
  </si>
  <si>
    <t>ITM00271</t>
  </si>
  <si>
    <t>ITM00272</t>
  </si>
  <si>
    <t>ITM00273</t>
  </si>
  <si>
    <t>ITM00274</t>
  </si>
  <si>
    <t>ITM00275</t>
  </si>
  <si>
    <t>ITM00276</t>
  </si>
  <si>
    <t>ITM00277</t>
  </si>
  <si>
    <t>ITM00278</t>
  </si>
  <si>
    <t>ITM00279</t>
  </si>
  <si>
    <t>ITM00280</t>
  </si>
  <si>
    <t>ITM00281</t>
  </si>
  <si>
    <t>ITM00282</t>
  </si>
  <si>
    <t>ITM00283</t>
  </si>
  <si>
    <t>ITM00284</t>
  </si>
  <si>
    <t>PRD004</t>
  </si>
  <si>
    <t>ITM00285</t>
  </si>
  <si>
    <t>ITM00286</t>
  </si>
  <si>
    <t>ITM00287</t>
  </si>
  <si>
    <t>ITM00288</t>
  </si>
  <si>
    <t>ITM00289</t>
  </si>
  <si>
    <t>ITM00290</t>
  </si>
  <si>
    <t>ITM00291</t>
  </si>
  <si>
    <t>ITM00292</t>
  </si>
  <si>
    <t>ITM00293</t>
  </si>
  <si>
    <t>ITM00294</t>
  </si>
  <si>
    <t>ITM00295</t>
  </si>
  <si>
    <t>ITM00296</t>
  </si>
  <si>
    <t>ITM00297</t>
  </si>
  <si>
    <t>ITM00298</t>
  </si>
  <si>
    <t>ITM00299</t>
  </si>
  <si>
    <t>ITM00300</t>
  </si>
  <si>
    <t>ITM00301</t>
  </si>
  <si>
    <t>ITM00302</t>
  </si>
  <si>
    <t>ITM00303</t>
  </si>
  <si>
    <t>ITM00304</t>
  </si>
  <si>
    <t>ITM00305</t>
  </si>
  <si>
    <t>ITM00306</t>
  </si>
  <si>
    <t>ITM00307</t>
  </si>
  <si>
    <t>ITM00308</t>
  </si>
  <si>
    <t>ITM00309</t>
  </si>
  <si>
    <t>ITM00310</t>
  </si>
  <si>
    <t>ITM00311</t>
  </si>
  <si>
    <t>ITM00312</t>
  </si>
  <si>
    <t>ITM00313</t>
  </si>
  <si>
    <t>ITM00314</t>
  </si>
  <si>
    <t>ITM00315</t>
  </si>
  <si>
    <t>ITM00316</t>
  </si>
  <si>
    <t>ITM00317</t>
  </si>
  <si>
    <t>ITM00318</t>
  </si>
  <si>
    <t>ITM00319</t>
  </si>
  <si>
    <t>ITM00320</t>
  </si>
  <si>
    <t>ITM00321</t>
  </si>
  <si>
    <t>ITM00322</t>
  </si>
  <si>
    <t>ITM00323</t>
  </si>
  <si>
    <t>ITM00324</t>
  </si>
  <si>
    <t>ITM00325</t>
  </si>
  <si>
    <t>ITM00326</t>
  </si>
  <si>
    <t>ITM00327</t>
  </si>
  <si>
    <t>ITM00328</t>
  </si>
  <si>
    <t>ITM00329</t>
  </si>
  <si>
    <t>ITM00330</t>
  </si>
  <si>
    <t>ITM00331</t>
  </si>
  <si>
    <t>ITM00332</t>
  </si>
  <si>
    <t>ITM00333</t>
  </si>
  <si>
    <t>ITM00334</t>
  </si>
  <si>
    <t>ITM00335</t>
  </si>
  <si>
    <t>ITM00336</t>
  </si>
  <si>
    <t>ITM00337</t>
  </si>
  <si>
    <t>ITM00338</t>
  </si>
  <si>
    <t>ITM00339</t>
  </si>
  <si>
    <t>ITM00340</t>
  </si>
  <si>
    <t>ITM00341</t>
  </si>
  <si>
    <t>ITM00342</t>
  </si>
  <si>
    <t>ITM00343</t>
  </si>
  <si>
    <t>ITM00344</t>
  </si>
  <si>
    <t>ITM00345</t>
  </si>
  <si>
    <t>ITM00346</t>
  </si>
  <si>
    <t>ITM00347</t>
  </si>
  <si>
    <t>ITM00348</t>
  </si>
  <si>
    <t>ITM00349</t>
  </si>
  <si>
    <t>ITM00350</t>
  </si>
  <si>
    <t>ITM00351</t>
  </si>
  <si>
    <t>ITM00352</t>
  </si>
  <si>
    <t>ITM00353</t>
  </si>
  <si>
    <t>ITM00354</t>
  </si>
  <si>
    <t>ITM00355</t>
  </si>
  <si>
    <t>ITM00356</t>
  </si>
  <si>
    <t>ITM00357</t>
  </si>
  <si>
    <t>ITM00358</t>
  </si>
  <si>
    <t>ITM00359</t>
  </si>
  <si>
    <t>ITM00360</t>
  </si>
  <si>
    <t>ITM00361</t>
  </si>
  <si>
    <t>ITM00362</t>
  </si>
  <si>
    <t>ITM00363</t>
  </si>
  <si>
    <t>ITM00364</t>
  </si>
  <si>
    <t>ITM00365</t>
  </si>
  <si>
    <t>ITM00366</t>
  </si>
  <si>
    <t>ITM00367</t>
  </si>
  <si>
    <t>ITM00368</t>
  </si>
  <si>
    <t>ITM00369</t>
  </si>
  <si>
    <t>ITM00370</t>
  </si>
  <si>
    <t>ITM00371</t>
  </si>
  <si>
    <t>ITM00372</t>
  </si>
  <si>
    <t>ITM00373</t>
  </si>
  <si>
    <t>ITM00374</t>
  </si>
  <si>
    <t>ITM00375</t>
  </si>
  <si>
    <t>ITM00376</t>
  </si>
  <si>
    <t>ITM00377</t>
  </si>
  <si>
    <t>ITM00378</t>
  </si>
  <si>
    <t>ITM00379</t>
  </si>
  <si>
    <t>ITM00380</t>
  </si>
  <si>
    <t>ITM00381</t>
  </si>
  <si>
    <t>ITM00382</t>
  </si>
  <si>
    <t>ITM00383</t>
  </si>
  <si>
    <t>ITM00384</t>
  </si>
  <si>
    <t>ITM00385</t>
  </si>
  <si>
    <t>ITM00386</t>
  </si>
  <si>
    <t>ITM00387</t>
  </si>
  <si>
    <t>ITM00388</t>
  </si>
  <si>
    <t>ITM00389</t>
  </si>
  <si>
    <t>ITM00390</t>
  </si>
  <si>
    <t>ITM00391</t>
  </si>
  <si>
    <t>ITM00392</t>
  </si>
  <si>
    <t>ITM00393</t>
  </si>
  <si>
    <t>ITM00394</t>
  </si>
  <si>
    <t>ITM00395</t>
  </si>
  <si>
    <t>ITM00396</t>
  </si>
  <si>
    <t>ITM00397</t>
  </si>
  <si>
    <t>ITM00398</t>
  </si>
  <si>
    <t>ITM00399</t>
  </si>
  <si>
    <t>ITM00400</t>
  </si>
  <si>
    <t>ITM00401</t>
  </si>
  <si>
    <t>ITM00402</t>
  </si>
  <si>
    <t>ITM00403</t>
  </si>
  <si>
    <t>ITM00404</t>
  </si>
  <si>
    <t>ITM00405</t>
  </si>
  <si>
    <t>ITM00406</t>
  </si>
  <si>
    <t>ITM00407</t>
  </si>
  <si>
    <t>ITM00408</t>
  </si>
  <si>
    <t>ITM00409</t>
  </si>
  <si>
    <t>ITM00410</t>
  </si>
  <si>
    <t>ITM00411</t>
  </si>
  <si>
    <t>ITM00412</t>
  </si>
  <si>
    <t>ITM00413</t>
  </si>
  <si>
    <t>ITM00414</t>
  </si>
  <si>
    <t>ITM00415</t>
  </si>
  <si>
    <t>ITM00416</t>
  </si>
  <si>
    <t>ITM00417</t>
  </si>
  <si>
    <t>ITM00418</t>
  </si>
  <si>
    <t>ITM00419</t>
  </si>
  <si>
    <t>ITM00420</t>
  </si>
  <si>
    <t>ITM00421</t>
  </si>
  <si>
    <t>ITM00422</t>
  </si>
  <si>
    <t>ITM00423</t>
  </si>
  <si>
    <t>ITM00424</t>
  </si>
  <si>
    <t>ITM00425</t>
  </si>
  <si>
    <t>ITM00426</t>
  </si>
  <si>
    <t>ITM00427</t>
  </si>
  <si>
    <t>ITM00428</t>
  </si>
  <si>
    <t>ITM00429</t>
  </si>
  <si>
    <t>ITM00430</t>
  </si>
  <si>
    <t>ITM00431</t>
  </si>
  <si>
    <t>ITM00432</t>
  </si>
  <si>
    <t>ITM00433</t>
  </si>
  <si>
    <t>ITM00434</t>
  </si>
  <si>
    <t>ITM00435</t>
  </si>
  <si>
    <t>ITM00436</t>
  </si>
  <si>
    <t>ITM00437</t>
  </si>
  <si>
    <t>ITM00438</t>
  </si>
  <si>
    <t>ITM00439</t>
  </si>
  <si>
    <t>ITM00440</t>
  </si>
  <si>
    <t>ITM00441</t>
  </si>
  <si>
    <t>ITM00442</t>
  </si>
  <si>
    <t>ITM00443</t>
  </si>
  <si>
    <t>ITM00444</t>
  </si>
  <si>
    <t>ITM00445</t>
  </si>
  <si>
    <t>ITM00446</t>
  </si>
  <si>
    <t>ITM00447</t>
  </si>
  <si>
    <t>ITM00448</t>
  </si>
  <si>
    <t>ITM00449</t>
  </si>
  <si>
    <t>ITM00450</t>
  </si>
  <si>
    <t>ITM00451</t>
  </si>
  <si>
    <t>ITM00452</t>
  </si>
  <si>
    <t>ITM00453</t>
  </si>
  <si>
    <t>ITM00454</t>
  </si>
  <si>
    <t>ITM00455</t>
  </si>
  <si>
    <t>ITM00456</t>
  </si>
  <si>
    <t>ITM00457</t>
  </si>
  <si>
    <t>ITM00458</t>
  </si>
  <si>
    <t>ITM00459</t>
  </si>
  <si>
    <t>ITM00460</t>
  </si>
  <si>
    <t>ITM00461</t>
  </si>
  <si>
    <t>ITM00462</t>
  </si>
  <si>
    <t>ITM00463</t>
  </si>
  <si>
    <t>ITM00464</t>
  </si>
  <si>
    <t>ITM00465</t>
  </si>
  <si>
    <t>ITM00466</t>
  </si>
  <si>
    <t>ITM00467</t>
  </si>
  <si>
    <t>ITM00468</t>
  </si>
  <si>
    <t>ITM00469</t>
  </si>
  <si>
    <t>ITM00470</t>
  </si>
  <si>
    <t>ITM00471</t>
  </si>
  <si>
    <t>ITM00472</t>
  </si>
  <si>
    <t>ITM00473</t>
  </si>
  <si>
    <t>ITM00474</t>
  </si>
  <si>
    <t>ITM00475</t>
  </si>
  <si>
    <t>ITM00476</t>
  </si>
  <si>
    <t>ITM00477</t>
  </si>
  <si>
    <t>ITM00478</t>
  </si>
  <si>
    <t>ITM00479</t>
  </si>
  <si>
    <t>ITM00480</t>
  </si>
  <si>
    <t>ITM00481</t>
  </si>
  <si>
    <t>ITM00482</t>
  </si>
  <si>
    <t>ITM00483</t>
  </si>
  <si>
    <t>ITM00484</t>
  </si>
  <si>
    <t>ITM00485</t>
  </si>
  <si>
    <t>ITM00486</t>
  </si>
  <si>
    <t>ITM00487</t>
  </si>
  <si>
    <t>ITM00488</t>
  </si>
  <si>
    <t>ITM00489</t>
  </si>
  <si>
    <t>ITM00490</t>
  </si>
  <si>
    <t>ITM00491</t>
  </si>
  <si>
    <t>ITM00492</t>
  </si>
  <si>
    <t>ITM00493</t>
  </si>
  <si>
    <t>ITM00494</t>
  </si>
  <si>
    <t>ITM00495</t>
  </si>
  <si>
    <t>ITM00496</t>
  </si>
  <si>
    <t>ITM00497</t>
  </si>
  <si>
    <t>ITM00498</t>
  </si>
  <si>
    <t>ITM00499</t>
  </si>
  <si>
    <t>ITM00500</t>
  </si>
  <si>
    <t>ITM00501</t>
  </si>
  <si>
    <t>ITM00502</t>
  </si>
  <si>
    <t>ITM00503</t>
  </si>
  <si>
    <t>ITM00504</t>
  </si>
  <si>
    <t>ITM00505</t>
  </si>
  <si>
    <t>ITM00506</t>
  </si>
  <si>
    <t>ITM00507</t>
  </si>
  <si>
    <t>ITM00508</t>
  </si>
  <si>
    <t>ITM00509</t>
  </si>
  <si>
    <t>ITM00510</t>
  </si>
  <si>
    <t>ITM00511</t>
  </si>
  <si>
    <t>ITM00512</t>
  </si>
  <si>
    <t>ITM00513</t>
  </si>
  <si>
    <t>ITM00514</t>
  </si>
  <si>
    <t>ITM00515</t>
  </si>
  <si>
    <t>ITM00516</t>
  </si>
  <si>
    <t>ITM00517</t>
  </si>
  <si>
    <t>ITM00518</t>
  </si>
  <si>
    <t>ITM00519</t>
  </si>
  <si>
    <t>ITM00520</t>
  </si>
  <si>
    <t>ITM00521</t>
  </si>
  <si>
    <t>ITM00522</t>
  </si>
  <si>
    <t>ITM00523</t>
  </si>
  <si>
    <t>ITM00524</t>
  </si>
  <si>
    <t>ITM00525</t>
  </si>
  <si>
    <t>ITM00526</t>
  </si>
  <si>
    <t>ITM00527</t>
  </si>
  <si>
    <t>ITM00528</t>
  </si>
  <si>
    <t>ITM00529</t>
  </si>
  <si>
    <t>ITM00530</t>
  </si>
  <si>
    <t>ITM00531</t>
  </si>
  <si>
    <t>ITM00532</t>
  </si>
  <si>
    <t>ITM00533</t>
  </si>
  <si>
    <t>ITM00534</t>
  </si>
  <si>
    <t>ITM00535</t>
  </si>
  <si>
    <t>ITM00536</t>
  </si>
  <si>
    <t>PRD001</t>
  </si>
  <si>
    <t>ITM00537</t>
  </si>
  <si>
    <t>ITM00538</t>
  </si>
  <si>
    <t>ITM00539</t>
  </si>
  <si>
    <t>ITM00540</t>
  </si>
  <si>
    <t>ITM00541</t>
  </si>
  <si>
    <t>ITM00542</t>
  </si>
  <si>
    <t>ITM00543</t>
  </si>
  <si>
    <t>ITM00544</t>
  </si>
  <si>
    <t>ITM00545</t>
  </si>
  <si>
    <t>ITM00546</t>
  </si>
  <si>
    <t>ITM00547</t>
  </si>
  <si>
    <t>ITM00548</t>
  </si>
  <si>
    <t>ITM00549</t>
  </si>
  <si>
    <t>ITM00550</t>
  </si>
  <si>
    <t>ITM00551</t>
  </si>
  <si>
    <t>ITM00552</t>
  </si>
  <si>
    <t>ITM00553</t>
  </si>
  <si>
    <t>ITM00554</t>
  </si>
  <si>
    <t>ITM00555</t>
  </si>
  <si>
    <t>ITM00556</t>
  </si>
  <si>
    <t>ITM00557</t>
  </si>
  <si>
    <t>ITM00558</t>
  </si>
  <si>
    <t>ITM00559</t>
  </si>
  <si>
    <t>ITM00560</t>
  </si>
  <si>
    <t>ITM00561</t>
  </si>
  <si>
    <t>ITM00562</t>
  </si>
  <si>
    <t>ITM00563</t>
  </si>
  <si>
    <t>ITM00564</t>
  </si>
  <si>
    <t>ITM00565</t>
  </si>
  <si>
    <t>ITM00566</t>
  </si>
  <si>
    <t>ITM00567</t>
  </si>
  <si>
    <t>ITM00568</t>
  </si>
  <si>
    <t>ITM00569</t>
  </si>
  <si>
    <t>ITM00570</t>
  </si>
  <si>
    <t>ITM00571</t>
  </si>
  <si>
    <t>ITM00572</t>
  </si>
  <si>
    <t>ITM00573</t>
  </si>
  <si>
    <t>ITM00574</t>
  </si>
  <si>
    <t>ITM00575</t>
  </si>
  <si>
    <t>ITM00576</t>
  </si>
  <si>
    <t>ITM00577</t>
  </si>
  <si>
    <t>ITM00578</t>
  </si>
  <si>
    <t>ITM00579</t>
  </si>
  <si>
    <t>ITM00580</t>
  </si>
  <si>
    <t>ITM00581</t>
  </si>
  <si>
    <t>ITM00582</t>
  </si>
  <si>
    <t>ITM00583</t>
  </si>
  <si>
    <t>ITM00584</t>
  </si>
  <si>
    <t>ITM00585</t>
  </si>
  <si>
    <t>ITM00586</t>
  </si>
  <si>
    <t>ITM00587</t>
  </si>
  <si>
    <t>ITM00588</t>
  </si>
  <si>
    <t>ITM00589</t>
  </si>
  <si>
    <t>ITM00590</t>
  </si>
  <si>
    <t>ITM00591</t>
  </si>
  <si>
    <t>ITM00592</t>
  </si>
  <si>
    <t>ITM00593</t>
  </si>
  <si>
    <t>ITM00594</t>
  </si>
  <si>
    <t>ITM00595</t>
  </si>
  <si>
    <t>ITM00596</t>
  </si>
  <si>
    <t>ITM00597</t>
  </si>
  <si>
    <t>ITM00598</t>
  </si>
  <si>
    <t>ITM00599</t>
  </si>
  <si>
    <t>ITM00600</t>
  </si>
  <si>
    <t>ITM00601</t>
  </si>
  <si>
    <t>ITM00602</t>
  </si>
  <si>
    <t>ITM00603</t>
  </si>
  <si>
    <t>ITM00604</t>
  </si>
  <si>
    <t>ITM00605</t>
  </si>
  <si>
    <t>ITM00606</t>
  </si>
  <si>
    <t>ITM00607</t>
  </si>
  <si>
    <t>ITM00608</t>
  </si>
  <si>
    <t>ITM00609</t>
  </si>
  <si>
    <t>ITM00610</t>
  </si>
  <si>
    <t>ITM00611</t>
  </si>
  <si>
    <t>ITM00612</t>
  </si>
  <si>
    <t>ITM00613</t>
  </si>
  <si>
    <t>ITM00614</t>
  </si>
  <si>
    <t>ITM00615</t>
  </si>
  <si>
    <t>ITM00616</t>
  </si>
  <si>
    <t>ITM00617</t>
  </si>
  <si>
    <t>ITM00618</t>
  </si>
  <si>
    <t>ITM00619</t>
  </si>
  <si>
    <t>ITM00620</t>
  </si>
  <si>
    <t>ITM00621</t>
  </si>
  <si>
    <t>ITM00622</t>
  </si>
  <si>
    <t>ITM00623</t>
  </si>
  <si>
    <t>ITM00624</t>
  </si>
  <si>
    <t>ITM00625</t>
  </si>
  <si>
    <t>ITM00626</t>
  </si>
  <si>
    <t>ITM00627</t>
  </si>
  <si>
    <t>ITM00628</t>
  </si>
  <si>
    <t>ITM00629</t>
  </si>
  <si>
    <t>ITM00630</t>
  </si>
  <si>
    <t>ITM00631</t>
  </si>
  <si>
    <t>ITM00632</t>
  </si>
  <si>
    <t>ITM00633</t>
  </si>
  <si>
    <t>ITM00634</t>
  </si>
  <si>
    <t>ITM00635</t>
  </si>
  <si>
    <t>ITM00636</t>
  </si>
  <si>
    <t>ITM00637</t>
  </si>
  <si>
    <t>ITM00638</t>
  </si>
  <si>
    <t>ITM00639</t>
  </si>
  <si>
    <t>ITM00640</t>
  </si>
  <si>
    <t>ITM00641</t>
  </si>
  <si>
    <t>ITM00642</t>
  </si>
  <si>
    <t>ITM00643</t>
  </si>
  <si>
    <t>ITM00644</t>
  </si>
  <si>
    <t>ITM00645</t>
  </si>
  <si>
    <t>ITM00646</t>
  </si>
  <si>
    <t>ITM00647</t>
  </si>
  <si>
    <t>ITM00648</t>
  </si>
  <si>
    <t>ITM00649</t>
  </si>
  <si>
    <t>ITM00650</t>
  </si>
  <si>
    <t>ITM00651</t>
  </si>
  <si>
    <t>ITM00652</t>
  </si>
  <si>
    <t>ITM00653</t>
  </si>
  <si>
    <t>ITM00654</t>
  </si>
  <si>
    <t>ITM00655</t>
  </si>
  <si>
    <t>ITM00656</t>
  </si>
  <si>
    <t>ITM00657</t>
  </si>
  <si>
    <t>ITM00658</t>
  </si>
  <si>
    <t>ITM00659</t>
  </si>
  <si>
    <t>ITM00660</t>
  </si>
  <si>
    <t>ITM00661</t>
  </si>
  <si>
    <t>ITM00662</t>
  </si>
  <si>
    <t>ITM00663</t>
  </si>
  <si>
    <t>ITM00664</t>
  </si>
  <si>
    <t>ITM00665</t>
  </si>
  <si>
    <t>ITM00666</t>
  </si>
  <si>
    <t>ITM00667</t>
  </si>
  <si>
    <t>ITM00668</t>
  </si>
  <si>
    <t>ITM00669</t>
  </si>
  <si>
    <t>ITM00670</t>
  </si>
  <si>
    <t>ITM00671</t>
  </si>
  <si>
    <t>ITM00672</t>
  </si>
  <si>
    <t>ITM00673</t>
  </si>
  <si>
    <t>ITM00674</t>
  </si>
  <si>
    <t>ITM00675</t>
  </si>
  <si>
    <t>ITM00676</t>
  </si>
  <si>
    <t>ITM00677</t>
  </si>
  <si>
    <t>ITM00678</t>
  </si>
  <si>
    <t>ITM00679</t>
  </si>
  <si>
    <t>ITM00680</t>
  </si>
  <si>
    <t>ITM00681</t>
  </si>
  <si>
    <t>ITM00682</t>
  </si>
  <si>
    <t>ITM00683</t>
  </si>
  <si>
    <t>ITM00684</t>
  </si>
  <si>
    <t>ITM00685</t>
  </si>
  <si>
    <t>ITM00686</t>
  </si>
  <si>
    <t>ITM00687</t>
  </si>
  <si>
    <t>ITM00688</t>
  </si>
  <si>
    <t>ITM00689</t>
  </si>
  <si>
    <t>ITM00690</t>
  </si>
  <si>
    <t>ITM00691</t>
  </si>
  <si>
    <t>ITM00692</t>
  </si>
  <si>
    <t>ITM00693</t>
  </si>
  <si>
    <t>ITM00694</t>
  </si>
  <si>
    <t>ITM00695</t>
  </si>
  <si>
    <t>ITM00696</t>
  </si>
  <si>
    <t>ITM00697</t>
  </si>
  <si>
    <t>ITM00698</t>
  </si>
  <si>
    <t>ITM00699</t>
  </si>
  <si>
    <t>ITM00700</t>
  </si>
  <si>
    <t>ITM00701</t>
  </si>
  <si>
    <t>ITM00702</t>
  </si>
  <si>
    <t>ITM00703</t>
  </si>
  <si>
    <t>ITM00704</t>
  </si>
  <si>
    <t>ITM00705</t>
  </si>
  <si>
    <t>ITM00706</t>
  </si>
  <si>
    <t>ITM00707</t>
  </si>
  <si>
    <t>ITM00708</t>
  </si>
  <si>
    <t>ITM00709</t>
  </si>
  <si>
    <t>ITM00710</t>
  </si>
  <si>
    <t>ITM00711</t>
  </si>
  <si>
    <t>ITM00712</t>
  </si>
  <si>
    <t>ITM00713</t>
  </si>
  <si>
    <t>ITM00714</t>
  </si>
  <si>
    <t>ITM00715</t>
  </si>
  <si>
    <t>ITM00716</t>
  </si>
  <si>
    <t>ITM00717</t>
  </si>
  <si>
    <t>ITM00718</t>
  </si>
  <si>
    <t>ITM00719</t>
  </si>
  <si>
    <t>ITM00720</t>
  </si>
  <si>
    <t>ITM00721</t>
  </si>
  <si>
    <t>ITM00722</t>
  </si>
  <si>
    <t>ITM00723</t>
  </si>
  <si>
    <t>ITM00724</t>
  </si>
  <si>
    <t>ITM00725</t>
  </si>
  <si>
    <t>ITM00726</t>
  </si>
  <si>
    <t>ITM00727</t>
  </si>
  <si>
    <t>ITM00728</t>
  </si>
  <si>
    <t>ITM00729</t>
  </si>
  <si>
    <t>ITM00730</t>
  </si>
  <si>
    <t>ITM00731</t>
  </si>
  <si>
    <t>ITM00732</t>
  </si>
  <si>
    <t>ITM00733</t>
  </si>
  <si>
    <t>ITM00734</t>
  </si>
  <si>
    <t>ITM00735</t>
  </si>
  <si>
    <t>ITM00736</t>
  </si>
  <si>
    <t>ITM00737</t>
  </si>
  <si>
    <t>ITM00738</t>
  </si>
  <si>
    <t>ITM00739</t>
  </si>
  <si>
    <t>ITM00740</t>
  </si>
  <si>
    <t>ITM00741</t>
  </si>
  <si>
    <t>ITM00742</t>
  </si>
  <si>
    <t>ITM00743</t>
  </si>
  <si>
    <t>ITM00744</t>
  </si>
  <si>
    <t>ITM00745</t>
  </si>
  <si>
    <t>ITM00746</t>
  </si>
  <si>
    <t>ITM00747</t>
  </si>
  <si>
    <t>ITM00748</t>
  </si>
  <si>
    <t>ITM00749</t>
  </si>
  <si>
    <t>ITM00750</t>
  </si>
  <si>
    <t>ITM00751</t>
  </si>
  <si>
    <t>ITM00752</t>
  </si>
  <si>
    <t>ITM00753</t>
  </si>
  <si>
    <t>ITM00754</t>
  </si>
  <si>
    <t>ITM00755</t>
  </si>
  <si>
    <t>ITM00756</t>
  </si>
  <si>
    <t>ITM00757</t>
  </si>
  <si>
    <t>ITM00758</t>
  </si>
  <si>
    <t>ITM00759</t>
  </si>
  <si>
    <t>ITM00760</t>
  </si>
  <si>
    <t>ITM00761</t>
  </si>
  <si>
    <t>ITM00762</t>
  </si>
  <si>
    <t>ITM00763</t>
  </si>
  <si>
    <t>ITM00764</t>
  </si>
  <si>
    <t>ITM00765</t>
  </si>
  <si>
    <t>ITM00766</t>
  </si>
  <si>
    <t>ITM00767</t>
  </si>
  <si>
    <t>ITM00768</t>
  </si>
  <si>
    <t>ITM00769</t>
  </si>
  <si>
    <t>ITM00770</t>
  </si>
  <si>
    <t>ITM00771</t>
  </si>
  <si>
    <t>ITM00772</t>
  </si>
  <si>
    <t>ITM00773</t>
  </si>
  <si>
    <t>ITM00774</t>
  </si>
  <si>
    <t>ITM00775</t>
  </si>
  <si>
    <t>ITM00776</t>
  </si>
  <si>
    <t>ITM00777</t>
  </si>
  <si>
    <t>ITM00778</t>
  </si>
  <si>
    <t>ITM00779</t>
  </si>
  <si>
    <t>ITM00780</t>
  </si>
  <si>
    <t>ITM00781</t>
  </si>
  <si>
    <t>ITM00782</t>
  </si>
  <si>
    <t>ITM00783</t>
  </si>
  <si>
    <t>ITM00784</t>
  </si>
  <si>
    <t>ITM00785</t>
  </si>
  <si>
    <t>ITM00786</t>
  </si>
  <si>
    <t>ITM00787</t>
  </si>
  <si>
    <t>ITM00788</t>
  </si>
  <si>
    <t>ITM00789</t>
  </si>
  <si>
    <t>ITM00790</t>
  </si>
  <si>
    <t>ITM00791</t>
  </si>
  <si>
    <t>ITM00792</t>
  </si>
  <si>
    <t>ITM00793</t>
  </si>
  <si>
    <t>ITM00794</t>
  </si>
  <si>
    <t>ITM00795</t>
  </si>
  <si>
    <t>ITM00796</t>
  </si>
  <si>
    <t>ITM00797</t>
  </si>
  <si>
    <t>ITM00798</t>
  </si>
  <si>
    <t>ITM00799</t>
  </si>
  <si>
    <t>ITM00800</t>
  </si>
  <si>
    <t>ITM00801</t>
  </si>
  <si>
    <t>ITM00802</t>
  </si>
  <si>
    <t>ITM00803</t>
  </si>
  <si>
    <t>ITM00804</t>
  </si>
  <si>
    <t>ITM00805</t>
  </si>
  <si>
    <t>ITM00806</t>
  </si>
  <si>
    <t>ITM00807</t>
  </si>
  <si>
    <t>ITM00808</t>
  </si>
  <si>
    <t>ITM00809</t>
  </si>
  <si>
    <t>ITM00810</t>
  </si>
  <si>
    <t>ITM00811</t>
  </si>
  <si>
    <t>ITM00812</t>
  </si>
  <si>
    <t>ITM00813</t>
  </si>
  <si>
    <t>ITM00814</t>
  </si>
  <si>
    <t>ITM00815</t>
  </si>
  <si>
    <t>ITM00816</t>
  </si>
  <si>
    <t>ITM00817</t>
  </si>
  <si>
    <t>ITM00818</t>
  </si>
  <si>
    <t>ITM00819</t>
  </si>
  <si>
    <t>ITM00820</t>
  </si>
  <si>
    <t>ITM00821</t>
  </si>
  <si>
    <t>ITM00822</t>
  </si>
  <si>
    <t>ITM00823</t>
  </si>
  <si>
    <t>ITM00824</t>
  </si>
  <si>
    <t>ITM00825</t>
  </si>
  <si>
    <t>ITM00826</t>
  </si>
  <si>
    <t>ITM00827</t>
  </si>
  <si>
    <t>ITM00828</t>
  </si>
  <si>
    <t>ITM00829</t>
  </si>
  <si>
    <t>ITM00830</t>
  </si>
  <si>
    <t>ITM00831</t>
  </si>
  <si>
    <t>ITM00832</t>
  </si>
  <si>
    <t>ITM00833</t>
  </si>
  <si>
    <t>ITM00834</t>
  </si>
  <si>
    <t>ITM00835</t>
  </si>
  <si>
    <t>ITM00836</t>
  </si>
  <si>
    <t>ITM00837</t>
  </si>
  <si>
    <t>ITM00838</t>
  </si>
  <si>
    <t>ITM00839</t>
  </si>
  <si>
    <t>ITM00840</t>
  </si>
  <si>
    <t>ITM00841</t>
  </si>
  <si>
    <t>ITM00842</t>
  </si>
  <si>
    <t>ITM00843</t>
  </si>
  <si>
    <t>ITM00844</t>
  </si>
  <si>
    <t>ITM00845</t>
  </si>
  <si>
    <t>ITM00846</t>
  </si>
  <si>
    <t>ITM00847</t>
  </si>
  <si>
    <t>ITM00848</t>
  </si>
  <si>
    <t>ITM00849</t>
  </si>
  <si>
    <t>ITM00850</t>
  </si>
  <si>
    <t>ITM00851</t>
  </si>
  <si>
    <t>ITM00852</t>
  </si>
  <si>
    <t>ITM00853</t>
  </si>
  <si>
    <t>ITM00854</t>
  </si>
  <si>
    <t>ITM00855</t>
  </si>
  <si>
    <t>ITM00856</t>
  </si>
  <si>
    <t>ITM00857</t>
  </si>
  <si>
    <t>ITM00858</t>
  </si>
  <si>
    <t>ITM00859</t>
  </si>
  <si>
    <t>ITM00860</t>
  </si>
  <si>
    <t>ITM00861</t>
  </si>
  <si>
    <t>ITM00862</t>
  </si>
  <si>
    <t>ITM00863</t>
  </si>
  <si>
    <t>ITM00864</t>
  </si>
  <si>
    <t>ITM00865</t>
  </si>
  <si>
    <t>ITM00866</t>
  </si>
  <si>
    <t>ITM00867</t>
  </si>
  <si>
    <t>ITM00868</t>
  </si>
  <si>
    <t>ITM00869</t>
  </si>
  <si>
    <t>ITM00870</t>
  </si>
  <si>
    <t>ITM00871</t>
  </si>
  <si>
    <t>ITM00872</t>
  </si>
  <si>
    <t>ITM00873</t>
  </si>
  <si>
    <t>ITM00874</t>
  </si>
  <si>
    <t>ITM00875</t>
  </si>
  <si>
    <t>ITM00876</t>
  </si>
  <si>
    <t>ITM00877</t>
  </si>
  <si>
    <t>ITM00878</t>
  </si>
  <si>
    <t>ITM00879</t>
  </si>
  <si>
    <t>ITM00880</t>
  </si>
  <si>
    <t>ITM00881</t>
  </si>
  <si>
    <t>ITM00882</t>
  </si>
  <si>
    <t>ITM00883</t>
  </si>
  <si>
    <t>ITM00884</t>
  </si>
  <si>
    <t>ITM00885</t>
  </si>
  <si>
    <t>ITM00886</t>
  </si>
  <si>
    <t>ITM00887</t>
  </si>
  <si>
    <t>ITM00888</t>
  </si>
  <si>
    <t>ITM00889</t>
  </si>
  <si>
    <t>ITM00890</t>
  </si>
  <si>
    <t>ITM00891</t>
  </si>
  <si>
    <t>ITM00892</t>
  </si>
  <si>
    <t>ITM00893</t>
  </si>
  <si>
    <t>ITM00894</t>
  </si>
  <si>
    <t>ITM00895</t>
  </si>
  <si>
    <t>ITM00896</t>
  </si>
  <si>
    <t>ITM00897</t>
  </si>
  <si>
    <t>ITM00898</t>
  </si>
  <si>
    <t>ITM00899</t>
  </si>
  <si>
    <t>ITM00900</t>
  </si>
  <si>
    <t>ITM00901</t>
  </si>
  <si>
    <t>ITM00902</t>
  </si>
  <si>
    <t>ITM00903</t>
  </si>
  <si>
    <t>ITM00904</t>
  </si>
  <si>
    <t>ITM00905</t>
  </si>
  <si>
    <t>ITM00906</t>
  </si>
  <si>
    <t>ITM00907</t>
  </si>
  <si>
    <t>ITM00908</t>
  </si>
  <si>
    <t>ITM00909</t>
  </si>
  <si>
    <t>ITM00910</t>
  </si>
  <si>
    <t>ITM00911</t>
  </si>
  <si>
    <t>ITM00912</t>
  </si>
  <si>
    <t>ITM00913</t>
  </si>
  <si>
    <t>ITM00914</t>
  </si>
  <si>
    <t>ITM00915</t>
  </si>
  <si>
    <t>ITM00916</t>
  </si>
  <si>
    <t>ITM00917</t>
  </si>
  <si>
    <t>ITM00918</t>
  </si>
  <si>
    <t>ITM00919</t>
  </si>
  <si>
    <t>ITM00920</t>
  </si>
  <si>
    <t>ITM00921</t>
  </si>
  <si>
    <t>ITM00922</t>
  </si>
  <si>
    <t>ITM00923</t>
  </si>
  <si>
    <t>ITM00924</t>
  </si>
  <si>
    <t>ITM00925</t>
  </si>
  <si>
    <t>ITM00926</t>
  </si>
  <si>
    <t>ITM00927</t>
  </si>
  <si>
    <t>ITM00928</t>
  </si>
  <si>
    <t>ITM00929</t>
  </si>
  <si>
    <t>ITM00930</t>
  </si>
  <si>
    <t>ITM00931</t>
  </si>
  <si>
    <t>ITM00932</t>
  </si>
  <si>
    <t>ITM00933</t>
  </si>
  <si>
    <t>ITM00934</t>
  </si>
  <si>
    <t>ITM00935</t>
  </si>
  <si>
    <t>ITM00936</t>
  </si>
  <si>
    <t>ITM00937</t>
  </si>
  <si>
    <t>ITM00938</t>
  </si>
  <si>
    <t>ITM00939</t>
  </si>
  <si>
    <t>ITM00940</t>
  </si>
  <si>
    <t>ITM00941</t>
  </si>
  <si>
    <t>ITM00942</t>
  </si>
  <si>
    <t>ITM00943</t>
  </si>
  <si>
    <t>ITM00944</t>
  </si>
  <si>
    <t>ITM00945</t>
  </si>
  <si>
    <t>ITM00946</t>
  </si>
  <si>
    <t>ITM00947</t>
  </si>
  <si>
    <t>ITM00948</t>
  </si>
  <si>
    <t>ITM00949</t>
  </si>
  <si>
    <t>ITM00950</t>
  </si>
  <si>
    <t>ITM00951</t>
  </si>
  <si>
    <t>ITM00952</t>
  </si>
  <si>
    <t>ITM00953</t>
  </si>
  <si>
    <t>ITM00954</t>
  </si>
  <si>
    <t>ITM00955</t>
  </si>
  <si>
    <t>ITM00956</t>
  </si>
  <si>
    <t>ITM00957</t>
  </si>
  <si>
    <t>ITM00958</t>
  </si>
  <si>
    <t>ITM00959</t>
  </si>
  <si>
    <t>ITM00960</t>
  </si>
  <si>
    <t>ITM00961</t>
  </si>
  <si>
    <t>ITM00962</t>
  </si>
  <si>
    <t>ITM00963</t>
  </si>
  <si>
    <t>ITM00964</t>
  </si>
  <si>
    <t>ITM00965</t>
  </si>
  <si>
    <t>ITM00966</t>
  </si>
  <si>
    <t>ITM00967</t>
  </si>
  <si>
    <t>ITM00968</t>
  </si>
  <si>
    <t>ITM00969</t>
  </si>
  <si>
    <t>ITM00970</t>
  </si>
  <si>
    <t>ITM00971</t>
  </si>
  <si>
    <t>ITM00972</t>
  </si>
  <si>
    <t>ITM00973</t>
  </si>
  <si>
    <t>ITM00974</t>
  </si>
  <si>
    <t>ITM00975</t>
  </si>
  <si>
    <t>ITM00976</t>
  </si>
  <si>
    <t>ITM00977</t>
  </si>
  <si>
    <t>ITM00978</t>
  </si>
  <si>
    <t>ITM00979</t>
  </si>
  <si>
    <t>ITM00980</t>
  </si>
  <si>
    <t>ITM00981</t>
  </si>
  <si>
    <t>ITM00982</t>
  </si>
  <si>
    <t>ITM00983</t>
  </si>
  <si>
    <t>ITM00984</t>
  </si>
  <si>
    <t>ITM00985</t>
  </si>
  <si>
    <t>ITM00986</t>
  </si>
  <si>
    <t>ITM00987</t>
  </si>
  <si>
    <t>ITM00988</t>
  </si>
  <si>
    <t>ITM00989</t>
  </si>
  <si>
    <t>ITM00990</t>
  </si>
  <si>
    <t>ITM00991</t>
  </si>
  <si>
    <t>ITM00992</t>
  </si>
  <si>
    <t>ITM00993</t>
  </si>
  <si>
    <t>ITM00994</t>
  </si>
  <si>
    <t>ITM00995</t>
  </si>
  <si>
    <t>ITM00996</t>
  </si>
  <si>
    <t>ITM00997</t>
  </si>
  <si>
    <t>ITM00998</t>
  </si>
  <si>
    <t>ITM00999</t>
  </si>
  <si>
    <t>ITM01000</t>
  </si>
  <si>
    <t>ITM01001</t>
  </si>
  <si>
    <t>ITM01002</t>
  </si>
  <si>
    <t>ITM01003</t>
  </si>
  <si>
    <t>ITM01004</t>
  </si>
  <si>
    <t>ITM01005</t>
  </si>
  <si>
    <t>ITM01006</t>
  </si>
  <si>
    <t>ITM01007</t>
  </si>
  <si>
    <t>ITM01008</t>
  </si>
  <si>
    <t>ITM01009</t>
  </si>
  <si>
    <t>ITM01010</t>
  </si>
  <si>
    <t>ITM01011</t>
  </si>
  <si>
    <t>ITM01012</t>
  </si>
  <si>
    <t>ITM01013</t>
  </si>
  <si>
    <t>ITM01014</t>
  </si>
  <si>
    <t>ITM01015</t>
  </si>
  <si>
    <t>ITM01016</t>
  </si>
  <si>
    <t>ITM01017</t>
  </si>
  <si>
    <t>ITM01018</t>
  </si>
  <si>
    <t>ITM01019</t>
  </si>
  <si>
    <t>ITM01020</t>
  </si>
  <si>
    <t>ITM01021</t>
  </si>
  <si>
    <t>ITM01022</t>
  </si>
  <si>
    <t>ITM01023</t>
  </si>
  <si>
    <t>ITM01024</t>
  </si>
  <si>
    <t>ITM01025</t>
  </si>
  <si>
    <t>ITM01026</t>
  </si>
  <si>
    <t>ITM01027</t>
  </si>
  <si>
    <t>ITM01028</t>
  </si>
  <si>
    <t>ITM01029</t>
  </si>
  <si>
    <t>ITM01030</t>
  </si>
  <si>
    <t>ITM01031</t>
  </si>
  <si>
    <t>ITM01032</t>
  </si>
  <si>
    <t>ITM01033</t>
  </si>
  <si>
    <t>ITM01034</t>
  </si>
  <si>
    <t>ITM01035</t>
  </si>
  <si>
    <t>ITM01036</t>
  </si>
  <si>
    <t>ITM01037</t>
  </si>
  <si>
    <t>ITM01038</t>
  </si>
  <si>
    <t>ITM01039</t>
  </si>
  <si>
    <t>ITM01040</t>
  </si>
  <si>
    <t>ITM01041</t>
  </si>
  <si>
    <t>ITM01042</t>
  </si>
  <si>
    <t>ITM01043</t>
  </si>
  <si>
    <t>ITM01044</t>
  </si>
  <si>
    <t>ITM01045</t>
  </si>
  <si>
    <t>ITM01046</t>
  </si>
  <si>
    <t>ITM01047</t>
  </si>
  <si>
    <t>ITM01048</t>
  </si>
  <si>
    <t>ITM01049</t>
  </si>
  <si>
    <t>ITM01050</t>
  </si>
  <si>
    <t>ITM01051</t>
  </si>
  <si>
    <t>ITM01052</t>
  </si>
  <si>
    <t>ITM01053</t>
  </si>
  <si>
    <t>ITM01054</t>
  </si>
  <si>
    <t>ITM01055</t>
  </si>
  <si>
    <t>ITM01056</t>
  </si>
  <si>
    <t>ITM01057</t>
  </si>
  <si>
    <t>ITM01058</t>
  </si>
  <si>
    <t>ITM01059</t>
  </si>
  <si>
    <t>ITM01060</t>
  </si>
  <si>
    <t>ITM01061</t>
  </si>
  <si>
    <t>ITM01062</t>
  </si>
  <si>
    <t>ITM01063</t>
  </si>
  <si>
    <t>ITM01064</t>
  </si>
  <si>
    <t>ITM01065</t>
  </si>
  <si>
    <t>ITM01066</t>
  </si>
  <si>
    <t>ITM01067</t>
  </si>
  <si>
    <t>ITM01068</t>
  </si>
  <si>
    <t>ITM01069</t>
  </si>
  <si>
    <t>ITM01070</t>
  </si>
  <si>
    <t>ITM01071</t>
  </si>
  <si>
    <t>ITM01072</t>
  </si>
  <si>
    <t>ITM01073</t>
  </si>
  <si>
    <t>ITM01074</t>
  </si>
  <si>
    <t>ITM01075</t>
  </si>
  <si>
    <t>ITM01076</t>
  </si>
  <si>
    <t>ITM01077</t>
  </si>
  <si>
    <t>ITM01078</t>
  </si>
  <si>
    <t>ITM01079</t>
  </si>
  <si>
    <t>ITM01080</t>
  </si>
  <si>
    <t>ITM01081</t>
  </si>
  <si>
    <t>ITM01082</t>
  </si>
  <si>
    <t>ITM01083</t>
  </si>
  <si>
    <t>ITM01084</t>
  </si>
  <si>
    <t>ITM01085</t>
  </si>
  <si>
    <t>ITM01086</t>
  </si>
  <si>
    <t>ITM01087</t>
  </si>
  <si>
    <t>ITM01088</t>
  </si>
  <si>
    <t>ITM01089</t>
  </si>
  <si>
    <t>ITM01090</t>
  </si>
  <si>
    <t>ITM01091</t>
  </si>
  <si>
    <t>ITM01092</t>
  </si>
  <si>
    <t>ITM01093</t>
  </si>
  <si>
    <t>ITM01094</t>
  </si>
  <si>
    <t>ITM01095</t>
  </si>
  <si>
    <t>ITM01096</t>
  </si>
  <si>
    <t>ITM01097</t>
  </si>
  <si>
    <t>ITM01098</t>
  </si>
  <si>
    <t>ITM01099</t>
  </si>
  <si>
    <t>ITM01100</t>
  </si>
  <si>
    <t>ITM01101</t>
  </si>
  <si>
    <t>ITM01102</t>
  </si>
  <si>
    <t>ITM01103</t>
  </si>
  <si>
    <t>ITM01104</t>
  </si>
  <si>
    <t>ITM01105</t>
  </si>
  <si>
    <t>ITM01106</t>
  </si>
  <si>
    <t>ITM01107</t>
  </si>
  <si>
    <t>ITM01108</t>
  </si>
  <si>
    <t>ITM01109</t>
  </si>
  <si>
    <t>ITM01110</t>
  </si>
  <si>
    <t>ITM01111</t>
  </si>
  <si>
    <t>ITM01112</t>
  </si>
  <si>
    <t>ITM01113</t>
  </si>
  <si>
    <t>ITM01114</t>
  </si>
  <si>
    <t>ITM01115</t>
  </si>
  <si>
    <t>ITM01116</t>
  </si>
  <si>
    <t>ITM01117</t>
  </si>
  <si>
    <t>ITM01118</t>
  </si>
  <si>
    <t>ITM01119</t>
  </si>
  <si>
    <t>ITM01120</t>
  </si>
  <si>
    <t>ITM01121</t>
  </si>
  <si>
    <t>ITM01122</t>
  </si>
  <si>
    <t>ITM01123</t>
  </si>
  <si>
    <t>ITM01124</t>
  </si>
  <si>
    <t>ITM01125</t>
  </si>
  <si>
    <t>ITM01126</t>
  </si>
  <si>
    <t>ITM01127</t>
  </si>
  <si>
    <t>ITM01128</t>
  </si>
  <si>
    <t>ITM01129</t>
  </si>
  <si>
    <t>ITM01130</t>
  </si>
  <si>
    <t>ITM01131</t>
  </si>
  <si>
    <t>ITM01132</t>
  </si>
  <si>
    <t>ITM01133</t>
  </si>
  <si>
    <t>ITM01134</t>
  </si>
  <si>
    <t>ITM01135</t>
  </si>
  <si>
    <t>ITM01136</t>
  </si>
  <si>
    <t>ITM01137</t>
  </si>
  <si>
    <t>ITM01138</t>
  </si>
  <si>
    <t>ITM01139</t>
  </si>
  <si>
    <t>ITM01140</t>
  </si>
  <si>
    <t>ITM01141</t>
  </si>
  <si>
    <t>ITM01142</t>
  </si>
  <si>
    <t>ITM01143</t>
  </si>
  <si>
    <t>ITM01144</t>
  </si>
  <si>
    <t>ITM01145</t>
  </si>
  <si>
    <t>ITM01146</t>
  </si>
  <si>
    <t>ITM01147</t>
  </si>
  <si>
    <t>ITM01148</t>
  </si>
  <si>
    <t>ITM01149</t>
  </si>
  <si>
    <t>ITM01150</t>
  </si>
  <si>
    <t>ITM01151</t>
  </si>
  <si>
    <t>ITM01152</t>
  </si>
  <si>
    <t>ITM01153</t>
  </si>
  <si>
    <t>ITM01154</t>
  </si>
  <si>
    <t>ITM01155</t>
  </si>
  <si>
    <t>ITM01156</t>
  </si>
  <si>
    <t>ITM01157</t>
  </si>
  <si>
    <t>ITM01158</t>
  </si>
  <si>
    <t>ITM01159</t>
  </si>
  <si>
    <t>ITM01160</t>
  </si>
  <si>
    <t>ITM01161</t>
  </si>
  <si>
    <t>ITM01162</t>
  </si>
  <si>
    <t>ITM01163</t>
  </si>
  <si>
    <t>ITM01164</t>
  </si>
  <si>
    <t>ITM01165</t>
  </si>
  <si>
    <t>ITM01166</t>
  </si>
  <si>
    <t>ITM01167</t>
  </si>
  <si>
    <t>ITM01168</t>
  </si>
  <si>
    <t>ITM01169</t>
  </si>
  <si>
    <t>ITM01170</t>
  </si>
  <si>
    <t>ITM01171</t>
  </si>
  <si>
    <t>ITM01172</t>
  </si>
  <si>
    <t>ITM01173</t>
  </si>
  <si>
    <t>ITM01174</t>
  </si>
  <si>
    <t>ITM01175</t>
  </si>
  <si>
    <t>ITM01176</t>
  </si>
  <si>
    <t>ITM01177</t>
  </si>
  <si>
    <t>ITM01178</t>
  </si>
  <si>
    <t>ITM01179</t>
  </si>
  <si>
    <t>ITM01180</t>
  </si>
  <si>
    <t>ITM01181</t>
  </si>
  <si>
    <t>ITM01182</t>
  </si>
  <si>
    <t>ITM01183</t>
  </si>
  <si>
    <t>ITM01184</t>
  </si>
  <si>
    <t>ITM01185</t>
  </si>
  <si>
    <t>ITM01186</t>
  </si>
  <si>
    <t>ITM01187</t>
  </si>
  <si>
    <t>ITM01188</t>
  </si>
  <si>
    <t>ITM01189</t>
  </si>
  <si>
    <t>ITM01190</t>
  </si>
  <si>
    <t>ITM01191</t>
  </si>
  <si>
    <t>ITM01192</t>
  </si>
  <si>
    <t>ITM01193</t>
  </si>
  <si>
    <t>ITM01194</t>
  </si>
  <si>
    <t>ITM01195</t>
  </si>
  <si>
    <t>ITM01196</t>
  </si>
  <si>
    <t>ITM01197</t>
  </si>
  <si>
    <t>ITM01198</t>
  </si>
  <si>
    <t>ITM01199</t>
  </si>
  <si>
    <t>ITM01200</t>
  </si>
  <si>
    <t>ITM01201</t>
  </si>
  <si>
    <t>ITM01202</t>
  </si>
  <si>
    <t>ITM01203</t>
  </si>
  <si>
    <t>ITM01204</t>
  </si>
  <si>
    <t>ITM01205</t>
  </si>
  <si>
    <t>ITM01206</t>
  </si>
  <si>
    <t>ITM01207</t>
  </si>
  <si>
    <t>ITM01208</t>
  </si>
  <si>
    <t>ITM01209</t>
  </si>
  <si>
    <t>ITM01210</t>
  </si>
  <si>
    <t>ITM01211</t>
  </si>
  <si>
    <t>ITM01212</t>
  </si>
  <si>
    <t>ITM01213</t>
  </si>
  <si>
    <t>ITM01214</t>
  </si>
  <si>
    <t>ITM01215</t>
  </si>
  <si>
    <t>ITM01216</t>
  </si>
  <si>
    <t>ITM01217</t>
  </si>
  <si>
    <t>ITM01218</t>
  </si>
  <si>
    <t>ITM01219</t>
  </si>
  <si>
    <t>ITM01220</t>
  </si>
  <si>
    <t>ITM01221</t>
  </si>
  <si>
    <t>ITM01222</t>
  </si>
  <si>
    <t>ITM01223</t>
  </si>
  <si>
    <t>ITM01224</t>
  </si>
  <si>
    <t>ITM01225</t>
  </si>
  <si>
    <t>ITM01226</t>
  </si>
  <si>
    <t>ITM01227</t>
  </si>
  <si>
    <t>ITM01228</t>
  </si>
  <si>
    <t>ITM01229</t>
  </si>
  <si>
    <t>ITM01230</t>
  </si>
  <si>
    <t>ITM01231</t>
  </si>
  <si>
    <t>ITM01232</t>
  </si>
  <si>
    <t>ITM01233</t>
  </si>
  <si>
    <t>ITM01234</t>
  </si>
  <si>
    <t>ITM01235</t>
  </si>
  <si>
    <t>ITM01236</t>
  </si>
  <si>
    <t>ITM01237</t>
  </si>
  <si>
    <t>ITM01238</t>
  </si>
  <si>
    <t>ITM01239</t>
  </si>
  <si>
    <t>ITM01240</t>
  </si>
  <si>
    <t>ITM01241</t>
  </si>
  <si>
    <t>ITM01242</t>
  </si>
  <si>
    <t>ITM01243</t>
  </si>
  <si>
    <t>ITM01244</t>
  </si>
  <si>
    <t>ITM01245</t>
  </si>
  <si>
    <t>ITM01246</t>
  </si>
  <si>
    <t>ITM01247</t>
  </si>
  <si>
    <t>ITM01248</t>
  </si>
  <si>
    <t>ITM01249</t>
  </si>
  <si>
    <t>ITM01250</t>
  </si>
  <si>
    <t>ITM01251</t>
  </si>
  <si>
    <t>ITM01252</t>
  </si>
  <si>
    <t>ITM01253</t>
  </si>
  <si>
    <t>ITM01254</t>
  </si>
  <si>
    <t>ITM01255</t>
  </si>
  <si>
    <t>ITM01256</t>
  </si>
  <si>
    <t>ITM01257</t>
  </si>
  <si>
    <t>ITM01258</t>
  </si>
  <si>
    <t>ITM01259</t>
  </si>
  <si>
    <t>ITM01260</t>
  </si>
  <si>
    <t>ITM01261</t>
  </si>
  <si>
    <t>ITM01262</t>
  </si>
  <si>
    <t>ITM01263</t>
  </si>
  <si>
    <t>ITM01264</t>
  </si>
  <si>
    <t>ITM01265</t>
  </si>
  <si>
    <t>ITM01266</t>
  </si>
  <si>
    <t>ITM01267</t>
  </si>
  <si>
    <t>ITM01268</t>
  </si>
  <si>
    <t>ITM01269</t>
  </si>
  <si>
    <t>ITM01270</t>
  </si>
  <si>
    <t>ITM01271</t>
  </si>
  <si>
    <t>ITM01272</t>
  </si>
  <si>
    <t>ITM01273</t>
  </si>
  <si>
    <t>ITM01274</t>
  </si>
  <si>
    <t>ITM01275</t>
  </si>
  <si>
    <t>ITM01276</t>
  </si>
  <si>
    <t>ITM01277</t>
  </si>
  <si>
    <t>ITM01278</t>
  </si>
  <si>
    <t>ITM01279</t>
  </si>
  <si>
    <t>ITM01280</t>
  </si>
  <si>
    <t>ITM01281</t>
  </si>
  <si>
    <t>ITM01282</t>
  </si>
  <si>
    <t>ITM01283</t>
  </si>
  <si>
    <t>ITM01284</t>
  </si>
  <si>
    <t>ITM01285</t>
  </si>
  <si>
    <t>ITM01286</t>
  </si>
  <si>
    <t>ITM01287</t>
  </si>
  <si>
    <t>ITM01288</t>
  </si>
  <si>
    <t>ITM01289</t>
  </si>
  <si>
    <t>ITM01290</t>
  </si>
  <si>
    <t>ITM01291</t>
  </si>
  <si>
    <t>ITM01292</t>
  </si>
  <si>
    <t>ITM01293</t>
  </si>
  <si>
    <t>ITM01294</t>
  </si>
  <si>
    <t>ITM01295</t>
  </si>
  <si>
    <t>ITM01296</t>
  </si>
  <si>
    <t>ITM01297</t>
  </si>
  <si>
    <t>ITM01298</t>
  </si>
  <si>
    <t>ITM01299</t>
  </si>
  <si>
    <t>ITM01300</t>
  </si>
  <si>
    <t>ITM01301</t>
  </si>
  <si>
    <t>ITM01302</t>
  </si>
  <si>
    <t>ITM01303</t>
  </si>
  <si>
    <t>ITM01304</t>
  </si>
  <si>
    <t>ITM01305</t>
  </si>
  <si>
    <t>ITM01306</t>
  </si>
  <si>
    <t>ITM01307</t>
  </si>
  <si>
    <t>ITM01308</t>
  </si>
  <si>
    <t>ITM01309</t>
  </si>
  <si>
    <t>ITM01310</t>
  </si>
  <si>
    <t>ITM01311</t>
  </si>
  <si>
    <t>ITM01312</t>
  </si>
  <si>
    <t>ITM01313</t>
  </si>
  <si>
    <t>ITM01314</t>
  </si>
  <si>
    <t>ITM01315</t>
  </si>
  <si>
    <t>ITM01316</t>
  </si>
  <si>
    <t>ITM01317</t>
  </si>
  <si>
    <t>ITM01318</t>
  </si>
  <si>
    <t>ITM01319</t>
  </si>
  <si>
    <t>ITM01320</t>
  </si>
  <si>
    <t>ITM01321</t>
  </si>
  <si>
    <t>ITM01322</t>
  </si>
  <si>
    <t>ITM01323</t>
  </si>
  <si>
    <t>ITM01324</t>
  </si>
  <si>
    <t>ITM01325</t>
  </si>
  <si>
    <t>ITM01326</t>
  </si>
  <si>
    <t>ITM01327</t>
  </si>
  <si>
    <t>ITM01328</t>
  </si>
  <si>
    <t>ITM01329</t>
  </si>
  <si>
    <t>ITM01330</t>
  </si>
  <si>
    <t>ITM01331</t>
  </si>
  <si>
    <t>ITM01332</t>
  </si>
  <si>
    <t>ITM01333</t>
  </si>
  <si>
    <t>ITM01334</t>
  </si>
  <si>
    <t>ITM01335</t>
  </si>
  <si>
    <t>ITM01336</t>
  </si>
  <si>
    <t>ITM01337</t>
  </si>
  <si>
    <t>ITM01338</t>
  </si>
  <si>
    <t>ITM01339</t>
  </si>
  <si>
    <t>ITM01340</t>
  </si>
  <si>
    <t>ITM01341</t>
  </si>
  <si>
    <t>ITM01342</t>
  </si>
  <si>
    <t>ITM01343</t>
  </si>
  <si>
    <t>ITM01344</t>
  </si>
  <si>
    <t>ITM01345</t>
  </si>
  <si>
    <t>ITM01346</t>
  </si>
  <si>
    <t>ITM01347</t>
  </si>
  <si>
    <t>ITM01348</t>
  </si>
  <si>
    <t>ITM01349</t>
  </si>
  <si>
    <t>ITM01350</t>
  </si>
  <si>
    <t>ITM01351</t>
  </si>
  <si>
    <t>ITM01352</t>
  </si>
  <si>
    <t>ITM01353</t>
  </si>
  <si>
    <t>ITM01354</t>
  </si>
  <si>
    <t>ITM01355</t>
  </si>
  <si>
    <t>ITM01356</t>
  </si>
  <si>
    <t>ITM01357</t>
  </si>
  <si>
    <t>nama_produk</t>
  </si>
  <si>
    <t>kategori</t>
  </si>
  <si>
    <t>harga_modal</t>
  </si>
  <si>
    <t>harga_jual</t>
  </si>
  <si>
    <t>Wireless Earbuds X1</t>
  </si>
  <si>
    <t>Elektronik</t>
  </si>
  <si>
    <t>Power Bank 10000mAh</t>
  </si>
  <si>
    <t>Smartwatch Lite</t>
  </si>
  <si>
    <t>Speaker Bluetooth Mini</t>
  </si>
  <si>
    <t>Kabel Data USB-C</t>
  </si>
  <si>
    <t>Charger Fast Charging 33W</t>
  </si>
  <si>
    <t>Mouse Wireless</t>
  </si>
  <si>
    <t>Keyboard Mechanical Mini</t>
  </si>
  <si>
    <t>Kaos Polos Cotton Combed</t>
  </si>
  <si>
    <t>Fashion</t>
  </si>
  <si>
    <t>PRD010</t>
  </si>
  <si>
    <t>Kemeja Flanel Pria</t>
  </si>
  <si>
    <t>PRD011</t>
  </si>
  <si>
    <t>Dress Casual Wanita</t>
  </si>
  <si>
    <t>Celana Jeans Slimfit</t>
  </si>
  <si>
    <t>Jaket Hoodie Unisex</t>
  </si>
  <si>
    <t>Sepatu Sneakers Casual</t>
  </si>
  <si>
    <t>Tas Selempang Kanvas</t>
  </si>
  <si>
    <t>PRD016</t>
  </si>
  <si>
    <t>Topi Baseball</t>
  </si>
  <si>
    <t>Rice Cooker Mini 1.5L</t>
  </si>
  <si>
    <t>Rumah Tangga</t>
  </si>
  <si>
    <t>Set Pisau Dapur 5pcs</t>
  </si>
  <si>
    <t>Botol Minum Stainless 1L</t>
  </si>
  <si>
    <t>Rak Penyimpanan Serbaguna</t>
  </si>
  <si>
    <t>Lampu LED Hias 5m</t>
  </si>
  <si>
    <t>Sapu + Pengki Set</t>
  </si>
  <si>
    <t>Wajan Anti Lengket 24cm</t>
  </si>
  <si>
    <t>Tumbler Termos 500ml</t>
  </si>
  <si>
    <t>nama_pelanggan</t>
  </si>
  <si>
    <t>kota</t>
  </si>
  <si>
    <t>tanggal_bergabung</t>
  </si>
  <si>
    <t>segmen</t>
  </si>
  <si>
    <t>Opung Saefullah</t>
  </si>
  <si>
    <t>Bandung</t>
  </si>
  <si>
    <t>VIP</t>
  </si>
  <si>
    <t>Okto Jailani</t>
  </si>
  <si>
    <t>Depok</t>
  </si>
  <si>
    <t>Reguler</t>
  </si>
  <si>
    <t>R. Lantar Anggraini</t>
  </si>
  <si>
    <t>Jakarta</t>
  </si>
  <si>
    <t>Baru</t>
  </si>
  <si>
    <t>Darimin Pradipta</t>
  </si>
  <si>
    <t>Kanda Napitupulu</t>
  </si>
  <si>
    <t>Semarang</t>
  </si>
  <si>
    <t>Puji Andriani, S.H.</t>
  </si>
  <si>
    <t>Yessi Ardianto</t>
  </si>
  <si>
    <t>Yogyakarta</t>
  </si>
  <si>
    <t>Nalar Anggraini</t>
  </si>
  <si>
    <t>Darijan Sirait</t>
  </si>
  <si>
    <t>Surabaya</t>
  </si>
  <si>
    <t>Cinta Tamba</t>
  </si>
  <si>
    <t>Tgk. Yani Gunawan</t>
  </si>
  <si>
    <t>R. Virman Waluyo</t>
  </si>
  <si>
    <t>Yance Utami</t>
  </si>
  <si>
    <t>dr. Ratih Nababan, S.Pt</t>
  </si>
  <si>
    <t>Prasetyo Siregar</t>
  </si>
  <si>
    <t>R.A. Zelaya Januar, S.Sos</t>
  </si>
  <si>
    <t>Rafid Utama, S.E.</t>
  </si>
  <si>
    <t>Mumpuni Santoso</t>
  </si>
  <si>
    <t>Denpasar</t>
  </si>
  <si>
    <t>Marsudi Hidayanto, M.Ak</t>
  </si>
  <si>
    <t>H. Dipa Marpaung</t>
  </si>
  <si>
    <t>Makassar</t>
  </si>
  <si>
    <t>Suci Puspita</t>
  </si>
  <si>
    <t>Zaenab Hakim</t>
  </si>
  <si>
    <t>Reksa Sihotang</t>
  </si>
  <si>
    <t>Danuja Purnawati</t>
  </si>
  <si>
    <t>Gabriella Yolanda</t>
  </si>
  <si>
    <t>Medan</t>
  </si>
  <si>
    <t>Jagapati Megantara, S.T.</t>
  </si>
  <si>
    <t>Putri Nasyiah, S.T.</t>
  </si>
  <si>
    <t>Restu Wacana</t>
  </si>
  <si>
    <t>Kacung Lailasari</t>
  </si>
  <si>
    <t>Satya Kusumo</t>
  </si>
  <si>
    <t>Prima Zulaika</t>
  </si>
  <si>
    <t>Harsana Wibowo</t>
  </si>
  <si>
    <t>Paris Ramadan</t>
  </si>
  <si>
    <t>Cut Sabrina Latupono, M.Pd</t>
  </si>
  <si>
    <t xml:space="preserve">  Ir. Ganep Kusumo, S.Pd  </t>
  </si>
  <si>
    <t>Ade Saptono</t>
  </si>
  <si>
    <t>R.M. Jono Kurniawan, S.Pd</t>
  </si>
  <si>
    <t>Drs. Dalimin Mangunsong</t>
  </si>
  <si>
    <t>Kayun Nuraini</t>
  </si>
  <si>
    <t>dr. Nurul Budiyanto</t>
  </si>
  <si>
    <t>Yance Samosir</t>
  </si>
  <si>
    <t>PALEMBANG</t>
  </si>
  <si>
    <t>Tomi Purnawati</t>
  </si>
  <si>
    <t>Opan Laksita</t>
  </si>
  <si>
    <t>Dr. Pranata Mahendra, S.E.I</t>
  </si>
  <si>
    <t>R.M. Eman Nuraini</t>
  </si>
  <si>
    <t>Palembang</t>
  </si>
  <si>
    <t>Gabriella Namaga</t>
  </si>
  <si>
    <t>Farah Saragih, S.Sos</t>
  </si>
  <si>
    <t>CUST0048</t>
  </si>
  <si>
    <t>Hardi Farida, M.TI.</t>
  </si>
  <si>
    <t>Darmanto Haryanto</t>
  </si>
  <si>
    <t>Drs. Ghaliyati Rahmawati</t>
  </si>
  <si>
    <t>Nugraha Usamah</t>
  </si>
  <si>
    <t>Utama Firmansyah</t>
  </si>
  <si>
    <t>Kamidin Prakasa</t>
  </si>
  <si>
    <t>Ir. Nabila Prasasta</t>
  </si>
  <si>
    <t>dr. Dadap Kuswoyo, S.IP</t>
  </si>
  <si>
    <t>Lintang Zulkarnain</t>
  </si>
  <si>
    <t>Anastasia Wulandari, S.IP</t>
  </si>
  <si>
    <t>Jessica Kurniawan, S.H.</t>
  </si>
  <si>
    <t>YOGYAKARTA</t>
  </si>
  <si>
    <t>drg. Cahyono Anggraini</t>
  </si>
  <si>
    <t>Hilda Hutagalung</t>
  </si>
  <si>
    <t>Drs. Cinthia Hardiansyah, M.Pd</t>
  </si>
  <si>
    <t>Wira Prakasa</t>
  </si>
  <si>
    <t>Novi Prabowo</t>
  </si>
  <si>
    <t>Catur Wibowo</t>
  </si>
  <si>
    <t>Hani Hasanah</t>
  </si>
  <si>
    <t>Uchita Puspita, M.Kom.</t>
  </si>
  <si>
    <t>Gasti Hakim</t>
  </si>
  <si>
    <t>Dt. Pangeran Sihotang</t>
  </si>
  <si>
    <t>Dr. Olivia Nuraini</t>
  </si>
  <si>
    <t>R. Soleh Nashiruddin</t>
  </si>
  <si>
    <t>Mursita Prakasa</t>
  </si>
  <si>
    <t>R.A. Ratna Riyanti</t>
  </si>
  <si>
    <t>Hari Wahyuni</t>
  </si>
  <si>
    <t>Tgk. Warji Rajata</t>
  </si>
  <si>
    <t>Iriana Permadi, S.T.</t>
  </si>
  <si>
    <t>Mariadi Salahudin, M.M.</t>
  </si>
  <si>
    <t>R. Adika Haryanti, M.Ak</t>
  </si>
  <si>
    <t>Bagya Nasyiah</t>
  </si>
  <si>
    <t>Diah Tampubolon</t>
  </si>
  <si>
    <t>Hairyanto Suryono</t>
  </si>
  <si>
    <t>Drs. Tiara Sihombing, M.Ak</t>
  </si>
  <si>
    <t>Ir. Karsana Anggriawan, M.Pd</t>
  </si>
  <si>
    <t>Bala Mansur, S.T.</t>
  </si>
  <si>
    <t>Paiman Puspasari</t>
  </si>
  <si>
    <t>Rahmi Pranowo</t>
  </si>
  <si>
    <t>Mahfud Usada</t>
  </si>
  <si>
    <t>drg. Dwi Habibi</t>
  </si>
  <si>
    <t>Yance Saefullah</t>
  </si>
  <si>
    <t>Vera Mustofa</t>
  </si>
  <si>
    <t>Elisa Handayani</t>
  </si>
  <si>
    <t>CUST0092</t>
  </si>
  <si>
    <t>Putri Anggriawan</t>
  </si>
  <si>
    <t>Eka Palastri, S.Gz</t>
  </si>
  <si>
    <t>Drs. Dalima Astuti</t>
  </si>
  <si>
    <t>Karimah Gunarto</t>
  </si>
  <si>
    <t>Mahmud Prayoga</t>
  </si>
  <si>
    <t>Victoria Purwanti</t>
  </si>
  <si>
    <t>Raina Mangunsong</t>
  </si>
  <si>
    <t>Saka Marpaung</t>
  </si>
  <si>
    <t>R.M. Teguh Zulkarnain, S.Ked</t>
  </si>
  <si>
    <t>Violet Zulkarnain</t>
  </si>
  <si>
    <t>R.A. Hasna Manullang, S.IP</t>
  </si>
  <si>
    <t>Sidiq Halimah</t>
  </si>
  <si>
    <t>Dr. Kamaria Samosir, S.H.</t>
  </si>
  <si>
    <t>Dadi Wacana, S.Psi</t>
  </si>
  <si>
    <t>Prasetyo Setiawan</t>
  </si>
  <si>
    <t>dr. Mustika Nasyiah</t>
  </si>
  <si>
    <t>Bambang Rajata</t>
  </si>
  <si>
    <t>Ani Kurniawan</t>
  </si>
  <si>
    <t>Titi Sihotang</t>
  </si>
  <si>
    <t>R. Harsana Permata</t>
  </si>
  <si>
    <t>Nugraha Fujiati</t>
  </si>
  <si>
    <t>Dr. Mahfud Winarsih, S.Kom</t>
  </si>
  <si>
    <t>Warta Widiastuti</t>
  </si>
  <si>
    <t>dr. Salimah Maheswara</t>
  </si>
  <si>
    <t>Ophelia Saragih</t>
  </si>
  <si>
    <t>Latika Sihombing</t>
  </si>
  <si>
    <t>Imam Widiastuti</t>
  </si>
  <si>
    <t>Pangestu Natsir, M.Ak</t>
  </si>
  <si>
    <t>Pia Adriansyah</t>
  </si>
  <si>
    <t>Irfan Prastuti</t>
  </si>
  <si>
    <t>Nadia Handayani</t>
  </si>
  <si>
    <t>Kajen Kusmawati</t>
  </si>
  <si>
    <t>H. Cawisadi Wahyuni, S.Pt</t>
  </si>
  <si>
    <t>Mahesa Safitri, S.Psi</t>
  </si>
  <si>
    <t>Sutan Muni Saragih, S.H.</t>
  </si>
  <si>
    <t>Ajiono Gunawan</t>
  </si>
  <si>
    <t>Rahmi Hidayanto</t>
  </si>
  <si>
    <t>Kamal Nababan, S.Sos</t>
  </si>
  <si>
    <t>Cakrajiya Yolanda</t>
  </si>
  <si>
    <t>KH. Timbul Kurniawan, S.Farm</t>
  </si>
  <si>
    <t>H. Karja Hariyah, S.Gz</t>
  </si>
  <si>
    <t>Puti Mutia Mansur, M.M.</t>
  </si>
  <si>
    <t>Drs. Galiono Handayani</t>
  </si>
  <si>
    <t>Ophelia Aryani, M.Pd</t>
  </si>
  <si>
    <t>Paiman Kusmawati</t>
  </si>
  <si>
    <t>Sutan Saadat Uyainah, S.T.</t>
  </si>
  <si>
    <t>drg. Luis Permadi</t>
  </si>
  <si>
    <t>Nasab Suwarno</t>
  </si>
  <si>
    <t>Jamalia Namaga</t>
  </si>
  <si>
    <t>Daru Winarno</t>
  </si>
  <si>
    <t>Gabriella Haryanto, S.Farm</t>
  </si>
  <si>
    <t>drg. Heryanto Halim</t>
  </si>
  <si>
    <t>Kayla Padmasari</t>
  </si>
  <si>
    <t>Sabri Permata</t>
  </si>
  <si>
    <t>Wardaya Thamrin</t>
  </si>
  <si>
    <t>Zulaikha Andriani</t>
  </si>
  <si>
    <t>Puji Suartini, S.H.</t>
  </si>
  <si>
    <t>Maya Laksita</t>
  </si>
  <si>
    <t>Salsabila Wastuti</t>
  </si>
  <si>
    <t>Eli Hastuti, S.E.I</t>
  </si>
  <si>
    <t>Dt. Umaya Wijaya</t>
  </si>
  <si>
    <t>Akarsana Hutasoit, S.Farm</t>
  </si>
  <si>
    <t>Elvina Hardiansyah</t>
  </si>
  <si>
    <t>Gabriella Hasanah</t>
  </si>
  <si>
    <t>dr. Estiawan Andriani, S.T.</t>
  </si>
  <si>
    <t>Anita Namaga</t>
  </si>
  <si>
    <t>Genta Yulianti</t>
  </si>
  <si>
    <t>Arta Dabukke, S.H.</t>
  </si>
  <si>
    <t>Luthfi Mangunsong</t>
  </si>
  <si>
    <t>Salsabila Latupono</t>
  </si>
  <si>
    <t>Jaka Rajasa</t>
  </si>
  <si>
    <t>Luluh Sudiati</t>
  </si>
  <si>
    <t>Calista Marpaung, S.Pd</t>
  </si>
  <si>
    <t>Wisnu Saragih</t>
  </si>
  <si>
    <t>Lala Napitupulu</t>
  </si>
  <si>
    <t>Yance Utami, S.H.</t>
  </si>
  <si>
    <t>T. Soleh Rahimah, S.IP</t>
  </si>
  <si>
    <t>Cut Jelita Nasyidah</t>
  </si>
  <si>
    <t>Betania Mayasari</t>
  </si>
  <si>
    <t>Samsul Andriani</t>
  </si>
  <si>
    <t>Ian Tarihoran</t>
  </si>
  <si>
    <t>Dr. Titin Mangunsong, S.Farm</t>
  </si>
  <si>
    <t>Ir. Emong Susanti</t>
  </si>
  <si>
    <t>KH. Jayadi Hastuti</t>
  </si>
  <si>
    <t>Rika Santoso, S.Psi</t>
  </si>
  <si>
    <t>Puti Indah Hartati, S.H.</t>
  </si>
  <si>
    <t>Ir. Salsabila Wibowo</t>
  </si>
  <si>
    <t>Zizi Simbolon</t>
  </si>
  <si>
    <t>Garang Rajata</t>
  </si>
  <si>
    <t>Tgk. Puti Anggriawan</t>
  </si>
  <si>
    <t>Bakiadi Permadi</t>
  </si>
  <si>
    <t>Puti Permadi</t>
  </si>
  <si>
    <t>Narji Lestari, M.M.</t>
  </si>
  <si>
    <t>Emil Prasetya</t>
  </si>
  <si>
    <t>CUST0186</t>
  </si>
  <si>
    <t>Gaduh Wijayanti</t>
  </si>
  <si>
    <t>Puspa Nuraini</t>
  </si>
  <si>
    <t>Pia Sitompul, S.I.Kom</t>
  </si>
  <si>
    <t>Ina Ramadan</t>
  </si>
  <si>
    <t>Febi Sihotang, S.IP</t>
  </si>
  <si>
    <t>H. Cengkal Nababan, S.Kom</t>
  </si>
  <si>
    <t>Tari Rahmawati</t>
  </si>
  <si>
    <t>Drs. Eko Januar</t>
  </si>
  <si>
    <t>Ghaliyati Tarihoran</t>
  </si>
  <si>
    <t>Nugraha Nasyidah</t>
  </si>
  <si>
    <t>Asmadi Puspasari</t>
  </si>
  <si>
    <t>Makuta Lestari</t>
  </si>
  <si>
    <t>Kemal Suryono</t>
  </si>
  <si>
    <t>Jasmin Nashiruddin</t>
  </si>
  <si>
    <t>Zelda Kuswandari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</si>
  <si>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</si>
  <si>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</si>
  <si>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</si>
  <si>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</si>
  <si>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</si>
  <si>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</si>
  <si>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</si>
  <si>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</si>
  <si>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</si>
  <si>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</si>
  <si>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</si>
  <si>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</si>
  <si>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</si>
  <si>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</si>
  <si>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</si>
  <si>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Sum of qty</t>
  </si>
  <si>
    <t>revenue</t>
  </si>
  <si>
    <t>Sum of revenue</t>
  </si>
  <si>
    <t>profit</t>
  </si>
  <si>
    <t>Sum of profit</t>
  </si>
  <si>
    <t>kota_rapi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</si>
</sst>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yyyy\-mm\-dd\ hh:mm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2F5496"/>
      <name val="Arial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0" fontId="2" fillId="0" borderId="3" xfId="0" applyFont="1" applyBorder="1"/>
    <xf numFmtId="9" fontId="2" fillId="0" borderId="4" xfId="0" applyNumberFormat="1" applyFont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166" fontId="2" fillId="0" borderId="9" xfId="0" applyNumberFormat="1" applyFont="1" applyBorder="1"/>
    <xf numFmtId="9" fontId="2" fillId="0" borderId="10" xfId="0" applyNumberFormat="1" applyFont="1" applyBorder="1"/>
    <xf numFmtId="0" fontId="0" fillId="0" borderId="0" xfId="0" pivotButton="1"/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2F5496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yyyy\-mm\-dd\ hh:mm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[TokoBerkah_Dummy Project_Data Analysis.xlsx]Pivot_Pesanan_per_Bulan!PivotTable1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Jumlah Pesanan per Bulan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Pivot_Pesanan_per_Bulan!$B$3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Pivot_Pesanan_per_Bulan!$A$4:$A$16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Pivot_Pesanan_per_Bulan!$B$4:$B$16</c:f>
              <c:numCache>
                <c:formatCode>General</c:formatCode>
                <c:ptCount val="12"/>
                <c:pt idx="0">
                  <c:v>9</c:v>
                </c:pt>
                <c:pt idx="1">
                  <c:v>16</c:v>
                </c:pt>
                <c:pt idx="2">
                  <c:v>36</c:v>
                </c:pt>
                <c:pt idx="3">
                  <c:v>31</c:v>
                </c:pt>
                <c:pt idx="4">
                  <c:v>49</c:v>
                </c:pt>
                <c:pt idx="5">
                  <c:v>73</c:v>
                </c:pt>
                <c:pt idx="6">
                  <c:v>62</c:v>
                </c:pt>
                <c:pt idx="7">
                  <c:v>69</c:v>
                </c:pt>
                <c:pt idx="8">
                  <c:v>71</c:v>
                </c:pt>
                <c:pt idx="9">
                  <c:v>113</c:v>
                </c:pt>
                <c:pt idx="10">
                  <c:v>115</c:v>
                </c:pt>
                <c:pt idx="11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A-486A-8AE8-FD62107C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30656"/>
        <c:axId val="76728576"/>
      </c:lineChart>
      <c:catAx>
        <c:axId val="7673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8576"/>
        <c:crosses val="autoZero"/>
        <c:auto val="1"/>
        <c:lblAlgn val="ctr"/>
        <c:lblOffset val="100"/>
        <c:noMultiLvlLbl val="0"/>
      </c:catAx>
      <c:valAx>
        <c:axId val="76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2</xdr:row>
      <xdr:rowOff>174625</xdr:rowOff>
    </xdr:from>
    <xdr:to>
      <xdr:col>6</xdr:col>
      <xdr:colOff>165106</xdr:colOff>
      <xdr:row>17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AE9AA-EC3B-4FB6-9174-DE6A76725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636616898148" createdVersion="7" refreshedVersion="7" minRefreshableVersion="3" recordCount="800" xr:uid="{CF3CB973-6F24-4D55-993A-29387C792F72}">
  <cacheSource type="worksheet">
    <worksheetSource name="Table1"/>
  </cacheSource>
  <cacheFields count="5">
    <cacheField name="order_id" numFmtId="0">
      <sharedItems/>
    </cacheField>
    <cacheField name="customer_id" numFmtId="0">
      <sharedItems/>
    </cacheField>
    <cacheField name="tanggal_order" numFmtId="166">
      <sharedItems containsSemiMixedTypes="0" containsNonDate="0" containsDate="1" containsString="0" minDate="2025-01-28T20:00:00" maxDate="2026-01-08T10:00:00" count="722">
        <d v="2025-01-28T20:00:00"/>
        <d v="2025-01-30T20:00:00"/>
        <d v="2025-02-02T08:00:00"/>
        <d v="2025-02-08T10:00:00"/>
        <d v="2025-02-09T15:00:00"/>
        <d v="2025-02-10T11:00:00"/>
        <d v="2025-02-11T08:00:00"/>
        <d v="2025-02-14T16:00:00"/>
        <d v="2025-02-17T12:00:00"/>
        <d v="2025-02-17T19:00:00"/>
        <d v="2025-02-19T12:00:00"/>
        <d v="2025-02-21T11:00:00"/>
        <d v="2025-02-23T17:00:00"/>
        <d v="2025-02-24T16:00:00"/>
        <d v="2025-02-26T18:00:00"/>
        <d v="2025-02-27T10:00:00"/>
        <d v="2025-02-28T18:00:00"/>
        <d v="2025-03-03T15:00:00"/>
        <d v="2025-03-06T17:00:00"/>
        <d v="2025-03-07T12:00:00"/>
        <d v="2025-03-07T16:00:00"/>
        <d v="2025-03-09T10:00:00"/>
        <d v="2025-03-10T09:00:00"/>
        <d v="2025-03-10T18:00:00"/>
        <d v="2025-03-11T10:00:00"/>
        <d v="2025-03-14T09:00:00"/>
        <d v="2025-03-15T18:00:00"/>
        <d v="2025-03-15T22:00:00"/>
        <d v="2025-03-16T12:00:00"/>
        <d v="2025-03-16T16:00:00"/>
        <d v="2025-03-16T20:00:00"/>
        <d v="2025-03-17T13:00:00"/>
        <d v="2025-03-18T08:00:00"/>
        <d v="2025-03-18T12:00:00"/>
        <d v="2025-03-20T17:00:00"/>
        <d v="2025-03-21T13:00:00"/>
        <d v="2025-03-21T16:00:00"/>
        <d v="2025-03-21T17:00:00"/>
        <d v="2025-03-21T18:00:00"/>
        <d v="2025-03-21T20:00:00"/>
        <d v="2025-03-22T09:00:00"/>
        <d v="2025-03-22T19:00:00"/>
        <d v="2025-03-23T14:00:00"/>
        <d v="2025-03-23T19:00:00"/>
        <d v="2025-03-24T13:00:00"/>
        <d v="2025-03-25T17:00:00"/>
        <d v="2025-03-25T20:00:00"/>
        <d v="2025-03-26T10:00:00"/>
        <d v="2025-03-26T13:00:00"/>
        <d v="2025-03-27T09:00:00"/>
        <d v="2025-03-27T18:00:00"/>
        <d v="2025-03-28T10:00:00"/>
        <d v="2025-04-01T11:00:00"/>
        <d v="2025-04-01T17:00:00"/>
        <d v="2025-04-02T13:00:00"/>
        <d v="2025-04-02T16:00:00"/>
        <d v="2025-04-03T12:00:00"/>
        <d v="2025-04-04T08:00:00"/>
        <d v="2025-04-04T10:00:00"/>
        <d v="2025-04-04T19:00:00"/>
        <d v="2025-04-05T11:00:00"/>
        <d v="2025-04-05T22:00:00"/>
        <d v="2025-04-06T12:00:00"/>
        <d v="2025-04-07T10:00:00"/>
        <d v="2025-04-10T19:00:00"/>
        <d v="2025-04-11T15:00:00"/>
        <d v="2025-04-11T16:00:00"/>
        <d v="2025-04-11T22:00:00"/>
        <d v="2025-04-13T17:00:00"/>
        <d v="2025-04-13T22:00:00"/>
        <d v="2025-04-14T17:00:00"/>
        <d v="2025-04-16T13:00:00"/>
        <d v="2025-04-16T22:00:00"/>
        <d v="2025-04-17T18:00:00"/>
        <d v="2025-04-19T18:00:00"/>
        <d v="2025-04-21T14:00:00"/>
        <d v="2025-04-22T12:00:00"/>
        <d v="2025-04-24T10:00:00"/>
        <d v="2025-04-25T14:00:00"/>
        <d v="2025-04-25T20:00:00"/>
        <d v="2025-04-26T16:00:00"/>
        <d v="2025-04-27T22:00:00"/>
        <d v="2025-05-03T16:00:00"/>
        <d v="2025-05-05T15:00:00"/>
        <d v="2025-05-05T18:00:00"/>
        <d v="2025-05-07T09:00:00"/>
        <d v="2025-05-08T12:00:00"/>
        <d v="2025-05-08T16:00:00"/>
        <d v="2025-05-08T19:00:00"/>
        <d v="2025-05-08T21:00:00"/>
        <d v="2025-05-09T12:00:00"/>
        <d v="2025-05-09T17:00:00"/>
        <d v="2025-05-09T20:00:00"/>
        <d v="2025-05-11T19:00:00"/>
        <d v="2025-05-12T11:00:00"/>
        <d v="2025-05-13T18:00:00"/>
        <d v="2025-05-13T20:00:00"/>
        <d v="2025-05-14T16:00:00"/>
        <d v="2025-05-14T19:00:00"/>
        <d v="2025-05-14T22:00:00"/>
        <d v="2025-05-15T18:00:00"/>
        <d v="2025-05-16T15:00:00"/>
        <d v="2025-05-17T10:00:00"/>
        <d v="2025-05-17T11:00:00"/>
        <d v="2025-05-17T15:00:00"/>
        <d v="2025-05-18T12:00:00"/>
        <d v="2025-05-18T17:00:00"/>
        <d v="2025-05-18T19:00:00"/>
        <d v="2025-05-18T21:00:00"/>
        <d v="2025-05-19T08:00:00"/>
        <d v="2025-05-19T09:00:00"/>
        <d v="2025-05-19T19:00:00"/>
        <d v="2025-05-20T09:00:00"/>
        <d v="2025-05-20T11:00:00"/>
        <d v="2025-05-20T20:00:00"/>
        <d v="2025-05-21T19:00:00"/>
        <d v="2025-05-22T11:00:00"/>
        <d v="2025-05-23T12:00:00"/>
        <d v="2025-05-25T13:00:00"/>
        <d v="2025-05-26T15:00:00"/>
        <d v="2025-05-26T20:00:00"/>
        <d v="2025-05-27T08:00:00"/>
        <d v="2025-05-27T10:00:00"/>
        <d v="2025-05-27T15:00:00"/>
        <d v="2025-05-27T20:00:00"/>
        <d v="2025-05-28T09:00:00"/>
        <d v="2025-05-28T16:00:00"/>
        <d v="2025-05-28T22:00:00"/>
        <d v="2025-05-30T08:00:00"/>
        <d v="2025-06-01T22:00:00"/>
        <d v="2025-06-02T13:00:00"/>
        <d v="2025-06-02T17:00:00"/>
        <d v="2025-06-02T20:00:00"/>
        <d v="2025-06-03T15:00:00"/>
        <d v="2025-06-03T19:00:00"/>
        <d v="2025-06-04T19:00:00"/>
        <d v="2025-06-04T20:00:00"/>
        <d v="2025-06-05T11:00:00"/>
        <d v="2025-06-05T12:00:00"/>
        <d v="2025-06-05T18:00:00"/>
        <d v="2025-06-06T08:00:00"/>
        <d v="2025-06-06T11:00:00"/>
        <d v="2025-06-06T20:00:00"/>
        <d v="2025-06-06T22:00:00"/>
        <d v="2025-06-07T13:00:00"/>
        <d v="2025-06-07T17:00:00"/>
        <d v="2025-06-08T09:00:00"/>
        <d v="2025-06-08T11:00:00"/>
        <d v="2025-06-08T21:00:00"/>
        <d v="2025-06-09T13:00:00"/>
        <d v="2025-06-09T14:00:00"/>
        <d v="2025-06-09T18:00:00"/>
        <d v="2025-06-10T09:00:00"/>
        <d v="2025-06-10T14:00:00"/>
        <d v="2025-06-10T15:00:00"/>
        <d v="2025-06-10T16:00:00"/>
        <d v="2025-06-10T18:00:00"/>
        <d v="2025-06-11T19:00:00"/>
        <d v="2025-06-13T15:00:00"/>
        <d v="2025-06-13T17:00:00"/>
        <d v="2025-06-13T20:00:00"/>
        <d v="2025-06-14T18:00:00"/>
        <d v="2025-06-15T09:00:00"/>
        <d v="2025-06-15T16:00:00"/>
        <d v="2025-06-15T18:00:00"/>
        <d v="2025-06-15T19:00:00"/>
        <d v="2025-06-15T22:00:00"/>
        <d v="2025-06-16T17:00:00"/>
        <d v="2025-06-17T09:00:00"/>
        <d v="2025-06-17T13:00:00"/>
        <d v="2025-06-17T17:00:00"/>
        <d v="2025-06-18T15:00:00"/>
        <d v="2025-06-18T16:00:00"/>
        <d v="2025-06-18T17:00:00"/>
        <d v="2025-06-18T18:00:00"/>
        <d v="2025-06-18T20:00:00"/>
        <d v="2025-06-19T16:00:00"/>
        <d v="2025-06-19T22:00:00"/>
        <d v="2025-06-20T14:00:00"/>
        <d v="2025-06-20T16:00:00"/>
        <d v="2025-06-20T19:00:00"/>
        <d v="2025-06-21T09:00:00"/>
        <d v="2025-06-21T11:00:00"/>
        <d v="2025-06-22T12:00:00"/>
        <d v="2025-06-22T14:00:00"/>
        <d v="2025-06-22T17:00:00"/>
        <d v="2025-06-22T18:00:00"/>
        <d v="2025-06-23T14:00:00"/>
        <d v="2025-06-23T15:00:00"/>
        <d v="2025-06-24T21:00:00"/>
        <d v="2025-06-25T14:00:00"/>
        <d v="2025-06-25T19:00:00"/>
        <d v="2025-06-25T21:00:00"/>
        <d v="2025-06-26T10:00:00"/>
        <d v="2025-06-26T11:00:00"/>
        <d v="2025-06-26T13:00:00"/>
        <d v="2025-06-26T16:00:00"/>
        <d v="2025-06-26T22:00:00"/>
        <d v="2025-06-28T17:00:00"/>
        <d v="2025-06-29T20:00:00"/>
        <d v="2025-07-02T08:00:00"/>
        <d v="2025-07-02T10:00:00"/>
        <d v="2025-07-02T15:00:00"/>
        <d v="2025-07-02T18:00:00"/>
        <d v="2025-07-02T20:00:00"/>
        <d v="2025-07-03T14:00:00"/>
        <d v="2025-07-03T18:00:00"/>
        <d v="2025-07-03T20:00:00"/>
        <d v="2025-07-04T12:00:00"/>
        <d v="2025-07-04T18:00:00"/>
        <d v="2025-07-05T09:00:00"/>
        <d v="2025-07-07T13:00:00"/>
        <d v="2025-07-07T15:00:00"/>
        <d v="2025-07-07T18:00:00"/>
        <d v="2025-07-07T21:00:00"/>
        <d v="2025-07-08T13:00:00"/>
        <d v="2025-07-08T19:00:00"/>
        <d v="2025-07-09T09:00:00"/>
        <d v="2025-07-09T11:00:00"/>
        <d v="2025-07-09T13:00:00"/>
        <d v="2025-07-09T20:00:00"/>
        <d v="2025-07-10T14:00:00"/>
        <d v="2025-07-10T21:00:00"/>
        <d v="2025-07-11T08:00:00"/>
        <d v="2025-07-11T13:00:00"/>
        <d v="2025-07-11T18:00:00"/>
        <d v="2025-07-12T11:00:00"/>
        <d v="2025-07-13T16:00:00"/>
        <d v="2025-07-14T08:00:00"/>
        <d v="2025-07-14T13:00:00"/>
        <d v="2025-07-15T18:00:00"/>
        <d v="2025-07-16T16:00:00"/>
        <d v="2025-07-17T14:00:00"/>
        <d v="2025-07-18T08:00:00"/>
        <d v="2025-07-18T10:00:00"/>
        <d v="2025-07-18T13:00:00"/>
        <d v="2025-07-18T14:00:00"/>
        <d v="2025-07-20T17:00:00"/>
        <d v="2025-07-21T09:00:00"/>
        <d v="2025-07-21T16:00:00"/>
        <d v="2025-07-21T20:00:00"/>
        <d v="2025-07-22T16:00:00"/>
        <d v="2025-07-23T12:00:00"/>
        <d v="2025-07-23T14:00:00"/>
        <d v="2025-07-23T18:00:00"/>
        <d v="2025-07-23T19:00:00"/>
        <d v="2025-07-25T08:00:00"/>
        <d v="2025-07-25T19:00:00"/>
        <d v="2025-07-26T11:00:00"/>
        <d v="2025-07-26T13:00:00"/>
        <d v="2025-07-26T17:00:00"/>
        <d v="2025-07-27T09:00:00"/>
        <d v="2025-07-27T18:00:00"/>
        <d v="2025-07-27T21:00:00"/>
        <d v="2025-07-28T09:00:00"/>
        <d v="2025-07-28T11:00:00"/>
        <d v="2025-07-29T15:00:00"/>
        <d v="2025-07-31T22:00:00"/>
        <d v="2025-08-01T11:00:00"/>
        <d v="2025-08-01T14:00:00"/>
        <d v="2025-08-02T15:00:00"/>
        <d v="2025-08-02T20:00:00"/>
        <d v="2025-08-04T12:00:00"/>
        <d v="2025-08-04T17:00:00"/>
        <d v="2025-08-04T20:00:00"/>
        <d v="2025-08-05T10:00:00"/>
        <d v="2025-08-05T11:00:00"/>
        <d v="2025-08-05T13:00:00"/>
        <d v="2025-08-05T22:00:00"/>
        <d v="2025-08-06T12:00:00"/>
        <d v="2025-08-06T17:00:00"/>
        <d v="2025-08-06T21:00:00"/>
        <d v="2025-08-07T20:00:00"/>
        <d v="2025-08-08T09:00:00"/>
        <d v="2025-08-08T12:00:00"/>
        <d v="2025-08-08T18:00:00"/>
        <d v="2025-08-08T21:00:00"/>
        <d v="2025-08-09T08:00:00"/>
        <d v="2025-08-10T08:00:00"/>
        <d v="2025-08-10T09:00:00"/>
        <d v="2025-08-10T16:00:00"/>
        <d v="2025-08-10T17:00:00"/>
        <d v="2025-08-11T16:00:00"/>
        <d v="2025-08-11T19:00:00"/>
        <d v="2025-08-12T09:00:00"/>
        <d v="2025-08-13T08:00:00"/>
        <d v="2025-08-13T18:00:00"/>
        <d v="2025-08-14T22:00:00"/>
        <d v="2025-08-15T20:00:00"/>
        <d v="2025-08-16T16:00:00"/>
        <d v="2025-08-16T18:00:00"/>
        <d v="2025-08-16T22:00:00"/>
        <d v="2025-08-17T14:00:00"/>
        <d v="2025-08-17T16:00:00"/>
        <d v="2025-08-18T16:00:00"/>
        <d v="2025-08-18T19:00:00"/>
        <d v="2025-08-19T13:00:00"/>
        <d v="2025-08-19T19:00:00"/>
        <d v="2025-08-21T08:00:00"/>
        <d v="2025-08-21T11:00:00"/>
        <d v="2025-08-21T12:00:00"/>
        <d v="2025-08-21T17:00:00"/>
        <d v="2025-08-22T08:00:00"/>
        <d v="2025-08-22T09:00:00"/>
        <d v="2025-08-22T15:00:00"/>
        <d v="2025-08-22T16:00:00"/>
        <d v="2025-08-23T10:00:00"/>
        <d v="2025-08-23T16:00:00"/>
        <d v="2025-08-23T20:00:00"/>
        <d v="2025-08-24T14:00:00"/>
        <d v="2025-08-25T16:00:00"/>
        <d v="2025-08-25T21:00:00"/>
        <d v="2025-08-27T15:00:00"/>
        <d v="2025-08-28T08:00:00"/>
        <d v="2025-08-28T09:00:00"/>
        <d v="2025-08-28T13:00:00"/>
        <d v="2025-08-28T14:00:00"/>
        <d v="2025-08-28T18:00:00"/>
        <d v="2025-08-29T18:00:00"/>
        <d v="2025-08-29T20:00:00"/>
        <d v="2025-08-30T21:00:00"/>
        <d v="2025-08-31T14:00:00"/>
        <d v="2025-08-31T16:00:00"/>
        <d v="2025-09-01T08:00:00"/>
        <d v="2025-09-01T09:00:00"/>
        <d v="2025-09-01T12:00:00"/>
        <d v="2025-09-01T15:00:00"/>
        <d v="2025-09-01T21:00:00"/>
        <d v="2025-09-02T18:00:00"/>
        <d v="2025-09-03T10:00:00"/>
        <d v="2025-09-03T11:00:00"/>
        <d v="2025-09-03T21:00:00"/>
        <d v="2025-09-03T22:00:00"/>
        <d v="2025-09-04T12:00:00"/>
        <d v="2025-09-04T20:00:00"/>
        <d v="2025-09-04T22:00:00"/>
        <d v="2025-09-05T14:00:00"/>
        <d v="2025-09-06T12:00:00"/>
        <d v="2025-09-06T17:00:00"/>
        <d v="2025-09-07T20:00:00"/>
        <d v="2025-09-08T14:00:00"/>
        <d v="2025-09-08T15:00:00"/>
        <d v="2025-09-08T20:00:00"/>
        <d v="2025-09-09T16:00:00"/>
        <d v="2025-09-10T11:00:00"/>
        <d v="2025-09-10T12:00:00"/>
        <d v="2025-09-10T19:00:00"/>
        <d v="2025-09-11T08:00:00"/>
        <d v="2025-09-11T09:00:00"/>
        <d v="2025-09-11T10:00:00"/>
        <d v="2025-09-11T13:00:00"/>
        <d v="2025-09-12T21:00:00"/>
        <d v="2025-09-14T09:00:00"/>
        <d v="2025-09-14T13:00:00"/>
        <d v="2025-09-14T18:00:00"/>
        <d v="2025-09-14T22:00:00"/>
        <d v="2025-09-15T09:00:00"/>
        <d v="2025-09-15T10:00:00"/>
        <d v="2025-09-15T12:00:00"/>
        <d v="2025-09-15T20:00:00"/>
        <d v="2025-09-16T17:00:00"/>
        <d v="2025-09-17T14:00:00"/>
        <d v="2025-09-18T10:00:00"/>
        <d v="2025-09-18T17:00:00"/>
        <d v="2025-09-18T19:00:00"/>
        <d v="2025-09-19T11:00:00"/>
        <d v="2025-09-19T15:00:00"/>
        <d v="2025-09-20T15:00:00"/>
        <d v="2025-09-21T09:00:00"/>
        <d v="2025-09-21T10:00:00"/>
        <d v="2025-09-21T13:00:00"/>
        <d v="2025-09-22T15:00:00"/>
        <d v="2025-09-22T17:00:00"/>
        <d v="2025-09-22T22:00:00"/>
        <d v="2025-09-23T22:00:00"/>
        <d v="2025-09-24T09:00:00"/>
        <d v="2025-09-25T10:00:00"/>
        <d v="2025-09-25T21:00:00"/>
        <d v="2025-09-26T08:00:00"/>
        <d v="2025-09-26T11:00:00"/>
        <d v="2025-09-26T18:00:00"/>
        <d v="2025-09-27T20:00:00"/>
        <d v="2025-09-28T12:00:00"/>
        <d v="2025-09-28T18:00:00"/>
        <d v="2025-09-30T12:00:00"/>
        <d v="2025-09-30T17:00:00"/>
        <d v="2025-09-30T21:00:00"/>
        <d v="2025-10-02T09:00:00"/>
        <d v="2025-10-02T13:00:00"/>
        <d v="2025-10-02T14:00:00"/>
        <d v="2025-10-02T19:00:00"/>
        <d v="2025-10-02T20:00:00"/>
        <d v="2025-10-03T09:00:00"/>
        <d v="2025-10-03T10:00:00"/>
        <d v="2025-10-03T12:00:00"/>
        <d v="2025-10-03T14:00:00"/>
        <d v="2025-10-03T16:00:00"/>
        <d v="2025-10-03T17:00:00"/>
        <d v="2025-10-04T11:00:00"/>
        <d v="2025-10-04T17:00:00"/>
        <d v="2025-10-04T21:00:00"/>
        <d v="2025-10-05T09:00:00"/>
        <d v="2025-10-05T11:00:00"/>
        <d v="2025-10-05T15:00:00"/>
        <d v="2025-10-05T19:00:00"/>
        <d v="2025-10-05T21:00:00"/>
        <d v="2025-10-06T14:00:00"/>
        <d v="2025-10-06T15:00:00"/>
        <d v="2025-10-06T16:00:00"/>
        <d v="2025-10-06T17:00:00"/>
        <d v="2025-10-06T19:00:00"/>
        <d v="2025-10-07T19:00:00"/>
        <d v="2025-10-07T21:00:00"/>
        <d v="2025-10-08T11:00:00"/>
        <d v="2025-10-08T19:00:00"/>
        <d v="2025-10-09T11:00:00"/>
        <d v="2025-10-09T13:00:00"/>
        <d v="2025-10-09T21:00:00"/>
        <d v="2025-10-10T08:00:00"/>
        <d v="2025-10-10T21:00:00"/>
        <d v="2025-10-10T22:00:00"/>
        <d v="2025-10-11T18:00:00"/>
        <d v="2025-10-11T21:00:00"/>
        <d v="2025-10-12T12:00:00"/>
        <d v="2025-10-13T11:00:00"/>
        <d v="2025-10-14T09:00:00"/>
        <d v="2025-10-14T17:00:00"/>
        <d v="2025-10-14T18:00:00"/>
        <d v="2025-10-16T09:00:00"/>
        <d v="2025-10-16T16:00:00"/>
        <d v="2025-10-16T17:00:00"/>
        <d v="2025-10-16T22:00:00"/>
        <d v="2025-10-17T14:00:00"/>
        <d v="2025-10-17T15:00:00"/>
        <d v="2025-10-17T16:00:00"/>
        <d v="2025-10-18T14:00:00"/>
        <d v="2025-10-18T20:00:00"/>
        <d v="2025-10-19T09:00:00"/>
        <d v="2025-10-19T11:00:00"/>
        <d v="2025-10-19T12:00:00"/>
        <d v="2025-10-19T18:00:00"/>
        <d v="2025-10-19T19:00:00"/>
        <d v="2025-10-20T08:00:00"/>
        <d v="2025-10-20T09:00:00"/>
        <d v="2025-10-20T10:00:00"/>
        <d v="2025-10-20T13:00:00"/>
        <d v="2025-10-20T20:00:00"/>
        <d v="2025-10-21T08:00:00"/>
        <d v="2025-10-21T10:00:00"/>
        <d v="2025-10-21T11:00:00"/>
        <d v="2025-10-21T12:00:00"/>
        <d v="2025-10-21T16:00:00"/>
        <d v="2025-10-22T11:00:00"/>
        <d v="2025-10-22T12:00:00"/>
        <d v="2025-10-22T13:00:00"/>
        <d v="2025-10-22T15:00:00"/>
        <d v="2025-10-22T21:00:00"/>
        <d v="2025-10-23T08:00:00"/>
        <d v="2025-10-23T14:00:00"/>
        <d v="2025-10-23T19:00:00"/>
        <d v="2025-10-23T21:00:00"/>
        <d v="2025-10-24T09:00:00"/>
        <d v="2025-10-24T10:00:00"/>
        <d v="2025-10-24T13:00:00"/>
        <d v="2025-10-24T21:00:00"/>
        <d v="2025-10-24T22:00:00"/>
        <d v="2025-10-25T19:00:00"/>
        <d v="2025-10-25T22:00:00"/>
        <d v="2025-10-26T08:00:00"/>
        <d v="2025-10-26T10:00:00"/>
        <d v="2025-10-26T15:00:00"/>
        <d v="2025-10-26T19:00:00"/>
        <d v="2025-10-26T20:00:00"/>
        <d v="2025-10-26T21:00:00"/>
        <d v="2025-10-26T22:00:00"/>
        <d v="2025-10-27T12:00:00"/>
        <d v="2025-10-27T13:00:00"/>
        <d v="2025-10-27T18:00:00"/>
        <d v="2025-10-27T19:00:00"/>
        <d v="2025-10-28T12:00:00"/>
        <d v="2025-10-28T13:00:00"/>
        <d v="2025-10-28T15:00:00"/>
        <d v="2025-10-28T16:00:00"/>
        <d v="2025-10-28T17:00:00"/>
        <d v="2025-10-28T18:00:00"/>
        <d v="2025-10-28T20:00:00"/>
        <d v="2025-11-01T11:00:00"/>
        <d v="2025-11-01T12:00:00"/>
        <d v="2025-11-02T13:00:00"/>
        <d v="2025-11-02T15:00:00"/>
        <d v="2025-11-02T18:00:00"/>
        <d v="2025-11-02T20:00:00"/>
        <d v="2025-11-03T12:00:00"/>
        <d v="2025-11-03T13:00:00"/>
        <d v="2025-11-03T22:00:00"/>
        <d v="2025-11-04T09:00:00"/>
        <d v="2025-11-04T10:00:00"/>
        <d v="2025-11-05T12:00:00"/>
        <d v="2025-11-05T17:00:00"/>
        <d v="2025-11-05T19:00:00"/>
        <d v="2025-11-06T10:00:00"/>
        <d v="2025-11-06T11:00:00"/>
        <d v="2025-11-06T16:00:00"/>
        <d v="2025-11-06T20:00:00"/>
        <d v="2025-11-07T14:00:00"/>
        <d v="2025-11-08T11:00:00"/>
        <d v="2025-11-08T15:00:00"/>
        <d v="2025-11-08T16:00:00"/>
        <d v="2025-11-08T17:00:00"/>
        <d v="2025-11-08T18:00:00"/>
        <d v="2025-11-08T21:00:00"/>
        <d v="2025-11-08T22:00:00"/>
        <d v="2025-11-09T15:00:00"/>
        <d v="2025-11-09T16:00:00"/>
        <d v="2025-11-09T20:00:00"/>
        <d v="2025-11-10T14:00:00"/>
        <d v="2025-11-10T17:00:00"/>
        <d v="2025-11-10T21:00:00"/>
        <d v="2025-11-11T14:00:00"/>
        <d v="2025-11-11T15:00:00"/>
        <d v="2025-11-11T17:00:00"/>
        <d v="2025-11-11T21:00:00"/>
        <d v="2025-11-11T22:00:00"/>
        <d v="2025-11-12T13:00:00"/>
        <d v="2025-11-12T16:00:00"/>
        <d v="2025-11-12T17:00:00"/>
        <d v="2025-11-12T18:00:00"/>
        <d v="2025-11-12T20:00:00"/>
        <d v="2025-11-12T21:00:00"/>
        <d v="2025-11-13T09:00:00"/>
        <d v="2025-11-13T11:00:00"/>
        <d v="2025-11-13T12:00:00"/>
        <d v="2025-11-13T13:00:00"/>
        <d v="2025-11-14T08:00:00"/>
        <d v="2025-11-14T09:00:00"/>
        <d v="2025-11-14T13:00:00"/>
        <d v="2025-11-14T17:00:00"/>
        <d v="2025-11-14T21:00:00"/>
        <d v="2025-11-15T08:00:00"/>
        <d v="2025-11-15T10:00:00"/>
        <d v="2025-11-15T19:00:00"/>
        <d v="2025-11-15T22:00:00"/>
        <d v="2025-11-16T13:00:00"/>
        <d v="2025-11-16T21:00:00"/>
        <d v="2025-11-17T16:00:00"/>
        <d v="2025-11-17T17:00:00"/>
        <d v="2025-11-17T19:00:00"/>
        <d v="2025-11-17T20:00:00"/>
        <d v="2025-11-17T22:00:00"/>
        <d v="2025-11-18T08:00:00"/>
        <d v="2025-11-18T10:00:00"/>
        <d v="2025-11-18T12:00:00"/>
        <d v="2025-11-19T09:00:00"/>
        <d v="2025-11-19T10:00:00"/>
        <d v="2025-11-19T18:00:00"/>
        <d v="2025-11-19T19:00:00"/>
        <d v="2025-11-20T10:00:00"/>
        <d v="2025-11-20T12:00:00"/>
        <d v="2025-11-20T14:00:00"/>
        <d v="2025-11-20T18:00:00"/>
        <d v="2025-11-20T21:00:00"/>
        <d v="2025-11-21T22:00:00"/>
        <d v="2025-11-22T11:00:00"/>
        <d v="2025-11-22T17:00:00"/>
        <d v="2025-11-22T18:00:00"/>
        <d v="2025-11-22T20:00:00"/>
        <d v="2025-11-23T10:00:00"/>
        <d v="2025-11-23T11:00:00"/>
        <d v="2025-11-23T12:00:00"/>
        <d v="2025-11-23T21:00:00"/>
        <d v="2025-11-24T10:00:00"/>
        <d v="2025-11-24T13:00:00"/>
        <d v="2025-11-24T19:00:00"/>
        <d v="2025-11-24T21:00:00"/>
        <d v="2025-11-25T08:00:00"/>
        <d v="2025-11-25T17:00:00"/>
        <d v="2025-11-26T08:00:00"/>
        <d v="2025-11-26T13:00:00"/>
        <d v="2025-11-26T16:00:00"/>
        <d v="2025-11-26T18:00:00"/>
        <d v="2025-11-26T21:00:00"/>
        <d v="2025-11-27T11:00:00"/>
        <d v="2025-11-27T14:00:00"/>
        <d v="2025-11-27T18:00:00"/>
        <d v="2025-11-28T13:00:00"/>
        <d v="2025-11-28T18:00:00"/>
        <d v="2025-11-28T22:00:00"/>
        <d v="2025-12-01T08:00:00"/>
        <d v="2025-12-01T09:00:00"/>
        <d v="2025-12-01T10:00:00"/>
        <d v="2025-12-01T14:00:00"/>
        <d v="2025-12-01T18:00:00"/>
        <d v="2025-12-02T13:00:00"/>
        <d v="2025-12-02T15:00:00"/>
        <d v="2025-12-02T18:00:00"/>
        <d v="2025-12-03T09:00:00"/>
        <d v="2025-12-03T14:00:00"/>
        <d v="2025-12-03T15:00:00"/>
        <d v="2025-12-03T16:00:00"/>
        <d v="2025-12-04T08:00:00"/>
        <d v="2025-12-04T15:00:00"/>
        <d v="2025-12-04T16:00:00"/>
        <d v="2025-12-04T19:00:00"/>
        <d v="2025-12-04T21:00:00"/>
        <d v="2025-12-05T08:00:00"/>
        <d v="2025-12-05T09:00:00"/>
        <d v="2025-12-05T14:00:00"/>
        <d v="2025-12-05T19:00:00"/>
        <d v="2025-12-06T09:00:00"/>
        <d v="2025-12-06T11:00:00"/>
        <d v="2025-12-06T12:00:00"/>
        <d v="2025-12-06T19:00:00"/>
        <d v="2025-12-07T13:00:00"/>
        <d v="2025-12-07T18:00:00"/>
        <d v="2025-12-07T19:00:00"/>
        <d v="2025-12-08T08:00:00"/>
        <d v="2025-12-08T14:00:00"/>
        <d v="2025-12-08T15:00:00"/>
        <d v="2025-12-08T18:00:00"/>
        <d v="2025-12-08T20:00:00"/>
        <d v="2025-12-09T09:00:00"/>
        <d v="2025-12-09T19:00:00"/>
        <d v="2025-12-10T16:00:00"/>
        <d v="2025-12-10T18:00:00"/>
        <d v="2025-12-10T19:00:00"/>
        <d v="2025-12-11T08:00:00"/>
        <d v="2025-12-11T09:00:00"/>
        <d v="2025-12-11T10:00:00"/>
        <d v="2025-12-11T11:00:00"/>
        <d v="2025-12-11T13:00:00"/>
        <d v="2025-12-11T15:00:00"/>
        <d v="2025-12-11T17:00:00"/>
        <d v="2025-12-11T20:00:00"/>
        <d v="2025-12-11T21:00:00"/>
        <d v="2025-12-12T13:00:00"/>
        <d v="2025-12-12T17:00:00"/>
        <d v="2025-12-12T18:00:00"/>
        <d v="2025-12-13T12:00:00"/>
        <d v="2025-12-13T19:00:00"/>
        <d v="2025-12-13T22:00:00"/>
        <d v="2025-12-14T09:00:00"/>
        <d v="2025-12-14T15:00:00"/>
        <d v="2025-12-14T17:00:00"/>
        <d v="2025-12-14T19:00:00"/>
        <d v="2025-12-14T20:00:00"/>
        <d v="2025-12-15T08:00:00"/>
        <d v="2025-12-15T13:00:00"/>
        <d v="2025-12-15T20:00:00"/>
        <d v="2025-12-15T22:00:00"/>
        <d v="2025-12-16T15:00:00"/>
        <d v="2025-12-16T17:00:00"/>
        <d v="2025-12-17T12:00:00"/>
        <d v="2025-12-17T17:00:00"/>
        <d v="2025-12-17T18:00:00"/>
        <d v="2025-12-17T20:00:00"/>
        <d v="2025-12-18T09:00:00"/>
        <d v="2025-12-18T11:00:00"/>
        <d v="2025-12-18T15:00:00"/>
        <d v="2025-12-18T21:00:00"/>
        <d v="2025-12-18T22:00:00"/>
        <d v="2025-12-19T10:00:00"/>
        <d v="2025-12-19T11:00:00"/>
        <d v="2025-12-19T14:00:00"/>
        <d v="2025-12-19T16:00:00"/>
        <d v="2025-12-20T12:00:00"/>
        <d v="2025-12-20T20:00:00"/>
        <d v="2025-12-21T10:00:00"/>
        <d v="2025-12-21T17:00:00"/>
        <d v="2025-12-21T21:00:00"/>
        <d v="2025-12-22T09:00:00"/>
        <d v="2025-12-22T17:00:00"/>
        <d v="2025-12-22T18:00:00"/>
        <d v="2025-12-22T21:00:00"/>
        <d v="2025-12-23T08:00:00"/>
        <d v="2025-12-23T12:00:00"/>
        <d v="2025-12-23T13:00:00"/>
        <d v="2025-12-23T15:00:00"/>
        <d v="2025-12-23T16:00:00"/>
        <d v="2025-12-23T18:00:00"/>
        <d v="2025-12-23T22:00:00"/>
        <d v="2025-12-24T11:00:00"/>
        <d v="2025-12-24T17:00:00"/>
        <d v="2025-12-24T19:00:00"/>
        <d v="2025-12-24T21:00:00"/>
        <d v="2025-12-24T22:00:00"/>
        <d v="2025-12-25T12:00:00"/>
        <d v="2025-12-25T14:00:00"/>
        <d v="2025-12-25T15:00:00"/>
        <d v="2025-12-25T17:00:00"/>
        <d v="2025-12-25T20:00:00"/>
        <d v="2025-12-25T22:00:00"/>
        <d v="2025-12-26T09:00:00"/>
        <d v="2025-12-26T10:00:00"/>
        <d v="2025-12-26T12:00:00"/>
        <d v="2025-12-26T14:00:00"/>
        <d v="2025-12-26T22:00:00"/>
        <d v="2025-12-27T08:00:00"/>
        <d v="2025-12-27T15:00:00"/>
        <d v="2025-12-27T18:00:00"/>
        <d v="2025-12-27T19:00:00"/>
        <d v="2025-12-28T08:00:00"/>
        <d v="2025-12-28T10:00:00"/>
        <d v="2025-12-28T11:00:00"/>
        <d v="2025-12-28T12:00:00"/>
        <d v="2025-12-28T15:00:00"/>
        <d v="2025-12-28T16:00:00"/>
        <d v="2025-12-28T21:00:00"/>
        <d v="2025-12-28T22:00:00"/>
        <d v="2025-12-29T08:00:00"/>
        <d v="2025-12-29T12:00:00"/>
        <d v="2025-12-29T16:00:00"/>
        <d v="2025-12-29T21:00:00"/>
        <d v="2025-12-30T16:00:00"/>
        <d v="2025-12-31T09:00:00"/>
        <d v="2025-12-31T13:00:00"/>
        <d v="2026-01-01T10:00:00"/>
        <d v="2026-01-01T17:00:00"/>
        <d v="2026-01-02T20:00:00"/>
        <d v="2026-01-03T11:00:00"/>
        <d v="2026-01-03T12:00:00"/>
        <d v="2026-01-04T08:00:00"/>
        <d v="2026-01-08T10:00:00"/>
      </sharedItems>
      <fieldGroup base="2">
        <rangePr groupBy="months" startDate="2025-01-28T20:00:00" endDate="2026-01-08T10:00:00"/>
        <groupItems count="14">
          <s v="&lt;1/28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8/2026"/>
        </groupItems>
      </fieldGroup>
    </cacheField>
    <cacheField name="status" numFmtId="0">
      <sharedItems/>
    </cacheField>
    <cacheField name="diskon_persen" numFmtId="9">
      <sharedItems containsSemiMixedTypes="0" containsString="0" containsNumber="1" minValue="0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654914467596" createdVersion="7" refreshedVersion="7" minRefreshableVersion="3" recordCount="1358" xr:uid="{62C36282-6843-4AFE-8839-AC8B2E7C9802}">
  <cacheSource type="worksheet">
    <worksheetSource ref="A1:F1359" sheet="order_items"/>
  </cacheSource>
  <cacheFields count="6">
    <cacheField name="item_id" numFmtId="0">
      <sharedItems/>
    </cacheField>
    <cacheField name="order_id" numFmtId="0">
      <sharedItems/>
    </cacheField>
    <cacheField name="product_id" numFmtId="0">
      <sharedItems/>
    </cacheField>
    <cacheField name="qty" numFmtId="0">
      <sharedItems containsSemiMixedTypes="0" containsString="0" containsNumber="1" containsInteger="1" minValue="1" maxValue="3"/>
    </cacheField>
    <cacheField name="harga_satuan" numFmtId="3">
      <sharedItems containsSemiMixedTypes="0" containsString="0" containsNumber="1" containsInteger="1" minValue="39000" maxValue="499000"/>
    </cacheField>
    <cacheField name="nama_produk" numFmtId="0">
      <sharedItems count="21">
        <s v="Lampu LED Hias 5m"/>
        <s v="Rak Penyimpanan Serbaguna"/>
        <s v="Kabel Data USB-C"/>
        <s v="Kaos Polos Cotton Combed"/>
        <s v="Sapu + Pengki Set"/>
        <s v="Celana Jeans Slimfit"/>
        <s v="Mouse Wireless"/>
        <s v="Rice Cooker Mini 1.5L"/>
        <s v="Wajan Anti Lengket 24cm"/>
        <s v="Sepatu Sneakers Casual"/>
        <s v="Charger Fast Charging 33W"/>
        <s v="Smartwatch Lite"/>
        <s v="Keyboard Mechanical Mini"/>
        <s v="Botol Minum Stainless 1L"/>
        <s v="Power Bank 10000mAh"/>
        <s v="Set Pisau Dapur 5pcs"/>
        <s v="Tumbler Termos 500ml"/>
        <s v="Jaket Hoodie Unisex"/>
        <s v="Tas Selempang Kanvas"/>
        <s v="Speaker Bluetooth Mini"/>
        <s v="Wireless Earbuds X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660401273148" createdVersion="7" refreshedVersion="7" minRefreshableVersion="3" recordCount="1358" xr:uid="{DE70FF97-1093-4E12-A3DE-0082C781D4FE}">
  <cacheSource type="worksheet">
    <worksheetSource ref="A1:G1359" sheet="order_items"/>
  </cacheSource>
  <cacheFields count="7">
    <cacheField name="item_id" numFmtId="0">
      <sharedItems/>
    </cacheField>
    <cacheField name="order_id" numFmtId="0">
      <sharedItems/>
    </cacheField>
    <cacheField name="product_id" numFmtId="0">
      <sharedItems/>
    </cacheField>
    <cacheField name="qty" numFmtId="0">
      <sharedItems containsSemiMixedTypes="0" containsString="0" containsNumber="1" containsInteger="1" minValue="1" maxValue="3"/>
    </cacheField>
    <cacheField name="harga_satuan" numFmtId="3">
      <sharedItems containsSemiMixedTypes="0" containsString="0" containsNumber="1" containsInteger="1" minValue="39000" maxValue="499000"/>
    </cacheField>
    <cacheField name="nama_produk" numFmtId="0">
      <sharedItems count="21">
        <s v="Lampu LED Hias 5m"/>
        <s v="Rak Penyimpanan Serbaguna"/>
        <s v="Kabel Data USB-C"/>
        <s v="Kaos Polos Cotton Combed"/>
        <s v="Sapu + Pengki Set"/>
        <s v="Celana Jeans Slimfit"/>
        <s v="Mouse Wireless"/>
        <s v="Rice Cooker Mini 1.5L"/>
        <s v="Wajan Anti Lengket 24cm"/>
        <s v="Sepatu Sneakers Casual"/>
        <s v="Charger Fast Charging 33W"/>
        <s v="Smartwatch Lite"/>
        <s v="Keyboard Mechanical Mini"/>
        <s v="Botol Minum Stainless 1L"/>
        <s v="Power Bank 10000mAh"/>
        <s v="Set Pisau Dapur 5pcs"/>
        <s v="Tumbler Termos 500ml"/>
        <s v="Jaket Hoodie Unisex"/>
        <s v="Tas Selempang Kanvas"/>
        <s v="Speaker Bluetooth Mini"/>
        <s v="Wireless Earbuds X1"/>
      </sharedItems>
    </cacheField>
    <cacheField name="revenue" numFmtId="0">
      <sharedItems containsSemiMixedTypes="0" containsString="0" containsNumber="1" containsInteger="1" minValue="39000" maxValue="149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665994907409" createdVersion="7" refreshedVersion="7" minRefreshableVersion="3" recordCount="1358" xr:uid="{0A922103-B02B-4C82-BFDF-7571D31BD850}">
  <cacheSource type="worksheet">
    <worksheetSource ref="A1:I1359" sheet="order_items"/>
  </cacheSource>
  <cacheFields count="9">
    <cacheField name="item_id" numFmtId="0">
      <sharedItems/>
    </cacheField>
    <cacheField name="order_id" numFmtId="0">
      <sharedItems/>
    </cacheField>
    <cacheField name="product_id" numFmtId="0">
      <sharedItems/>
    </cacheField>
    <cacheField name="qty" numFmtId="0">
      <sharedItems containsSemiMixedTypes="0" containsString="0" containsNumber="1" containsInteger="1" minValue="1" maxValue="3"/>
    </cacheField>
    <cacheField name="harga_satuan" numFmtId="3">
      <sharedItems containsSemiMixedTypes="0" containsString="0" containsNumber="1" containsInteger="1" minValue="39000" maxValue="499000"/>
    </cacheField>
    <cacheField name="nama_produk" numFmtId="0">
      <sharedItems count="21">
        <s v="Lampu LED Hias 5m"/>
        <s v="Rak Penyimpanan Serbaguna"/>
        <s v="Kabel Data USB-C"/>
        <s v="Kaos Polos Cotton Combed"/>
        <s v="Sapu + Pengki Set"/>
        <s v="Celana Jeans Slimfit"/>
        <s v="Mouse Wireless"/>
        <s v="Rice Cooker Mini 1.5L"/>
        <s v="Wajan Anti Lengket 24cm"/>
        <s v="Sepatu Sneakers Casual"/>
        <s v="Charger Fast Charging 33W"/>
        <s v="Smartwatch Lite"/>
        <s v="Keyboard Mechanical Mini"/>
        <s v="Botol Minum Stainless 1L"/>
        <s v="Power Bank 10000mAh"/>
        <s v="Set Pisau Dapur 5pcs"/>
        <s v="Tumbler Termos 500ml"/>
        <s v="Jaket Hoodie Unisex"/>
        <s v="Tas Selempang Kanvas"/>
        <s v="Speaker Bluetooth Mini"/>
        <s v="Wireless Earbuds X1"/>
      </sharedItems>
    </cacheField>
    <cacheField name="revenue" numFmtId="0">
      <sharedItems containsSemiMixedTypes="0" containsString="0" containsNumber="1" containsInteger="1" minValue="39000" maxValue="1497000"/>
    </cacheField>
    <cacheField name="harga_modal " numFmtId="0">
      <sharedItems containsSemiMixedTypes="0" containsString="0" containsNumber="1" containsInteger="1" minValue="15000" maxValue="250000"/>
    </cacheField>
    <cacheField name="profit" numFmtId="0">
      <sharedItems containsSemiMixedTypes="0" containsString="0" containsNumber="1" containsInteger="1" minValue="24000" maxValue="74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703243518517" backgroundQuery="1" createdVersion="7" refreshedVersion="7" minRefreshableVersion="3" recordCount="0" supportSubquery="1" supportAdvancedDrill="1" xr:uid="{086A6621-0089-4FB6-8992-02EA35B41C52}">
  <cacheSource type="external" connectionId="1"/>
  <cacheFields count="2">
    <cacheField name="[Table1].[kota].[kota]" caption="kota" numFmtId="0" hierarchy="5" level="1">
      <sharedItems count="10">
        <s v="Bandung"/>
        <s v="Denpasar"/>
        <s v="Depok"/>
        <s v="Jakarta"/>
        <s v="Makassar"/>
        <s v="Medan"/>
        <s v="Palembang"/>
        <s v="Semarang"/>
        <s v="Surabaya"/>
        <s v="Yogyakarta"/>
      </sharedItems>
    </cacheField>
    <cacheField name="[Measures].[Count of order_id]" caption="Count of order_id" numFmtId="0" hierarchy="8" level="32767"/>
  </cacheFields>
  <cacheHierarchies count="9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tanggal_order]" caption="tanggal_order" attribute="1" time="1" defaultMemberUniqueName="[Table1].[tanggal_order].[All]" allUniqueName="[Table1].[tanggal_order].[All]" dimensionUniqueName="[Table1]" displayFolder="" count="0" memberValueDatatype="7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diskon_persen]" caption="diskon_persen" attribute="1" defaultMemberUniqueName="[Table1].[diskon_persen].[All]" allUniqueName="[Table1].[diskon_persen].[All]" dimensionUniqueName="[Table1]" displayFolder="" count="0" memberValueDatatype="5" unbalanced="0"/>
    <cacheHierarchy uniqueName="[Table1].[kota]" caption="kota" attribute="1" defaultMemberUniqueName="[Table1].[kota].[All]" allUniqueName="[Table1].[kota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731546990741" createdVersion="7" refreshedVersion="7" minRefreshableVersion="3" recordCount="1358" xr:uid="{47C0A8E8-8399-430A-99BF-ABF87C859FD6}">
  <cacheSource type="worksheet">
    <worksheetSource ref="A1:K1359" sheet="order_items"/>
  </cacheSource>
  <cacheFields count="11">
    <cacheField name="item_id" numFmtId="0">
      <sharedItems/>
    </cacheField>
    <cacheField name="order_id" numFmtId="0">
      <sharedItems/>
    </cacheField>
    <cacheField name="product_id" numFmtId="0">
      <sharedItems/>
    </cacheField>
    <cacheField name="qty" numFmtId="0">
      <sharedItems containsSemiMixedTypes="0" containsString="0" containsNumber="1" containsInteger="1" minValue="1" maxValue="3"/>
    </cacheField>
    <cacheField name="harga_satuan" numFmtId="3">
      <sharedItems containsSemiMixedTypes="0" containsString="0" containsNumber="1" containsInteger="1" minValue="39000" maxValue="499000"/>
    </cacheField>
    <cacheField name="nama_produk" numFmtId="0">
      <sharedItems/>
    </cacheField>
    <cacheField name="revenue" numFmtId="0">
      <sharedItems containsSemiMixedTypes="0" containsString="0" containsNumber="1" containsInteger="1" minValue="39000" maxValue="1497000"/>
    </cacheField>
    <cacheField name="harga_modal " numFmtId="0">
      <sharedItems containsSemiMixedTypes="0" containsString="0" containsNumber="1" containsInteger="1" minValue="15000" maxValue="250000"/>
    </cacheField>
    <cacheField name="profit" numFmtId="0">
      <sharedItems containsSemiMixedTypes="0" containsString="0" containsNumber="1" containsInteger="1" minValue="24000" maxValue="747000"/>
    </cacheField>
    <cacheField name="customer_id" numFmtId="0">
      <sharedItems/>
    </cacheField>
    <cacheField name="kota" numFmtId="0">
      <sharedItems count="10">
        <s v="Yogyakarta"/>
        <s v="Makassar"/>
        <s v="Surabaya"/>
        <s v="Denpasar"/>
        <s v="Depok"/>
        <s v="Jakarta"/>
        <s v="Palembang"/>
        <s v="Bandung"/>
        <s v="Semarang"/>
        <s v="Med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ORD00256"/>
    <s v="CUST0167"/>
    <x v="0"/>
    <s v="Selesai"/>
    <n v="0"/>
  </r>
  <r>
    <s v="ORD00409"/>
    <s v="CUST0167"/>
    <x v="1"/>
    <s v="Selesai"/>
    <n v="0"/>
  </r>
  <r>
    <s v="ORD00478"/>
    <s v="CUST0159"/>
    <x v="2"/>
    <s v="Selesai"/>
    <n v="0"/>
  </r>
  <r>
    <s v="ORD00684"/>
    <s v="CUST0141"/>
    <x v="3"/>
    <s v="Selesai"/>
    <n v="0.1"/>
  </r>
  <r>
    <s v="ORD00517"/>
    <s v="CUST0165"/>
    <x v="4"/>
    <s v="Dibatalkan"/>
    <n v="0.05"/>
  </r>
  <r>
    <s v="ORD00313"/>
    <s v="CUST0093"/>
    <x v="5"/>
    <s v="Dibatalkan"/>
    <n v="0"/>
  </r>
  <r>
    <s v="ORD00109"/>
    <s v="CUST0015"/>
    <x v="5"/>
    <s v="Selesai"/>
    <n v="0"/>
  </r>
  <r>
    <s v="ORD00274"/>
    <s v="CUST0089"/>
    <x v="6"/>
    <s v="Dibatalkan"/>
    <n v="0"/>
  </r>
  <r>
    <s v="ORD00643"/>
    <s v="CUST0093"/>
    <x v="7"/>
    <s v="Selesai"/>
    <n v="0"/>
  </r>
  <r>
    <s v="ORD00131"/>
    <s v="CUST0041"/>
    <x v="8"/>
    <s v="Dibatalkan"/>
    <n v="0.15"/>
  </r>
  <r>
    <s v="ORD00392"/>
    <s v="CUST0070"/>
    <x v="9"/>
    <s v="Dibatalkan"/>
    <n v="0"/>
  </r>
  <r>
    <s v="ORD00789"/>
    <s v="CUST0167"/>
    <x v="10"/>
    <s v="Dibatalkan"/>
    <n v="0.15"/>
  </r>
  <r>
    <s v="ORD00013"/>
    <s v="CUST0196"/>
    <x v="11"/>
    <s v="Selesai"/>
    <n v="0.1"/>
  </r>
  <r>
    <s v="ORD00763"/>
    <s v="CUST0095"/>
    <x v="12"/>
    <s v="Selesai"/>
    <n v="0"/>
  </r>
  <r>
    <s v="ORD00403"/>
    <s v="CUST0196"/>
    <x v="13"/>
    <s v="Dikirim"/>
    <n v="0.05"/>
  </r>
  <r>
    <s v="ORD00195"/>
    <s v="CUST0055"/>
    <x v="14"/>
    <s v="Dibatalkan"/>
    <n v="0.05"/>
  </r>
  <r>
    <s v="ORD00466"/>
    <s v="CUST0066"/>
    <x v="15"/>
    <s v="Selesai"/>
    <n v="0"/>
  </r>
  <r>
    <s v="ORD00272"/>
    <s v="CUST0154"/>
    <x v="16"/>
    <s v="Dikirim"/>
    <n v="0"/>
  </r>
  <r>
    <s v="ORD00442"/>
    <s v="CUST0089"/>
    <x v="17"/>
    <s v="Selesai"/>
    <n v="0.1"/>
  </r>
  <r>
    <s v="ORD00004"/>
    <s v="CUST0109"/>
    <x v="18"/>
    <s v="Selesai"/>
    <n v="0"/>
  </r>
  <r>
    <s v="ORD00382"/>
    <s v="CUST0141"/>
    <x v="19"/>
    <s v="Selesai"/>
    <n v="0"/>
  </r>
  <r>
    <s v="ORD00128"/>
    <s v="CUST0068"/>
    <x v="20"/>
    <s v="Selesai"/>
    <n v="0"/>
  </r>
  <r>
    <s v="ORD00769"/>
    <s v="CUST0082"/>
    <x v="21"/>
    <s v="Selesai"/>
    <n v="0"/>
  </r>
  <r>
    <s v="ORD00669"/>
    <s v="CUST0196"/>
    <x v="22"/>
    <s v="Selesai"/>
    <n v="0.15"/>
  </r>
  <r>
    <s v="ORD00142"/>
    <s v="CUST0109"/>
    <x v="23"/>
    <s v="Selesai"/>
    <n v="0.05"/>
  </r>
  <r>
    <s v="ORD00589"/>
    <s v="CUST0159"/>
    <x v="24"/>
    <s v="Selesai"/>
    <n v="0.05"/>
  </r>
  <r>
    <s v="ORD00003"/>
    <s v="CUST0174"/>
    <x v="25"/>
    <s v="Dikirim"/>
    <n v="0"/>
  </r>
  <r>
    <s v="ORD00344"/>
    <s v="CUST0060"/>
    <x v="26"/>
    <s v="Selesai"/>
    <n v="0"/>
  </r>
  <r>
    <s v="ORD00531"/>
    <s v="CUST0059"/>
    <x v="27"/>
    <s v="Selesai"/>
    <n v="0"/>
  </r>
  <r>
    <s v="ORD00714"/>
    <s v="CUST0010"/>
    <x v="28"/>
    <s v="Selesai"/>
    <n v="0"/>
  </r>
  <r>
    <s v="ORD00363"/>
    <s v="CUST0167"/>
    <x v="29"/>
    <s v="Dibatalkan"/>
    <n v="0"/>
  </r>
  <r>
    <s v="ORD00415"/>
    <s v="CUST0068"/>
    <x v="30"/>
    <s v="Selesai"/>
    <n v="0.15"/>
  </r>
  <r>
    <s v="ORD00379"/>
    <s v="CUST0160"/>
    <x v="31"/>
    <s v="Dibatalkan"/>
    <n v="0"/>
  </r>
  <r>
    <s v="ORD00508"/>
    <s v="CUST0061"/>
    <x v="31"/>
    <s v="Selesai"/>
    <n v="0"/>
  </r>
  <r>
    <s v="ORD00149"/>
    <s v="CUST0095"/>
    <x v="32"/>
    <s v="Selesai"/>
    <n v="0.05"/>
  </r>
  <r>
    <s v="ORD00027"/>
    <s v="CUST0180"/>
    <x v="33"/>
    <s v="Selesai"/>
    <n v="0"/>
  </r>
  <r>
    <s v="ORD00329"/>
    <s v="CUST0159"/>
    <x v="34"/>
    <s v="Selesai"/>
    <n v="0"/>
  </r>
  <r>
    <s v="ORD00644"/>
    <s v="CUST0080"/>
    <x v="35"/>
    <s v="Selesai"/>
    <n v="0"/>
  </r>
  <r>
    <s v="ORD00780"/>
    <s v="CUST0071"/>
    <x v="36"/>
    <s v="Dibatalkan"/>
    <n v="0"/>
  </r>
  <r>
    <s v="ORD00365"/>
    <s v="CUST0112"/>
    <x v="37"/>
    <s v="Selesai"/>
    <n v="0.05"/>
  </r>
  <r>
    <s v="ORD00423"/>
    <s v="CUST0074"/>
    <x v="38"/>
    <s v="Dikirim"/>
    <n v="0"/>
  </r>
  <r>
    <s v="ORD00733"/>
    <s v="CUST0015"/>
    <x v="39"/>
    <s v="Dibatalkan"/>
    <n v="0.1"/>
  </r>
  <r>
    <s v="ORD00588"/>
    <s v="CUST0104"/>
    <x v="40"/>
    <s v="Dibatalkan"/>
    <n v="0.1"/>
  </r>
  <r>
    <s v="ORD00051"/>
    <s v="CUST0030"/>
    <x v="41"/>
    <s v="Dikirim"/>
    <n v="0"/>
  </r>
  <r>
    <s v="ORD00354"/>
    <s v="CUST0070"/>
    <x v="42"/>
    <s v="Selesai"/>
    <n v="0.2"/>
  </r>
  <r>
    <s v="ORD00758"/>
    <s v="CUST0180"/>
    <x v="43"/>
    <s v="Selesai"/>
    <n v="0"/>
  </r>
  <r>
    <s v="ORD00562"/>
    <s v="CUST0080"/>
    <x v="44"/>
    <s v="Selesai"/>
    <n v="0"/>
  </r>
  <r>
    <s v="ORD00539"/>
    <s v="CUST0144"/>
    <x v="45"/>
    <s v="Dibatalkan"/>
    <n v="0.05"/>
  </r>
  <r>
    <s v="ORD00452"/>
    <s v="CUST0059"/>
    <x v="46"/>
    <s v="Dikirim"/>
    <n v="0.05"/>
  </r>
  <r>
    <s v="ORD00761"/>
    <s v="CUST0061"/>
    <x v="47"/>
    <s v="Selesai"/>
    <n v="0.2"/>
  </r>
  <r>
    <s v="ORD00186"/>
    <s v="CUST0104"/>
    <x v="48"/>
    <s v="Selesai"/>
    <n v="0"/>
  </r>
  <r>
    <s v="ORD00068"/>
    <s v="CUST0195"/>
    <x v="49"/>
    <s v="Dikirim"/>
    <n v="0"/>
  </r>
  <r>
    <s v="ORD00019"/>
    <s v="CUST0159"/>
    <x v="50"/>
    <s v="Selesai"/>
    <n v="0"/>
  </r>
  <r>
    <s v="ORD00634"/>
    <s v="CUST0086"/>
    <x v="51"/>
    <s v="Dibatalkan"/>
    <n v="0.05"/>
  </r>
  <r>
    <s v="ORD00310"/>
    <s v="CUST0190"/>
    <x v="52"/>
    <s v="Selesai"/>
    <n v="0"/>
  </r>
  <r>
    <s v="ORD00682"/>
    <s v="CUST0002"/>
    <x v="53"/>
    <s v="Selesai"/>
    <n v="0.2"/>
  </r>
  <r>
    <s v="ORD00608"/>
    <s v="CUST0161"/>
    <x v="54"/>
    <s v="Selesai"/>
    <n v="0.05"/>
  </r>
  <r>
    <s v="ORD00649"/>
    <s v="CUST0190"/>
    <x v="55"/>
    <s v="Selesai"/>
    <n v="0.05"/>
  </r>
  <r>
    <s v="ORD00639"/>
    <s v="CUST0144"/>
    <x v="56"/>
    <s v="Dikirim"/>
    <n v="0.1"/>
  </r>
  <r>
    <s v="ORD00578"/>
    <s v="CUST0128"/>
    <x v="57"/>
    <s v="Dibatalkan"/>
    <n v="0"/>
  </r>
  <r>
    <s v="ORD00391"/>
    <s v="CUST0128"/>
    <x v="58"/>
    <s v="Selesai"/>
    <n v="0.15"/>
  </r>
  <r>
    <s v="ORD00451"/>
    <s v="CUST0128"/>
    <x v="59"/>
    <s v="Dibatalkan"/>
    <n v="0"/>
  </r>
  <r>
    <s v="ORD00030"/>
    <s v="CUST0042"/>
    <x v="60"/>
    <s v="Dikirim"/>
    <n v="0"/>
  </r>
  <r>
    <s v="ORD00383"/>
    <s v="CUST0074"/>
    <x v="61"/>
    <s v="Selesai"/>
    <n v="0.05"/>
  </r>
  <r>
    <s v="ORD00314"/>
    <s v="CUST0004"/>
    <x v="62"/>
    <s v="Selesai"/>
    <n v="0"/>
  </r>
  <r>
    <s v="ORD00602"/>
    <s v="CUST0155"/>
    <x v="63"/>
    <s v="Selesai"/>
    <n v="0.1"/>
  </r>
  <r>
    <s v="ORD00254"/>
    <s v="CUST0139"/>
    <x v="64"/>
    <s v="Selesai"/>
    <n v="0"/>
  </r>
  <r>
    <s v="ORD00728"/>
    <s v="CUST0155"/>
    <x v="65"/>
    <s v="Selesai"/>
    <n v="0"/>
  </r>
  <r>
    <s v="ORD00526"/>
    <s v="CUST0155"/>
    <x v="66"/>
    <s v="Dibatalkan"/>
    <n v="0"/>
  </r>
  <r>
    <s v="ORD00226"/>
    <s v="CUST0139"/>
    <x v="67"/>
    <s v="Dikirim"/>
    <n v="0.15"/>
  </r>
  <r>
    <s v="ORD00574"/>
    <s v="CUST0015"/>
    <x v="68"/>
    <s v="Selesai"/>
    <n v="0.15"/>
  </r>
  <r>
    <s v="ORD00073"/>
    <s v="CUST0139"/>
    <x v="69"/>
    <s v="Dikirim"/>
    <n v="0.15"/>
  </r>
  <r>
    <s v="ORD00586"/>
    <s v="CUST0104"/>
    <x v="70"/>
    <s v="Selesai"/>
    <n v="0.2"/>
  </r>
  <r>
    <s v="ORD00367"/>
    <s v="CUST0105"/>
    <x v="71"/>
    <s v="Selesai"/>
    <n v="0"/>
  </r>
  <r>
    <s v="ORD00792"/>
    <s v="CUST0161"/>
    <x v="72"/>
    <s v="Dibatalkan"/>
    <n v="0"/>
  </r>
  <r>
    <s v="ORD00596"/>
    <s v="CUST0030"/>
    <x v="73"/>
    <s v="Selesai"/>
    <n v="0"/>
  </r>
  <r>
    <s v="ORD00032"/>
    <s v="CUST0084"/>
    <x v="74"/>
    <s v="Selesai"/>
    <n v="0.2"/>
  </r>
  <r>
    <s v="ORD00102"/>
    <s v="CUST0125"/>
    <x v="75"/>
    <s v="Selesai"/>
    <n v="0.05"/>
  </r>
  <r>
    <s v="ORD00475"/>
    <s v="CUST0150"/>
    <x v="76"/>
    <s v="Selesai"/>
    <n v="0"/>
  </r>
  <r>
    <s v="ORD00262"/>
    <s v="CUST0197"/>
    <x v="76"/>
    <s v="Selesai"/>
    <n v="0"/>
  </r>
  <r>
    <s v="ORD00156"/>
    <s v="CUST0061"/>
    <x v="77"/>
    <s v="Dibatalkan"/>
    <n v="0"/>
  </r>
  <r>
    <s v="ORD00375"/>
    <s v="CUST0132"/>
    <x v="78"/>
    <s v="Dikirim"/>
    <n v="0.05"/>
  </r>
  <r>
    <s v="ORD00603"/>
    <s v="CUST0168"/>
    <x v="79"/>
    <s v="Selesai"/>
    <n v="0"/>
  </r>
  <r>
    <s v="ORD00550"/>
    <s v="CUST0197"/>
    <x v="80"/>
    <s v="Selesai"/>
    <n v="0"/>
  </r>
  <r>
    <s v="ORD00287"/>
    <s v="CUST0023"/>
    <x v="81"/>
    <s v="Selesai"/>
    <n v="0.05"/>
  </r>
  <r>
    <s v="ORD00697"/>
    <s v="CUST0140"/>
    <x v="82"/>
    <s v="Dibatalkan"/>
    <n v="0"/>
  </r>
  <r>
    <s v="ORD00018"/>
    <s v="CUST0076"/>
    <x v="82"/>
    <s v="Selesai"/>
    <n v="0"/>
  </r>
  <r>
    <s v="ORD00680"/>
    <s v="CUST0179"/>
    <x v="83"/>
    <s v="Dibatalkan"/>
    <n v="0"/>
  </r>
  <r>
    <s v="ORD00781"/>
    <s v="CUST0078"/>
    <x v="84"/>
    <s v="Selesai"/>
    <n v="0.05"/>
  </r>
  <r>
    <s v="ORD00271"/>
    <s v="CUST0179"/>
    <x v="85"/>
    <s v="Dikirim"/>
    <n v="0"/>
  </r>
  <r>
    <s v="ORD00225"/>
    <s v="CUST0086"/>
    <x v="86"/>
    <s v="Dikirim"/>
    <n v="0.05"/>
  </r>
  <r>
    <s v="ORD00132"/>
    <s v="CUST0181"/>
    <x v="87"/>
    <s v="Dibatalkan"/>
    <n v="0"/>
  </r>
  <r>
    <s v="ORD00624"/>
    <s v="CUST0113"/>
    <x v="88"/>
    <s v="Selesai"/>
    <n v="0"/>
  </r>
  <r>
    <s v="ORD00389"/>
    <s v="CUST0030"/>
    <x v="89"/>
    <s v="Dibatalkan"/>
    <n v="0"/>
  </r>
  <r>
    <s v="ORD00490"/>
    <s v="CUST0009"/>
    <x v="90"/>
    <s v="Selesai"/>
    <n v="0"/>
  </r>
  <r>
    <s v="ORD00193"/>
    <s v="CUST0156"/>
    <x v="91"/>
    <s v="Dikirim"/>
    <n v="0.1"/>
  </r>
  <r>
    <s v="ORD00723"/>
    <s v="CUST0022"/>
    <x v="92"/>
    <s v="Selesai"/>
    <n v="0.05"/>
  </r>
  <r>
    <s v="ORD00486"/>
    <s v="CUST0179"/>
    <x v="93"/>
    <s v="Selesai"/>
    <n v="0.15"/>
  </r>
  <r>
    <s v="ORD00694"/>
    <s v="CUST0147"/>
    <x v="94"/>
    <s v="Selesai"/>
    <n v="0"/>
  </r>
  <r>
    <s v="ORD00640"/>
    <s v="CUST0085"/>
    <x v="95"/>
    <s v="Selesai"/>
    <n v="0"/>
  </r>
  <r>
    <s v="ORD00397"/>
    <s v="CUST0107"/>
    <x v="96"/>
    <s v="Selesai"/>
    <n v="0.1"/>
  </r>
  <r>
    <s v="ORD00774"/>
    <s v="CUST0015"/>
    <x v="97"/>
    <s v="Selesai"/>
    <n v="0.05"/>
  </r>
  <r>
    <s v="ORD00106"/>
    <s v="CUST0188"/>
    <x v="98"/>
    <s v="Dibatalkan"/>
    <n v="0"/>
  </r>
  <r>
    <s v="ORD00520"/>
    <s v="CUST0114"/>
    <x v="99"/>
    <s v="Dibatalkan"/>
    <n v="0"/>
  </r>
  <r>
    <s v="ORD00567"/>
    <s v="CUST0109"/>
    <x v="100"/>
    <s v="Selesai"/>
    <n v="0"/>
  </r>
  <r>
    <s v="ORD00491"/>
    <s v="CUST0114"/>
    <x v="101"/>
    <s v="Selesai"/>
    <n v="0"/>
  </r>
  <r>
    <s v="ORD00671"/>
    <s v="CUST0112"/>
    <x v="102"/>
    <s v="Selesai"/>
    <n v="0"/>
  </r>
  <r>
    <s v="ORD00515"/>
    <s v="CUST0158"/>
    <x v="103"/>
    <s v="Selesai"/>
    <n v="0.05"/>
  </r>
  <r>
    <s v="ORD00076"/>
    <s v="CUST0031"/>
    <x v="104"/>
    <s v="Selesai"/>
    <n v="0"/>
  </r>
  <r>
    <s v="ORD00331"/>
    <s v="CUST0114"/>
    <x v="104"/>
    <s v="Selesai"/>
    <n v="0.05"/>
  </r>
  <r>
    <s v="ORD00793"/>
    <s v="CUST0165"/>
    <x v="105"/>
    <s v="Selesai"/>
    <n v="0"/>
  </r>
  <r>
    <s v="ORD00422"/>
    <s v="CUST0018"/>
    <x v="106"/>
    <s v="Dikirim"/>
    <n v="0"/>
  </r>
  <r>
    <s v="ORD00729"/>
    <s v="CUST0114"/>
    <x v="107"/>
    <s v="Selesai"/>
    <n v="0"/>
  </r>
  <r>
    <s v="ORD00100"/>
    <s v="CUST0004"/>
    <x v="108"/>
    <s v="Selesai"/>
    <n v="0"/>
  </r>
  <r>
    <s v="ORD00360"/>
    <s v="CUST0196"/>
    <x v="109"/>
    <s v="Selesai"/>
    <n v="0"/>
  </r>
  <r>
    <s v="ORD00689"/>
    <s v="CUST0029"/>
    <x v="110"/>
    <s v="Dibatalkan"/>
    <n v="0"/>
  </r>
  <r>
    <s v="ORD00110"/>
    <s v="CUST0139"/>
    <x v="111"/>
    <s v="Selesai"/>
    <n v="0"/>
  </r>
  <r>
    <s v="ORD00119"/>
    <s v="CUST0108"/>
    <x v="112"/>
    <s v="Dikirim"/>
    <n v="0"/>
  </r>
  <r>
    <s v="ORD00066"/>
    <s v="CUST0146"/>
    <x v="113"/>
    <s v="Selesai"/>
    <n v="0"/>
  </r>
  <r>
    <s v="ORD00702"/>
    <s v="CUST0018"/>
    <x v="114"/>
    <s v="Selesai"/>
    <n v="0"/>
  </r>
  <r>
    <s v="ORD00145"/>
    <s v="CUST0114"/>
    <x v="115"/>
    <s v="Selesai"/>
    <n v="0"/>
  </r>
  <r>
    <s v="ORD00436"/>
    <s v="CUST0128"/>
    <x v="116"/>
    <s v="Selesai"/>
    <n v="0"/>
  </r>
  <r>
    <s v="ORD00481"/>
    <s v="CUST0167"/>
    <x v="117"/>
    <s v="Selesai"/>
    <n v="0.1"/>
  </r>
  <r>
    <s v="ORD00598"/>
    <s v="CUST0090"/>
    <x v="118"/>
    <s v="Selesai"/>
    <n v="0.2"/>
  </r>
  <r>
    <s v="ORD00518"/>
    <s v="CUST0103"/>
    <x v="119"/>
    <s v="Selesai"/>
    <n v="0.05"/>
  </r>
  <r>
    <s v="ORD00659"/>
    <s v="CUST0121"/>
    <x v="120"/>
    <s v="Selesai"/>
    <n v="0"/>
  </r>
  <r>
    <s v="ORD00399"/>
    <s v="CUST0073"/>
    <x v="121"/>
    <s v="Dikirim"/>
    <n v="0.15"/>
  </r>
  <r>
    <s v="ORD00600"/>
    <s v="CUST0061"/>
    <x v="122"/>
    <s v="Dibatalkan"/>
    <n v="0"/>
  </r>
  <r>
    <s v="ORD00467"/>
    <s v="CUST0076"/>
    <x v="123"/>
    <s v="Selesai"/>
    <n v="0"/>
  </r>
  <r>
    <s v="ORD00200"/>
    <s v="CUST0061"/>
    <x v="124"/>
    <s v="Dikirim"/>
    <n v="0"/>
  </r>
  <r>
    <s v="ORD00536"/>
    <s v="CUST0024"/>
    <x v="125"/>
    <s v="Selesai"/>
    <n v="0.15"/>
  </r>
  <r>
    <s v="ORD00113"/>
    <s v="CUST0041"/>
    <x v="126"/>
    <s v="Selesai"/>
    <n v="0"/>
  </r>
  <r>
    <s v="ORD00237"/>
    <s v="CUST0108"/>
    <x v="127"/>
    <s v="Selesai"/>
    <n v="0.1"/>
  </r>
  <r>
    <s v="ORD00358"/>
    <s v="CUST0024"/>
    <x v="128"/>
    <s v="Dikirim"/>
    <n v="0"/>
  </r>
  <r>
    <s v="ORD00267"/>
    <s v="CUST0080"/>
    <x v="129"/>
    <s v="Dikirim"/>
    <n v="0.05"/>
  </r>
  <r>
    <s v="ORD00614"/>
    <s v="CUST0074"/>
    <x v="130"/>
    <s v="Dikirim"/>
    <n v="0"/>
  </r>
  <r>
    <s v="ORD00334"/>
    <s v="CUST0190"/>
    <x v="131"/>
    <s v="Selesai"/>
    <n v="0.1"/>
  </r>
  <r>
    <s v="ORD00662"/>
    <s v="CUST0073"/>
    <x v="132"/>
    <s v="Selesai"/>
    <n v="0"/>
  </r>
  <r>
    <s v="ORD00204"/>
    <s v="CUST0107"/>
    <x v="133"/>
    <s v="Selesai"/>
    <n v="0"/>
  </r>
  <r>
    <s v="ORD00067"/>
    <s v="CUST0125"/>
    <x v="134"/>
    <s v="Selesai"/>
    <n v="0"/>
  </r>
  <r>
    <s v="ORD00512"/>
    <s v="CUST0017"/>
    <x v="135"/>
    <s v="Selesai"/>
    <n v="0"/>
  </r>
  <r>
    <s v="ORD00527"/>
    <s v="CUST0180"/>
    <x v="136"/>
    <s v="Selesai"/>
    <n v="0"/>
  </r>
  <r>
    <s v="ORD00751"/>
    <s v="CUST0032"/>
    <x v="137"/>
    <s v="Selesai"/>
    <n v="0"/>
  </r>
  <r>
    <s v="ORD00138"/>
    <s v="CUST0073"/>
    <x v="138"/>
    <s v="Dibatalkan"/>
    <n v="0"/>
  </r>
  <r>
    <s v="ORD00615"/>
    <s v="CUST0024"/>
    <x v="139"/>
    <s v="Selesai"/>
    <n v="0"/>
  </r>
  <r>
    <s v="ORD00339"/>
    <s v="CUST0105"/>
    <x v="140"/>
    <s v="Selesai"/>
    <n v="0"/>
  </r>
  <r>
    <s v="ORD00760"/>
    <s v="CUST0032"/>
    <x v="141"/>
    <s v="Selesai"/>
    <n v="0.1"/>
  </r>
  <r>
    <s v="ORD00210"/>
    <s v="CUST0179"/>
    <x v="142"/>
    <s v="Selesai"/>
    <n v="0"/>
  </r>
  <r>
    <s v="ORD00135"/>
    <s v="CUST0170"/>
    <x v="143"/>
    <s v="Dikirim"/>
    <n v="0"/>
  </r>
  <r>
    <s v="ORD00645"/>
    <s v="CUST0197"/>
    <x v="144"/>
    <s v="Selesai"/>
    <n v="0"/>
  </r>
  <r>
    <s v="ORD00635"/>
    <s v="CUST0170"/>
    <x v="145"/>
    <s v="Selesai"/>
    <n v="0"/>
  </r>
  <r>
    <s v="ORD00482"/>
    <s v="CUST0036"/>
    <x v="146"/>
    <s v="Dibatalkan"/>
    <n v="0"/>
  </r>
  <r>
    <s v="ORD00002"/>
    <s v="CUST0036"/>
    <x v="147"/>
    <s v="Selesai"/>
    <n v="0"/>
  </r>
  <r>
    <s v="ORD00450"/>
    <s v="CUST0176"/>
    <x v="148"/>
    <s v="Selesai"/>
    <n v="0"/>
  </r>
  <r>
    <s v="ORD00570"/>
    <s v="CUST0111"/>
    <x v="149"/>
    <s v="Selesai"/>
    <n v="0"/>
  </r>
  <r>
    <s v="ORD00727"/>
    <s v="CUST0170"/>
    <x v="149"/>
    <s v="Selesai"/>
    <n v="0"/>
  </r>
  <r>
    <s v="ORD00241"/>
    <s v="CUST0125"/>
    <x v="150"/>
    <s v="Dibatalkan"/>
    <n v="0"/>
  </r>
  <r>
    <s v="ORD00540"/>
    <s v="CUST0032"/>
    <x v="151"/>
    <s v="Selesai"/>
    <n v="0"/>
  </r>
  <r>
    <s v="ORD00687"/>
    <s v="CUST0013"/>
    <x v="152"/>
    <s v="Selesai"/>
    <n v="0.1"/>
  </r>
  <r>
    <s v="ORD00235"/>
    <s v="CUST0123"/>
    <x v="153"/>
    <s v="Dikirim"/>
    <n v="0.05"/>
  </r>
  <r>
    <s v="ORD00352"/>
    <s v="CUST0032"/>
    <x v="154"/>
    <s v="Dibatalkan"/>
    <n v="0"/>
  </r>
  <r>
    <s v="ORD00473"/>
    <s v="CUST0032"/>
    <x v="155"/>
    <s v="Dikirim"/>
    <n v="0.1"/>
  </r>
  <r>
    <s v="ORD00371"/>
    <s v="CUST0103"/>
    <x v="156"/>
    <s v="Selesai"/>
    <n v="0"/>
  </r>
  <r>
    <s v="ORD00463"/>
    <s v="CUST0107"/>
    <x v="157"/>
    <s v="Dikirim"/>
    <n v="0.05"/>
  </r>
  <r>
    <s v="ORD00485"/>
    <s v="CUST0095"/>
    <x v="158"/>
    <s v="Dibatalkan"/>
    <n v="0"/>
  </r>
  <r>
    <s v="ORD00245"/>
    <s v="CUST0137"/>
    <x v="159"/>
    <s v="Selesai"/>
    <n v="0"/>
  </r>
  <r>
    <s v="ORD00386"/>
    <s v="CUST0062"/>
    <x v="160"/>
    <s v="Selesai"/>
    <n v="0"/>
  </r>
  <r>
    <s v="ORD00275"/>
    <s v="CUST0095"/>
    <x v="161"/>
    <s v="Selesai"/>
    <n v="0"/>
  </r>
  <r>
    <s v="ORD00746"/>
    <s v="CUST0007"/>
    <x v="162"/>
    <s v="Selesai"/>
    <n v="0"/>
  </r>
  <r>
    <s v="ORD00658"/>
    <s v="CUST0062"/>
    <x v="163"/>
    <s v="Selesai"/>
    <n v="0.15"/>
  </r>
  <r>
    <s v="ORD00507"/>
    <s v="CUST0007"/>
    <x v="164"/>
    <s v="Dibatalkan"/>
    <n v="0"/>
  </r>
  <r>
    <s v="ORD00560"/>
    <s v="CUST0136"/>
    <x v="165"/>
    <s v="Dibatalkan"/>
    <n v="0.15"/>
  </r>
  <r>
    <s v="ORD00384"/>
    <s v="CUST0179"/>
    <x v="166"/>
    <s v="Selesai"/>
    <n v="0"/>
  </r>
  <r>
    <s v="ORD00525"/>
    <s v="CUST0136"/>
    <x v="167"/>
    <s v="Selesai"/>
    <n v="0"/>
  </r>
  <r>
    <s v="ORD00001"/>
    <s v="CUST0007"/>
    <x v="168"/>
    <s v="Selesai"/>
    <n v="0.05"/>
  </r>
  <r>
    <s v="ORD00121"/>
    <s v="CUST0067"/>
    <x v="169"/>
    <s v="Selesai"/>
    <n v="0.1"/>
  </r>
  <r>
    <s v="ORD00006"/>
    <s v="CUST0007"/>
    <x v="170"/>
    <s v="Selesai"/>
    <n v="0.2"/>
  </r>
  <r>
    <s v="ORD00762"/>
    <s v="CUST0007"/>
    <x v="171"/>
    <s v="Selesai"/>
    <n v="0"/>
  </r>
  <r>
    <s v="ORD00041"/>
    <s v="CUST0068"/>
    <x v="172"/>
    <s v="Selesai"/>
    <n v="0"/>
  </r>
  <r>
    <s v="ORD00112"/>
    <s v="CUST0123"/>
    <x v="173"/>
    <s v="Dibatalkan"/>
    <n v="0"/>
  </r>
  <r>
    <s v="ORD00715"/>
    <s v="CUST0049"/>
    <x v="174"/>
    <s v="Dibatalkan"/>
    <n v="0.05"/>
  </r>
  <r>
    <s v="ORD00328"/>
    <s v="CUST0107"/>
    <x v="175"/>
    <s v="Selesai"/>
    <n v="0"/>
  </r>
  <r>
    <s v="ORD00465"/>
    <s v="CUST0129"/>
    <x v="176"/>
    <s v="Dikirim"/>
    <n v="0"/>
  </r>
  <r>
    <s v="ORD00673"/>
    <s v="CUST0007"/>
    <x v="177"/>
    <s v="Selesai"/>
    <n v="0"/>
  </r>
  <r>
    <s v="ORD00674"/>
    <s v="CUST0129"/>
    <x v="178"/>
    <s v="Dibatalkan"/>
    <n v="0"/>
  </r>
  <r>
    <s v="ORD00114"/>
    <s v="CUST0021"/>
    <x v="179"/>
    <s v="Selesai"/>
    <n v="0.2"/>
  </r>
  <r>
    <s v="ORD00708"/>
    <s v="CUST0123"/>
    <x v="180"/>
    <s v="Dibatalkan"/>
    <n v="0"/>
  </r>
  <r>
    <s v="ORD00458"/>
    <s v="CUST0161"/>
    <x v="181"/>
    <s v="Selesai"/>
    <n v="0"/>
  </r>
  <r>
    <s v="ORD00646"/>
    <s v="CUST0058"/>
    <x v="182"/>
    <s v="Dikirim"/>
    <n v="0.1"/>
  </r>
  <r>
    <s v="ORD00201"/>
    <s v="CUST0058"/>
    <x v="183"/>
    <s v="Selesai"/>
    <n v="0.05"/>
  </r>
  <r>
    <s v="ORD00558"/>
    <s v="CUST0018"/>
    <x v="184"/>
    <s v="Dikirim"/>
    <n v="0"/>
  </r>
  <r>
    <s v="ORD00302"/>
    <s v="CUST0095"/>
    <x v="185"/>
    <s v="Selesai"/>
    <n v="0"/>
  </r>
  <r>
    <s v="ORD00566"/>
    <s v="CUST0021"/>
    <x v="186"/>
    <s v="Selesai"/>
    <n v="0"/>
  </r>
  <r>
    <s v="ORD00457"/>
    <s v="CUST0036"/>
    <x v="186"/>
    <s v="Dibatalkan"/>
    <n v="0.1"/>
  </r>
  <r>
    <s v="ORD00395"/>
    <s v="CUST0049"/>
    <x v="187"/>
    <s v="Selesai"/>
    <n v="0"/>
  </r>
  <r>
    <s v="ORD00753"/>
    <s v="CUST0023"/>
    <x v="188"/>
    <s v="Selesai"/>
    <n v="0"/>
  </r>
  <r>
    <s v="ORD00800"/>
    <s v="CUST0089"/>
    <x v="189"/>
    <s v="Selesai"/>
    <n v="0.15"/>
  </r>
  <r>
    <s v="ORD00627"/>
    <s v="CUST0199"/>
    <x v="190"/>
    <s v="Selesai"/>
    <n v="0"/>
  </r>
  <r>
    <s v="ORD00681"/>
    <s v="CUST0121"/>
    <x v="191"/>
    <s v="Dikirim"/>
    <n v="0"/>
  </r>
  <r>
    <s v="ORD00253"/>
    <s v="CUST0021"/>
    <x v="192"/>
    <s v="Dibatalkan"/>
    <n v="0"/>
  </r>
  <r>
    <s v="ORD00538"/>
    <s v="CUST0143"/>
    <x v="193"/>
    <s v="Dibatalkan"/>
    <n v="0"/>
  </r>
  <r>
    <s v="ORD00406"/>
    <s v="CUST0199"/>
    <x v="194"/>
    <s v="Dikirim"/>
    <n v="0"/>
  </r>
  <r>
    <s v="ORD00034"/>
    <s v="CUST0103"/>
    <x v="195"/>
    <s v="Selesai"/>
    <n v="0.05"/>
  </r>
  <r>
    <s v="ORD00107"/>
    <s v="CUST0170"/>
    <x v="196"/>
    <s v="Selesai"/>
    <n v="0"/>
  </r>
  <r>
    <s v="ORD00159"/>
    <s v="CUST0106"/>
    <x v="197"/>
    <s v="Dibatalkan"/>
    <n v="0"/>
  </r>
  <r>
    <s v="ORD00072"/>
    <s v="CUST0109"/>
    <x v="198"/>
    <s v="Selesai"/>
    <n v="0"/>
  </r>
  <r>
    <s v="ORD00470"/>
    <s v="CUST0058"/>
    <x v="199"/>
    <s v="Selesai"/>
    <n v="0"/>
  </r>
  <r>
    <s v="ORD00143"/>
    <s v="CUST0086"/>
    <x v="200"/>
    <s v="Selesai"/>
    <n v="0"/>
  </r>
  <r>
    <s v="ORD00738"/>
    <s v="CUST0018"/>
    <x v="201"/>
    <s v="Dibatalkan"/>
    <n v="0.05"/>
  </r>
  <r>
    <s v="ORD00618"/>
    <s v="CUST0147"/>
    <x v="202"/>
    <s v="Selesai"/>
    <n v="0"/>
  </r>
  <r>
    <s v="ORD00091"/>
    <s v="CUST0168"/>
    <x v="203"/>
    <s v="Selesai"/>
    <n v="0"/>
  </r>
  <r>
    <s v="ORD00704"/>
    <s v="CUST0149"/>
    <x v="204"/>
    <s v="Selesai"/>
    <n v="0"/>
  </r>
  <r>
    <s v="ORD00229"/>
    <s v="CUST0105"/>
    <x v="205"/>
    <s v="Selesai"/>
    <n v="0"/>
  </r>
  <r>
    <s v="ORD00182"/>
    <s v="CUST0085"/>
    <x v="206"/>
    <s v="Selesai"/>
    <n v="0.15"/>
  </r>
  <r>
    <s v="ORD00045"/>
    <s v="CUST0013"/>
    <x v="207"/>
    <s v="Selesai"/>
    <n v="0"/>
  </r>
  <r>
    <s v="ORD00312"/>
    <s v="CUST0026"/>
    <x v="208"/>
    <s v="Selesai"/>
    <n v="0"/>
  </r>
  <r>
    <s v="ORD00477"/>
    <s v="CUST0060"/>
    <x v="209"/>
    <s v="Selesai"/>
    <n v="0"/>
  </r>
  <r>
    <s v="ORD00647"/>
    <s v="CUST0076"/>
    <x v="210"/>
    <s v="Selesai"/>
    <n v="0"/>
  </r>
  <r>
    <s v="ORD00798"/>
    <s v="CUST0156"/>
    <x v="211"/>
    <s v="Dikirim"/>
    <n v="0"/>
  </r>
  <r>
    <s v="ORD00250"/>
    <s v="CUST0084"/>
    <x v="212"/>
    <s v="Selesai"/>
    <n v="0"/>
  </r>
  <r>
    <s v="ORD00037"/>
    <s v="CUST0128"/>
    <x v="213"/>
    <s v="Dibatalkan"/>
    <n v="0.15"/>
  </r>
  <r>
    <s v="ORD00103"/>
    <s v="CUST0103"/>
    <x v="214"/>
    <s v="Dibatalkan"/>
    <n v="0"/>
  </r>
  <r>
    <s v="ORD00411"/>
    <s v="CUST0026"/>
    <x v="215"/>
    <s v="Selesai"/>
    <n v="0"/>
  </r>
  <r>
    <s v="ORD00426"/>
    <s v="CUST0026"/>
    <x v="216"/>
    <s v="Dibatalkan"/>
    <n v="0"/>
  </r>
  <r>
    <s v="ORD00718"/>
    <s v="CUST0095"/>
    <x v="217"/>
    <s v="Dibatalkan"/>
    <n v="0.1"/>
  </r>
  <r>
    <s v="ORD00495"/>
    <s v="CUST0032"/>
    <x v="218"/>
    <s v="Dibatalkan"/>
    <n v="0"/>
  </r>
  <r>
    <s v="ORD00755"/>
    <s v="CUST0182"/>
    <x v="219"/>
    <s v="Selesai"/>
    <n v="0"/>
  </r>
  <r>
    <s v="ORD00648"/>
    <s v="CUST0026"/>
    <x v="220"/>
    <s v="Selesai"/>
    <n v="0"/>
  </r>
  <r>
    <s v="ORD00584"/>
    <s v="CUST0005"/>
    <x v="221"/>
    <s v="Dikirim"/>
    <n v="0.15"/>
  </r>
  <r>
    <s v="ORD00054"/>
    <s v="CUST0041"/>
    <x v="221"/>
    <s v="Dibatalkan"/>
    <n v="0.05"/>
  </r>
  <r>
    <s v="ORD00165"/>
    <s v="CUST0059"/>
    <x v="222"/>
    <s v="Selesai"/>
    <n v="0"/>
  </r>
  <r>
    <s v="ORD00277"/>
    <s v="CUST0108"/>
    <x v="223"/>
    <s v="Dikirim"/>
    <n v="0"/>
  </r>
  <r>
    <s v="ORD00305"/>
    <s v="CUST0180"/>
    <x v="224"/>
    <s v="Selesai"/>
    <n v="0.05"/>
  </r>
  <r>
    <s v="ORD00745"/>
    <s v="CUST0072"/>
    <x v="225"/>
    <s v="Selesai"/>
    <n v="0.1"/>
  </r>
  <r>
    <s v="ORD00255"/>
    <s v="CUST0167"/>
    <x v="226"/>
    <s v="Dikirim"/>
    <n v="0"/>
  </r>
  <r>
    <s v="ORD00580"/>
    <s v="CUST0181"/>
    <x v="227"/>
    <s v="Dikirim"/>
    <n v="0.1"/>
  </r>
  <r>
    <s v="ORD00690"/>
    <s v="CUST0005"/>
    <x v="227"/>
    <s v="Selesai"/>
    <n v="0.05"/>
  </r>
  <r>
    <s v="ORD00378"/>
    <s v="CUST0049"/>
    <x v="228"/>
    <s v="Dibatalkan"/>
    <n v="0"/>
  </r>
  <r>
    <s v="ORD00178"/>
    <s v="CUST0182"/>
    <x v="228"/>
    <s v="Selesai"/>
    <n v="0.05"/>
  </r>
  <r>
    <s v="ORD00089"/>
    <s v="CUST0109"/>
    <x v="229"/>
    <s v="Dikirim"/>
    <n v="0.1"/>
  </r>
  <r>
    <s v="ORD00438"/>
    <s v="CUST0066"/>
    <x v="230"/>
    <s v="Selesai"/>
    <n v="0"/>
  </r>
  <r>
    <s v="ORD00297"/>
    <s v="CUST0195"/>
    <x v="231"/>
    <s v="Selesai"/>
    <n v="0"/>
  </r>
  <r>
    <s v="ORD00685"/>
    <s v="CUST0029"/>
    <x v="232"/>
    <s v="Selesai"/>
    <n v="0"/>
  </r>
  <r>
    <s v="ORD00767"/>
    <s v="CUST0197"/>
    <x v="232"/>
    <s v="Selesai"/>
    <n v="0.15"/>
  </r>
  <r>
    <s v="ORD00552"/>
    <s v="CUST0156"/>
    <x v="233"/>
    <s v="Selesai"/>
    <n v="0"/>
  </r>
  <r>
    <s v="ORD00187"/>
    <s v="CUST0050"/>
    <x v="234"/>
    <s v="Selesai"/>
    <n v="0.05"/>
  </r>
  <r>
    <s v="ORD00020"/>
    <s v="CUST0148"/>
    <x v="235"/>
    <s v="Selesai"/>
    <n v="0"/>
  </r>
  <r>
    <s v="ORD00177"/>
    <s v="CUST0148"/>
    <x v="236"/>
    <s v="Selesai"/>
    <n v="0.05"/>
  </r>
  <r>
    <s v="ORD00190"/>
    <s v="CUST0078"/>
    <x v="237"/>
    <s v="Selesai"/>
    <n v="0.1"/>
  </r>
  <r>
    <s v="ORD00028"/>
    <s v="CUST0156"/>
    <x v="238"/>
    <s v="Selesai"/>
    <n v="0"/>
  </r>
  <r>
    <s v="ORD00170"/>
    <s v="CUST0103"/>
    <x v="239"/>
    <s v="Selesai"/>
    <n v="0"/>
  </r>
  <r>
    <s v="ORD00710"/>
    <s v="CUST0118"/>
    <x v="240"/>
    <s v="Selesai"/>
    <n v="0.05"/>
  </r>
  <r>
    <s v="ORD00441"/>
    <s v="CUST0041"/>
    <x v="241"/>
    <s v="Selesai"/>
    <n v="0.05"/>
  </r>
  <r>
    <s v="ORD00074"/>
    <s v="CUST0103"/>
    <x v="242"/>
    <s v="Selesai"/>
    <n v="0"/>
  </r>
  <r>
    <s v="ORD00146"/>
    <s v="CUST0144"/>
    <x v="243"/>
    <s v="Selesai"/>
    <n v="0"/>
  </r>
  <r>
    <s v="ORD00637"/>
    <s v="CUST0101"/>
    <x v="244"/>
    <s v="Selesai"/>
    <n v="0"/>
  </r>
  <r>
    <s v="ORD00668"/>
    <s v="CUST0133"/>
    <x v="245"/>
    <s v="Dikirim"/>
    <n v="0"/>
  </r>
  <r>
    <s v="ORD00295"/>
    <s v="CUST0133"/>
    <x v="246"/>
    <s v="Selesai"/>
    <n v="0.1"/>
  </r>
  <r>
    <s v="ORD00456"/>
    <s v="CUST0197"/>
    <x v="247"/>
    <s v="Selesai"/>
    <n v="0"/>
  </r>
  <r>
    <s v="ORD00164"/>
    <s v="CUST0118"/>
    <x v="248"/>
    <s v="Dibatalkan"/>
    <n v="0.1"/>
  </r>
  <r>
    <s v="ORD00778"/>
    <s v="CUST0133"/>
    <x v="249"/>
    <s v="Dibatalkan"/>
    <n v="0"/>
  </r>
  <r>
    <s v="ORD00665"/>
    <s v="CUST0036"/>
    <x v="250"/>
    <s v="Selesai"/>
    <n v="0"/>
  </r>
  <r>
    <s v="ORD00775"/>
    <s v="CUST0133"/>
    <x v="251"/>
    <s v="Selesai"/>
    <n v="0"/>
  </r>
  <r>
    <s v="ORD00059"/>
    <s v="CUST0130"/>
    <x v="252"/>
    <s v="Dibatalkan"/>
    <n v="0.15"/>
  </r>
  <r>
    <s v="ORD00503"/>
    <s v="CUST0060"/>
    <x v="253"/>
    <s v="Selesai"/>
    <n v="0.1"/>
  </r>
  <r>
    <s v="ORD00469"/>
    <s v="CUST0120"/>
    <x v="254"/>
    <s v="Selesai"/>
    <n v="0"/>
  </r>
  <r>
    <s v="ORD00023"/>
    <s v="CUST0026"/>
    <x v="255"/>
    <s v="Selesai"/>
    <n v="0.05"/>
  </r>
  <r>
    <s v="ORD00610"/>
    <s v="CUST0162"/>
    <x v="256"/>
    <s v="Selesai"/>
    <n v="0"/>
  </r>
  <r>
    <s v="ORD00440"/>
    <s v="CUST0120"/>
    <x v="257"/>
    <s v="Selesai"/>
    <n v="0"/>
  </r>
  <r>
    <s v="ORD00161"/>
    <s v="CUST0069"/>
    <x v="258"/>
    <s v="Selesai"/>
    <n v="0"/>
  </r>
  <r>
    <s v="ORD00533"/>
    <s v="CUST0187"/>
    <x v="259"/>
    <s v="Selesai"/>
    <n v="0"/>
  </r>
  <r>
    <s v="ORD00284"/>
    <s v="CUST0120"/>
    <x v="260"/>
    <s v="Dibatalkan"/>
    <n v="0"/>
  </r>
  <r>
    <s v="ORD00022"/>
    <s v="CUST0075"/>
    <x v="261"/>
    <s v="Dikirim"/>
    <n v="0"/>
  </r>
  <r>
    <s v="ORD00748"/>
    <s v="CUST0199"/>
    <x v="262"/>
    <s v="Selesai"/>
    <n v="0.1"/>
  </r>
  <r>
    <s v="ORD00118"/>
    <s v="CUST0153"/>
    <x v="263"/>
    <s v="Selesai"/>
    <n v="0"/>
  </r>
  <r>
    <s v="ORD00548"/>
    <s v="CUST0072"/>
    <x v="264"/>
    <s v="Selesai"/>
    <n v="0.15"/>
  </r>
  <r>
    <s v="ORD00227"/>
    <s v="CUST0060"/>
    <x v="265"/>
    <s v="Selesai"/>
    <n v="0.15"/>
  </r>
  <r>
    <s v="ORD00431"/>
    <s v="CUST0136"/>
    <x v="266"/>
    <s v="Selesai"/>
    <n v="0"/>
  </r>
  <r>
    <s v="ORD00175"/>
    <s v="CUST0187"/>
    <x v="267"/>
    <s v="Selesai"/>
    <n v="0"/>
  </r>
  <r>
    <s v="ORD00129"/>
    <s v="CUST0090"/>
    <x v="268"/>
    <s v="Selesai"/>
    <n v="0.05"/>
  </r>
  <r>
    <s v="ORD00577"/>
    <s v="CUST0075"/>
    <x v="269"/>
    <s v="Selesai"/>
    <n v="0.15"/>
  </r>
  <r>
    <s v="ORD00173"/>
    <s v="CUST0068"/>
    <x v="270"/>
    <s v="Selesai"/>
    <n v="0.2"/>
  </r>
  <r>
    <s v="ORD00664"/>
    <s v="CUST0052"/>
    <x v="271"/>
    <s v="Selesai"/>
    <n v="0.05"/>
  </r>
  <r>
    <s v="ORD00790"/>
    <s v="CUST0147"/>
    <x v="272"/>
    <s v="Dikirim"/>
    <n v="0"/>
  </r>
  <r>
    <s v="ORD00069"/>
    <s v="CUST0033"/>
    <x v="272"/>
    <s v="Selesai"/>
    <n v="0"/>
  </r>
  <r>
    <s v="ORD00642"/>
    <s v="CUST0166"/>
    <x v="273"/>
    <s v="Selesai"/>
    <n v="0"/>
  </r>
  <r>
    <s v="ORD00294"/>
    <s v="CUST0153"/>
    <x v="274"/>
    <s v="Selesai"/>
    <n v="0.1"/>
  </r>
  <r>
    <s v="ORD00348"/>
    <s v="CUST0039"/>
    <x v="275"/>
    <s v="Selesai"/>
    <n v="0"/>
  </r>
  <r>
    <s v="ORD00361"/>
    <s v="CUST0069"/>
    <x v="276"/>
    <s v="Dikirim"/>
    <n v="0.05"/>
  </r>
  <r>
    <s v="ORD00510"/>
    <s v="CUST0033"/>
    <x v="277"/>
    <s v="Dibatalkan"/>
    <n v="0.1"/>
  </r>
  <r>
    <s v="ORD00341"/>
    <s v="CUST0060"/>
    <x v="278"/>
    <s v="Selesai"/>
    <n v="0"/>
  </r>
  <r>
    <s v="ORD00266"/>
    <s v="CUST0149"/>
    <x v="279"/>
    <s v="Selesai"/>
    <n v="0.1"/>
  </r>
  <r>
    <s v="ORD00387"/>
    <s v="CUST0004"/>
    <x v="280"/>
    <s v="Dikirim"/>
    <n v="0.1"/>
  </r>
  <r>
    <s v="ORD00543"/>
    <s v="CUST0080"/>
    <x v="281"/>
    <s v="Dikirim"/>
    <n v="0.1"/>
  </r>
  <r>
    <s v="ORD00230"/>
    <s v="CUST0120"/>
    <x v="282"/>
    <s v="Dikirim"/>
    <n v="0"/>
  </r>
  <r>
    <s v="ORD00340"/>
    <s v="CUST0153"/>
    <x v="283"/>
    <s v="Dibatalkan"/>
    <n v="0.05"/>
  </r>
  <r>
    <s v="ORD00544"/>
    <s v="CUST0148"/>
    <x v="284"/>
    <s v="Selesai"/>
    <n v="0"/>
  </r>
  <r>
    <s v="ORD00410"/>
    <s v="CUST0033"/>
    <x v="285"/>
    <s v="Dikirim"/>
    <n v="0.05"/>
  </r>
  <r>
    <s v="ORD00417"/>
    <s v="CUST0021"/>
    <x v="286"/>
    <s v="Selesai"/>
    <n v="0"/>
  </r>
  <r>
    <s v="ORD00719"/>
    <s v="CUST0103"/>
    <x v="287"/>
    <s v="Dibatalkan"/>
    <n v="0.1"/>
  </r>
  <r>
    <s v="ORD00098"/>
    <s v="CUST0141"/>
    <x v="288"/>
    <s v="Selesai"/>
    <n v="0"/>
  </r>
  <r>
    <s v="ORD00620"/>
    <s v="CUST0039"/>
    <x v="289"/>
    <s v="Selesai"/>
    <n v="0.05"/>
  </r>
  <r>
    <s v="ORD00325"/>
    <s v="CUST0014"/>
    <x v="290"/>
    <s v="Selesai"/>
    <n v="0"/>
  </r>
  <r>
    <s v="ORD00564"/>
    <s v="CUST0014"/>
    <x v="291"/>
    <s v="Selesai"/>
    <n v="0"/>
  </r>
  <r>
    <s v="ORD00217"/>
    <s v="CUST0141"/>
    <x v="292"/>
    <s v="Dikirim"/>
    <n v="0.1"/>
  </r>
  <r>
    <s v="ORD00663"/>
    <s v="CUST0108"/>
    <x v="293"/>
    <s v="Selesai"/>
    <n v="0.05"/>
  </r>
  <r>
    <s v="ORD00756"/>
    <s v="CUST0075"/>
    <x v="294"/>
    <s v="Selesai"/>
    <n v="0"/>
  </r>
  <r>
    <s v="ORD00524"/>
    <s v="CUST0084"/>
    <x v="295"/>
    <s v="Dikirim"/>
    <n v="0.2"/>
  </r>
  <r>
    <s v="ORD00461"/>
    <s v="CUST0188"/>
    <x v="296"/>
    <s v="Dikirim"/>
    <n v="0"/>
  </r>
  <r>
    <s v="ORD00298"/>
    <s v="CUST0122"/>
    <x v="297"/>
    <s v="Selesai"/>
    <n v="0"/>
  </r>
  <r>
    <s v="ORD00459"/>
    <s v="CUST0080"/>
    <x v="298"/>
    <s v="Dikirim"/>
    <n v="0.05"/>
  </r>
  <r>
    <s v="ORD00336"/>
    <s v="CUST0068"/>
    <x v="299"/>
    <s v="Selesai"/>
    <n v="0"/>
  </r>
  <r>
    <s v="ORD00282"/>
    <s v="CUST0158"/>
    <x v="300"/>
    <s v="Selesai"/>
    <n v="0"/>
  </r>
  <r>
    <s v="ORD00205"/>
    <s v="CUST0050"/>
    <x v="301"/>
    <s v="Dibatalkan"/>
    <n v="0"/>
  </r>
  <r>
    <s v="ORD00316"/>
    <s v="CUST0014"/>
    <x v="302"/>
    <s v="Dibatalkan"/>
    <n v="0.05"/>
  </r>
  <r>
    <s v="ORD00197"/>
    <s v="CUST0073"/>
    <x v="303"/>
    <s v="Dikirim"/>
    <n v="0"/>
  </r>
  <r>
    <s v="ORD00401"/>
    <s v="CUST0039"/>
    <x v="304"/>
    <s v="Selesai"/>
    <n v="0"/>
  </r>
  <r>
    <s v="ORD00572"/>
    <s v="CUST0135"/>
    <x v="304"/>
    <s v="Selesai"/>
    <n v="0"/>
  </r>
  <r>
    <s v="ORD00771"/>
    <s v="CUST0089"/>
    <x v="305"/>
    <s v="Selesai"/>
    <n v="0"/>
  </r>
  <r>
    <s v="ORD00280"/>
    <s v="CUST0112"/>
    <x v="306"/>
    <s v="Selesai"/>
    <n v="0"/>
  </r>
  <r>
    <s v="ORD00008"/>
    <s v="CUST0108"/>
    <x v="307"/>
    <s v="Selesai"/>
    <n v="0.1"/>
  </r>
  <r>
    <s v="ORD00555"/>
    <s v="CUST0080"/>
    <x v="308"/>
    <s v="Selesai"/>
    <n v="0.05"/>
  </r>
  <r>
    <s v="ORD00724"/>
    <s v="CUST0021"/>
    <x v="309"/>
    <s v="Dikirim"/>
    <n v="0"/>
  </r>
  <r>
    <s v="ORD00511"/>
    <s v="CUST0135"/>
    <x v="309"/>
    <s v="Selesai"/>
    <n v="0.05"/>
  </r>
  <r>
    <s v="ORD00191"/>
    <s v="CUST0001"/>
    <x v="310"/>
    <s v="Selesai"/>
    <n v="0"/>
  </r>
  <r>
    <s v="ORD00265"/>
    <s v="CUST0042"/>
    <x v="311"/>
    <s v="Selesai"/>
    <n v="0"/>
  </r>
  <r>
    <s v="ORD00489"/>
    <s v="CUST0158"/>
    <x v="312"/>
    <s v="Selesai"/>
    <n v="0"/>
  </r>
  <r>
    <s v="ORD00705"/>
    <s v="CUST0091"/>
    <x v="313"/>
    <s v="Dibatalkan"/>
    <n v="0"/>
  </r>
  <r>
    <s v="ORD00154"/>
    <s v="CUST0091"/>
    <x v="314"/>
    <s v="Selesai"/>
    <n v="0"/>
  </r>
  <r>
    <s v="ORD00418"/>
    <s v="CUST0173"/>
    <x v="315"/>
    <s v="Selesai"/>
    <n v="0.1"/>
  </r>
  <r>
    <s v="ORD00155"/>
    <s v="CUST0159"/>
    <x v="316"/>
    <s v="Dibatalkan"/>
    <n v="0"/>
  </r>
  <r>
    <s v="ORD00435"/>
    <s v="CUST0159"/>
    <x v="316"/>
    <s v="Dikirim"/>
    <n v="0.15"/>
  </r>
  <r>
    <s v="ORD00058"/>
    <s v="CUST0077"/>
    <x v="317"/>
    <s v="Selesai"/>
    <n v="0"/>
  </r>
  <r>
    <s v="ORD00623"/>
    <s v="CUST0045"/>
    <x v="318"/>
    <s v="Selesai"/>
    <n v="0"/>
  </r>
  <r>
    <s v="ORD00743"/>
    <s v="CUST0020"/>
    <x v="319"/>
    <s v="Selesai"/>
    <n v="0.2"/>
  </r>
  <r>
    <s v="ORD00541"/>
    <s v="CUST0171"/>
    <x v="320"/>
    <s v="Selesai"/>
    <n v="0"/>
  </r>
  <r>
    <s v="ORD00579"/>
    <s v="CUST0045"/>
    <x v="321"/>
    <s v="Selesai"/>
    <n v="0"/>
  </r>
  <r>
    <s v="ORD00412"/>
    <s v="CUST0117"/>
    <x v="322"/>
    <s v="Dikirim"/>
    <n v="0.05"/>
  </r>
  <r>
    <s v="ORD00134"/>
    <s v="CUST0171"/>
    <x v="323"/>
    <s v="Dikirim"/>
    <n v="0.05"/>
  </r>
  <r>
    <s v="ORD00147"/>
    <s v="CUST0020"/>
    <x v="324"/>
    <s v="Selesai"/>
    <n v="0"/>
  </r>
  <r>
    <s v="ORD00172"/>
    <s v="CUST0067"/>
    <x v="324"/>
    <s v="Dikirim"/>
    <n v="0"/>
  </r>
  <r>
    <s v="ORD00795"/>
    <s v="CUST0117"/>
    <x v="325"/>
    <s v="Dibatalkan"/>
    <n v="0"/>
  </r>
  <r>
    <s v="ORD00126"/>
    <s v="CUST0160"/>
    <x v="326"/>
    <s v="Selesai"/>
    <n v="0"/>
  </r>
  <r>
    <s v="ORD00496"/>
    <s v="CUST0117"/>
    <x v="327"/>
    <s v="Selesai"/>
    <n v="0"/>
  </r>
  <r>
    <s v="ORD00788"/>
    <s v="CUST0198"/>
    <x v="328"/>
    <s v="Selesai"/>
    <n v="0.05"/>
  </r>
  <r>
    <s v="ORD00695"/>
    <s v="CUST0171"/>
    <x v="329"/>
    <s v="Dikirim"/>
    <n v="0"/>
  </r>
  <r>
    <s v="ORD00327"/>
    <s v="CUST0031"/>
    <x v="330"/>
    <s v="Selesai"/>
    <n v="0.05"/>
  </r>
  <r>
    <s v="ORD00501"/>
    <s v="CUST0196"/>
    <x v="331"/>
    <s v="Selesai"/>
    <n v="0"/>
  </r>
  <r>
    <s v="ORD00082"/>
    <s v="CUST0009"/>
    <x v="332"/>
    <s v="Selesai"/>
    <n v="0"/>
  </r>
  <r>
    <s v="ORD00105"/>
    <s v="CUST0117"/>
    <x v="333"/>
    <s v="Selesai"/>
    <n v="0.05"/>
  </r>
  <r>
    <s v="ORD00444"/>
    <s v="CUST0117"/>
    <x v="333"/>
    <s v="Dibatalkan"/>
    <n v="0"/>
  </r>
  <r>
    <s v="ORD00335"/>
    <s v="CUST0054"/>
    <x v="334"/>
    <s v="Selesai"/>
    <n v="0"/>
  </r>
  <r>
    <s v="ORD00672"/>
    <s v="CUST0057"/>
    <x v="335"/>
    <s v="Selesai"/>
    <n v="0"/>
  </r>
  <r>
    <s v="ORD00561"/>
    <s v="CUST0117"/>
    <x v="336"/>
    <s v="Selesai"/>
    <n v="0"/>
  </r>
  <r>
    <s v="ORD00071"/>
    <s v="CUST0136"/>
    <x v="337"/>
    <s v="Selesai"/>
    <n v="0.1"/>
  </r>
  <r>
    <s v="ORD00263"/>
    <s v="CUST0156"/>
    <x v="338"/>
    <s v="Selesai"/>
    <n v="0"/>
  </r>
  <r>
    <s v="ORD00222"/>
    <s v="CUST0134"/>
    <x v="339"/>
    <s v="Dibatalkan"/>
    <n v="0"/>
  </r>
  <r>
    <s v="ORD00576"/>
    <s v="CUST0036"/>
    <x v="339"/>
    <s v="Dibatalkan"/>
    <n v="0"/>
  </r>
  <r>
    <s v="ORD00446"/>
    <s v="CUST0147"/>
    <x v="340"/>
    <s v="Selesai"/>
    <n v="0.1"/>
  </r>
  <r>
    <s v="ORD00240"/>
    <s v="CUST0057"/>
    <x v="341"/>
    <s v="Dibatalkan"/>
    <n v="0.05"/>
  </r>
  <r>
    <s v="ORD00330"/>
    <s v="CUST0134"/>
    <x v="342"/>
    <s v="Dikirim"/>
    <n v="0"/>
  </r>
  <r>
    <s v="ORD00050"/>
    <s v="CUST0003"/>
    <x v="343"/>
    <s v="Dibatalkan"/>
    <n v="0.1"/>
  </r>
  <r>
    <s v="ORD00625"/>
    <s v="CUST0134"/>
    <x v="343"/>
    <s v="Selesai"/>
    <n v="0.1"/>
  </r>
  <r>
    <s v="ORD00192"/>
    <s v="CUST0111"/>
    <x v="344"/>
    <s v="Dibatalkan"/>
    <n v="0.05"/>
  </r>
  <r>
    <s v="ORD00024"/>
    <s v="CUST0117"/>
    <x v="345"/>
    <s v="Selesai"/>
    <n v="0"/>
  </r>
  <r>
    <s v="ORD00342"/>
    <s v="CUST0073"/>
    <x v="346"/>
    <s v="Dibatalkan"/>
    <n v="0"/>
  </r>
  <r>
    <s v="ORD00317"/>
    <s v="CUST0033"/>
    <x v="346"/>
    <s v="Dikirim"/>
    <n v="0.15"/>
  </r>
  <r>
    <s v="ORD00509"/>
    <s v="CUST0045"/>
    <x v="347"/>
    <s v="Selesai"/>
    <n v="0"/>
  </r>
  <r>
    <s v="ORD00630"/>
    <s v="CUST0085"/>
    <x v="348"/>
    <s v="Dikirim"/>
    <n v="0.1"/>
  </r>
  <r>
    <s v="ORD00338"/>
    <s v="CUST0142"/>
    <x v="349"/>
    <s v="Selesai"/>
    <n v="0.05"/>
  </r>
  <r>
    <s v="ORD00556"/>
    <s v="CUST0002"/>
    <x v="350"/>
    <s v="Selesai"/>
    <n v="0"/>
  </r>
  <r>
    <s v="ORD00015"/>
    <s v="CUST0089"/>
    <x v="351"/>
    <s v="Selesai"/>
    <n v="0"/>
  </r>
  <r>
    <s v="ORD00347"/>
    <s v="CUST0140"/>
    <x v="352"/>
    <s v="Selesai"/>
    <n v="0.05"/>
  </r>
  <r>
    <s v="ORD00799"/>
    <s v="CUST0184"/>
    <x v="353"/>
    <s v="Selesai"/>
    <n v="0.05"/>
  </r>
  <r>
    <s v="ORD00122"/>
    <s v="CUST0184"/>
    <x v="354"/>
    <s v="Selesai"/>
    <n v="0"/>
  </r>
  <r>
    <s v="ORD00036"/>
    <s v="CUST0184"/>
    <x v="355"/>
    <s v="Selesai"/>
    <n v="0"/>
  </r>
  <r>
    <s v="ORD00390"/>
    <s v="CUST0166"/>
    <x v="356"/>
    <s v="Selesai"/>
    <n v="0"/>
  </r>
  <r>
    <s v="ORD00044"/>
    <s v="CUST0131"/>
    <x v="357"/>
    <s v="Dibatalkan"/>
    <n v="0"/>
  </r>
  <r>
    <s v="ORD00439"/>
    <s v="CUST0171"/>
    <x v="358"/>
    <s v="Selesai"/>
    <n v="0"/>
  </r>
  <r>
    <s v="ORD00196"/>
    <s v="CUST0189"/>
    <x v="359"/>
    <s v="Selesai"/>
    <n v="0.1"/>
  </r>
  <r>
    <s v="ORD00203"/>
    <s v="CUST0197"/>
    <x v="360"/>
    <s v="Dikirim"/>
    <n v="0"/>
  </r>
  <r>
    <s v="ORD00713"/>
    <s v="CUST0140"/>
    <x v="361"/>
    <s v="Selesai"/>
    <n v="0.05"/>
  </r>
  <r>
    <s v="ORD00158"/>
    <s v="CUST0189"/>
    <x v="362"/>
    <s v="Dibatalkan"/>
    <n v="0"/>
  </r>
  <r>
    <s v="ORD00498"/>
    <s v="CUST0006"/>
    <x v="363"/>
    <s v="Selesai"/>
    <n v="0"/>
  </r>
  <r>
    <s v="ORD00238"/>
    <s v="CUST0189"/>
    <x v="364"/>
    <s v="Selesai"/>
    <n v="0"/>
  </r>
  <r>
    <s v="ORD00007"/>
    <s v="CUST0184"/>
    <x v="365"/>
    <s v="Selesai"/>
    <n v="0"/>
  </r>
  <r>
    <s v="ORD00613"/>
    <s v="CUST0116"/>
    <x v="366"/>
    <s v="Selesai"/>
    <n v="0"/>
  </r>
  <r>
    <s v="ORD00049"/>
    <s v="CUST0136"/>
    <x v="367"/>
    <s v="Selesai"/>
    <n v="0.05"/>
  </r>
  <r>
    <s v="ORD00752"/>
    <s v="CUST0116"/>
    <x v="368"/>
    <s v="Selesai"/>
    <n v="0.1"/>
  </r>
  <r>
    <s v="ORD00127"/>
    <s v="CUST0019"/>
    <x v="368"/>
    <s v="Selesai"/>
    <n v="0"/>
  </r>
  <r>
    <s v="ORD00029"/>
    <s v="CUST0137"/>
    <x v="369"/>
    <s v="Selesai"/>
    <n v="0"/>
  </r>
  <r>
    <s v="ORD00083"/>
    <s v="CUST0019"/>
    <x v="370"/>
    <s v="Selesai"/>
    <n v="0"/>
  </r>
  <r>
    <s v="ORD00324"/>
    <s v="CUST0019"/>
    <x v="371"/>
    <s v="Selesai"/>
    <n v="0.1"/>
  </r>
  <r>
    <s v="ORD00661"/>
    <s v="CUST0113"/>
    <x v="372"/>
    <s v="Dikirim"/>
    <n v="0.15"/>
  </r>
  <r>
    <s v="ORD00288"/>
    <s v="CUST0116"/>
    <x v="373"/>
    <s v="Dibatalkan"/>
    <n v="0.05"/>
  </r>
  <r>
    <s v="ORD00420"/>
    <s v="CUST0195"/>
    <x v="374"/>
    <s v="Dikirim"/>
    <n v="0"/>
  </r>
  <r>
    <s v="ORD00224"/>
    <s v="CUST0183"/>
    <x v="375"/>
    <s v="Selesai"/>
    <n v="0.05"/>
  </r>
  <r>
    <s v="ORD00061"/>
    <s v="CUST0139"/>
    <x v="376"/>
    <s v="Selesai"/>
    <n v="0"/>
  </r>
  <r>
    <s v="ORD00252"/>
    <s v="CUST0108"/>
    <x v="377"/>
    <s v="Selesai"/>
    <n v="0.2"/>
  </r>
  <r>
    <s v="ORD00202"/>
    <s v="CUST0012"/>
    <x v="378"/>
    <s v="Selesai"/>
    <n v="0.05"/>
  </r>
  <r>
    <s v="ORD00711"/>
    <s v="CUST0012"/>
    <x v="379"/>
    <s v="Selesai"/>
    <n v="0"/>
  </r>
  <r>
    <s v="ORD00629"/>
    <s v="CUST0166"/>
    <x v="380"/>
    <s v="Dibatalkan"/>
    <n v="0"/>
  </r>
  <r>
    <s v="ORD00754"/>
    <s v="CUST0082"/>
    <x v="380"/>
    <s v="Dikirim"/>
    <n v="0"/>
  </r>
  <r>
    <s v="ORD00372"/>
    <s v="CUST0141"/>
    <x v="381"/>
    <s v="Dikirim"/>
    <n v="0"/>
  </r>
  <r>
    <s v="ORD00448"/>
    <s v="CUST0006"/>
    <x v="382"/>
    <s v="Dibatalkan"/>
    <n v="0"/>
  </r>
  <r>
    <s v="ORD00717"/>
    <s v="CUST0085"/>
    <x v="383"/>
    <s v="Selesai"/>
    <n v="0"/>
  </r>
  <r>
    <s v="ORD00016"/>
    <s v="CUST0012"/>
    <x v="384"/>
    <s v="Selesai"/>
    <n v="0.1"/>
  </r>
  <r>
    <s v="ORD00487"/>
    <s v="CUST0191"/>
    <x v="385"/>
    <s v="Dikirim"/>
    <n v="0.05"/>
  </r>
  <r>
    <s v="ORD00677"/>
    <s v="CUST0183"/>
    <x v="386"/>
    <s v="Selesai"/>
    <n v="0"/>
  </r>
  <r>
    <s v="ORD00174"/>
    <s v="CUST0153"/>
    <x v="387"/>
    <s v="Selesai"/>
    <n v="0"/>
  </r>
  <r>
    <s v="ORD00093"/>
    <s v="CUST0028"/>
    <x v="388"/>
    <s v="Selesai"/>
    <n v="0"/>
  </r>
  <r>
    <s v="ORD00591"/>
    <s v="CUST0028"/>
    <x v="389"/>
    <s v="Dikirim"/>
    <n v="0.1"/>
  </r>
  <r>
    <s v="ORD00396"/>
    <s v="CUST0035"/>
    <x v="390"/>
    <s v="Dikirim"/>
    <n v="0"/>
  </r>
  <r>
    <s v="ORD00709"/>
    <s v="CUST0035"/>
    <x v="391"/>
    <s v="Selesai"/>
    <n v="0"/>
  </r>
  <r>
    <s v="ORD00021"/>
    <s v="CUST0012"/>
    <x v="392"/>
    <s v="Dibatalkan"/>
    <n v="0"/>
  </r>
  <r>
    <s v="ORD00604"/>
    <s v="CUST0198"/>
    <x v="393"/>
    <s v="Selesai"/>
    <n v="0.1"/>
  </r>
  <r>
    <s v="ORD00300"/>
    <s v="CUST0057"/>
    <x v="394"/>
    <s v="Dibatalkan"/>
    <n v="0"/>
  </r>
  <r>
    <s v="ORD00583"/>
    <s v="CUST0190"/>
    <x v="395"/>
    <s v="Selesai"/>
    <n v="0"/>
  </r>
  <r>
    <s v="ORD00696"/>
    <s v="CUST0093"/>
    <x v="396"/>
    <s v="Selesai"/>
    <n v="0.1"/>
  </r>
  <r>
    <s v="ORD00115"/>
    <s v="CUST0018"/>
    <x v="397"/>
    <s v="Selesai"/>
    <n v="0.15"/>
  </r>
  <r>
    <s v="ORD00546"/>
    <s v="CUST0028"/>
    <x v="398"/>
    <s v="Dibatalkan"/>
    <n v="0"/>
  </r>
  <r>
    <s v="ORD00773"/>
    <s v="CUST0047"/>
    <x v="399"/>
    <s v="Dikirim"/>
    <n v="0.05"/>
  </r>
  <r>
    <s v="ORD00323"/>
    <s v="CUST0017"/>
    <x v="400"/>
    <s v="Selesai"/>
    <n v="0.15"/>
  </r>
  <r>
    <s v="ORD00528"/>
    <s v="CUST0168"/>
    <x v="400"/>
    <s v="Selesai"/>
    <n v="0"/>
  </r>
  <r>
    <s v="ORD00462"/>
    <s v="CUST0076"/>
    <x v="401"/>
    <s v="Dibatalkan"/>
    <n v="0"/>
  </r>
  <r>
    <s v="ORD00040"/>
    <s v="CUST0191"/>
    <x v="402"/>
    <s v="Selesai"/>
    <n v="0.05"/>
  </r>
  <r>
    <s v="ORD00278"/>
    <s v="CUST0028"/>
    <x v="403"/>
    <s v="Dibatalkan"/>
    <n v="0"/>
  </r>
  <r>
    <s v="ORD00609"/>
    <s v="CUST0018"/>
    <x v="403"/>
    <s v="Selesai"/>
    <n v="0"/>
  </r>
  <r>
    <s v="ORD00162"/>
    <s v="CUST0028"/>
    <x v="404"/>
    <s v="Dibatalkan"/>
    <n v="0"/>
  </r>
  <r>
    <s v="ORD00553"/>
    <s v="CUST0178"/>
    <x v="405"/>
    <s v="Selesai"/>
    <n v="0.1"/>
  </r>
  <r>
    <s v="ORD00787"/>
    <s v="CUST0008"/>
    <x v="405"/>
    <s v="Selesai"/>
    <n v="0"/>
  </r>
  <r>
    <s v="ORD00304"/>
    <s v="CUST0191"/>
    <x v="406"/>
    <s v="Dikirim"/>
    <n v="0.2"/>
  </r>
  <r>
    <s v="ORD00721"/>
    <s v="CUST0178"/>
    <x v="407"/>
    <s v="Selesai"/>
    <n v="0"/>
  </r>
  <r>
    <s v="ORD00735"/>
    <s v="CUST0192"/>
    <x v="408"/>
    <s v="Dikirim"/>
    <n v="0"/>
  </r>
  <r>
    <s v="ORD00514"/>
    <s v="CUST0028"/>
    <x v="409"/>
    <s v="Dikirim"/>
    <n v="0.05"/>
  </r>
  <r>
    <s v="ORD00281"/>
    <s v="CUST0134"/>
    <x v="410"/>
    <s v="Dibatalkan"/>
    <n v="0.15"/>
  </r>
  <r>
    <s v="ORD00559"/>
    <s v="CUST0163"/>
    <x v="411"/>
    <s v="Selesai"/>
    <n v="0"/>
  </r>
  <r>
    <s v="ORD00258"/>
    <s v="CUST0006"/>
    <x v="412"/>
    <s v="Selesai"/>
    <n v="0"/>
  </r>
  <r>
    <s v="ORD00484"/>
    <s v="CUST0138"/>
    <x v="413"/>
    <s v="Selesai"/>
    <n v="0"/>
  </r>
  <r>
    <s v="ORD00424"/>
    <s v="CUST0024"/>
    <x v="414"/>
    <s v="Selesai"/>
    <n v="0"/>
  </r>
  <r>
    <s v="ORD00676"/>
    <s v="CUST0008"/>
    <x v="415"/>
    <s v="Selesai"/>
    <n v="0"/>
  </r>
  <r>
    <s v="ORD00292"/>
    <s v="CUST0047"/>
    <x v="416"/>
    <s v="Selesai"/>
    <n v="0.05"/>
  </r>
  <r>
    <s v="ORD00168"/>
    <s v="CUST0018"/>
    <x v="417"/>
    <s v="Selesai"/>
    <n v="0"/>
  </r>
  <r>
    <s v="ORD00573"/>
    <s v="CUST0057"/>
    <x v="418"/>
    <s v="Selesai"/>
    <n v="0"/>
  </r>
  <r>
    <s v="ORD00653"/>
    <s v="CUST0178"/>
    <x v="419"/>
    <s v="Dikirim"/>
    <n v="0"/>
  </r>
  <r>
    <s v="ORD00052"/>
    <s v="CUST0138"/>
    <x v="420"/>
    <s v="Selesai"/>
    <n v="0.1"/>
  </r>
  <r>
    <s v="ORD00140"/>
    <s v="CUST0163"/>
    <x v="421"/>
    <s v="Selesai"/>
    <n v="0.05"/>
  </r>
  <r>
    <s v="ORD00171"/>
    <s v="CUST0138"/>
    <x v="422"/>
    <s v="Selesai"/>
    <n v="0"/>
  </r>
  <r>
    <s v="ORD00636"/>
    <s v="CUST0168"/>
    <x v="423"/>
    <s v="Selesai"/>
    <n v="0"/>
  </r>
  <r>
    <s v="ORD00094"/>
    <s v="CUST0138"/>
    <x v="424"/>
    <s v="Dibatalkan"/>
    <n v="0"/>
  </r>
  <r>
    <s v="ORD00385"/>
    <s v="CUST0008"/>
    <x v="425"/>
    <s v="Dikirim"/>
    <n v="0"/>
  </r>
  <r>
    <s v="ORD00480"/>
    <s v="CUST0163"/>
    <x v="425"/>
    <s v="Selesai"/>
    <n v="0.1"/>
  </r>
  <r>
    <s v="ORD00176"/>
    <s v="CUST0131"/>
    <x v="426"/>
    <s v="Dibatalkan"/>
    <n v="0.1"/>
  </r>
  <r>
    <s v="ORD00592"/>
    <s v="CUST0103"/>
    <x v="426"/>
    <s v="Selesai"/>
    <n v="0"/>
  </r>
  <r>
    <s v="ORD00488"/>
    <s v="CUST0026"/>
    <x v="427"/>
    <s v="Selesai"/>
    <n v="0"/>
  </r>
  <r>
    <s v="ORD00005"/>
    <s v="CUST0056"/>
    <x v="428"/>
    <s v="Selesai"/>
    <n v="0"/>
  </r>
  <r>
    <s v="ORD00303"/>
    <s v="CUST0136"/>
    <x v="429"/>
    <s v="Dikirim"/>
    <n v="0.05"/>
  </r>
  <r>
    <s v="ORD00179"/>
    <s v="CUST0138"/>
    <x v="429"/>
    <s v="Dikirim"/>
    <n v="0"/>
  </r>
  <r>
    <s v="ORD00523"/>
    <s v="CUST0163"/>
    <x v="430"/>
    <s v="Selesai"/>
    <n v="0.15"/>
  </r>
  <r>
    <s v="ORD00542"/>
    <s v="CUST0185"/>
    <x v="431"/>
    <s v="Selesai"/>
    <n v="0"/>
  </r>
  <r>
    <s v="ORD00445"/>
    <s v="CUST0124"/>
    <x v="432"/>
    <s v="Selesai"/>
    <n v="0"/>
  </r>
  <r>
    <s v="ORD00211"/>
    <s v="CUST0013"/>
    <x v="433"/>
    <s v="Selesai"/>
    <n v="0"/>
  </r>
  <r>
    <s v="ORD00214"/>
    <s v="CUST0153"/>
    <x v="434"/>
    <s v="Dibatalkan"/>
    <n v="0"/>
  </r>
  <r>
    <s v="ORD00388"/>
    <s v="CUST0024"/>
    <x v="435"/>
    <s v="Selesai"/>
    <n v="0"/>
  </r>
  <r>
    <s v="ORD00239"/>
    <s v="CUST0155"/>
    <x v="436"/>
    <s v="Selesai"/>
    <n v="0"/>
  </r>
  <r>
    <s v="ORD00307"/>
    <s v="CUST0185"/>
    <x v="437"/>
    <s v="Selesai"/>
    <n v="0"/>
  </r>
  <r>
    <s v="ORD00549"/>
    <s v="CUST0110"/>
    <x v="438"/>
    <s v="Dibatalkan"/>
    <n v="0"/>
  </r>
  <r>
    <s v="ORD00320"/>
    <s v="CUST0121"/>
    <x v="439"/>
    <s v="Selesai"/>
    <n v="0"/>
  </r>
  <r>
    <s v="ORD00607"/>
    <s v="CUST0163"/>
    <x v="440"/>
    <s v="Selesai"/>
    <n v="0"/>
  </r>
  <r>
    <s v="ORD00530"/>
    <s v="CUST0056"/>
    <x v="441"/>
    <s v="Selesai"/>
    <n v="0.15"/>
  </r>
  <r>
    <s v="ORD00055"/>
    <s v="CUST0185"/>
    <x v="442"/>
    <s v="Selesai"/>
    <n v="0"/>
  </r>
  <r>
    <s v="ORD00184"/>
    <s v="CUST0185"/>
    <x v="443"/>
    <s v="Selesai"/>
    <n v="0"/>
  </r>
  <r>
    <s v="ORD00472"/>
    <s v="CUST0102"/>
    <x v="443"/>
    <s v="Selesai"/>
    <n v="0"/>
  </r>
  <r>
    <s v="ORD00259"/>
    <s v="CUST0062"/>
    <x v="444"/>
    <s v="Dikirim"/>
    <n v="0.1"/>
  </r>
  <r>
    <s v="ORD00183"/>
    <s v="CUST0170"/>
    <x v="445"/>
    <s v="Selesai"/>
    <n v="0.1"/>
  </r>
  <r>
    <s v="ORD00199"/>
    <s v="CUST0024"/>
    <x v="445"/>
    <s v="Selesai"/>
    <n v="0.1"/>
  </r>
  <r>
    <s v="ORD00133"/>
    <s v="CUST0168"/>
    <x v="446"/>
    <s v="Selesai"/>
    <n v="0"/>
  </r>
  <r>
    <s v="ORD00081"/>
    <s v="CUST0059"/>
    <x v="447"/>
    <s v="Selesai"/>
    <n v="0.1"/>
  </r>
  <r>
    <s v="ORD00759"/>
    <s v="CUST0093"/>
    <x v="448"/>
    <s v="Selesai"/>
    <n v="0.05"/>
  </r>
  <r>
    <s v="ORD00502"/>
    <s v="CUST0151"/>
    <x v="449"/>
    <s v="Selesai"/>
    <n v="0.05"/>
  </r>
  <r>
    <s v="ORD00223"/>
    <s v="CUST0071"/>
    <x v="449"/>
    <s v="Selesai"/>
    <n v="0.05"/>
  </r>
  <r>
    <s v="ORD00569"/>
    <s v="CUST0056"/>
    <x v="450"/>
    <s v="Dikirim"/>
    <n v="0"/>
  </r>
  <r>
    <s v="ORD00402"/>
    <s v="CUST0124"/>
    <x v="451"/>
    <s v="Selesai"/>
    <n v="0.05"/>
  </r>
  <r>
    <s v="ORD00296"/>
    <s v="CUST0185"/>
    <x v="452"/>
    <s v="Dikirim"/>
    <n v="0"/>
  </r>
  <r>
    <s v="ORD00123"/>
    <s v="CUST0102"/>
    <x v="453"/>
    <s v="Selesai"/>
    <n v="0"/>
  </r>
  <r>
    <s v="ORD00483"/>
    <s v="CUST0127"/>
    <x v="453"/>
    <s v="Dibatalkan"/>
    <n v="0.05"/>
  </r>
  <r>
    <s v="ORD00493"/>
    <s v="CUST0140"/>
    <x v="454"/>
    <s v="Dikirim"/>
    <n v="0"/>
  </r>
  <r>
    <s v="ORD00009"/>
    <s v="CUST0151"/>
    <x v="455"/>
    <s v="Selesai"/>
    <n v="0"/>
  </r>
  <r>
    <s v="ORD00070"/>
    <s v="CUST0141"/>
    <x v="455"/>
    <s v="Dikirim"/>
    <n v="0.15"/>
  </r>
  <r>
    <s v="ORD00359"/>
    <s v="CUST0148"/>
    <x v="456"/>
    <s v="Dibatalkan"/>
    <n v="0.05"/>
  </r>
  <r>
    <s v="ORD00796"/>
    <s v="CUST0041"/>
    <x v="457"/>
    <s v="Dibatalkan"/>
    <n v="0"/>
  </r>
  <r>
    <s v="ORD00797"/>
    <s v="CUST0124"/>
    <x v="458"/>
    <s v="Dikirim"/>
    <n v="0"/>
  </r>
  <r>
    <s v="ORD00766"/>
    <s v="CUST0185"/>
    <x v="459"/>
    <s v="Selesai"/>
    <n v="0.2"/>
  </r>
  <r>
    <s v="ORD00393"/>
    <s v="CUST0124"/>
    <x v="460"/>
    <s v="Selesai"/>
    <n v="0"/>
  </r>
  <r>
    <s v="ORD00593"/>
    <s v="CUST0102"/>
    <x v="461"/>
    <s v="Selesai"/>
    <n v="0"/>
  </r>
  <r>
    <s v="ORD00413"/>
    <s v="CUST0105"/>
    <x v="462"/>
    <s v="Selesai"/>
    <n v="0"/>
  </r>
  <r>
    <s v="ORD00594"/>
    <s v="CUST0057"/>
    <x v="463"/>
    <s v="Dikirim"/>
    <n v="0.05"/>
  </r>
  <r>
    <s v="ORD00468"/>
    <s v="CUST0087"/>
    <x v="464"/>
    <s v="Selesai"/>
    <n v="0.15"/>
  </r>
  <r>
    <s v="ORD00351"/>
    <s v="CUST0146"/>
    <x v="464"/>
    <s v="Selesai"/>
    <n v="0"/>
  </r>
  <r>
    <s v="ORD00785"/>
    <s v="CUST0155"/>
    <x v="465"/>
    <s v="Selesai"/>
    <n v="0"/>
  </r>
  <r>
    <s v="ORD00516"/>
    <s v="CUST0169"/>
    <x v="466"/>
    <s v="Selesai"/>
    <n v="0.05"/>
  </r>
  <r>
    <s v="ORD00062"/>
    <s v="CUST0136"/>
    <x v="467"/>
    <s v="Dibatalkan"/>
    <n v="0"/>
  </r>
  <r>
    <s v="ORD00078"/>
    <s v="CUST0151"/>
    <x v="468"/>
    <s v="Selesai"/>
    <n v="0"/>
  </r>
  <r>
    <s v="ORD00784"/>
    <s v="CUST0169"/>
    <x v="469"/>
    <s v="Selesai"/>
    <n v="0.05"/>
  </r>
  <r>
    <s v="ORD00460"/>
    <s v="CUST0009"/>
    <x v="470"/>
    <s v="Selesai"/>
    <n v="0.05"/>
  </r>
  <r>
    <s v="ORD00311"/>
    <s v="CUST0151"/>
    <x v="471"/>
    <s v="Selesai"/>
    <n v="0.05"/>
  </r>
  <r>
    <s v="ORD00345"/>
    <s v="CUST0161"/>
    <x v="472"/>
    <s v="Dikirim"/>
    <n v="0"/>
  </r>
  <r>
    <s v="ORD00595"/>
    <s v="CUST0044"/>
    <x v="472"/>
    <s v="Selesai"/>
    <n v="0.1"/>
  </r>
  <r>
    <s v="ORD00633"/>
    <s v="CUST0169"/>
    <x v="473"/>
    <s v="Selesai"/>
    <n v="0"/>
  </r>
  <r>
    <s v="ORD00283"/>
    <s v="CUST0138"/>
    <x v="474"/>
    <s v="Selesai"/>
    <n v="0.2"/>
  </r>
  <r>
    <s v="ORD00400"/>
    <s v="CUST0151"/>
    <x v="475"/>
    <s v="Selesai"/>
    <n v="0"/>
  </r>
  <r>
    <s v="ORD00025"/>
    <s v="CUST0042"/>
    <x v="476"/>
    <s v="Dibatalkan"/>
    <n v="0"/>
  </r>
  <r>
    <s v="ORD00582"/>
    <s v="CUST0091"/>
    <x v="477"/>
    <s v="Selesai"/>
    <n v="0"/>
  </r>
  <r>
    <s v="ORD00703"/>
    <s v="CUST0169"/>
    <x v="478"/>
    <s v="Dikirim"/>
    <n v="0"/>
  </r>
  <r>
    <s v="ORD00666"/>
    <s v="CUST0014"/>
    <x v="479"/>
    <s v="Dibatalkan"/>
    <n v="0"/>
  </r>
  <r>
    <s v="ORD00368"/>
    <s v="CUST0172"/>
    <x v="480"/>
    <s v="Selesai"/>
    <n v="0.05"/>
  </r>
  <r>
    <s v="ORD00260"/>
    <s v="CUST0172"/>
    <x v="481"/>
    <s v="Selesai"/>
    <n v="0.1"/>
  </r>
  <r>
    <s v="ORD00547"/>
    <s v="CUST0095"/>
    <x v="482"/>
    <s v="Selesai"/>
    <n v="0"/>
  </r>
  <r>
    <s v="ORD00355"/>
    <s v="CUST0127"/>
    <x v="482"/>
    <s v="Selesai"/>
    <n v="0"/>
  </r>
  <r>
    <s v="ORD00332"/>
    <s v="CUST0110"/>
    <x v="483"/>
    <s v="Selesai"/>
    <n v="0"/>
  </r>
  <r>
    <s v="ORD00471"/>
    <s v="CUST0102"/>
    <x v="484"/>
    <s v="Selesai"/>
    <n v="0.1"/>
  </r>
  <r>
    <s v="ORD00047"/>
    <s v="CUST0175"/>
    <x v="485"/>
    <s v="Selesai"/>
    <n v="0"/>
  </r>
  <r>
    <s v="ORD00575"/>
    <s v="CUST0078"/>
    <x v="486"/>
    <s v="Selesai"/>
    <n v="0"/>
  </r>
  <r>
    <s v="ORD00683"/>
    <s v="CUST0056"/>
    <x v="487"/>
    <s v="Selesai"/>
    <n v="0"/>
  </r>
  <r>
    <s v="ORD00407"/>
    <s v="CUST0191"/>
    <x v="488"/>
    <s v="Dikirim"/>
    <n v="0"/>
  </r>
  <r>
    <s v="ORD00621"/>
    <s v="CUST0027"/>
    <x v="489"/>
    <s v="Selesai"/>
    <n v="0"/>
  </r>
  <r>
    <s v="ORD00650"/>
    <s v="CUST0087"/>
    <x v="490"/>
    <s v="Selesai"/>
    <n v="0.05"/>
  </r>
  <r>
    <s v="ORD00362"/>
    <s v="CUST0194"/>
    <x v="491"/>
    <s v="Selesai"/>
    <n v="0.05"/>
  </r>
  <r>
    <s v="ORD00084"/>
    <s v="CUST0172"/>
    <x v="492"/>
    <s v="Selesai"/>
    <n v="0"/>
  </r>
  <r>
    <s v="ORD00521"/>
    <s v="CUST0156"/>
    <x v="493"/>
    <s v="Selesai"/>
    <n v="0"/>
  </r>
  <r>
    <s v="ORD00479"/>
    <s v="CUST0157"/>
    <x v="494"/>
    <s v="Selesai"/>
    <n v="0"/>
  </r>
  <r>
    <s v="ORD00130"/>
    <s v="CUST0063"/>
    <x v="494"/>
    <s v="Selesai"/>
    <n v="0"/>
  </r>
  <r>
    <s v="ORD00088"/>
    <s v="CUST0169"/>
    <x v="495"/>
    <s v="Dikirim"/>
    <n v="0.1"/>
  </r>
  <r>
    <s v="ORD00601"/>
    <s v="CUST0066"/>
    <x v="496"/>
    <s v="Selesai"/>
    <n v="0"/>
  </r>
  <r>
    <s v="ORD00136"/>
    <s v="CUST0030"/>
    <x v="497"/>
    <s v="Selesai"/>
    <n v="0"/>
  </r>
  <r>
    <s v="ORD00505"/>
    <s v="CUST0038"/>
    <x v="497"/>
    <s v="Dikirim"/>
    <n v="0.05"/>
  </r>
  <r>
    <s v="ORD00638"/>
    <s v="CUST0182"/>
    <x v="498"/>
    <s v="Selesai"/>
    <n v="0.05"/>
  </r>
  <r>
    <s v="ORD00301"/>
    <s v="CUST0063"/>
    <x v="499"/>
    <s v="Selesai"/>
    <n v="0"/>
  </r>
  <r>
    <s v="ORD00641"/>
    <s v="CUST0172"/>
    <x v="500"/>
    <s v="Selesai"/>
    <n v="0.05"/>
  </r>
  <r>
    <s v="ORD00181"/>
    <s v="CUST0094"/>
    <x v="501"/>
    <s v="Dikirim"/>
    <n v="0"/>
  </r>
  <r>
    <s v="ORD00744"/>
    <s v="CUST0094"/>
    <x v="502"/>
    <s v="Selesai"/>
    <n v="0"/>
  </r>
  <r>
    <s v="ORD00565"/>
    <s v="CUST0159"/>
    <x v="503"/>
    <s v="Selesai"/>
    <n v="0"/>
  </r>
  <r>
    <s v="ORD00167"/>
    <s v="CUST0085"/>
    <x v="504"/>
    <s v="Dibatalkan"/>
    <n v="0"/>
  </r>
  <r>
    <s v="ORD00077"/>
    <s v="CUST0017"/>
    <x v="505"/>
    <s v="Dikirim"/>
    <n v="0"/>
  </r>
  <r>
    <s v="ORD00086"/>
    <s v="CUST0063"/>
    <x v="506"/>
    <s v="Selesai"/>
    <n v="0"/>
  </r>
  <r>
    <s v="ORD00394"/>
    <s v="CUST0142"/>
    <x v="506"/>
    <s v="Selesai"/>
    <n v="0.05"/>
  </r>
  <r>
    <s v="ORD00581"/>
    <s v="CUST0144"/>
    <x v="507"/>
    <s v="Dikirim"/>
    <n v="0.1"/>
  </r>
  <r>
    <s v="ORD00079"/>
    <s v="CUST0057"/>
    <x v="508"/>
    <s v="Dikirim"/>
    <n v="0"/>
  </r>
  <r>
    <s v="ORD00053"/>
    <s v="CUST0088"/>
    <x v="509"/>
    <s v="Selesai"/>
    <n v="0"/>
  </r>
  <r>
    <s v="ORD00033"/>
    <s v="CUST0009"/>
    <x v="510"/>
    <s v="Selesai"/>
    <n v="0.05"/>
  </r>
  <r>
    <s v="ORD00622"/>
    <s v="CUST0088"/>
    <x v="511"/>
    <s v="Selesai"/>
    <n v="0"/>
  </r>
  <r>
    <s v="ORD00096"/>
    <s v="CUST0064"/>
    <x v="512"/>
    <s v="Dikirim"/>
    <n v="0"/>
  </r>
  <r>
    <s v="ORD00150"/>
    <s v="CUST0038"/>
    <x v="513"/>
    <s v="Selesai"/>
    <n v="0"/>
  </r>
  <r>
    <s v="ORD00309"/>
    <s v="CUST0177"/>
    <x v="514"/>
    <s v="Dikirim"/>
    <n v="0.1"/>
  </r>
  <r>
    <s v="ORD00655"/>
    <s v="CUST0094"/>
    <x v="515"/>
    <s v="Selesai"/>
    <n v="0"/>
  </r>
  <r>
    <s v="ORD00333"/>
    <s v="CUST0159"/>
    <x v="516"/>
    <s v="Selesai"/>
    <n v="0"/>
  </r>
  <r>
    <s v="ORD00152"/>
    <s v="CUST0011"/>
    <x v="517"/>
    <s v="Selesai"/>
    <n v="0"/>
  </r>
  <r>
    <s v="ORD00757"/>
    <s v="CUST0041"/>
    <x v="517"/>
    <s v="Dibatalkan"/>
    <n v="0"/>
  </r>
  <r>
    <s v="ORD00012"/>
    <s v="CUST0088"/>
    <x v="518"/>
    <s v="Selesai"/>
    <n v="0"/>
  </r>
  <r>
    <s v="ORD00141"/>
    <s v="CUST0065"/>
    <x v="519"/>
    <s v="Selesai"/>
    <n v="0.1"/>
  </r>
  <r>
    <s v="ORD00794"/>
    <s v="CUST0063"/>
    <x v="519"/>
    <s v="Selesai"/>
    <n v="0"/>
  </r>
  <r>
    <s v="ORD00356"/>
    <s v="CUST0011"/>
    <x v="520"/>
    <s v="Selesai"/>
    <n v="0"/>
  </r>
  <r>
    <s v="ORD00706"/>
    <s v="CUST0165"/>
    <x v="521"/>
    <s v="Dikirim"/>
    <n v="0"/>
  </r>
  <r>
    <s v="ORD00777"/>
    <s v="CUST0182"/>
    <x v="522"/>
    <s v="Dikirim"/>
    <n v="0.05"/>
  </r>
  <r>
    <s v="ORD00026"/>
    <s v="CUST0054"/>
    <x v="523"/>
    <s v="Selesai"/>
    <n v="0"/>
  </r>
  <r>
    <s v="ORD00612"/>
    <s v="CUST0019"/>
    <x v="524"/>
    <s v="Selesai"/>
    <n v="0"/>
  </r>
  <r>
    <s v="ORD00447"/>
    <s v="CUST0076"/>
    <x v="525"/>
    <s v="Selesai"/>
    <n v="0"/>
  </r>
  <r>
    <s v="ORD00474"/>
    <s v="CUST0192"/>
    <x v="526"/>
    <s v="Dibatalkan"/>
    <n v="0"/>
  </r>
  <r>
    <s v="ORD00504"/>
    <s v="CUST0038"/>
    <x v="527"/>
    <s v="Selesai"/>
    <n v="0.1"/>
  </r>
  <r>
    <s v="ORD00590"/>
    <s v="CUST0177"/>
    <x v="528"/>
    <s v="Selesai"/>
    <n v="0"/>
  </r>
  <r>
    <s v="ORD00117"/>
    <s v="CUST0146"/>
    <x v="529"/>
    <s v="Selesai"/>
    <n v="0"/>
  </r>
  <r>
    <s v="ORD00207"/>
    <s v="CUST0038"/>
    <x v="530"/>
    <s v="Selesai"/>
    <n v="0"/>
  </r>
  <r>
    <s v="ORD00632"/>
    <s v="CUST0065"/>
    <x v="531"/>
    <s v="Dikirim"/>
    <n v="0"/>
  </r>
  <r>
    <s v="ORD00449"/>
    <s v="CUST0003"/>
    <x v="531"/>
    <s v="Selesai"/>
    <n v="0.15"/>
  </r>
  <r>
    <s v="ORD00419"/>
    <s v="CUST0161"/>
    <x v="532"/>
    <s v="Selesai"/>
    <n v="0.05"/>
  </r>
  <r>
    <s v="ORD00693"/>
    <s v="CUST0158"/>
    <x v="533"/>
    <s v="Dibatalkan"/>
    <n v="0.1"/>
  </r>
  <r>
    <s v="ORD00779"/>
    <s v="CUST0065"/>
    <x v="534"/>
    <s v="Selesai"/>
    <n v="0"/>
  </r>
  <r>
    <s v="ORD00532"/>
    <s v="CUST0117"/>
    <x v="535"/>
    <s v="Selesai"/>
    <n v="0.1"/>
  </r>
  <r>
    <s v="ORD00725"/>
    <s v="CUST0047"/>
    <x v="536"/>
    <s v="Selesai"/>
    <n v="0"/>
  </r>
  <r>
    <s v="ORD00768"/>
    <s v="CUST0148"/>
    <x v="537"/>
    <s v="Dikirim"/>
    <n v="0.1"/>
  </r>
  <r>
    <s v="ORD00231"/>
    <s v="CUST0053"/>
    <x v="538"/>
    <s v="Selesai"/>
    <n v="0.1"/>
  </r>
  <r>
    <s v="ORD00039"/>
    <s v="CUST0068"/>
    <x v="539"/>
    <s v="Dikirim"/>
    <n v="0"/>
  </r>
  <r>
    <s v="ORD00353"/>
    <s v="CUST0078"/>
    <x v="540"/>
    <s v="Dibatalkan"/>
    <n v="0.05"/>
  </r>
  <r>
    <s v="ORD00364"/>
    <s v="CUST0072"/>
    <x v="541"/>
    <s v="Selesai"/>
    <n v="0"/>
  </r>
  <r>
    <s v="ORD00722"/>
    <s v="CUST0133"/>
    <x v="542"/>
    <s v="Dibatalkan"/>
    <n v="0.1"/>
  </r>
  <r>
    <s v="ORD00421"/>
    <s v="CUST0139"/>
    <x v="543"/>
    <s v="Selesai"/>
    <n v="0"/>
  </r>
  <r>
    <s v="ORD00597"/>
    <s v="CUST0050"/>
    <x v="544"/>
    <s v="Selesai"/>
    <n v="0"/>
  </r>
  <r>
    <s v="ORD00270"/>
    <s v="CUST0177"/>
    <x v="545"/>
    <s v="Selesai"/>
    <n v="0.1"/>
  </r>
  <r>
    <s v="ORD00691"/>
    <s v="CUST0062"/>
    <x v="545"/>
    <s v="Selesai"/>
    <n v="0.05"/>
  </r>
  <r>
    <s v="ORD00111"/>
    <s v="CUST0081"/>
    <x v="546"/>
    <s v="Dibatalkan"/>
    <n v="0.1"/>
  </r>
  <r>
    <s v="ORD00698"/>
    <s v="CUST0130"/>
    <x v="547"/>
    <s v="Dikirim"/>
    <n v="0"/>
  </r>
  <r>
    <s v="ORD00057"/>
    <s v="CUST0028"/>
    <x v="548"/>
    <s v="Dibatalkan"/>
    <n v="0"/>
  </r>
  <r>
    <s v="ORD00322"/>
    <s v="CUST0065"/>
    <x v="549"/>
    <s v="Dikirim"/>
    <n v="0"/>
  </r>
  <r>
    <s v="ORD00104"/>
    <s v="CUST0098"/>
    <x v="550"/>
    <s v="Dikirim"/>
    <n v="0.05"/>
  </r>
  <r>
    <s v="ORD00506"/>
    <s v="CUST0045"/>
    <x v="551"/>
    <s v="Selesai"/>
    <n v="0.05"/>
  </r>
  <r>
    <s v="ORD00014"/>
    <s v="CUST0098"/>
    <x v="552"/>
    <s v="Selesai"/>
    <n v="0"/>
  </r>
  <r>
    <s v="ORD00437"/>
    <s v="CUST0060"/>
    <x v="553"/>
    <s v="Selesai"/>
    <n v="0.15"/>
  </r>
  <r>
    <s v="ORD00268"/>
    <s v="CUST0097"/>
    <x v="554"/>
    <s v="Selesai"/>
    <n v="0.05"/>
  </r>
  <r>
    <s v="ORD00346"/>
    <s v="CUST0051"/>
    <x v="554"/>
    <s v="Selesai"/>
    <n v="0"/>
  </r>
  <r>
    <s v="ORD00233"/>
    <s v="CUST0006"/>
    <x v="555"/>
    <s v="Dibatalkan"/>
    <n v="0.1"/>
  </r>
  <r>
    <s v="ORD00157"/>
    <s v="CUST0046"/>
    <x v="556"/>
    <s v="Selesai"/>
    <n v="0"/>
  </r>
  <r>
    <s v="ORD00750"/>
    <s v="CUST0178"/>
    <x v="557"/>
    <s v="Selesai"/>
    <n v="0"/>
  </r>
  <r>
    <s v="ORD00537"/>
    <s v="CUST0025"/>
    <x v="558"/>
    <s v="Selesai"/>
    <n v="0.1"/>
  </r>
  <r>
    <s v="ORD00732"/>
    <s v="CUST0071"/>
    <x v="558"/>
    <s v="Selesai"/>
    <n v="0"/>
  </r>
  <r>
    <s v="ORD00551"/>
    <s v="CUST0165"/>
    <x v="559"/>
    <s v="Selesai"/>
    <n v="0.2"/>
  </r>
  <r>
    <s v="ORD00290"/>
    <s v="CUST0098"/>
    <x v="559"/>
    <s v="Dikirim"/>
    <n v="0.1"/>
  </r>
  <r>
    <s v="ORD00216"/>
    <s v="CUST0185"/>
    <x v="560"/>
    <s v="Selesai"/>
    <n v="0"/>
  </r>
  <r>
    <s v="ORD00529"/>
    <s v="CUST0197"/>
    <x v="561"/>
    <s v="Selesai"/>
    <n v="0"/>
  </r>
  <r>
    <s v="ORD00497"/>
    <s v="CUST0165"/>
    <x v="562"/>
    <s v="Selesai"/>
    <n v="0"/>
  </r>
  <r>
    <s v="ORD00628"/>
    <s v="CUST0014"/>
    <x v="563"/>
    <s v="Selesai"/>
    <n v="0.2"/>
  </r>
  <r>
    <s v="ORD00124"/>
    <s v="CUST0077"/>
    <x v="564"/>
    <s v="Selesai"/>
    <n v="0.15"/>
  </r>
  <r>
    <s v="ORD00737"/>
    <s v="CUST0113"/>
    <x v="565"/>
    <s v="Selesai"/>
    <n v="0.1"/>
  </r>
  <r>
    <s v="ORD00251"/>
    <s v="CUST0098"/>
    <x v="565"/>
    <s v="Selesai"/>
    <n v="0"/>
  </r>
  <r>
    <s v="ORD00692"/>
    <s v="CUST0075"/>
    <x v="566"/>
    <s v="Selesai"/>
    <n v="0"/>
  </r>
  <r>
    <s v="ORD00405"/>
    <s v="CUST0147"/>
    <x v="567"/>
    <s v="Dibatalkan"/>
    <n v="0"/>
  </r>
  <r>
    <s v="ORD00249"/>
    <s v="CUST0098"/>
    <x v="568"/>
    <s v="Selesai"/>
    <n v="0"/>
  </r>
  <r>
    <s v="ORD00343"/>
    <s v="CUST0117"/>
    <x v="569"/>
    <s v="Dibatalkan"/>
    <n v="0.2"/>
  </r>
  <r>
    <s v="ORD00244"/>
    <s v="CUST0120"/>
    <x v="570"/>
    <s v="Selesai"/>
    <n v="0"/>
  </r>
  <r>
    <s v="ORD00357"/>
    <s v="CUST0155"/>
    <x v="571"/>
    <s v="Selesai"/>
    <n v="0.2"/>
  </r>
  <r>
    <s v="ORD00408"/>
    <s v="CUST0098"/>
    <x v="572"/>
    <s v="Selesai"/>
    <n v="0"/>
  </r>
  <r>
    <s v="ORD00180"/>
    <s v="CUST0189"/>
    <x v="572"/>
    <s v="Dikirim"/>
    <n v="0"/>
  </r>
  <r>
    <s v="ORD00599"/>
    <s v="CUST0166"/>
    <x v="573"/>
    <s v="Selesai"/>
    <n v="0"/>
  </r>
  <r>
    <s v="ORD00257"/>
    <s v="CUST0064"/>
    <x v="574"/>
    <s v="Selesai"/>
    <n v="0"/>
  </r>
  <r>
    <s v="ORD00563"/>
    <s v="CUST0153"/>
    <x v="575"/>
    <s v="Selesai"/>
    <n v="0"/>
  </r>
  <r>
    <s v="ORD00429"/>
    <s v="CUST0076"/>
    <x v="576"/>
    <s v="Selesai"/>
    <n v="0"/>
  </r>
  <r>
    <s v="ORD00499"/>
    <s v="CUST0063"/>
    <x v="577"/>
    <s v="Dikirim"/>
    <n v="0"/>
  </r>
  <r>
    <s v="ORD00398"/>
    <s v="CUST0069"/>
    <x v="578"/>
    <s v="Selesai"/>
    <n v="0"/>
  </r>
  <r>
    <s v="ORD00160"/>
    <s v="CUST0189"/>
    <x v="579"/>
    <s v="Selesai"/>
    <n v="0.05"/>
  </r>
  <r>
    <s v="ORD00010"/>
    <s v="CUST0002"/>
    <x v="580"/>
    <s v="Selesai"/>
    <n v="0"/>
  </r>
  <r>
    <s v="ORD00585"/>
    <s v="CUST0081"/>
    <x v="580"/>
    <s v="Selesai"/>
    <n v="0.05"/>
  </r>
  <r>
    <s v="ORD00660"/>
    <s v="CUST0095"/>
    <x v="581"/>
    <s v="Dibatalkan"/>
    <n v="0.05"/>
  </r>
  <r>
    <s v="ORD00534"/>
    <s v="CUST0081"/>
    <x v="582"/>
    <s v="Dibatalkan"/>
    <n v="0"/>
  </r>
  <r>
    <s v="ORD00221"/>
    <s v="CUST0071"/>
    <x v="583"/>
    <s v="Selesai"/>
    <n v="0.05"/>
  </r>
  <r>
    <s v="ORD00492"/>
    <s v="CUST0026"/>
    <x v="584"/>
    <s v="Selesai"/>
    <n v="0"/>
  </r>
  <r>
    <s v="ORD00626"/>
    <s v="CUST0096"/>
    <x v="584"/>
    <s v="Dibatalkan"/>
    <n v="0"/>
  </r>
  <r>
    <s v="ORD00188"/>
    <s v="CUST0098"/>
    <x v="585"/>
    <s v="Dikirim"/>
    <n v="0"/>
  </r>
  <r>
    <s v="ORD00097"/>
    <s v="CUST0020"/>
    <x v="586"/>
    <s v="Dikirim"/>
    <n v="0"/>
  </r>
  <r>
    <s v="ORD00428"/>
    <s v="CUST0084"/>
    <x v="587"/>
    <s v="Dikirim"/>
    <n v="0.05"/>
  </r>
  <r>
    <s v="ORD00247"/>
    <s v="CUST0165"/>
    <x v="588"/>
    <s v="Dikirim"/>
    <n v="0.05"/>
  </r>
  <r>
    <s v="ORD00064"/>
    <s v="CUST0093"/>
    <x v="588"/>
    <s v="Dikirim"/>
    <n v="0"/>
  </r>
  <r>
    <s v="ORD00080"/>
    <s v="CUST0182"/>
    <x v="588"/>
    <s v="Selesai"/>
    <n v="0"/>
  </r>
  <r>
    <s v="ORD00554"/>
    <s v="CUST0070"/>
    <x v="589"/>
    <s v="Selesai"/>
    <n v="0"/>
  </r>
  <r>
    <s v="ORD00242"/>
    <s v="CUST0087"/>
    <x v="590"/>
    <s v="Dibatalkan"/>
    <n v="0"/>
  </r>
  <r>
    <s v="ORD00075"/>
    <s v="CUST0096"/>
    <x v="591"/>
    <s v="Dikirim"/>
    <n v="0"/>
  </r>
  <r>
    <s v="ORD00712"/>
    <s v="CUST0080"/>
    <x v="592"/>
    <s v="Selesai"/>
    <n v="0.2"/>
  </r>
  <r>
    <s v="ORD00667"/>
    <s v="CUST0096"/>
    <x v="593"/>
    <s v="Selesai"/>
    <n v="0"/>
  </r>
  <r>
    <s v="ORD00299"/>
    <s v="CUST0115"/>
    <x v="593"/>
    <s v="Selesai"/>
    <n v="0"/>
  </r>
  <r>
    <s v="ORD00373"/>
    <s v="CUST0023"/>
    <x v="593"/>
    <s v="Selesai"/>
    <n v="0"/>
  </r>
  <r>
    <s v="ORD00414"/>
    <s v="CUST0040"/>
    <x v="594"/>
    <s v="Dibatalkan"/>
    <n v="0"/>
  </r>
  <r>
    <s v="ORD00765"/>
    <s v="CUST0080"/>
    <x v="595"/>
    <s v="Selesai"/>
    <n v="0"/>
  </r>
  <r>
    <s v="ORD00652"/>
    <s v="CUST0040"/>
    <x v="596"/>
    <s v="Selesai"/>
    <n v="0.05"/>
  </r>
  <r>
    <s v="ORD00770"/>
    <s v="CUST0120"/>
    <x v="597"/>
    <s v="Dikirim"/>
    <n v="0"/>
  </r>
  <r>
    <s v="ORD00276"/>
    <s v="CUST0166"/>
    <x v="598"/>
    <s v="Dikirim"/>
    <n v="0.2"/>
  </r>
  <r>
    <s v="ORD00099"/>
    <s v="CUST0167"/>
    <x v="599"/>
    <s v="Selesai"/>
    <n v="0.15"/>
  </r>
  <r>
    <s v="ORD00108"/>
    <s v="CUST0040"/>
    <x v="600"/>
    <s v="Selesai"/>
    <n v="0.15"/>
  </r>
  <r>
    <s v="ORD00631"/>
    <s v="CUST0174"/>
    <x v="601"/>
    <s v="Selesai"/>
    <n v="0.05"/>
  </r>
  <r>
    <s v="ORD00228"/>
    <s v="CUST0040"/>
    <x v="602"/>
    <s v="Dibatalkan"/>
    <n v="0"/>
  </r>
  <r>
    <s v="ORD00137"/>
    <s v="CUST0142"/>
    <x v="602"/>
    <s v="Selesai"/>
    <n v="0.05"/>
  </r>
  <r>
    <s v="ORD00319"/>
    <s v="CUST0004"/>
    <x v="603"/>
    <s v="Selesai"/>
    <n v="0.1"/>
  </r>
  <r>
    <s v="ORD00679"/>
    <s v="CUST0074"/>
    <x v="604"/>
    <s v="Dibatalkan"/>
    <n v="0"/>
  </r>
  <r>
    <s v="ORD00522"/>
    <s v="CUST0033"/>
    <x v="605"/>
    <s v="Selesai"/>
    <n v="0.15"/>
  </r>
  <r>
    <s v="ORD00095"/>
    <s v="CUST0047"/>
    <x v="606"/>
    <s v="Selesai"/>
    <n v="0.1"/>
  </r>
  <r>
    <s v="ORD00749"/>
    <s v="CUST0115"/>
    <x v="607"/>
    <s v="Selesai"/>
    <n v="0"/>
  </r>
  <r>
    <s v="ORD00434"/>
    <s v="CUST0157"/>
    <x v="608"/>
    <s v="Dibatalkan"/>
    <n v="0"/>
  </r>
  <r>
    <s v="ORD00060"/>
    <s v="CUST0040"/>
    <x v="609"/>
    <s v="Selesai"/>
    <n v="0"/>
  </r>
  <r>
    <s v="ORD00670"/>
    <s v="CUST0116"/>
    <x v="610"/>
    <s v="Selesai"/>
    <n v="0"/>
  </r>
  <r>
    <s v="ORD00427"/>
    <s v="CUST0077"/>
    <x v="611"/>
    <s v="Selesai"/>
    <n v="0.05"/>
  </r>
  <r>
    <s v="ORD00293"/>
    <s v="CUST0067"/>
    <x v="612"/>
    <s v="Selesai"/>
    <n v="0.05"/>
  </r>
  <r>
    <s v="ORD00153"/>
    <s v="CUST0064"/>
    <x v="613"/>
    <s v="Selesai"/>
    <n v="0"/>
  </r>
  <r>
    <s v="ORD00139"/>
    <s v="CUST0088"/>
    <x v="614"/>
    <s v="Dibatalkan"/>
    <n v="0.2"/>
  </r>
  <r>
    <s v="ORD00166"/>
    <s v="CUST0169"/>
    <x v="615"/>
    <s v="Selesai"/>
    <n v="0.15"/>
  </r>
  <r>
    <s v="ORD00675"/>
    <s v="CUST0021"/>
    <x v="616"/>
    <s v="Dikirim"/>
    <n v="0"/>
  </r>
  <r>
    <s v="ORD00720"/>
    <s v="CUST0099"/>
    <x v="617"/>
    <s v="Selesai"/>
    <n v="0"/>
  </r>
  <r>
    <s v="ORD00454"/>
    <s v="CUST0049"/>
    <x v="618"/>
    <s v="Selesai"/>
    <n v="0.15"/>
  </r>
  <r>
    <s v="ORD00739"/>
    <s v="CUST0166"/>
    <x v="619"/>
    <s v="Selesai"/>
    <n v="0"/>
  </r>
  <r>
    <s v="ORD00035"/>
    <s v="CUST0055"/>
    <x v="620"/>
    <s v="Dikirim"/>
    <n v="0"/>
  </r>
  <r>
    <s v="ORD00048"/>
    <s v="CUST0099"/>
    <x v="620"/>
    <s v="Dibatalkan"/>
    <n v="0"/>
  </r>
  <r>
    <s v="ORD00701"/>
    <s v="CUST0005"/>
    <x v="621"/>
    <s v="Selesai"/>
    <n v="0"/>
  </r>
  <r>
    <s v="ORD00616"/>
    <s v="CUST0099"/>
    <x v="622"/>
    <s v="Dikirim"/>
    <n v="0"/>
  </r>
  <r>
    <s v="ORD00571"/>
    <s v="CUST0174"/>
    <x v="623"/>
    <s v="Dibatalkan"/>
    <n v="0"/>
  </r>
  <r>
    <s v="ORD00206"/>
    <s v="CUST0099"/>
    <x v="624"/>
    <s v="Dibatalkan"/>
    <n v="0.05"/>
  </r>
  <r>
    <s v="ORD00291"/>
    <s v="CUST0127"/>
    <x v="625"/>
    <s v="Selesai"/>
    <n v="0"/>
  </r>
  <r>
    <s v="ORD00046"/>
    <s v="CUST0040"/>
    <x v="626"/>
    <s v="Selesai"/>
    <n v="0"/>
  </r>
  <r>
    <s v="ORD00308"/>
    <s v="CUST0191"/>
    <x v="626"/>
    <s v="Selesai"/>
    <n v="0.1"/>
  </r>
  <r>
    <s v="ORD00248"/>
    <s v="CUST0119"/>
    <x v="627"/>
    <s v="Selesai"/>
    <n v="0.15"/>
  </r>
  <r>
    <s v="ORD00545"/>
    <s v="CUST0040"/>
    <x v="628"/>
    <s v="Selesai"/>
    <n v="0.05"/>
  </r>
  <r>
    <s v="ORD00535"/>
    <s v="CUST0040"/>
    <x v="629"/>
    <s v="Dibatalkan"/>
    <n v="0"/>
  </r>
  <r>
    <s v="ORD00194"/>
    <s v="CUST0114"/>
    <x v="630"/>
    <s v="Selesai"/>
    <n v="0.05"/>
  </r>
  <r>
    <s v="ORD00741"/>
    <s v="CUST0040"/>
    <x v="631"/>
    <s v="Dibatalkan"/>
    <n v="0"/>
  </r>
  <r>
    <s v="ORD00416"/>
    <s v="CUST0178"/>
    <x v="631"/>
    <s v="Dikirim"/>
    <n v="0"/>
  </r>
  <r>
    <s v="ORD00215"/>
    <s v="CUST0114"/>
    <x v="632"/>
    <s v="Selesai"/>
    <n v="0.15"/>
  </r>
  <r>
    <s v="ORD00678"/>
    <s v="CUST0038"/>
    <x v="632"/>
    <s v="Selesai"/>
    <n v="0.05"/>
  </r>
  <r>
    <s v="ORD00286"/>
    <s v="CUST0063"/>
    <x v="633"/>
    <s v="Selesai"/>
    <n v="0"/>
  </r>
  <r>
    <s v="ORD00786"/>
    <s v="CUST0145"/>
    <x v="633"/>
    <s v="Selesai"/>
    <n v="0.05"/>
  </r>
  <r>
    <s v="ORD00430"/>
    <s v="CUST0111"/>
    <x v="634"/>
    <s v="Dikirim"/>
    <n v="0"/>
  </r>
  <r>
    <s v="ORD00740"/>
    <s v="CUST0099"/>
    <x v="634"/>
    <s v="Selesai"/>
    <n v="0"/>
  </r>
  <r>
    <s v="ORD00606"/>
    <s v="CUST0115"/>
    <x v="635"/>
    <s v="Selesai"/>
    <n v="0.2"/>
  </r>
  <r>
    <s v="ORD00279"/>
    <s v="CUST0118"/>
    <x v="636"/>
    <s v="Dikirim"/>
    <n v="0.2"/>
  </r>
  <r>
    <s v="ORD00776"/>
    <s v="CUST0043"/>
    <x v="637"/>
    <s v="Dibatalkan"/>
    <n v="0"/>
  </r>
  <r>
    <s v="ORD00269"/>
    <s v="CUST0051"/>
    <x v="638"/>
    <s v="Selesai"/>
    <n v="0"/>
  </r>
  <r>
    <s v="ORD00232"/>
    <s v="CUST0198"/>
    <x v="639"/>
    <s v="Selesai"/>
    <n v="0.05"/>
  </r>
  <r>
    <s v="ORD00038"/>
    <s v="CUST0165"/>
    <x v="639"/>
    <s v="Dibatalkan"/>
    <n v="0.15"/>
  </r>
  <r>
    <s v="ORD00425"/>
    <s v="CUST0195"/>
    <x v="640"/>
    <s v="Dibatalkan"/>
    <n v="0"/>
  </r>
  <r>
    <s v="ORD00090"/>
    <s v="CUST0187"/>
    <x v="641"/>
    <s v="Dibatalkan"/>
    <n v="0"/>
  </r>
  <r>
    <s v="ORD00432"/>
    <s v="CUST0175"/>
    <x v="642"/>
    <s v="Dikirim"/>
    <n v="0.05"/>
  </r>
  <r>
    <s v="ORD00370"/>
    <s v="CUST0127"/>
    <x v="643"/>
    <s v="Dikirim"/>
    <n v="0"/>
  </r>
  <r>
    <s v="ORD00500"/>
    <s v="CUST0145"/>
    <x v="644"/>
    <s v="Dikirim"/>
    <n v="0"/>
  </r>
  <r>
    <s v="ORD00730"/>
    <s v="CUST0187"/>
    <x v="645"/>
    <s v="Dikirim"/>
    <n v="0.15"/>
  </r>
  <r>
    <s v="ORD00742"/>
    <s v="CUST0096"/>
    <x v="646"/>
    <s v="Dibatalkan"/>
    <n v="0.05"/>
  </r>
  <r>
    <s v="ORD00326"/>
    <s v="CUST0145"/>
    <x v="647"/>
    <s v="Dikirim"/>
    <n v="0.15"/>
  </r>
  <r>
    <s v="ORD00381"/>
    <s v="CUST0014"/>
    <x v="647"/>
    <s v="Dibatalkan"/>
    <n v="0"/>
  </r>
  <r>
    <s v="ORD00218"/>
    <s v="CUST0041"/>
    <x v="648"/>
    <s v="Dikirim"/>
    <n v="0"/>
  </r>
  <r>
    <s v="ORD00321"/>
    <s v="CUST0088"/>
    <x v="649"/>
    <s v="Selesai"/>
    <n v="0.15"/>
  </r>
  <r>
    <s v="ORD00568"/>
    <s v="CUST0114"/>
    <x v="650"/>
    <s v="Selesai"/>
    <n v="0"/>
  </r>
  <r>
    <s v="ORD00185"/>
    <s v="CUST0171"/>
    <x v="651"/>
    <s v="Dikirim"/>
    <n v="0"/>
  </r>
  <r>
    <s v="ORD00791"/>
    <s v="CUST0164"/>
    <x v="652"/>
    <s v="Dikirim"/>
    <n v="0"/>
  </r>
  <r>
    <s v="ORD00198"/>
    <s v="CUST0163"/>
    <x v="653"/>
    <s v="Dikirim"/>
    <n v="0"/>
  </r>
  <r>
    <s v="ORD00056"/>
    <s v="CUST0046"/>
    <x v="654"/>
    <s v="Selesai"/>
    <n v="0"/>
  </r>
  <r>
    <s v="ORD00017"/>
    <s v="CUST0097"/>
    <x v="655"/>
    <s v="Selesai"/>
    <n v="0"/>
  </r>
  <r>
    <s v="ORD00782"/>
    <s v="CUST0129"/>
    <x v="655"/>
    <s v="Dikirim"/>
    <n v="0.05"/>
  </r>
  <r>
    <s v="ORD00212"/>
    <s v="CUST0032"/>
    <x v="656"/>
    <s v="Dikirim"/>
    <n v="0"/>
  </r>
  <r>
    <s v="ORD00605"/>
    <s v="CUST0119"/>
    <x v="657"/>
    <s v="Selesai"/>
    <n v="0"/>
  </r>
  <r>
    <s v="ORD00716"/>
    <s v="CUST0200"/>
    <x v="658"/>
    <s v="Selesai"/>
    <n v="0.05"/>
  </r>
  <r>
    <s v="ORD00654"/>
    <s v="CUST0043"/>
    <x v="659"/>
    <s v="Selesai"/>
    <n v="0.1"/>
  </r>
  <r>
    <s v="ORD00213"/>
    <s v="CUST0119"/>
    <x v="660"/>
    <s v="Selesai"/>
    <n v="0"/>
  </r>
  <r>
    <s v="ORD00261"/>
    <s v="CUST0120"/>
    <x v="661"/>
    <s v="Selesai"/>
    <n v="0"/>
  </r>
  <r>
    <s v="ORD00043"/>
    <s v="CUST0093"/>
    <x v="662"/>
    <s v="Selesai"/>
    <n v="0"/>
  </r>
  <r>
    <s v="ORD00617"/>
    <s v="CUST0190"/>
    <x v="663"/>
    <s v="Selesai"/>
    <n v="0"/>
  </r>
  <r>
    <s v="ORD00455"/>
    <s v="CUST0174"/>
    <x v="664"/>
    <s v="Selesai"/>
    <n v="0"/>
  </r>
  <r>
    <s v="ORD00453"/>
    <s v="CUST0091"/>
    <x v="665"/>
    <s v="Selesai"/>
    <n v="0.1"/>
  </r>
  <r>
    <s v="ORD00144"/>
    <s v="CUST0164"/>
    <x v="666"/>
    <s v="Selesai"/>
    <n v="0"/>
  </r>
  <r>
    <s v="ORD00246"/>
    <s v="CUST0145"/>
    <x v="667"/>
    <s v="Dibatalkan"/>
    <n v="0.1"/>
  </r>
  <r>
    <s v="ORD00349"/>
    <s v="CUST0037"/>
    <x v="668"/>
    <s v="Selesai"/>
    <n v="0.1"/>
  </r>
  <r>
    <s v="ORD00337"/>
    <s v="CUST0041"/>
    <x v="669"/>
    <s v="Dibatalkan"/>
    <n v="0.1"/>
  </r>
  <r>
    <s v="ORD00519"/>
    <s v="CUST0126"/>
    <x v="669"/>
    <s v="Dibatalkan"/>
    <n v="0.15"/>
  </r>
  <r>
    <s v="ORD00120"/>
    <s v="CUST0145"/>
    <x v="670"/>
    <s v="Selesai"/>
    <n v="0"/>
  </r>
  <r>
    <s v="ORD00243"/>
    <s v="CUST0104"/>
    <x v="671"/>
    <s v="Dibatalkan"/>
    <n v="0"/>
  </r>
  <r>
    <s v="ORD00116"/>
    <s v="CUST0061"/>
    <x v="672"/>
    <s v="Selesai"/>
    <n v="0.1"/>
  </r>
  <r>
    <s v="ORD00476"/>
    <s v="CUST0164"/>
    <x v="672"/>
    <s v="Selesai"/>
    <n v="0.1"/>
  </r>
  <r>
    <s v="ORD00208"/>
    <s v="CUST0193"/>
    <x v="673"/>
    <s v="Selesai"/>
    <n v="0"/>
  </r>
  <r>
    <s v="ORD00611"/>
    <s v="CUST0152"/>
    <x v="674"/>
    <s v="Selesai"/>
    <n v="0.1"/>
  </r>
  <r>
    <s v="ORD00443"/>
    <s v="CUST0164"/>
    <x v="674"/>
    <s v="Selesai"/>
    <n v="0.1"/>
  </r>
  <r>
    <s v="ORD00125"/>
    <s v="CUST0193"/>
    <x v="675"/>
    <s v="Dibatalkan"/>
    <n v="0"/>
  </r>
  <r>
    <s v="ORD00513"/>
    <s v="CUST0200"/>
    <x v="676"/>
    <s v="Dikirim"/>
    <n v="0.1"/>
  </r>
  <r>
    <s v="ORD00315"/>
    <s v="CUST0033"/>
    <x v="677"/>
    <s v="Selesai"/>
    <n v="0.05"/>
  </r>
  <r>
    <s v="ORD00734"/>
    <s v="CUST0164"/>
    <x v="678"/>
    <s v="Selesai"/>
    <n v="0.05"/>
  </r>
  <r>
    <s v="ORD00587"/>
    <s v="CUST0107"/>
    <x v="678"/>
    <s v="Dikirim"/>
    <n v="0"/>
  </r>
  <r>
    <s v="ORD00148"/>
    <s v="CUST0039"/>
    <x v="679"/>
    <s v="Selesai"/>
    <n v="0.05"/>
  </r>
  <r>
    <s v="ORD00656"/>
    <s v="CUST0114"/>
    <x v="680"/>
    <s v="Selesai"/>
    <n v="0"/>
  </r>
  <r>
    <s v="ORD00042"/>
    <s v="CUST0110"/>
    <x v="681"/>
    <s v="Selesai"/>
    <n v="0.05"/>
  </r>
  <r>
    <s v="ORD00264"/>
    <s v="CUST0030"/>
    <x v="682"/>
    <s v="Selesai"/>
    <n v="0"/>
  </r>
  <r>
    <s v="ORD00219"/>
    <s v="CUST0122"/>
    <x v="683"/>
    <s v="Selesai"/>
    <n v="0"/>
  </r>
  <r>
    <s v="ORD00189"/>
    <s v="CUST0045"/>
    <x v="684"/>
    <s v="Selesai"/>
    <n v="0.15"/>
  </r>
  <r>
    <s v="ORD00686"/>
    <s v="CUST0061"/>
    <x v="685"/>
    <s v="Selesai"/>
    <n v="0"/>
  </r>
  <r>
    <s v="ORD00031"/>
    <s v="CUST0164"/>
    <x v="685"/>
    <s v="Selesai"/>
    <n v="0"/>
  </r>
  <r>
    <s v="ORD00169"/>
    <s v="CUST0090"/>
    <x v="685"/>
    <s v="Selesai"/>
    <n v="0"/>
  </r>
  <r>
    <s v="ORD00220"/>
    <s v="CUST0193"/>
    <x v="685"/>
    <s v="Dikirim"/>
    <n v="0"/>
  </r>
  <r>
    <s v="ORD00209"/>
    <s v="CUST0057"/>
    <x v="686"/>
    <s v="Selesai"/>
    <n v="0"/>
  </r>
  <r>
    <s v="ORD00289"/>
    <s v="CUST0146"/>
    <x v="687"/>
    <s v="Selesai"/>
    <n v="0"/>
  </r>
  <r>
    <s v="ORD00380"/>
    <s v="CUST0161"/>
    <x v="687"/>
    <s v="Dikirim"/>
    <n v="0"/>
  </r>
  <r>
    <s v="ORD00651"/>
    <s v="CUST0034"/>
    <x v="688"/>
    <s v="Dikirim"/>
    <n v="0"/>
  </r>
  <r>
    <s v="ORD00011"/>
    <s v="CUST0041"/>
    <x v="689"/>
    <s v="Dikirim"/>
    <n v="0"/>
  </r>
  <r>
    <s v="ORD00101"/>
    <s v="CUST0193"/>
    <x v="690"/>
    <s v="Dikirim"/>
    <n v="0"/>
  </r>
  <r>
    <s v="ORD00273"/>
    <s v="CUST0145"/>
    <x v="691"/>
    <s v="Dibatalkan"/>
    <n v="0.2"/>
  </r>
  <r>
    <s v="ORD00433"/>
    <s v="CUST0044"/>
    <x v="692"/>
    <s v="Selesai"/>
    <n v="0.05"/>
  </r>
  <r>
    <s v="ORD00374"/>
    <s v="CUST0083"/>
    <x v="693"/>
    <s v="Selesai"/>
    <n v="0"/>
  </r>
  <r>
    <s v="ORD00726"/>
    <s v="CUST0083"/>
    <x v="693"/>
    <s v="Selesai"/>
    <n v="0"/>
  </r>
  <r>
    <s v="ORD00087"/>
    <s v="CUST0049"/>
    <x v="694"/>
    <s v="Selesai"/>
    <n v="0"/>
  </r>
  <r>
    <s v="ORD00688"/>
    <s v="CUST0164"/>
    <x v="694"/>
    <s v="Selesai"/>
    <n v="0.1"/>
  </r>
  <r>
    <s v="ORD00772"/>
    <s v="CUST0200"/>
    <x v="695"/>
    <s v="Dibatalkan"/>
    <n v="0"/>
  </r>
  <r>
    <s v="ORD00376"/>
    <s v="CUST0169"/>
    <x v="696"/>
    <s v="Dikirim"/>
    <n v="0"/>
  </r>
  <r>
    <s v="ORD00366"/>
    <s v="CUST0024"/>
    <x v="697"/>
    <s v="Selesai"/>
    <n v="0"/>
  </r>
  <r>
    <s v="ORD00700"/>
    <s v="CUST0100"/>
    <x v="698"/>
    <s v="Selesai"/>
    <n v="0"/>
  </r>
  <r>
    <s v="ORD00285"/>
    <s v="CUST0152"/>
    <x v="699"/>
    <s v="Dikirim"/>
    <n v="0"/>
  </r>
  <r>
    <s v="ORD00163"/>
    <s v="CUST0121"/>
    <x v="700"/>
    <s v="Selesai"/>
    <n v="0.2"/>
  </r>
  <r>
    <s v="ORD00369"/>
    <s v="CUST0085"/>
    <x v="701"/>
    <s v="Selesai"/>
    <n v="0.05"/>
  </r>
  <r>
    <s v="ORD00464"/>
    <s v="CUST0034"/>
    <x v="702"/>
    <s v="Dikirim"/>
    <n v="0"/>
  </r>
  <r>
    <s v="ORD00236"/>
    <s v="CUST0193"/>
    <x v="703"/>
    <s v="Dibatalkan"/>
    <n v="0.1"/>
  </r>
  <r>
    <s v="ORD00404"/>
    <s v="CUST0083"/>
    <x v="704"/>
    <s v="Dibatalkan"/>
    <n v="0.1"/>
  </r>
  <r>
    <s v="ORD00377"/>
    <s v="CUST0119"/>
    <x v="705"/>
    <s v="Dikirim"/>
    <n v="0"/>
  </r>
  <r>
    <s v="ORD00707"/>
    <s v="CUST0200"/>
    <x v="706"/>
    <s v="Selesai"/>
    <n v="0.2"/>
  </r>
  <r>
    <s v="ORD00731"/>
    <s v="CUST0091"/>
    <x v="707"/>
    <s v="Selesai"/>
    <n v="0"/>
  </r>
  <r>
    <s v="ORD00234"/>
    <s v="CUST0196"/>
    <x v="707"/>
    <s v="Dikirim"/>
    <n v="0"/>
  </r>
  <r>
    <s v="ORD00699"/>
    <s v="CUST0100"/>
    <x v="708"/>
    <s v="Selesai"/>
    <n v="0"/>
  </r>
  <r>
    <s v="ORD00736"/>
    <s v="CUST0037"/>
    <x v="708"/>
    <s v="Selesai"/>
    <n v="0.2"/>
  </r>
  <r>
    <s v="ORD00657"/>
    <s v="CUST0193"/>
    <x v="709"/>
    <s v="Selesai"/>
    <n v="0.05"/>
  </r>
  <r>
    <s v="ORD00085"/>
    <s v="CUST0034"/>
    <x v="710"/>
    <s v="Dibatalkan"/>
    <n v="0"/>
  </r>
  <r>
    <s v="ORD00764"/>
    <s v="CUST0034"/>
    <x v="710"/>
    <s v="Selesai"/>
    <n v="0.15"/>
  </r>
  <r>
    <s v="ORD00557"/>
    <s v="CUST0037"/>
    <x v="711"/>
    <s v="Selesai"/>
    <n v="0"/>
  </r>
  <r>
    <s v="ORD00318"/>
    <s v="CUST0193"/>
    <x v="711"/>
    <s v="Selesai"/>
    <n v="0"/>
  </r>
  <r>
    <s v="ORD00747"/>
    <s v="CUST0100"/>
    <x v="712"/>
    <s v="Selesai"/>
    <n v="0"/>
  </r>
  <r>
    <s v="ORD00092"/>
    <s v="CUST0016"/>
    <x v="713"/>
    <s v="Selesai"/>
    <n v="0"/>
  </r>
  <r>
    <s v="ORD00494"/>
    <s v="CUST0016"/>
    <x v="714"/>
    <s v="Selesai"/>
    <n v="0"/>
  </r>
  <r>
    <s v="ORD00783"/>
    <s v="CUST0152"/>
    <x v="715"/>
    <s v="Selesai"/>
    <n v="0.15"/>
  </r>
  <r>
    <s v="ORD00063"/>
    <s v="CUST0083"/>
    <x v="716"/>
    <s v="Selesai"/>
    <n v="0"/>
  </r>
  <r>
    <s v="ORD00065"/>
    <s v="CUST0079"/>
    <x v="717"/>
    <s v="Dikirim"/>
    <n v="0"/>
  </r>
  <r>
    <s v="ORD00619"/>
    <s v="CUST0083"/>
    <x v="718"/>
    <s v="Selesai"/>
    <n v="0"/>
  </r>
  <r>
    <s v="ORD00306"/>
    <s v="CUST0079"/>
    <x v="719"/>
    <s v="Selesai"/>
    <n v="0.1"/>
  </r>
  <r>
    <s v="ORD00151"/>
    <s v="CUST0079"/>
    <x v="720"/>
    <s v="Selesai"/>
    <n v="0"/>
  </r>
  <r>
    <s v="ORD00350"/>
    <s v="CUST0079"/>
    <x v="721"/>
    <s v="Selesai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s v="ITM00001"/>
    <s v="ORD00001"/>
    <s v="PRD021"/>
    <n v="1"/>
    <n v="69000"/>
    <x v="0"/>
  </r>
  <r>
    <s v="ITM00002"/>
    <s v="ORD00001"/>
    <s v="PRD020"/>
    <n v="1"/>
    <n v="179000"/>
    <x v="1"/>
  </r>
  <r>
    <s v="ITM00003"/>
    <s v="ORD00002"/>
    <s v="PRD021"/>
    <n v="3"/>
    <n v="69000"/>
    <x v="0"/>
  </r>
  <r>
    <s v="ITM00004"/>
    <s v="ORD00003"/>
    <s v="PRD021"/>
    <n v="3"/>
    <n v="69000"/>
    <x v="0"/>
  </r>
  <r>
    <s v="ITM00005"/>
    <s v="ORD00004"/>
    <s v="PRD005"/>
    <n v="3"/>
    <n v="39000"/>
    <x v="2"/>
  </r>
  <r>
    <s v="ITM00006"/>
    <s v="ORD00004"/>
    <s v="PRD009"/>
    <n v="1"/>
    <n v="79000"/>
    <x v="3"/>
  </r>
  <r>
    <s v="ITM00007"/>
    <s v="ORD00005"/>
    <s v="PRD022"/>
    <n v="1"/>
    <n v="55000"/>
    <x v="4"/>
  </r>
  <r>
    <s v="ITM00008"/>
    <s v="ORD00005"/>
    <s v="PRD005"/>
    <n v="1"/>
    <n v="39000"/>
    <x v="2"/>
  </r>
  <r>
    <s v="ITM00009"/>
    <s v="ORD00005"/>
    <s v="PRD012"/>
    <n v="1"/>
    <n v="229000"/>
    <x v="5"/>
  </r>
  <r>
    <s v="ITM00010"/>
    <s v="ORD00006"/>
    <s v="PRD005"/>
    <n v="1"/>
    <n v="39000"/>
    <x v="2"/>
  </r>
  <r>
    <s v="ITM00011"/>
    <s v="ORD00006"/>
    <s v="PRD022"/>
    <n v="1"/>
    <n v="55000"/>
    <x v="4"/>
  </r>
  <r>
    <s v="ITM00012"/>
    <s v="ORD00007"/>
    <s v="PRD007"/>
    <n v="3"/>
    <n v="99000"/>
    <x v="6"/>
  </r>
  <r>
    <s v="ITM00013"/>
    <s v="ORD00007"/>
    <s v="PRD005"/>
    <n v="1"/>
    <n v="39000"/>
    <x v="2"/>
  </r>
  <r>
    <s v="ITM00014"/>
    <s v="ORD00008"/>
    <s v="PRD022"/>
    <n v="1"/>
    <n v="55000"/>
    <x v="4"/>
  </r>
  <r>
    <s v="ITM00015"/>
    <s v="ORD00009"/>
    <s v="PRD017"/>
    <n v="2"/>
    <n v="329000"/>
    <x v="7"/>
  </r>
  <r>
    <s v="ITM00016"/>
    <s v="ORD00009"/>
    <s v="PRD023"/>
    <n v="1"/>
    <n v="139000"/>
    <x v="8"/>
  </r>
  <r>
    <s v="ITM00017"/>
    <s v="ORD00010"/>
    <s v="PRD017"/>
    <n v="2"/>
    <n v="329000"/>
    <x v="7"/>
  </r>
  <r>
    <s v="ITM00018"/>
    <s v="ORD00010"/>
    <s v="PRD014"/>
    <n v="2"/>
    <n v="349000"/>
    <x v="9"/>
  </r>
  <r>
    <s v="ITM00019"/>
    <s v="ORD00010"/>
    <s v="PRD007"/>
    <n v="3"/>
    <n v="99000"/>
    <x v="6"/>
  </r>
  <r>
    <s v="ITM00020"/>
    <s v="ORD00011"/>
    <s v="PRD021"/>
    <n v="1"/>
    <n v="69000"/>
    <x v="0"/>
  </r>
  <r>
    <s v="ITM00021"/>
    <s v="ORD00011"/>
    <s v="PRD006"/>
    <n v="1"/>
    <n v="129000"/>
    <x v="10"/>
  </r>
  <r>
    <s v="ITM00022"/>
    <s v="ORD00012"/>
    <s v="PRD021"/>
    <n v="1"/>
    <n v="69000"/>
    <x v="0"/>
  </r>
  <r>
    <s v="ITM00023"/>
    <s v="ORD00013"/>
    <s v="PRD017"/>
    <n v="1"/>
    <n v="329000"/>
    <x v="7"/>
  </r>
  <r>
    <s v="ITM00024"/>
    <s v="ORD00014"/>
    <s v="PRD021"/>
    <n v="1"/>
    <n v="69000"/>
    <x v="0"/>
  </r>
  <r>
    <s v="ITM00025"/>
    <s v="ORD00014"/>
    <s v="PRD012"/>
    <n v="2"/>
    <n v="229000"/>
    <x v="5"/>
  </r>
  <r>
    <s v="ITM00026"/>
    <s v="ORD00015"/>
    <s v="PRD021"/>
    <n v="1"/>
    <n v="69000"/>
    <x v="0"/>
  </r>
  <r>
    <s v="ITM00027"/>
    <s v="ORD00015"/>
    <s v="PRD022"/>
    <n v="1"/>
    <n v="55000"/>
    <x v="4"/>
  </r>
  <r>
    <s v="ITM00028"/>
    <s v="ORD00015"/>
    <s v="PRD009"/>
    <n v="2"/>
    <n v="79000"/>
    <x v="3"/>
  </r>
  <r>
    <s v="ITM00029"/>
    <s v="ORD00016"/>
    <s v="PRD012"/>
    <n v="3"/>
    <n v="229000"/>
    <x v="5"/>
  </r>
  <r>
    <s v="ITM00030"/>
    <s v="ORD00016"/>
    <s v="PRD021"/>
    <n v="1"/>
    <n v="69000"/>
    <x v="0"/>
  </r>
  <r>
    <s v="ITM00031"/>
    <s v="ORD00017"/>
    <s v="PRD005"/>
    <n v="1"/>
    <n v="39000"/>
    <x v="2"/>
  </r>
  <r>
    <s v="ITM00032"/>
    <s v="ORD00017"/>
    <s v="PRD021"/>
    <n v="1"/>
    <n v="69000"/>
    <x v="0"/>
  </r>
  <r>
    <s v="ITM00033"/>
    <s v="ORD00018"/>
    <s v="PRD021"/>
    <n v="1"/>
    <n v="69000"/>
    <x v="0"/>
  </r>
  <r>
    <s v="ITM00034"/>
    <s v="ORD00019"/>
    <s v="PRD021"/>
    <n v="1"/>
    <n v="69000"/>
    <x v="0"/>
  </r>
  <r>
    <s v="ITM00035"/>
    <s v="ORD00020"/>
    <s v="PRD021"/>
    <n v="1"/>
    <n v="69000"/>
    <x v="0"/>
  </r>
  <r>
    <s v="ITM00036"/>
    <s v="ORD00021"/>
    <s v="PRD017"/>
    <n v="1"/>
    <n v="329000"/>
    <x v="7"/>
  </r>
  <r>
    <s v="ITM00037"/>
    <s v="ORD00022"/>
    <s v="PRD005"/>
    <n v="1"/>
    <n v="39000"/>
    <x v="2"/>
  </r>
  <r>
    <s v="ITM00038"/>
    <s v="ORD00023"/>
    <s v="PRD005"/>
    <n v="1"/>
    <n v="39000"/>
    <x v="2"/>
  </r>
  <r>
    <s v="ITM00039"/>
    <s v="ORD00023"/>
    <s v="PRD007"/>
    <n v="1"/>
    <n v="99000"/>
    <x v="6"/>
  </r>
  <r>
    <s v="ITM00040"/>
    <s v="ORD00023"/>
    <s v="PRD021"/>
    <n v="1"/>
    <n v="69000"/>
    <x v="0"/>
  </r>
  <r>
    <s v="ITM00041"/>
    <s v="ORD00024"/>
    <s v="PRD020"/>
    <n v="1"/>
    <n v="179000"/>
    <x v="1"/>
  </r>
  <r>
    <s v="ITM00042"/>
    <s v="ORD00024"/>
    <s v="PRD021"/>
    <n v="1"/>
    <n v="69000"/>
    <x v="0"/>
  </r>
  <r>
    <s v="ITM00043"/>
    <s v="ORD00025"/>
    <s v="PRD003"/>
    <n v="1"/>
    <n v="499000"/>
    <x v="11"/>
  </r>
  <r>
    <s v="ITM00044"/>
    <s v="ORD00025"/>
    <s v="PRD021"/>
    <n v="1"/>
    <n v="69000"/>
    <x v="0"/>
  </r>
  <r>
    <s v="ITM00045"/>
    <s v="ORD00026"/>
    <s v="PRD009"/>
    <n v="1"/>
    <n v="79000"/>
    <x v="3"/>
  </r>
  <r>
    <s v="ITM00046"/>
    <s v="ORD00027"/>
    <s v="PRD017"/>
    <n v="1"/>
    <n v="329000"/>
    <x v="7"/>
  </r>
  <r>
    <s v="ITM00047"/>
    <s v="ORD00028"/>
    <s v="PRD021"/>
    <n v="1"/>
    <n v="69000"/>
    <x v="0"/>
  </r>
  <r>
    <s v="ITM00048"/>
    <s v="ORD00028"/>
    <s v="PRD008"/>
    <n v="1"/>
    <n v="399000"/>
    <x v="12"/>
  </r>
  <r>
    <s v="ITM00049"/>
    <s v="ORD00029"/>
    <s v="PRD019"/>
    <n v="3"/>
    <n v="79000"/>
    <x v="13"/>
  </r>
  <r>
    <s v="ITM00050"/>
    <s v="ORD00030"/>
    <s v="PRD006"/>
    <n v="1"/>
    <n v="129000"/>
    <x v="10"/>
  </r>
  <r>
    <s v="ITM00051"/>
    <s v="ORD00031"/>
    <s v="PRD020"/>
    <n v="3"/>
    <n v="179000"/>
    <x v="1"/>
  </r>
  <r>
    <s v="ITM00052"/>
    <s v="ORD00032"/>
    <s v="PRD021"/>
    <n v="1"/>
    <n v="69000"/>
    <x v="0"/>
  </r>
  <r>
    <s v="ITM00053"/>
    <s v="ORD00032"/>
    <s v="PRD002"/>
    <n v="2"/>
    <n v="159000"/>
    <x v="14"/>
  </r>
  <r>
    <s v="ITM00054"/>
    <s v="ORD00033"/>
    <s v="PRD020"/>
    <n v="1"/>
    <n v="179000"/>
    <x v="1"/>
  </r>
  <r>
    <s v="ITM00055"/>
    <s v="ORD00033"/>
    <s v="PRD008"/>
    <n v="1"/>
    <n v="399000"/>
    <x v="12"/>
  </r>
  <r>
    <s v="ITM00056"/>
    <s v="ORD00034"/>
    <s v="PRD020"/>
    <n v="1"/>
    <n v="179000"/>
    <x v="1"/>
  </r>
  <r>
    <s v="ITM00057"/>
    <s v="ORD00034"/>
    <s v="PRD021"/>
    <n v="1"/>
    <n v="69000"/>
    <x v="0"/>
  </r>
  <r>
    <s v="ITM00058"/>
    <s v="ORD00035"/>
    <s v="PRD005"/>
    <n v="1"/>
    <n v="39000"/>
    <x v="2"/>
  </r>
  <r>
    <s v="ITM00059"/>
    <s v="ORD00035"/>
    <s v="PRD009"/>
    <n v="3"/>
    <n v="79000"/>
    <x v="3"/>
  </r>
  <r>
    <s v="ITM00060"/>
    <s v="ORD00036"/>
    <s v="PRD005"/>
    <n v="1"/>
    <n v="39000"/>
    <x v="2"/>
  </r>
  <r>
    <s v="ITM00061"/>
    <s v="ORD00037"/>
    <s v="PRD009"/>
    <n v="2"/>
    <n v="79000"/>
    <x v="3"/>
  </r>
  <r>
    <s v="ITM00062"/>
    <s v="ORD00038"/>
    <s v="PRD023"/>
    <n v="2"/>
    <n v="139000"/>
    <x v="8"/>
  </r>
  <r>
    <s v="ITM00063"/>
    <s v="ORD00038"/>
    <s v="PRD005"/>
    <n v="1"/>
    <n v="39000"/>
    <x v="2"/>
  </r>
  <r>
    <s v="ITM00064"/>
    <s v="ORD00038"/>
    <s v="PRD009"/>
    <n v="2"/>
    <n v="79000"/>
    <x v="3"/>
  </r>
  <r>
    <s v="ITM00065"/>
    <s v="ORD00039"/>
    <s v="PRD005"/>
    <n v="2"/>
    <n v="39000"/>
    <x v="2"/>
  </r>
  <r>
    <s v="ITM00066"/>
    <s v="ORD00040"/>
    <s v="PRD008"/>
    <n v="2"/>
    <n v="399000"/>
    <x v="12"/>
  </r>
  <r>
    <s v="ITM00067"/>
    <s v="ORD00040"/>
    <s v="PRD021"/>
    <n v="1"/>
    <n v="69000"/>
    <x v="0"/>
  </r>
  <r>
    <s v="ITM00068"/>
    <s v="ORD00040"/>
    <s v="PRD009"/>
    <n v="1"/>
    <n v="79000"/>
    <x v="3"/>
  </r>
  <r>
    <s v="ITM00069"/>
    <s v="ORD00041"/>
    <s v="PRD021"/>
    <n v="1"/>
    <n v="69000"/>
    <x v="0"/>
  </r>
  <r>
    <s v="ITM00070"/>
    <s v="ORD00042"/>
    <s v="PRD014"/>
    <n v="1"/>
    <n v="349000"/>
    <x v="9"/>
  </r>
  <r>
    <s v="ITM00071"/>
    <s v="ORD00042"/>
    <s v="PRD009"/>
    <n v="1"/>
    <n v="79000"/>
    <x v="3"/>
  </r>
  <r>
    <s v="ITM00072"/>
    <s v="ORD00043"/>
    <s v="PRD021"/>
    <n v="1"/>
    <n v="69000"/>
    <x v="0"/>
  </r>
  <r>
    <s v="ITM00073"/>
    <s v="ORD00043"/>
    <s v="PRD005"/>
    <n v="2"/>
    <n v="39000"/>
    <x v="2"/>
  </r>
  <r>
    <s v="ITM00074"/>
    <s v="ORD00044"/>
    <s v="PRD018"/>
    <n v="1"/>
    <n v="149000"/>
    <x v="15"/>
  </r>
  <r>
    <s v="ITM00075"/>
    <s v="ORD00044"/>
    <s v="PRD021"/>
    <n v="1"/>
    <n v="69000"/>
    <x v="0"/>
  </r>
  <r>
    <s v="ITM00076"/>
    <s v="ORD00045"/>
    <s v="PRD021"/>
    <n v="1"/>
    <n v="69000"/>
    <x v="0"/>
  </r>
  <r>
    <s v="ITM00077"/>
    <s v="ORD00046"/>
    <s v="PRD021"/>
    <n v="2"/>
    <n v="69000"/>
    <x v="0"/>
  </r>
  <r>
    <s v="ITM00078"/>
    <s v="ORD00047"/>
    <s v="PRD021"/>
    <n v="1"/>
    <n v="69000"/>
    <x v="0"/>
  </r>
  <r>
    <s v="ITM00079"/>
    <s v="ORD00048"/>
    <s v="PRD021"/>
    <n v="1"/>
    <n v="69000"/>
    <x v="0"/>
  </r>
  <r>
    <s v="ITM00080"/>
    <s v="ORD00048"/>
    <s v="PRD005"/>
    <n v="2"/>
    <n v="39000"/>
    <x v="2"/>
  </r>
  <r>
    <s v="ITM00081"/>
    <s v="ORD00049"/>
    <s v="PRD021"/>
    <n v="1"/>
    <n v="69000"/>
    <x v="0"/>
  </r>
  <r>
    <s v="ITM00082"/>
    <s v="ORD00049"/>
    <s v="PRD022"/>
    <n v="1"/>
    <n v="55000"/>
    <x v="4"/>
  </r>
  <r>
    <s v="ITM00083"/>
    <s v="ORD00050"/>
    <s v="PRD005"/>
    <n v="3"/>
    <n v="39000"/>
    <x v="2"/>
  </r>
  <r>
    <s v="ITM00084"/>
    <s v="ORD00051"/>
    <s v="PRD021"/>
    <n v="1"/>
    <n v="69000"/>
    <x v="0"/>
  </r>
  <r>
    <s v="ITM00085"/>
    <s v="ORD00051"/>
    <s v="PRD005"/>
    <n v="1"/>
    <n v="39000"/>
    <x v="2"/>
  </r>
  <r>
    <s v="ITM00086"/>
    <s v="ORD00051"/>
    <s v="PRD022"/>
    <n v="1"/>
    <n v="55000"/>
    <x v="4"/>
  </r>
  <r>
    <s v="ITM00087"/>
    <s v="ORD00051"/>
    <s v="PRD012"/>
    <n v="2"/>
    <n v="229000"/>
    <x v="5"/>
  </r>
  <r>
    <s v="ITM00088"/>
    <s v="ORD00052"/>
    <s v="PRD014"/>
    <n v="3"/>
    <n v="349000"/>
    <x v="9"/>
  </r>
  <r>
    <s v="ITM00089"/>
    <s v="ORD00053"/>
    <s v="PRD017"/>
    <n v="1"/>
    <n v="329000"/>
    <x v="7"/>
  </r>
  <r>
    <s v="ITM00090"/>
    <s v="ORD00053"/>
    <s v="PRD005"/>
    <n v="1"/>
    <n v="39000"/>
    <x v="2"/>
  </r>
  <r>
    <s v="ITM00091"/>
    <s v="ORD00054"/>
    <s v="PRD008"/>
    <n v="1"/>
    <n v="399000"/>
    <x v="12"/>
  </r>
  <r>
    <s v="ITM00092"/>
    <s v="ORD00055"/>
    <s v="PRD005"/>
    <n v="1"/>
    <n v="39000"/>
    <x v="2"/>
  </r>
  <r>
    <s v="ITM00093"/>
    <s v="ORD00055"/>
    <s v="PRD022"/>
    <n v="1"/>
    <n v="55000"/>
    <x v="4"/>
  </r>
  <r>
    <s v="ITM00094"/>
    <s v="ORD00056"/>
    <s v="PRD008"/>
    <n v="1"/>
    <n v="399000"/>
    <x v="12"/>
  </r>
  <r>
    <s v="ITM00095"/>
    <s v="ORD00057"/>
    <s v="PRD005"/>
    <n v="1"/>
    <n v="39000"/>
    <x v="2"/>
  </r>
  <r>
    <s v="ITM00096"/>
    <s v="ORD00058"/>
    <s v="PRD021"/>
    <n v="1"/>
    <n v="69000"/>
    <x v="0"/>
  </r>
  <r>
    <s v="ITM00097"/>
    <s v="ORD00059"/>
    <s v="PRD005"/>
    <n v="1"/>
    <n v="39000"/>
    <x v="2"/>
  </r>
  <r>
    <s v="ITM00098"/>
    <s v="ORD00059"/>
    <s v="PRD021"/>
    <n v="1"/>
    <n v="69000"/>
    <x v="0"/>
  </r>
  <r>
    <s v="ITM00099"/>
    <s v="ORD00060"/>
    <s v="PRD022"/>
    <n v="1"/>
    <n v="55000"/>
    <x v="4"/>
  </r>
  <r>
    <s v="ITM00100"/>
    <s v="ORD00060"/>
    <s v="PRD021"/>
    <n v="1"/>
    <n v="69000"/>
    <x v="0"/>
  </r>
  <r>
    <s v="ITM00101"/>
    <s v="ORD00060"/>
    <s v="PRD006"/>
    <n v="1"/>
    <n v="129000"/>
    <x v="10"/>
  </r>
  <r>
    <s v="ITM00102"/>
    <s v="ORD00061"/>
    <s v="PRD005"/>
    <n v="1"/>
    <n v="39000"/>
    <x v="2"/>
  </r>
  <r>
    <s v="ITM00103"/>
    <s v="ORD00061"/>
    <s v="PRD021"/>
    <n v="1"/>
    <n v="69000"/>
    <x v="0"/>
  </r>
  <r>
    <s v="ITM00104"/>
    <s v="ORD00062"/>
    <s v="PRD012"/>
    <n v="2"/>
    <n v="229000"/>
    <x v="5"/>
  </r>
  <r>
    <s v="ITM00105"/>
    <s v="ORD00062"/>
    <s v="PRD021"/>
    <n v="1"/>
    <n v="69000"/>
    <x v="0"/>
  </r>
  <r>
    <s v="ITM00106"/>
    <s v="ORD00062"/>
    <s v="PRD005"/>
    <n v="1"/>
    <n v="39000"/>
    <x v="2"/>
  </r>
  <r>
    <s v="ITM00107"/>
    <s v="ORD00063"/>
    <s v="PRD021"/>
    <n v="2"/>
    <n v="69000"/>
    <x v="0"/>
  </r>
  <r>
    <s v="ITM00108"/>
    <s v="ORD00064"/>
    <s v="PRD006"/>
    <n v="1"/>
    <n v="129000"/>
    <x v="10"/>
  </r>
  <r>
    <s v="ITM00109"/>
    <s v="ORD00065"/>
    <s v="PRD021"/>
    <n v="2"/>
    <n v="69000"/>
    <x v="0"/>
  </r>
  <r>
    <s v="ITM00110"/>
    <s v="ORD00066"/>
    <s v="PRD005"/>
    <n v="2"/>
    <n v="39000"/>
    <x v="2"/>
  </r>
  <r>
    <s v="ITM00111"/>
    <s v="ORD00066"/>
    <s v="PRD021"/>
    <n v="2"/>
    <n v="69000"/>
    <x v="0"/>
  </r>
  <r>
    <s v="ITM00112"/>
    <s v="ORD00067"/>
    <s v="PRD021"/>
    <n v="1"/>
    <n v="69000"/>
    <x v="0"/>
  </r>
  <r>
    <s v="ITM00113"/>
    <s v="ORD00067"/>
    <s v="PRD006"/>
    <n v="1"/>
    <n v="129000"/>
    <x v="10"/>
  </r>
  <r>
    <s v="ITM00114"/>
    <s v="ORD00068"/>
    <s v="PRD007"/>
    <n v="3"/>
    <n v="99000"/>
    <x v="6"/>
  </r>
  <r>
    <s v="ITM00115"/>
    <s v="ORD00069"/>
    <s v="PRD005"/>
    <n v="1"/>
    <n v="39000"/>
    <x v="2"/>
  </r>
  <r>
    <s v="ITM00116"/>
    <s v="ORD00070"/>
    <s v="PRD005"/>
    <n v="2"/>
    <n v="39000"/>
    <x v="2"/>
  </r>
  <r>
    <s v="ITM00117"/>
    <s v="ORD00071"/>
    <s v="PRD018"/>
    <n v="1"/>
    <n v="149000"/>
    <x v="15"/>
  </r>
  <r>
    <s v="ITM00118"/>
    <s v="ORD00071"/>
    <s v="PRD020"/>
    <n v="2"/>
    <n v="179000"/>
    <x v="1"/>
  </r>
  <r>
    <s v="ITM00119"/>
    <s v="ORD00072"/>
    <s v="PRD021"/>
    <n v="1"/>
    <n v="69000"/>
    <x v="0"/>
  </r>
  <r>
    <s v="ITM00120"/>
    <s v="ORD00073"/>
    <s v="PRD014"/>
    <n v="1"/>
    <n v="349000"/>
    <x v="9"/>
  </r>
  <r>
    <s v="ITM00121"/>
    <s v="ORD00073"/>
    <s v="PRD021"/>
    <n v="3"/>
    <n v="69000"/>
    <x v="0"/>
  </r>
  <r>
    <s v="ITM00122"/>
    <s v="ORD00073"/>
    <s v="PRD009"/>
    <n v="1"/>
    <n v="79000"/>
    <x v="3"/>
  </r>
  <r>
    <s v="ITM00123"/>
    <s v="ORD00074"/>
    <s v="PRD006"/>
    <n v="1"/>
    <n v="129000"/>
    <x v="10"/>
  </r>
  <r>
    <s v="ITM00124"/>
    <s v="ORD00075"/>
    <s v="PRD021"/>
    <n v="1"/>
    <n v="69000"/>
    <x v="0"/>
  </r>
  <r>
    <s v="ITM00125"/>
    <s v="ORD00076"/>
    <s v="PRD021"/>
    <n v="1"/>
    <n v="69000"/>
    <x v="0"/>
  </r>
  <r>
    <s v="ITM00126"/>
    <s v="ORD00077"/>
    <s v="PRD022"/>
    <n v="1"/>
    <n v="55000"/>
    <x v="4"/>
  </r>
  <r>
    <s v="ITM00127"/>
    <s v="ORD00078"/>
    <s v="PRD005"/>
    <n v="1"/>
    <n v="39000"/>
    <x v="2"/>
  </r>
  <r>
    <s v="ITM00128"/>
    <s v="ORD00078"/>
    <s v="PRD022"/>
    <n v="2"/>
    <n v="55000"/>
    <x v="4"/>
  </r>
  <r>
    <s v="ITM00129"/>
    <s v="ORD00078"/>
    <s v="PRD017"/>
    <n v="2"/>
    <n v="329000"/>
    <x v="7"/>
  </r>
  <r>
    <s v="ITM00130"/>
    <s v="ORD00079"/>
    <s v="PRD021"/>
    <n v="1"/>
    <n v="69000"/>
    <x v="0"/>
  </r>
  <r>
    <s v="ITM00131"/>
    <s v="ORD00079"/>
    <s v="PRD006"/>
    <n v="3"/>
    <n v="129000"/>
    <x v="10"/>
  </r>
  <r>
    <s v="ITM00132"/>
    <s v="ORD00080"/>
    <s v="PRD024"/>
    <n v="1"/>
    <n v="89000"/>
    <x v="16"/>
  </r>
  <r>
    <s v="ITM00133"/>
    <s v="ORD00080"/>
    <s v="PRD020"/>
    <n v="1"/>
    <n v="179000"/>
    <x v="1"/>
  </r>
  <r>
    <s v="ITM00134"/>
    <s v="ORD00081"/>
    <s v="PRD022"/>
    <n v="1"/>
    <n v="55000"/>
    <x v="4"/>
  </r>
  <r>
    <s v="ITM00135"/>
    <s v="ORD00081"/>
    <s v="PRD017"/>
    <n v="2"/>
    <n v="329000"/>
    <x v="7"/>
  </r>
  <r>
    <s v="ITM00136"/>
    <s v="ORD00081"/>
    <s v="PRD021"/>
    <n v="1"/>
    <n v="69000"/>
    <x v="0"/>
  </r>
  <r>
    <s v="ITM00137"/>
    <s v="ORD00082"/>
    <s v="PRD017"/>
    <n v="1"/>
    <n v="329000"/>
    <x v="7"/>
  </r>
  <r>
    <s v="ITM00138"/>
    <s v="ORD00082"/>
    <s v="PRD021"/>
    <n v="1"/>
    <n v="69000"/>
    <x v="0"/>
  </r>
  <r>
    <s v="ITM00139"/>
    <s v="ORD00083"/>
    <s v="PRD021"/>
    <n v="2"/>
    <n v="69000"/>
    <x v="0"/>
  </r>
  <r>
    <s v="ITM00140"/>
    <s v="ORD00083"/>
    <s v="PRD009"/>
    <n v="1"/>
    <n v="79000"/>
    <x v="3"/>
  </r>
  <r>
    <s v="ITM00141"/>
    <s v="ORD00084"/>
    <s v="PRD021"/>
    <n v="3"/>
    <n v="69000"/>
    <x v="0"/>
  </r>
  <r>
    <s v="ITM00142"/>
    <s v="ORD00085"/>
    <s v="PRD021"/>
    <n v="1"/>
    <n v="69000"/>
    <x v="0"/>
  </r>
  <r>
    <s v="ITM00143"/>
    <s v="ORD00086"/>
    <s v="PRD021"/>
    <n v="1"/>
    <n v="69000"/>
    <x v="0"/>
  </r>
  <r>
    <s v="ITM00144"/>
    <s v="ORD00086"/>
    <s v="PRD014"/>
    <n v="1"/>
    <n v="349000"/>
    <x v="9"/>
  </r>
  <r>
    <s v="ITM00145"/>
    <s v="ORD00086"/>
    <s v="PRD005"/>
    <n v="1"/>
    <n v="39000"/>
    <x v="2"/>
  </r>
  <r>
    <s v="ITM00146"/>
    <s v="ORD00086"/>
    <s v="PRD009"/>
    <n v="1"/>
    <n v="79000"/>
    <x v="3"/>
  </r>
  <r>
    <s v="ITM00147"/>
    <s v="ORD00087"/>
    <s v="PRD012"/>
    <n v="3"/>
    <n v="229000"/>
    <x v="5"/>
  </r>
  <r>
    <s v="ITM00148"/>
    <s v="ORD00088"/>
    <s v="PRD014"/>
    <n v="3"/>
    <n v="349000"/>
    <x v="9"/>
  </r>
  <r>
    <s v="ITM00149"/>
    <s v="ORD00089"/>
    <s v="PRD021"/>
    <n v="1"/>
    <n v="69000"/>
    <x v="0"/>
  </r>
  <r>
    <s v="ITM00150"/>
    <s v="ORD00089"/>
    <s v="PRD005"/>
    <n v="1"/>
    <n v="39000"/>
    <x v="2"/>
  </r>
  <r>
    <s v="ITM00151"/>
    <s v="ORD00089"/>
    <s v="PRD012"/>
    <n v="1"/>
    <n v="229000"/>
    <x v="5"/>
  </r>
  <r>
    <s v="ITM00152"/>
    <s v="ORD00089"/>
    <s v="PRD008"/>
    <n v="1"/>
    <n v="399000"/>
    <x v="12"/>
  </r>
  <r>
    <s v="ITM00153"/>
    <s v="ORD00090"/>
    <s v="PRD021"/>
    <n v="1"/>
    <n v="69000"/>
    <x v="0"/>
  </r>
  <r>
    <s v="ITM00154"/>
    <s v="ORD00090"/>
    <s v="PRD005"/>
    <n v="1"/>
    <n v="39000"/>
    <x v="2"/>
  </r>
  <r>
    <s v="ITM00155"/>
    <s v="ORD00090"/>
    <s v="PRD020"/>
    <n v="1"/>
    <n v="179000"/>
    <x v="1"/>
  </r>
  <r>
    <s v="ITM00156"/>
    <s v="ORD00091"/>
    <s v="PRD021"/>
    <n v="1"/>
    <n v="69000"/>
    <x v="0"/>
  </r>
  <r>
    <s v="ITM00157"/>
    <s v="ORD00092"/>
    <s v="PRD021"/>
    <n v="1"/>
    <n v="69000"/>
    <x v="0"/>
  </r>
  <r>
    <s v="ITM00158"/>
    <s v="ORD00092"/>
    <s v="PRD017"/>
    <n v="1"/>
    <n v="329000"/>
    <x v="7"/>
  </r>
  <r>
    <s v="ITM00159"/>
    <s v="ORD00092"/>
    <s v="PRD012"/>
    <n v="2"/>
    <n v="229000"/>
    <x v="5"/>
  </r>
  <r>
    <s v="ITM00160"/>
    <s v="ORD00093"/>
    <s v="PRD005"/>
    <n v="1"/>
    <n v="39000"/>
    <x v="2"/>
  </r>
  <r>
    <s v="ITM00161"/>
    <s v="ORD00093"/>
    <s v="PRD013"/>
    <n v="2"/>
    <n v="209000"/>
    <x v="17"/>
  </r>
  <r>
    <s v="ITM00162"/>
    <s v="ORD00094"/>
    <s v="PRD005"/>
    <n v="3"/>
    <n v="39000"/>
    <x v="2"/>
  </r>
  <r>
    <s v="ITM00163"/>
    <s v="ORD00094"/>
    <s v="PRD021"/>
    <n v="1"/>
    <n v="69000"/>
    <x v="0"/>
  </r>
  <r>
    <s v="ITM00164"/>
    <s v="ORD00094"/>
    <s v="PRD023"/>
    <n v="1"/>
    <n v="139000"/>
    <x v="8"/>
  </r>
  <r>
    <s v="ITM00165"/>
    <s v="ORD00094"/>
    <s v="PRD022"/>
    <n v="1"/>
    <n v="55000"/>
    <x v="4"/>
  </r>
  <r>
    <s v="ITM00166"/>
    <s v="ORD00095"/>
    <s v="PRD021"/>
    <n v="1"/>
    <n v="69000"/>
    <x v="0"/>
  </r>
  <r>
    <s v="ITM00167"/>
    <s v="ORD00095"/>
    <s v="PRD020"/>
    <n v="1"/>
    <n v="179000"/>
    <x v="1"/>
  </r>
  <r>
    <s v="ITM00168"/>
    <s v="ORD00095"/>
    <s v="PRD017"/>
    <n v="1"/>
    <n v="329000"/>
    <x v="7"/>
  </r>
  <r>
    <s v="ITM00169"/>
    <s v="ORD00096"/>
    <s v="PRD021"/>
    <n v="2"/>
    <n v="69000"/>
    <x v="0"/>
  </r>
  <r>
    <s v="ITM00170"/>
    <s v="ORD00096"/>
    <s v="PRD003"/>
    <n v="1"/>
    <n v="499000"/>
    <x v="11"/>
  </r>
  <r>
    <s v="ITM00171"/>
    <s v="ORD00096"/>
    <s v="PRD005"/>
    <n v="2"/>
    <n v="39000"/>
    <x v="2"/>
  </r>
  <r>
    <s v="ITM00172"/>
    <s v="ORD00097"/>
    <s v="PRD005"/>
    <n v="1"/>
    <n v="39000"/>
    <x v="2"/>
  </r>
  <r>
    <s v="ITM00173"/>
    <s v="ORD00098"/>
    <s v="PRD020"/>
    <n v="2"/>
    <n v="179000"/>
    <x v="1"/>
  </r>
  <r>
    <s v="ITM00174"/>
    <s v="ORD00098"/>
    <s v="PRD021"/>
    <n v="1"/>
    <n v="69000"/>
    <x v="0"/>
  </r>
  <r>
    <s v="ITM00175"/>
    <s v="ORD00099"/>
    <s v="PRD022"/>
    <n v="1"/>
    <n v="55000"/>
    <x v="4"/>
  </r>
  <r>
    <s v="ITM00176"/>
    <s v="ORD00099"/>
    <s v="PRD005"/>
    <n v="1"/>
    <n v="39000"/>
    <x v="2"/>
  </r>
  <r>
    <s v="ITM00177"/>
    <s v="ORD00100"/>
    <s v="PRD021"/>
    <n v="1"/>
    <n v="69000"/>
    <x v="0"/>
  </r>
  <r>
    <s v="ITM00178"/>
    <s v="ORD00100"/>
    <s v="PRD017"/>
    <n v="2"/>
    <n v="329000"/>
    <x v="7"/>
  </r>
  <r>
    <s v="ITM00179"/>
    <s v="ORD00101"/>
    <s v="PRD021"/>
    <n v="1"/>
    <n v="69000"/>
    <x v="0"/>
  </r>
  <r>
    <s v="ITM00180"/>
    <s v="ORD00102"/>
    <s v="PRD017"/>
    <n v="1"/>
    <n v="329000"/>
    <x v="7"/>
  </r>
  <r>
    <s v="ITM00181"/>
    <s v="ORD00103"/>
    <s v="PRD022"/>
    <n v="2"/>
    <n v="55000"/>
    <x v="4"/>
  </r>
  <r>
    <s v="ITM00182"/>
    <s v="ORD00104"/>
    <s v="PRD005"/>
    <n v="1"/>
    <n v="39000"/>
    <x v="2"/>
  </r>
  <r>
    <s v="ITM00183"/>
    <s v="ORD00104"/>
    <s v="PRD021"/>
    <n v="3"/>
    <n v="69000"/>
    <x v="0"/>
  </r>
  <r>
    <s v="ITM00184"/>
    <s v="ORD00105"/>
    <s v="PRD021"/>
    <n v="1"/>
    <n v="69000"/>
    <x v="0"/>
  </r>
  <r>
    <s v="ITM00185"/>
    <s v="ORD00105"/>
    <s v="PRD022"/>
    <n v="1"/>
    <n v="55000"/>
    <x v="4"/>
  </r>
  <r>
    <s v="ITM00186"/>
    <s v="ORD00106"/>
    <s v="PRD005"/>
    <n v="1"/>
    <n v="39000"/>
    <x v="2"/>
  </r>
  <r>
    <s v="ITM00187"/>
    <s v="ORD00107"/>
    <s v="PRD022"/>
    <n v="2"/>
    <n v="55000"/>
    <x v="4"/>
  </r>
  <r>
    <s v="ITM00188"/>
    <s v="ORD00108"/>
    <s v="PRD021"/>
    <n v="1"/>
    <n v="69000"/>
    <x v="0"/>
  </r>
  <r>
    <s v="ITM00189"/>
    <s v="ORD00108"/>
    <s v="PRD005"/>
    <n v="2"/>
    <n v="39000"/>
    <x v="2"/>
  </r>
  <r>
    <s v="ITM00190"/>
    <s v="ORD00108"/>
    <s v="PRD002"/>
    <n v="1"/>
    <n v="159000"/>
    <x v="14"/>
  </r>
  <r>
    <s v="ITM00191"/>
    <s v="ORD00109"/>
    <s v="PRD006"/>
    <n v="1"/>
    <n v="129000"/>
    <x v="10"/>
  </r>
  <r>
    <s v="ITM00192"/>
    <s v="ORD00109"/>
    <s v="PRD020"/>
    <n v="1"/>
    <n v="179000"/>
    <x v="1"/>
  </r>
  <r>
    <s v="ITM00193"/>
    <s v="ORD00110"/>
    <s v="PRD008"/>
    <n v="1"/>
    <n v="399000"/>
    <x v="12"/>
  </r>
  <r>
    <s v="ITM00194"/>
    <s v="ORD00110"/>
    <s v="PRD017"/>
    <n v="1"/>
    <n v="329000"/>
    <x v="7"/>
  </r>
  <r>
    <s v="ITM00195"/>
    <s v="ORD00111"/>
    <s v="PRD021"/>
    <n v="2"/>
    <n v="69000"/>
    <x v="0"/>
  </r>
  <r>
    <s v="ITM00196"/>
    <s v="ORD00112"/>
    <s v="PRD005"/>
    <n v="1"/>
    <n v="39000"/>
    <x v="2"/>
  </r>
  <r>
    <s v="ITM00197"/>
    <s v="ORD00112"/>
    <s v="PRD021"/>
    <n v="1"/>
    <n v="69000"/>
    <x v="0"/>
  </r>
  <r>
    <s v="ITM00198"/>
    <s v="ORD00113"/>
    <s v="PRD020"/>
    <n v="1"/>
    <n v="179000"/>
    <x v="1"/>
  </r>
  <r>
    <s v="ITM00199"/>
    <s v="ORD00114"/>
    <s v="PRD009"/>
    <n v="1"/>
    <n v="79000"/>
    <x v="3"/>
  </r>
  <r>
    <s v="ITM00200"/>
    <s v="ORD00115"/>
    <s v="PRD021"/>
    <n v="1"/>
    <n v="69000"/>
    <x v="0"/>
  </r>
  <r>
    <s v="ITM00201"/>
    <s v="ORD00116"/>
    <s v="PRD005"/>
    <n v="2"/>
    <n v="39000"/>
    <x v="2"/>
  </r>
  <r>
    <s v="ITM00202"/>
    <s v="ORD00116"/>
    <s v="PRD020"/>
    <n v="2"/>
    <n v="179000"/>
    <x v="1"/>
  </r>
  <r>
    <s v="ITM00203"/>
    <s v="ORD00116"/>
    <s v="PRD021"/>
    <n v="1"/>
    <n v="69000"/>
    <x v="0"/>
  </r>
  <r>
    <s v="ITM00204"/>
    <s v="ORD00117"/>
    <s v="PRD020"/>
    <n v="1"/>
    <n v="179000"/>
    <x v="1"/>
  </r>
  <r>
    <s v="ITM00205"/>
    <s v="ORD00117"/>
    <s v="PRD021"/>
    <n v="2"/>
    <n v="69000"/>
    <x v="0"/>
  </r>
  <r>
    <s v="ITM00206"/>
    <s v="ORD00117"/>
    <s v="PRD017"/>
    <n v="1"/>
    <n v="329000"/>
    <x v="7"/>
  </r>
  <r>
    <s v="ITM00207"/>
    <s v="ORD00118"/>
    <s v="PRD021"/>
    <n v="3"/>
    <n v="69000"/>
    <x v="0"/>
  </r>
  <r>
    <s v="ITM00208"/>
    <s v="ORD00119"/>
    <s v="PRD021"/>
    <n v="2"/>
    <n v="69000"/>
    <x v="0"/>
  </r>
  <r>
    <s v="ITM00209"/>
    <s v="ORD00119"/>
    <s v="PRD019"/>
    <n v="1"/>
    <n v="79000"/>
    <x v="13"/>
  </r>
  <r>
    <s v="ITM00210"/>
    <s v="ORD00120"/>
    <s v="PRD005"/>
    <n v="1"/>
    <n v="39000"/>
    <x v="2"/>
  </r>
  <r>
    <s v="ITM00211"/>
    <s v="ORD00121"/>
    <s v="PRD005"/>
    <n v="1"/>
    <n v="39000"/>
    <x v="2"/>
  </r>
  <r>
    <s v="ITM00212"/>
    <s v="ORD00121"/>
    <s v="PRD022"/>
    <n v="2"/>
    <n v="55000"/>
    <x v="4"/>
  </r>
  <r>
    <s v="ITM00213"/>
    <s v="ORD00121"/>
    <s v="PRD014"/>
    <n v="2"/>
    <n v="349000"/>
    <x v="9"/>
  </r>
  <r>
    <s v="ITM00214"/>
    <s v="ORD00122"/>
    <s v="PRD020"/>
    <n v="2"/>
    <n v="179000"/>
    <x v="1"/>
  </r>
  <r>
    <s v="ITM00215"/>
    <s v="ORD00122"/>
    <s v="PRD014"/>
    <n v="3"/>
    <n v="349000"/>
    <x v="9"/>
  </r>
  <r>
    <s v="ITM00216"/>
    <s v="ORD00122"/>
    <s v="PRD021"/>
    <n v="1"/>
    <n v="69000"/>
    <x v="0"/>
  </r>
  <r>
    <s v="ITM00217"/>
    <s v="ORD00123"/>
    <s v="PRD009"/>
    <n v="1"/>
    <n v="79000"/>
    <x v="3"/>
  </r>
  <r>
    <s v="ITM00218"/>
    <s v="ORD00124"/>
    <s v="PRD021"/>
    <n v="1"/>
    <n v="69000"/>
    <x v="0"/>
  </r>
  <r>
    <s v="ITM00219"/>
    <s v="ORD00125"/>
    <s v="PRD014"/>
    <n v="1"/>
    <n v="349000"/>
    <x v="9"/>
  </r>
  <r>
    <s v="ITM00220"/>
    <s v="ORD00125"/>
    <s v="PRD005"/>
    <n v="1"/>
    <n v="39000"/>
    <x v="2"/>
  </r>
  <r>
    <s v="ITM00221"/>
    <s v="ORD00126"/>
    <s v="PRD005"/>
    <n v="1"/>
    <n v="39000"/>
    <x v="2"/>
  </r>
  <r>
    <s v="ITM00222"/>
    <s v="ORD00126"/>
    <s v="PRD021"/>
    <n v="2"/>
    <n v="69000"/>
    <x v="0"/>
  </r>
  <r>
    <s v="ITM00223"/>
    <s v="ORD00127"/>
    <s v="PRD005"/>
    <n v="1"/>
    <n v="39000"/>
    <x v="2"/>
  </r>
  <r>
    <s v="ITM00224"/>
    <s v="ORD00127"/>
    <s v="PRD022"/>
    <n v="1"/>
    <n v="55000"/>
    <x v="4"/>
  </r>
  <r>
    <s v="ITM00225"/>
    <s v="ORD00128"/>
    <s v="PRD021"/>
    <n v="1"/>
    <n v="69000"/>
    <x v="0"/>
  </r>
  <r>
    <s v="ITM00226"/>
    <s v="ORD00129"/>
    <s v="PRD005"/>
    <n v="1"/>
    <n v="39000"/>
    <x v="2"/>
  </r>
  <r>
    <s v="ITM00227"/>
    <s v="ORD00129"/>
    <s v="PRD003"/>
    <n v="1"/>
    <n v="499000"/>
    <x v="11"/>
  </r>
  <r>
    <s v="ITM00228"/>
    <s v="ORD00130"/>
    <s v="PRD021"/>
    <n v="1"/>
    <n v="69000"/>
    <x v="0"/>
  </r>
  <r>
    <s v="ITM00229"/>
    <s v="ORD00131"/>
    <s v="PRD020"/>
    <n v="1"/>
    <n v="179000"/>
    <x v="1"/>
  </r>
  <r>
    <s v="ITM00230"/>
    <s v="ORD00132"/>
    <s v="PRD005"/>
    <n v="1"/>
    <n v="39000"/>
    <x v="2"/>
  </r>
  <r>
    <s v="ITM00231"/>
    <s v="ORD00133"/>
    <s v="PRD022"/>
    <n v="1"/>
    <n v="55000"/>
    <x v="4"/>
  </r>
  <r>
    <s v="ITM00232"/>
    <s v="ORD00133"/>
    <s v="PRD002"/>
    <n v="1"/>
    <n v="159000"/>
    <x v="14"/>
  </r>
  <r>
    <s v="ITM00233"/>
    <s v="ORD00133"/>
    <s v="PRD021"/>
    <n v="1"/>
    <n v="69000"/>
    <x v="0"/>
  </r>
  <r>
    <s v="ITM00234"/>
    <s v="ORD00133"/>
    <s v="PRD020"/>
    <n v="1"/>
    <n v="179000"/>
    <x v="1"/>
  </r>
  <r>
    <s v="ITM00235"/>
    <s v="ORD00134"/>
    <s v="PRD022"/>
    <n v="1"/>
    <n v="55000"/>
    <x v="4"/>
  </r>
  <r>
    <s v="ITM00236"/>
    <s v="ORD00135"/>
    <s v="PRD021"/>
    <n v="1"/>
    <n v="69000"/>
    <x v="0"/>
  </r>
  <r>
    <s v="ITM00237"/>
    <s v="ORD00136"/>
    <s v="PRD002"/>
    <n v="2"/>
    <n v="159000"/>
    <x v="14"/>
  </r>
  <r>
    <s v="ITM00238"/>
    <s v="ORD00137"/>
    <s v="PRD022"/>
    <n v="1"/>
    <n v="55000"/>
    <x v="4"/>
  </r>
  <r>
    <s v="ITM00239"/>
    <s v="ORD00138"/>
    <s v="PRD021"/>
    <n v="1"/>
    <n v="69000"/>
    <x v="0"/>
  </r>
  <r>
    <s v="ITM00240"/>
    <s v="ORD00139"/>
    <s v="PRD021"/>
    <n v="2"/>
    <n v="69000"/>
    <x v="0"/>
  </r>
  <r>
    <s v="ITM00241"/>
    <s v="ORD00140"/>
    <s v="PRD021"/>
    <n v="3"/>
    <n v="69000"/>
    <x v="0"/>
  </r>
  <r>
    <s v="ITM00242"/>
    <s v="ORD00141"/>
    <s v="PRD021"/>
    <n v="1"/>
    <n v="69000"/>
    <x v="0"/>
  </r>
  <r>
    <s v="ITM00243"/>
    <s v="ORD00141"/>
    <s v="PRD014"/>
    <n v="1"/>
    <n v="349000"/>
    <x v="9"/>
  </r>
  <r>
    <s v="ITM00244"/>
    <s v="ORD00142"/>
    <s v="PRD012"/>
    <n v="1"/>
    <n v="229000"/>
    <x v="5"/>
  </r>
  <r>
    <s v="ITM00245"/>
    <s v="ORD00143"/>
    <s v="PRD015"/>
    <n v="1"/>
    <n v="139000"/>
    <x v="18"/>
  </r>
  <r>
    <s v="ITM00246"/>
    <s v="ORD00143"/>
    <s v="PRD002"/>
    <n v="1"/>
    <n v="159000"/>
    <x v="14"/>
  </r>
  <r>
    <s v="ITM00247"/>
    <s v="ORD00144"/>
    <s v="PRD021"/>
    <n v="1"/>
    <n v="69000"/>
    <x v="0"/>
  </r>
  <r>
    <s v="ITM00248"/>
    <s v="ORD00145"/>
    <s v="PRD005"/>
    <n v="1"/>
    <n v="39000"/>
    <x v="2"/>
  </r>
  <r>
    <s v="ITM00249"/>
    <s v="ORD00146"/>
    <s v="PRD021"/>
    <n v="1"/>
    <n v="69000"/>
    <x v="0"/>
  </r>
  <r>
    <s v="ITM00250"/>
    <s v="ORD00146"/>
    <s v="PRD022"/>
    <n v="1"/>
    <n v="55000"/>
    <x v="4"/>
  </r>
  <r>
    <s v="ITM00251"/>
    <s v="ORD00147"/>
    <s v="PRD021"/>
    <n v="1"/>
    <n v="69000"/>
    <x v="0"/>
  </r>
  <r>
    <s v="ITM00252"/>
    <s v="ORD00147"/>
    <s v="PRD009"/>
    <n v="1"/>
    <n v="79000"/>
    <x v="3"/>
  </r>
  <r>
    <s v="ITM00253"/>
    <s v="ORD00147"/>
    <s v="PRD005"/>
    <n v="1"/>
    <n v="39000"/>
    <x v="2"/>
  </r>
  <r>
    <s v="ITM00254"/>
    <s v="ORD00147"/>
    <s v="PRD017"/>
    <n v="1"/>
    <n v="329000"/>
    <x v="7"/>
  </r>
  <r>
    <s v="ITM00255"/>
    <s v="ORD00148"/>
    <s v="PRD008"/>
    <n v="1"/>
    <n v="399000"/>
    <x v="12"/>
  </r>
  <r>
    <s v="ITM00256"/>
    <s v="ORD00148"/>
    <s v="PRD021"/>
    <n v="1"/>
    <n v="69000"/>
    <x v="0"/>
  </r>
  <r>
    <s v="ITM00257"/>
    <s v="ORD00149"/>
    <s v="PRD021"/>
    <n v="1"/>
    <n v="69000"/>
    <x v="0"/>
  </r>
  <r>
    <s v="ITM00258"/>
    <s v="ORD00150"/>
    <s v="PRD006"/>
    <n v="2"/>
    <n v="129000"/>
    <x v="10"/>
  </r>
  <r>
    <s v="ITM00259"/>
    <s v="ORD00150"/>
    <s v="PRD022"/>
    <n v="1"/>
    <n v="55000"/>
    <x v="4"/>
  </r>
  <r>
    <s v="ITM00260"/>
    <s v="ORD00151"/>
    <s v="PRD002"/>
    <n v="1"/>
    <n v="159000"/>
    <x v="14"/>
  </r>
  <r>
    <s v="ITM00261"/>
    <s v="ORD00152"/>
    <s v="PRD021"/>
    <n v="2"/>
    <n v="69000"/>
    <x v="0"/>
  </r>
  <r>
    <s v="ITM00262"/>
    <s v="ORD00153"/>
    <s v="PRD021"/>
    <n v="2"/>
    <n v="69000"/>
    <x v="0"/>
  </r>
  <r>
    <s v="ITM00263"/>
    <s v="ORD00154"/>
    <s v="PRD021"/>
    <n v="1"/>
    <n v="69000"/>
    <x v="0"/>
  </r>
  <r>
    <s v="ITM00264"/>
    <s v="ORD00154"/>
    <s v="PRD005"/>
    <n v="2"/>
    <n v="39000"/>
    <x v="2"/>
  </r>
  <r>
    <s v="ITM00265"/>
    <s v="ORD00154"/>
    <s v="PRD014"/>
    <n v="1"/>
    <n v="349000"/>
    <x v="9"/>
  </r>
  <r>
    <s v="ITM00266"/>
    <s v="ORD00155"/>
    <s v="PRD021"/>
    <n v="1"/>
    <n v="69000"/>
    <x v="0"/>
  </r>
  <r>
    <s v="ITM00267"/>
    <s v="ORD00156"/>
    <s v="PRD005"/>
    <n v="1"/>
    <n v="39000"/>
    <x v="2"/>
  </r>
  <r>
    <s v="ITM00268"/>
    <s v="ORD00156"/>
    <s v="PRD014"/>
    <n v="1"/>
    <n v="349000"/>
    <x v="9"/>
  </r>
  <r>
    <s v="ITM00269"/>
    <s v="ORD00157"/>
    <s v="PRD023"/>
    <n v="2"/>
    <n v="139000"/>
    <x v="8"/>
  </r>
  <r>
    <s v="ITM00270"/>
    <s v="ORD00157"/>
    <s v="PRD005"/>
    <n v="1"/>
    <n v="39000"/>
    <x v="2"/>
  </r>
  <r>
    <s v="ITM00271"/>
    <s v="ORD00158"/>
    <s v="PRD021"/>
    <n v="1"/>
    <n v="69000"/>
    <x v="0"/>
  </r>
  <r>
    <s v="ITM00272"/>
    <s v="ORD00159"/>
    <s v="PRD005"/>
    <n v="1"/>
    <n v="39000"/>
    <x v="2"/>
  </r>
  <r>
    <s v="ITM00273"/>
    <s v="ORD00160"/>
    <s v="PRD007"/>
    <n v="1"/>
    <n v="99000"/>
    <x v="6"/>
  </r>
  <r>
    <s v="ITM00274"/>
    <s v="ORD00160"/>
    <s v="PRD021"/>
    <n v="1"/>
    <n v="69000"/>
    <x v="0"/>
  </r>
  <r>
    <s v="ITM00275"/>
    <s v="ORD00161"/>
    <s v="PRD021"/>
    <n v="3"/>
    <n v="69000"/>
    <x v="0"/>
  </r>
  <r>
    <s v="ITM00276"/>
    <s v="ORD00161"/>
    <s v="PRD020"/>
    <n v="1"/>
    <n v="179000"/>
    <x v="1"/>
  </r>
  <r>
    <s v="ITM00277"/>
    <s v="ORD00161"/>
    <s v="PRD017"/>
    <n v="1"/>
    <n v="329000"/>
    <x v="7"/>
  </r>
  <r>
    <s v="ITM00278"/>
    <s v="ORD00161"/>
    <s v="PRD003"/>
    <n v="1"/>
    <n v="499000"/>
    <x v="11"/>
  </r>
  <r>
    <s v="ITM00279"/>
    <s v="ORD00162"/>
    <s v="PRD021"/>
    <n v="1"/>
    <n v="69000"/>
    <x v="0"/>
  </r>
  <r>
    <s v="ITM00280"/>
    <s v="ORD00163"/>
    <s v="PRD006"/>
    <n v="3"/>
    <n v="129000"/>
    <x v="10"/>
  </r>
  <r>
    <s v="ITM00281"/>
    <s v="ORD00163"/>
    <s v="PRD012"/>
    <n v="1"/>
    <n v="229000"/>
    <x v="5"/>
  </r>
  <r>
    <s v="ITM00282"/>
    <s v="ORD00163"/>
    <s v="PRD005"/>
    <n v="2"/>
    <n v="39000"/>
    <x v="2"/>
  </r>
  <r>
    <s v="ITM00283"/>
    <s v="ORD00164"/>
    <s v="PRD021"/>
    <n v="1"/>
    <n v="69000"/>
    <x v="0"/>
  </r>
  <r>
    <s v="ITM00284"/>
    <s v="ORD00165"/>
    <s v="PRD004"/>
    <n v="1"/>
    <n v="199000"/>
    <x v="19"/>
  </r>
  <r>
    <s v="ITM00285"/>
    <s v="ORD00165"/>
    <s v="PRD008"/>
    <n v="1"/>
    <n v="399000"/>
    <x v="12"/>
  </r>
  <r>
    <s v="ITM00286"/>
    <s v="ORD00166"/>
    <s v="PRD021"/>
    <n v="2"/>
    <n v="69000"/>
    <x v="0"/>
  </r>
  <r>
    <s v="ITM00287"/>
    <s v="ORD00166"/>
    <s v="PRD008"/>
    <n v="1"/>
    <n v="399000"/>
    <x v="12"/>
  </r>
  <r>
    <s v="ITM00288"/>
    <s v="ORD00167"/>
    <s v="PRD012"/>
    <n v="1"/>
    <n v="229000"/>
    <x v="5"/>
  </r>
  <r>
    <s v="ITM00289"/>
    <s v="ORD00167"/>
    <s v="PRD019"/>
    <n v="1"/>
    <n v="79000"/>
    <x v="13"/>
  </r>
  <r>
    <s v="ITM00290"/>
    <s v="ORD00168"/>
    <s v="PRD021"/>
    <n v="1"/>
    <n v="69000"/>
    <x v="0"/>
  </r>
  <r>
    <s v="ITM00291"/>
    <s v="ORD00168"/>
    <s v="PRD008"/>
    <n v="1"/>
    <n v="399000"/>
    <x v="12"/>
  </r>
  <r>
    <s v="ITM00292"/>
    <s v="ORD00168"/>
    <s v="PRD005"/>
    <n v="1"/>
    <n v="39000"/>
    <x v="2"/>
  </r>
  <r>
    <s v="ITM00293"/>
    <s v="ORD00169"/>
    <s v="PRD005"/>
    <n v="1"/>
    <n v="39000"/>
    <x v="2"/>
  </r>
  <r>
    <s v="ITM00294"/>
    <s v="ORD00169"/>
    <s v="PRD021"/>
    <n v="2"/>
    <n v="69000"/>
    <x v="0"/>
  </r>
  <r>
    <s v="ITM00295"/>
    <s v="ORD00169"/>
    <s v="PRD022"/>
    <n v="1"/>
    <n v="55000"/>
    <x v="4"/>
  </r>
  <r>
    <s v="ITM00296"/>
    <s v="ORD00170"/>
    <s v="PRD021"/>
    <n v="1"/>
    <n v="69000"/>
    <x v="0"/>
  </r>
  <r>
    <s v="ITM00297"/>
    <s v="ORD00170"/>
    <s v="PRD005"/>
    <n v="1"/>
    <n v="39000"/>
    <x v="2"/>
  </r>
  <r>
    <s v="ITM00298"/>
    <s v="ORD00170"/>
    <s v="PRD017"/>
    <n v="2"/>
    <n v="329000"/>
    <x v="7"/>
  </r>
  <r>
    <s v="ITM00299"/>
    <s v="ORD00171"/>
    <s v="PRD019"/>
    <n v="1"/>
    <n v="79000"/>
    <x v="13"/>
  </r>
  <r>
    <s v="ITM00300"/>
    <s v="ORD00172"/>
    <s v="PRD021"/>
    <n v="1"/>
    <n v="69000"/>
    <x v="0"/>
  </r>
  <r>
    <s v="ITM00301"/>
    <s v="ORD00173"/>
    <s v="PRD005"/>
    <n v="1"/>
    <n v="39000"/>
    <x v="2"/>
  </r>
  <r>
    <s v="ITM00302"/>
    <s v="ORD00174"/>
    <s v="PRD005"/>
    <n v="2"/>
    <n v="39000"/>
    <x v="2"/>
  </r>
  <r>
    <s v="ITM00303"/>
    <s v="ORD00175"/>
    <s v="PRD021"/>
    <n v="1"/>
    <n v="69000"/>
    <x v="0"/>
  </r>
  <r>
    <s v="ITM00304"/>
    <s v="ORD00175"/>
    <s v="PRD005"/>
    <n v="1"/>
    <n v="39000"/>
    <x v="2"/>
  </r>
  <r>
    <s v="ITM00305"/>
    <s v="ORD00176"/>
    <s v="PRD005"/>
    <n v="1"/>
    <n v="39000"/>
    <x v="2"/>
  </r>
  <r>
    <s v="ITM00306"/>
    <s v="ORD00177"/>
    <s v="PRD021"/>
    <n v="2"/>
    <n v="69000"/>
    <x v="0"/>
  </r>
  <r>
    <s v="ITM00307"/>
    <s v="ORD00178"/>
    <s v="PRD014"/>
    <n v="1"/>
    <n v="349000"/>
    <x v="9"/>
  </r>
  <r>
    <s v="ITM00308"/>
    <s v="ORD00179"/>
    <s v="PRD002"/>
    <n v="3"/>
    <n v="159000"/>
    <x v="14"/>
  </r>
  <r>
    <s v="ITM00309"/>
    <s v="ORD00180"/>
    <s v="PRD009"/>
    <n v="1"/>
    <n v="79000"/>
    <x v="3"/>
  </r>
  <r>
    <s v="ITM00310"/>
    <s v="ORD00181"/>
    <s v="PRD005"/>
    <n v="2"/>
    <n v="39000"/>
    <x v="2"/>
  </r>
  <r>
    <s v="ITM00311"/>
    <s v="ORD00182"/>
    <s v="PRD021"/>
    <n v="1"/>
    <n v="69000"/>
    <x v="0"/>
  </r>
  <r>
    <s v="ITM00312"/>
    <s v="ORD00182"/>
    <s v="PRD012"/>
    <n v="1"/>
    <n v="229000"/>
    <x v="5"/>
  </r>
  <r>
    <s v="ITM00313"/>
    <s v="ORD00183"/>
    <s v="PRD014"/>
    <n v="1"/>
    <n v="349000"/>
    <x v="9"/>
  </r>
  <r>
    <s v="ITM00314"/>
    <s v="ORD00183"/>
    <s v="PRD006"/>
    <n v="3"/>
    <n v="129000"/>
    <x v="10"/>
  </r>
  <r>
    <s v="ITM00315"/>
    <s v="ORD00184"/>
    <s v="PRD009"/>
    <n v="1"/>
    <n v="79000"/>
    <x v="3"/>
  </r>
  <r>
    <s v="ITM00316"/>
    <s v="ORD00185"/>
    <s v="PRD021"/>
    <n v="1"/>
    <n v="69000"/>
    <x v="0"/>
  </r>
  <r>
    <s v="ITM00317"/>
    <s v="ORD00186"/>
    <s v="PRD021"/>
    <n v="1"/>
    <n v="69000"/>
    <x v="0"/>
  </r>
  <r>
    <s v="ITM00318"/>
    <s v="ORD00186"/>
    <s v="PRD005"/>
    <n v="1"/>
    <n v="39000"/>
    <x v="2"/>
  </r>
  <r>
    <s v="ITM00319"/>
    <s v="ORD00187"/>
    <s v="PRD021"/>
    <n v="1"/>
    <n v="69000"/>
    <x v="0"/>
  </r>
  <r>
    <s v="ITM00320"/>
    <s v="ORD00188"/>
    <s v="PRD021"/>
    <n v="1"/>
    <n v="69000"/>
    <x v="0"/>
  </r>
  <r>
    <s v="ITM00321"/>
    <s v="ORD00188"/>
    <s v="PRD005"/>
    <n v="1"/>
    <n v="39000"/>
    <x v="2"/>
  </r>
  <r>
    <s v="ITM00322"/>
    <s v="ORD00189"/>
    <s v="PRD021"/>
    <n v="1"/>
    <n v="69000"/>
    <x v="0"/>
  </r>
  <r>
    <s v="ITM00323"/>
    <s v="ORD00189"/>
    <s v="PRD002"/>
    <n v="2"/>
    <n v="159000"/>
    <x v="14"/>
  </r>
  <r>
    <s v="ITM00324"/>
    <s v="ORD00189"/>
    <s v="PRD006"/>
    <n v="1"/>
    <n v="129000"/>
    <x v="10"/>
  </r>
  <r>
    <s v="ITM00325"/>
    <s v="ORD00189"/>
    <s v="PRD005"/>
    <n v="1"/>
    <n v="39000"/>
    <x v="2"/>
  </r>
  <r>
    <s v="ITM00326"/>
    <s v="ORD00190"/>
    <s v="PRD020"/>
    <n v="1"/>
    <n v="179000"/>
    <x v="1"/>
  </r>
  <r>
    <s v="ITM00327"/>
    <s v="ORD00190"/>
    <s v="PRD021"/>
    <n v="1"/>
    <n v="69000"/>
    <x v="0"/>
  </r>
  <r>
    <s v="ITM00328"/>
    <s v="ORD00191"/>
    <s v="PRD009"/>
    <n v="1"/>
    <n v="79000"/>
    <x v="3"/>
  </r>
  <r>
    <s v="ITM00329"/>
    <s v="ORD00192"/>
    <s v="PRD022"/>
    <n v="1"/>
    <n v="55000"/>
    <x v="4"/>
  </r>
  <r>
    <s v="ITM00330"/>
    <s v="ORD00193"/>
    <s v="PRD021"/>
    <n v="2"/>
    <n v="69000"/>
    <x v="0"/>
  </r>
  <r>
    <s v="ITM00331"/>
    <s v="ORD00194"/>
    <s v="PRD005"/>
    <n v="1"/>
    <n v="39000"/>
    <x v="2"/>
  </r>
  <r>
    <s v="ITM00332"/>
    <s v="ORD00194"/>
    <s v="PRD022"/>
    <n v="1"/>
    <n v="55000"/>
    <x v="4"/>
  </r>
  <r>
    <s v="ITM00333"/>
    <s v="ORD00195"/>
    <s v="PRD007"/>
    <n v="1"/>
    <n v="99000"/>
    <x v="6"/>
  </r>
  <r>
    <s v="ITM00334"/>
    <s v="ORD00195"/>
    <s v="PRD020"/>
    <n v="1"/>
    <n v="179000"/>
    <x v="1"/>
  </r>
  <r>
    <s v="ITM00335"/>
    <s v="ORD00196"/>
    <s v="PRD019"/>
    <n v="2"/>
    <n v="79000"/>
    <x v="13"/>
  </r>
  <r>
    <s v="ITM00336"/>
    <s v="ORD00197"/>
    <s v="PRD021"/>
    <n v="1"/>
    <n v="69000"/>
    <x v="0"/>
  </r>
  <r>
    <s v="ITM00337"/>
    <s v="ORD00197"/>
    <s v="PRD005"/>
    <n v="1"/>
    <n v="39000"/>
    <x v="2"/>
  </r>
  <r>
    <s v="ITM00338"/>
    <s v="ORD00198"/>
    <s v="PRD017"/>
    <n v="1"/>
    <n v="329000"/>
    <x v="7"/>
  </r>
  <r>
    <s v="ITM00339"/>
    <s v="ORD00199"/>
    <s v="PRD005"/>
    <n v="1"/>
    <n v="39000"/>
    <x v="2"/>
  </r>
  <r>
    <s v="ITM00340"/>
    <s v="ORD00200"/>
    <s v="PRD021"/>
    <n v="2"/>
    <n v="69000"/>
    <x v="0"/>
  </r>
  <r>
    <s v="ITM00341"/>
    <s v="ORD00200"/>
    <s v="PRD005"/>
    <n v="1"/>
    <n v="39000"/>
    <x v="2"/>
  </r>
  <r>
    <s v="ITM00342"/>
    <s v="ORD00201"/>
    <s v="PRD021"/>
    <n v="2"/>
    <n v="69000"/>
    <x v="0"/>
  </r>
  <r>
    <s v="ITM00343"/>
    <s v="ORD00201"/>
    <s v="PRD002"/>
    <n v="2"/>
    <n v="159000"/>
    <x v="14"/>
  </r>
  <r>
    <s v="ITM00344"/>
    <s v="ORD00201"/>
    <s v="PRD020"/>
    <n v="1"/>
    <n v="179000"/>
    <x v="1"/>
  </r>
  <r>
    <s v="ITM00345"/>
    <s v="ORD00202"/>
    <s v="PRD017"/>
    <n v="2"/>
    <n v="329000"/>
    <x v="7"/>
  </r>
  <r>
    <s v="ITM00346"/>
    <s v="ORD00203"/>
    <s v="PRD002"/>
    <n v="1"/>
    <n v="159000"/>
    <x v="14"/>
  </r>
  <r>
    <s v="ITM00347"/>
    <s v="ORD00203"/>
    <s v="PRD005"/>
    <n v="1"/>
    <n v="39000"/>
    <x v="2"/>
  </r>
  <r>
    <s v="ITM00348"/>
    <s v="ORD00204"/>
    <s v="PRD017"/>
    <n v="1"/>
    <n v="329000"/>
    <x v="7"/>
  </r>
  <r>
    <s v="ITM00349"/>
    <s v="ORD00204"/>
    <s v="PRD021"/>
    <n v="1"/>
    <n v="69000"/>
    <x v="0"/>
  </r>
  <r>
    <s v="ITM00350"/>
    <s v="ORD00205"/>
    <s v="PRD021"/>
    <n v="1"/>
    <n v="69000"/>
    <x v="0"/>
  </r>
  <r>
    <s v="ITM00351"/>
    <s v="ORD00206"/>
    <s v="PRD021"/>
    <n v="3"/>
    <n v="69000"/>
    <x v="0"/>
  </r>
  <r>
    <s v="ITM00352"/>
    <s v="ORD00207"/>
    <s v="PRD014"/>
    <n v="1"/>
    <n v="349000"/>
    <x v="9"/>
  </r>
  <r>
    <s v="ITM00353"/>
    <s v="ORD00207"/>
    <s v="PRD005"/>
    <n v="1"/>
    <n v="39000"/>
    <x v="2"/>
  </r>
  <r>
    <s v="ITM00354"/>
    <s v="ORD00208"/>
    <s v="PRD021"/>
    <n v="1"/>
    <n v="69000"/>
    <x v="0"/>
  </r>
  <r>
    <s v="ITM00355"/>
    <s v="ORD00208"/>
    <s v="PRD008"/>
    <n v="1"/>
    <n v="399000"/>
    <x v="12"/>
  </r>
  <r>
    <s v="ITM00356"/>
    <s v="ORD00208"/>
    <s v="PRD005"/>
    <n v="1"/>
    <n v="39000"/>
    <x v="2"/>
  </r>
  <r>
    <s v="ITM00357"/>
    <s v="ORD00209"/>
    <s v="PRD020"/>
    <n v="1"/>
    <n v="179000"/>
    <x v="1"/>
  </r>
  <r>
    <s v="ITM00358"/>
    <s v="ORD00210"/>
    <s v="PRD021"/>
    <n v="1"/>
    <n v="69000"/>
    <x v="0"/>
  </r>
  <r>
    <s v="ITM00359"/>
    <s v="ORD00211"/>
    <s v="PRD022"/>
    <n v="1"/>
    <n v="55000"/>
    <x v="4"/>
  </r>
  <r>
    <s v="ITM00360"/>
    <s v="ORD00212"/>
    <s v="PRD017"/>
    <n v="3"/>
    <n v="329000"/>
    <x v="7"/>
  </r>
  <r>
    <s v="ITM00361"/>
    <s v="ORD00213"/>
    <s v="PRD021"/>
    <n v="1"/>
    <n v="69000"/>
    <x v="0"/>
  </r>
  <r>
    <s v="ITM00362"/>
    <s v="ORD00214"/>
    <s v="PRD005"/>
    <n v="1"/>
    <n v="39000"/>
    <x v="2"/>
  </r>
  <r>
    <s v="ITM00363"/>
    <s v="ORD00215"/>
    <s v="PRD005"/>
    <n v="1"/>
    <n v="39000"/>
    <x v="2"/>
  </r>
  <r>
    <s v="ITM00364"/>
    <s v="ORD00215"/>
    <s v="PRD008"/>
    <n v="1"/>
    <n v="399000"/>
    <x v="12"/>
  </r>
  <r>
    <s v="ITM00365"/>
    <s v="ORD00215"/>
    <s v="PRD006"/>
    <n v="2"/>
    <n v="129000"/>
    <x v="10"/>
  </r>
  <r>
    <s v="ITM00366"/>
    <s v="ORD00215"/>
    <s v="PRD017"/>
    <n v="1"/>
    <n v="329000"/>
    <x v="7"/>
  </r>
  <r>
    <s v="ITM00367"/>
    <s v="ORD00216"/>
    <s v="PRD021"/>
    <n v="1"/>
    <n v="69000"/>
    <x v="0"/>
  </r>
  <r>
    <s v="ITM00368"/>
    <s v="ORD00217"/>
    <s v="PRD014"/>
    <n v="1"/>
    <n v="349000"/>
    <x v="9"/>
  </r>
  <r>
    <s v="ITM00369"/>
    <s v="ORD00217"/>
    <s v="PRD009"/>
    <n v="1"/>
    <n v="79000"/>
    <x v="3"/>
  </r>
  <r>
    <s v="ITM00370"/>
    <s v="ORD00218"/>
    <s v="PRD014"/>
    <n v="2"/>
    <n v="349000"/>
    <x v="9"/>
  </r>
  <r>
    <s v="ITM00371"/>
    <s v="ORD00219"/>
    <s v="PRD021"/>
    <n v="1"/>
    <n v="69000"/>
    <x v="0"/>
  </r>
  <r>
    <s v="ITM00372"/>
    <s v="ORD00220"/>
    <s v="PRD009"/>
    <n v="1"/>
    <n v="79000"/>
    <x v="3"/>
  </r>
  <r>
    <s v="ITM00373"/>
    <s v="ORD00220"/>
    <s v="PRD005"/>
    <n v="1"/>
    <n v="39000"/>
    <x v="2"/>
  </r>
  <r>
    <s v="ITM00374"/>
    <s v="ORD00221"/>
    <s v="PRD005"/>
    <n v="1"/>
    <n v="39000"/>
    <x v="2"/>
  </r>
  <r>
    <s v="ITM00375"/>
    <s v="ORD00221"/>
    <s v="PRD021"/>
    <n v="2"/>
    <n v="69000"/>
    <x v="0"/>
  </r>
  <r>
    <s v="ITM00376"/>
    <s v="ORD00222"/>
    <s v="PRD021"/>
    <n v="1"/>
    <n v="69000"/>
    <x v="0"/>
  </r>
  <r>
    <s v="ITM00377"/>
    <s v="ORD00223"/>
    <s v="PRD017"/>
    <n v="1"/>
    <n v="329000"/>
    <x v="7"/>
  </r>
  <r>
    <s v="ITM00378"/>
    <s v="ORD00223"/>
    <s v="PRD014"/>
    <n v="1"/>
    <n v="349000"/>
    <x v="9"/>
  </r>
  <r>
    <s v="ITM00379"/>
    <s v="ORD00224"/>
    <s v="PRD022"/>
    <n v="1"/>
    <n v="55000"/>
    <x v="4"/>
  </r>
  <r>
    <s v="ITM00380"/>
    <s v="ORD00225"/>
    <s v="PRD009"/>
    <n v="1"/>
    <n v="79000"/>
    <x v="3"/>
  </r>
  <r>
    <s v="ITM00381"/>
    <s v="ORD00226"/>
    <s v="PRD005"/>
    <n v="1"/>
    <n v="39000"/>
    <x v="2"/>
  </r>
  <r>
    <s v="ITM00382"/>
    <s v="ORD00226"/>
    <s v="PRD006"/>
    <n v="2"/>
    <n v="129000"/>
    <x v="10"/>
  </r>
  <r>
    <s v="ITM00383"/>
    <s v="ORD00227"/>
    <s v="PRD017"/>
    <n v="1"/>
    <n v="329000"/>
    <x v="7"/>
  </r>
  <r>
    <s v="ITM00384"/>
    <s v="ORD00228"/>
    <s v="PRD017"/>
    <n v="1"/>
    <n v="329000"/>
    <x v="7"/>
  </r>
  <r>
    <s v="ITM00385"/>
    <s v="ORD00229"/>
    <s v="PRD020"/>
    <n v="2"/>
    <n v="179000"/>
    <x v="1"/>
  </r>
  <r>
    <s v="ITM00386"/>
    <s v="ORD00230"/>
    <s v="PRD021"/>
    <n v="2"/>
    <n v="69000"/>
    <x v="0"/>
  </r>
  <r>
    <s v="ITM00387"/>
    <s v="ORD00231"/>
    <s v="PRD021"/>
    <n v="3"/>
    <n v="69000"/>
    <x v="0"/>
  </r>
  <r>
    <s v="ITM00388"/>
    <s v="ORD00231"/>
    <s v="PRD008"/>
    <n v="1"/>
    <n v="399000"/>
    <x v="12"/>
  </r>
  <r>
    <s v="ITM00389"/>
    <s v="ORD00232"/>
    <s v="PRD004"/>
    <n v="2"/>
    <n v="199000"/>
    <x v="19"/>
  </r>
  <r>
    <s v="ITM00390"/>
    <s v="ORD00232"/>
    <s v="PRD009"/>
    <n v="1"/>
    <n v="79000"/>
    <x v="3"/>
  </r>
  <r>
    <s v="ITM00391"/>
    <s v="ORD00233"/>
    <s v="PRD021"/>
    <n v="1"/>
    <n v="69000"/>
    <x v="0"/>
  </r>
  <r>
    <s v="ITM00392"/>
    <s v="ORD00234"/>
    <s v="PRD021"/>
    <n v="1"/>
    <n v="69000"/>
    <x v="0"/>
  </r>
  <r>
    <s v="ITM00393"/>
    <s v="ORD00234"/>
    <s v="PRD005"/>
    <n v="1"/>
    <n v="39000"/>
    <x v="2"/>
  </r>
  <r>
    <s v="ITM00394"/>
    <s v="ORD00234"/>
    <s v="PRD012"/>
    <n v="2"/>
    <n v="229000"/>
    <x v="5"/>
  </r>
  <r>
    <s v="ITM00395"/>
    <s v="ORD00234"/>
    <s v="PRD006"/>
    <n v="2"/>
    <n v="129000"/>
    <x v="10"/>
  </r>
  <r>
    <s v="ITM00396"/>
    <s v="ORD00235"/>
    <s v="PRD009"/>
    <n v="3"/>
    <n v="79000"/>
    <x v="3"/>
  </r>
  <r>
    <s v="ITM00397"/>
    <s v="ORD00235"/>
    <s v="PRD008"/>
    <n v="3"/>
    <n v="399000"/>
    <x v="12"/>
  </r>
  <r>
    <s v="ITM00398"/>
    <s v="ORD00235"/>
    <s v="PRD022"/>
    <n v="1"/>
    <n v="55000"/>
    <x v="4"/>
  </r>
  <r>
    <s v="ITM00399"/>
    <s v="ORD00235"/>
    <s v="PRD005"/>
    <n v="1"/>
    <n v="39000"/>
    <x v="2"/>
  </r>
  <r>
    <s v="ITM00400"/>
    <s v="ORD00236"/>
    <s v="PRD009"/>
    <n v="1"/>
    <n v="79000"/>
    <x v="3"/>
  </r>
  <r>
    <s v="ITM00401"/>
    <s v="ORD00236"/>
    <s v="PRD005"/>
    <n v="1"/>
    <n v="39000"/>
    <x v="2"/>
  </r>
  <r>
    <s v="ITM00402"/>
    <s v="ORD00236"/>
    <s v="PRD021"/>
    <n v="1"/>
    <n v="69000"/>
    <x v="0"/>
  </r>
  <r>
    <s v="ITM00403"/>
    <s v="ORD00237"/>
    <s v="PRD021"/>
    <n v="1"/>
    <n v="69000"/>
    <x v="0"/>
  </r>
  <r>
    <s v="ITM00404"/>
    <s v="ORD00237"/>
    <s v="PRD006"/>
    <n v="3"/>
    <n v="129000"/>
    <x v="10"/>
  </r>
  <r>
    <s v="ITM00405"/>
    <s v="ORD00238"/>
    <s v="PRD005"/>
    <n v="1"/>
    <n v="39000"/>
    <x v="2"/>
  </r>
  <r>
    <s v="ITM00406"/>
    <s v="ORD00238"/>
    <s v="PRD008"/>
    <n v="1"/>
    <n v="399000"/>
    <x v="12"/>
  </r>
  <r>
    <s v="ITM00407"/>
    <s v="ORD00239"/>
    <s v="PRD008"/>
    <n v="1"/>
    <n v="399000"/>
    <x v="12"/>
  </r>
  <r>
    <s v="ITM00408"/>
    <s v="ORD00239"/>
    <s v="PRD021"/>
    <n v="1"/>
    <n v="69000"/>
    <x v="0"/>
  </r>
  <r>
    <s v="ITM00409"/>
    <s v="ORD00239"/>
    <s v="PRD009"/>
    <n v="1"/>
    <n v="79000"/>
    <x v="3"/>
  </r>
  <r>
    <s v="ITM00410"/>
    <s v="ORD00240"/>
    <s v="PRD005"/>
    <n v="2"/>
    <n v="39000"/>
    <x v="2"/>
  </r>
  <r>
    <s v="ITM00411"/>
    <s v="ORD00240"/>
    <s v="PRD021"/>
    <n v="1"/>
    <n v="69000"/>
    <x v="0"/>
  </r>
  <r>
    <s v="ITM00412"/>
    <s v="ORD00240"/>
    <s v="PRD022"/>
    <n v="1"/>
    <n v="55000"/>
    <x v="4"/>
  </r>
  <r>
    <s v="ITM00413"/>
    <s v="ORD00241"/>
    <s v="PRD021"/>
    <n v="1"/>
    <n v="69000"/>
    <x v="0"/>
  </r>
  <r>
    <s v="ITM00414"/>
    <s v="ORD00242"/>
    <s v="PRD002"/>
    <n v="1"/>
    <n v="159000"/>
    <x v="14"/>
  </r>
  <r>
    <s v="ITM00415"/>
    <s v="ORD00243"/>
    <s v="PRD008"/>
    <n v="3"/>
    <n v="399000"/>
    <x v="12"/>
  </r>
  <r>
    <s v="ITM00416"/>
    <s v="ORD00243"/>
    <s v="PRD021"/>
    <n v="2"/>
    <n v="69000"/>
    <x v="0"/>
  </r>
  <r>
    <s v="ITM00417"/>
    <s v="ORD00243"/>
    <s v="PRD020"/>
    <n v="1"/>
    <n v="179000"/>
    <x v="1"/>
  </r>
  <r>
    <s v="ITM00418"/>
    <s v="ORD00244"/>
    <s v="PRD017"/>
    <n v="1"/>
    <n v="329000"/>
    <x v="7"/>
  </r>
  <r>
    <s v="ITM00419"/>
    <s v="ORD00244"/>
    <s v="PRD005"/>
    <n v="1"/>
    <n v="39000"/>
    <x v="2"/>
  </r>
  <r>
    <s v="ITM00420"/>
    <s v="ORD00245"/>
    <s v="PRD008"/>
    <n v="1"/>
    <n v="399000"/>
    <x v="12"/>
  </r>
  <r>
    <s v="ITM00421"/>
    <s v="ORD00246"/>
    <s v="PRD005"/>
    <n v="1"/>
    <n v="39000"/>
    <x v="2"/>
  </r>
  <r>
    <s v="ITM00422"/>
    <s v="ORD00246"/>
    <s v="PRD021"/>
    <n v="1"/>
    <n v="69000"/>
    <x v="0"/>
  </r>
  <r>
    <s v="ITM00423"/>
    <s v="ORD00247"/>
    <s v="PRD008"/>
    <n v="1"/>
    <n v="399000"/>
    <x v="12"/>
  </r>
  <r>
    <s v="ITM00424"/>
    <s v="ORD00247"/>
    <s v="PRD014"/>
    <n v="1"/>
    <n v="349000"/>
    <x v="9"/>
  </r>
  <r>
    <s v="ITM00425"/>
    <s v="ORD00247"/>
    <s v="PRD006"/>
    <n v="1"/>
    <n v="129000"/>
    <x v="10"/>
  </r>
  <r>
    <s v="ITM00426"/>
    <s v="ORD00248"/>
    <s v="PRD005"/>
    <n v="1"/>
    <n v="39000"/>
    <x v="2"/>
  </r>
  <r>
    <s v="ITM00427"/>
    <s v="ORD00249"/>
    <s v="PRD021"/>
    <n v="3"/>
    <n v="69000"/>
    <x v="0"/>
  </r>
  <r>
    <s v="ITM00428"/>
    <s v="ORD00250"/>
    <s v="PRD005"/>
    <n v="3"/>
    <n v="39000"/>
    <x v="2"/>
  </r>
  <r>
    <s v="ITM00429"/>
    <s v="ORD00251"/>
    <s v="PRD006"/>
    <n v="1"/>
    <n v="129000"/>
    <x v="10"/>
  </r>
  <r>
    <s v="ITM00430"/>
    <s v="ORD00251"/>
    <s v="PRD020"/>
    <n v="1"/>
    <n v="179000"/>
    <x v="1"/>
  </r>
  <r>
    <s v="ITM00431"/>
    <s v="ORD00252"/>
    <s v="PRD017"/>
    <n v="1"/>
    <n v="329000"/>
    <x v="7"/>
  </r>
  <r>
    <s v="ITM00432"/>
    <s v="ORD00253"/>
    <s v="PRD009"/>
    <n v="1"/>
    <n v="79000"/>
    <x v="3"/>
  </r>
  <r>
    <s v="ITM00433"/>
    <s v="ORD00254"/>
    <s v="PRD017"/>
    <n v="1"/>
    <n v="329000"/>
    <x v="7"/>
  </r>
  <r>
    <s v="ITM00434"/>
    <s v="ORD00255"/>
    <s v="PRD021"/>
    <n v="2"/>
    <n v="69000"/>
    <x v="0"/>
  </r>
  <r>
    <s v="ITM00435"/>
    <s v="ORD00256"/>
    <s v="PRD008"/>
    <n v="1"/>
    <n v="399000"/>
    <x v="12"/>
  </r>
  <r>
    <s v="ITM00436"/>
    <s v="ORD00256"/>
    <s v="PRD017"/>
    <n v="1"/>
    <n v="329000"/>
    <x v="7"/>
  </r>
  <r>
    <s v="ITM00437"/>
    <s v="ORD00256"/>
    <s v="PRD014"/>
    <n v="1"/>
    <n v="349000"/>
    <x v="9"/>
  </r>
  <r>
    <s v="ITM00438"/>
    <s v="ORD00257"/>
    <s v="PRD005"/>
    <n v="2"/>
    <n v="39000"/>
    <x v="2"/>
  </r>
  <r>
    <s v="ITM00439"/>
    <s v="ORD00257"/>
    <s v="PRD009"/>
    <n v="1"/>
    <n v="79000"/>
    <x v="3"/>
  </r>
  <r>
    <s v="ITM00440"/>
    <s v="ORD00258"/>
    <s v="PRD022"/>
    <n v="1"/>
    <n v="55000"/>
    <x v="4"/>
  </r>
  <r>
    <s v="ITM00441"/>
    <s v="ORD00259"/>
    <s v="PRD021"/>
    <n v="3"/>
    <n v="69000"/>
    <x v="0"/>
  </r>
  <r>
    <s v="ITM00442"/>
    <s v="ORD00259"/>
    <s v="PRD008"/>
    <n v="2"/>
    <n v="399000"/>
    <x v="12"/>
  </r>
  <r>
    <s v="ITM00443"/>
    <s v="ORD00260"/>
    <s v="PRD021"/>
    <n v="1"/>
    <n v="69000"/>
    <x v="0"/>
  </r>
  <r>
    <s v="ITM00444"/>
    <s v="ORD00261"/>
    <s v="PRD009"/>
    <n v="1"/>
    <n v="79000"/>
    <x v="3"/>
  </r>
  <r>
    <s v="ITM00445"/>
    <s v="ORD00262"/>
    <s v="PRD021"/>
    <n v="2"/>
    <n v="69000"/>
    <x v="0"/>
  </r>
  <r>
    <s v="ITM00446"/>
    <s v="ORD00262"/>
    <s v="PRD012"/>
    <n v="1"/>
    <n v="229000"/>
    <x v="5"/>
  </r>
  <r>
    <s v="ITM00447"/>
    <s v="ORD00263"/>
    <s v="PRD021"/>
    <n v="1"/>
    <n v="69000"/>
    <x v="0"/>
  </r>
  <r>
    <s v="ITM00448"/>
    <s v="ORD00264"/>
    <s v="PRD005"/>
    <n v="2"/>
    <n v="39000"/>
    <x v="2"/>
  </r>
  <r>
    <s v="ITM00449"/>
    <s v="ORD00265"/>
    <s v="PRD005"/>
    <n v="1"/>
    <n v="39000"/>
    <x v="2"/>
  </r>
  <r>
    <s v="ITM00450"/>
    <s v="ORD00265"/>
    <s v="PRD002"/>
    <n v="1"/>
    <n v="159000"/>
    <x v="14"/>
  </r>
  <r>
    <s v="ITM00451"/>
    <s v="ORD00266"/>
    <s v="PRD021"/>
    <n v="1"/>
    <n v="69000"/>
    <x v="0"/>
  </r>
  <r>
    <s v="ITM00452"/>
    <s v="ORD00266"/>
    <s v="PRD005"/>
    <n v="1"/>
    <n v="39000"/>
    <x v="2"/>
  </r>
  <r>
    <s v="ITM00453"/>
    <s v="ORD00266"/>
    <s v="PRD017"/>
    <n v="2"/>
    <n v="329000"/>
    <x v="7"/>
  </r>
  <r>
    <s v="ITM00454"/>
    <s v="ORD00267"/>
    <s v="PRD008"/>
    <n v="1"/>
    <n v="399000"/>
    <x v="12"/>
  </r>
  <r>
    <s v="ITM00455"/>
    <s v="ORD00268"/>
    <s v="PRD020"/>
    <n v="1"/>
    <n v="179000"/>
    <x v="1"/>
  </r>
  <r>
    <s v="ITM00456"/>
    <s v="ORD00269"/>
    <s v="PRD003"/>
    <n v="1"/>
    <n v="499000"/>
    <x v="11"/>
  </r>
  <r>
    <s v="ITM00457"/>
    <s v="ORD00270"/>
    <s v="PRD005"/>
    <n v="1"/>
    <n v="39000"/>
    <x v="2"/>
  </r>
  <r>
    <s v="ITM00458"/>
    <s v="ORD00271"/>
    <s v="PRD009"/>
    <n v="2"/>
    <n v="79000"/>
    <x v="3"/>
  </r>
  <r>
    <s v="ITM00459"/>
    <s v="ORD00271"/>
    <s v="PRD002"/>
    <n v="1"/>
    <n v="159000"/>
    <x v="14"/>
  </r>
  <r>
    <s v="ITM00460"/>
    <s v="ORD00272"/>
    <s v="PRD021"/>
    <n v="1"/>
    <n v="69000"/>
    <x v="0"/>
  </r>
  <r>
    <s v="ITM00461"/>
    <s v="ORD00272"/>
    <s v="PRD020"/>
    <n v="1"/>
    <n v="179000"/>
    <x v="1"/>
  </r>
  <r>
    <s v="ITM00462"/>
    <s v="ORD00273"/>
    <s v="PRD019"/>
    <n v="1"/>
    <n v="79000"/>
    <x v="13"/>
  </r>
  <r>
    <s v="ITM00463"/>
    <s v="ORD00274"/>
    <s v="PRD014"/>
    <n v="1"/>
    <n v="349000"/>
    <x v="9"/>
  </r>
  <r>
    <s v="ITM00464"/>
    <s v="ORD00274"/>
    <s v="PRD012"/>
    <n v="1"/>
    <n v="229000"/>
    <x v="5"/>
  </r>
  <r>
    <s v="ITM00465"/>
    <s v="ORD00274"/>
    <s v="PRD008"/>
    <n v="2"/>
    <n v="399000"/>
    <x v="12"/>
  </r>
  <r>
    <s v="ITM00466"/>
    <s v="ORD00275"/>
    <s v="PRD021"/>
    <n v="2"/>
    <n v="69000"/>
    <x v="0"/>
  </r>
  <r>
    <s v="ITM00467"/>
    <s v="ORD00276"/>
    <s v="PRD005"/>
    <n v="2"/>
    <n v="39000"/>
    <x v="2"/>
  </r>
  <r>
    <s v="ITM00468"/>
    <s v="ORD00276"/>
    <s v="PRD003"/>
    <n v="3"/>
    <n v="499000"/>
    <x v="11"/>
  </r>
  <r>
    <s v="ITM00469"/>
    <s v="ORD00277"/>
    <s v="PRD021"/>
    <n v="1"/>
    <n v="69000"/>
    <x v="0"/>
  </r>
  <r>
    <s v="ITM00470"/>
    <s v="ORD00277"/>
    <s v="PRD008"/>
    <n v="1"/>
    <n v="399000"/>
    <x v="12"/>
  </r>
  <r>
    <s v="ITM00471"/>
    <s v="ORD00278"/>
    <s v="PRD006"/>
    <n v="1"/>
    <n v="129000"/>
    <x v="10"/>
  </r>
  <r>
    <s v="ITM00472"/>
    <s v="ORD00278"/>
    <s v="PRD021"/>
    <n v="1"/>
    <n v="69000"/>
    <x v="0"/>
  </r>
  <r>
    <s v="ITM00473"/>
    <s v="ORD00279"/>
    <s v="PRD017"/>
    <n v="2"/>
    <n v="329000"/>
    <x v="7"/>
  </r>
  <r>
    <s v="ITM00474"/>
    <s v="ORD00279"/>
    <s v="PRD012"/>
    <n v="1"/>
    <n v="229000"/>
    <x v="5"/>
  </r>
  <r>
    <s v="ITM00475"/>
    <s v="ORD00280"/>
    <s v="PRD021"/>
    <n v="2"/>
    <n v="69000"/>
    <x v="0"/>
  </r>
  <r>
    <s v="ITM00476"/>
    <s v="ORD00281"/>
    <s v="PRD022"/>
    <n v="2"/>
    <n v="55000"/>
    <x v="4"/>
  </r>
  <r>
    <s v="ITM00477"/>
    <s v="ORD00282"/>
    <s v="PRD021"/>
    <n v="1"/>
    <n v="69000"/>
    <x v="0"/>
  </r>
  <r>
    <s v="ITM00478"/>
    <s v="ORD00283"/>
    <s v="PRD022"/>
    <n v="1"/>
    <n v="55000"/>
    <x v="4"/>
  </r>
  <r>
    <s v="ITM00479"/>
    <s v="ORD00283"/>
    <s v="PRD005"/>
    <n v="2"/>
    <n v="39000"/>
    <x v="2"/>
  </r>
  <r>
    <s v="ITM00480"/>
    <s v="ORD00283"/>
    <s v="PRD017"/>
    <n v="1"/>
    <n v="329000"/>
    <x v="7"/>
  </r>
  <r>
    <s v="ITM00481"/>
    <s v="ORD00284"/>
    <s v="PRD020"/>
    <n v="3"/>
    <n v="179000"/>
    <x v="1"/>
  </r>
  <r>
    <s v="ITM00482"/>
    <s v="ORD00284"/>
    <s v="PRD014"/>
    <n v="1"/>
    <n v="349000"/>
    <x v="9"/>
  </r>
  <r>
    <s v="ITM00483"/>
    <s v="ORD00285"/>
    <s v="PRD013"/>
    <n v="1"/>
    <n v="209000"/>
    <x v="17"/>
  </r>
  <r>
    <s v="ITM00484"/>
    <s v="ORD00285"/>
    <s v="PRD021"/>
    <n v="2"/>
    <n v="69000"/>
    <x v="0"/>
  </r>
  <r>
    <s v="ITM00485"/>
    <s v="ORD00285"/>
    <s v="PRD020"/>
    <n v="1"/>
    <n v="179000"/>
    <x v="1"/>
  </r>
  <r>
    <s v="ITM00486"/>
    <s v="ORD00285"/>
    <s v="PRD022"/>
    <n v="2"/>
    <n v="55000"/>
    <x v="4"/>
  </r>
  <r>
    <s v="ITM00487"/>
    <s v="ORD00286"/>
    <s v="PRD006"/>
    <n v="3"/>
    <n v="129000"/>
    <x v="10"/>
  </r>
  <r>
    <s v="ITM00488"/>
    <s v="ORD00287"/>
    <s v="PRD021"/>
    <n v="1"/>
    <n v="69000"/>
    <x v="0"/>
  </r>
  <r>
    <s v="ITM00489"/>
    <s v="ORD00288"/>
    <s v="PRD021"/>
    <n v="1"/>
    <n v="69000"/>
    <x v="0"/>
  </r>
  <r>
    <s v="ITM00490"/>
    <s v="ORD00288"/>
    <s v="PRD009"/>
    <n v="2"/>
    <n v="79000"/>
    <x v="3"/>
  </r>
  <r>
    <s v="ITM00491"/>
    <s v="ORD00289"/>
    <s v="PRD021"/>
    <n v="2"/>
    <n v="69000"/>
    <x v="0"/>
  </r>
  <r>
    <s v="ITM00492"/>
    <s v="ORD00289"/>
    <s v="PRD008"/>
    <n v="2"/>
    <n v="399000"/>
    <x v="12"/>
  </r>
  <r>
    <s v="ITM00493"/>
    <s v="ORD00290"/>
    <s v="PRD022"/>
    <n v="2"/>
    <n v="55000"/>
    <x v="4"/>
  </r>
  <r>
    <s v="ITM00494"/>
    <s v="ORD00291"/>
    <s v="PRD005"/>
    <n v="1"/>
    <n v="39000"/>
    <x v="2"/>
  </r>
  <r>
    <s v="ITM00495"/>
    <s v="ORD00291"/>
    <s v="PRD017"/>
    <n v="1"/>
    <n v="329000"/>
    <x v="7"/>
  </r>
  <r>
    <s v="ITM00496"/>
    <s v="ORD00292"/>
    <s v="PRD021"/>
    <n v="1"/>
    <n v="69000"/>
    <x v="0"/>
  </r>
  <r>
    <s v="ITM00497"/>
    <s v="ORD00292"/>
    <s v="PRD020"/>
    <n v="1"/>
    <n v="179000"/>
    <x v="1"/>
  </r>
  <r>
    <s v="ITM00498"/>
    <s v="ORD00293"/>
    <s v="PRD019"/>
    <n v="2"/>
    <n v="79000"/>
    <x v="13"/>
  </r>
  <r>
    <s v="ITM00499"/>
    <s v="ORD00294"/>
    <s v="PRD021"/>
    <n v="1"/>
    <n v="69000"/>
    <x v="0"/>
  </r>
  <r>
    <s v="ITM00500"/>
    <s v="ORD00294"/>
    <s v="PRD005"/>
    <n v="1"/>
    <n v="39000"/>
    <x v="2"/>
  </r>
  <r>
    <s v="ITM00501"/>
    <s v="ORD00295"/>
    <s v="PRD020"/>
    <n v="1"/>
    <n v="179000"/>
    <x v="1"/>
  </r>
  <r>
    <s v="ITM00502"/>
    <s v="ORD00296"/>
    <s v="PRD009"/>
    <n v="2"/>
    <n v="79000"/>
    <x v="3"/>
  </r>
  <r>
    <s v="ITM00503"/>
    <s v="ORD00296"/>
    <s v="PRD021"/>
    <n v="1"/>
    <n v="69000"/>
    <x v="0"/>
  </r>
  <r>
    <s v="ITM00504"/>
    <s v="ORD00297"/>
    <s v="PRD020"/>
    <n v="1"/>
    <n v="179000"/>
    <x v="1"/>
  </r>
  <r>
    <s v="ITM00505"/>
    <s v="ORD00297"/>
    <s v="PRD021"/>
    <n v="1"/>
    <n v="69000"/>
    <x v="0"/>
  </r>
  <r>
    <s v="ITM00506"/>
    <s v="ORD00297"/>
    <s v="PRD007"/>
    <n v="1"/>
    <n v="99000"/>
    <x v="6"/>
  </r>
  <r>
    <s v="ITM00507"/>
    <s v="ORD00298"/>
    <s v="PRD007"/>
    <n v="1"/>
    <n v="99000"/>
    <x v="6"/>
  </r>
  <r>
    <s v="ITM00508"/>
    <s v="ORD00298"/>
    <s v="PRD019"/>
    <n v="1"/>
    <n v="79000"/>
    <x v="13"/>
  </r>
  <r>
    <s v="ITM00509"/>
    <s v="ORD00299"/>
    <s v="PRD005"/>
    <n v="2"/>
    <n v="39000"/>
    <x v="2"/>
  </r>
  <r>
    <s v="ITM00510"/>
    <s v="ORD00300"/>
    <s v="PRD005"/>
    <n v="1"/>
    <n v="39000"/>
    <x v="2"/>
  </r>
  <r>
    <s v="ITM00511"/>
    <s v="ORD00300"/>
    <s v="PRD021"/>
    <n v="2"/>
    <n v="69000"/>
    <x v="0"/>
  </r>
  <r>
    <s v="ITM00512"/>
    <s v="ORD00301"/>
    <s v="PRD005"/>
    <n v="3"/>
    <n v="39000"/>
    <x v="2"/>
  </r>
  <r>
    <s v="ITM00513"/>
    <s v="ORD00301"/>
    <s v="PRD020"/>
    <n v="3"/>
    <n v="179000"/>
    <x v="1"/>
  </r>
  <r>
    <s v="ITM00514"/>
    <s v="ORD00301"/>
    <s v="PRD021"/>
    <n v="1"/>
    <n v="69000"/>
    <x v="0"/>
  </r>
  <r>
    <s v="ITM00515"/>
    <s v="ORD00302"/>
    <s v="PRD005"/>
    <n v="3"/>
    <n v="39000"/>
    <x v="2"/>
  </r>
  <r>
    <s v="ITM00516"/>
    <s v="ORD00302"/>
    <s v="PRD004"/>
    <n v="2"/>
    <n v="199000"/>
    <x v="19"/>
  </r>
  <r>
    <s v="ITM00517"/>
    <s v="ORD00303"/>
    <s v="PRD021"/>
    <n v="3"/>
    <n v="69000"/>
    <x v="0"/>
  </r>
  <r>
    <s v="ITM00518"/>
    <s v="ORD00303"/>
    <s v="PRD022"/>
    <n v="2"/>
    <n v="55000"/>
    <x v="4"/>
  </r>
  <r>
    <s v="ITM00519"/>
    <s v="ORD00304"/>
    <s v="PRD021"/>
    <n v="1"/>
    <n v="69000"/>
    <x v="0"/>
  </r>
  <r>
    <s v="ITM00520"/>
    <s v="ORD00305"/>
    <s v="PRD017"/>
    <n v="1"/>
    <n v="329000"/>
    <x v="7"/>
  </r>
  <r>
    <s v="ITM00521"/>
    <s v="ORD00305"/>
    <s v="PRD005"/>
    <n v="2"/>
    <n v="39000"/>
    <x v="2"/>
  </r>
  <r>
    <s v="ITM00522"/>
    <s v="ORD00305"/>
    <s v="PRD021"/>
    <n v="1"/>
    <n v="69000"/>
    <x v="0"/>
  </r>
  <r>
    <s v="ITM00523"/>
    <s v="ORD00306"/>
    <s v="PRD005"/>
    <n v="1"/>
    <n v="39000"/>
    <x v="2"/>
  </r>
  <r>
    <s v="ITM00524"/>
    <s v="ORD00306"/>
    <s v="PRD021"/>
    <n v="1"/>
    <n v="69000"/>
    <x v="0"/>
  </r>
  <r>
    <s v="ITM00525"/>
    <s v="ORD00306"/>
    <s v="PRD017"/>
    <n v="1"/>
    <n v="329000"/>
    <x v="7"/>
  </r>
  <r>
    <s v="ITM00526"/>
    <s v="ORD00307"/>
    <s v="PRD008"/>
    <n v="2"/>
    <n v="399000"/>
    <x v="12"/>
  </r>
  <r>
    <s v="ITM00527"/>
    <s v="ORD00307"/>
    <s v="PRD021"/>
    <n v="1"/>
    <n v="69000"/>
    <x v="0"/>
  </r>
  <r>
    <s v="ITM00528"/>
    <s v="ORD00308"/>
    <s v="PRD021"/>
    <n v="2"/>
    <n v="69000"/>
    <x v="0"/>
  </r>
  <r>
    <s v="ITM00529"/>
    <s v="ORD00309"/>
    <s v="PRD006"/>
    <n v="2"/>
    <n v="129000"/>
    <x v="10"/>
  </r>
  <r>
    <s v="ITM00530"/>
    <s v="ORD00309"/>
    <s v="PRD021"/>
    <n v="3"/>
    <n v="69000"/>
    <x v="0"/>
  </r>
  <r>
    <s v="ITM00531"/>
    <s v="ORD00310"/>
    <s v="PRD020"/>
    <n v="1"/>
    <n v="179000"/>
    <x v="1"/>
  </r>
  <r>
    <s v="ITM00532"/>
    <s v="ORD00311"/>
    <s v="PRD012"/>
    <n v="1"/>
    <n v="229000"/>
    <x v="5"/>
  </r>
  <r>
    <s v="ITM00533"/>
    <s v="ORD00312"/>
    <s v="PRD022"/>
    <n v="2"/>
    <n v="55000"/>
    <x v="4"/>
  </r>
  <r>
    <s v="ITM00534"/>
    <s v="ORD00312"/>
    <s v="PRD005"/>
    <n v="2"/>
    <n v="39000"/>
    <x v="2"/>
  </r>
  <r>
    <s v="ITM00535"/>
    <s v="ORD00313"/>
    <s v="PRD009"/>
    <n v="2"/>
    <n v="79000"/>
    <x v="3"/>
  </r>
  <r>
    <s v="ITM00536"/>
    <s v="ORD00314"/>
    <s v="PRD001"/>
    <n v="1"/>
    <n v="299000"/>
    <x v="20"/>
  </r>
  <r>
    <s v="ITM00537"/>
    <s v="ORD00315"/>
    <s v="PRD021"/>
    <n v="2"/>
    <n v="69000"/>
    <x v="0"/>
  </r>
  <r>
    <s v="ITM00538"/>
    <s v="ORD00316"/>
    <s v="PRD021"/>
    <n v="3"/>
    <n v="69000"/>
    <x v="0"/>
  </r>
  <r>
    <s v="ITM00539"/>
    <s v="ORD00317"/>
    <s v="PRD017"/>
    <n v="3"/>
    <n v="329000"/>
    <x v="7"/>
  </r>
  <r>
    <s v="ITM00540"/>
    <s v="ORD00317"/>
    <s v="PRD005"/>
    <n v="2"/>
    <n v="39000"/>
    <x v="2"/>
  </r>
  <r>
    <s v="ITM00541"/>
    <s v="ORD00318"/>
    <s v="PRD020"/>
    <n v="2"/>
    <n v="179000"/>
    <x v="1"/>
  </r>
  <r>
    <s v="ITM00542"/>
    <s v="ORD00318"/>
    <s v="PRD021"/>
    <n v="1"/>
    <n v="69000"/>
    <x v="0"/>
  </r>
  <r>
    <s v="ITM00543"/>
    <s v="ORD00319"/>
    <s v="PRD020"/>
    <n v="1"/>
    <n v="179000"/>
    <x v="1"/>
  </r>
  <r>
    <s v="ITM00544"/>
    <s v="ORD00319"/>
    <s v="PRD005"/>
    <n v="1"/>
    <n v="39000"/>
    <x v="2"/>
  </r>
  <r>
    <s v="ITM00545"/>
    <s v="ORD00320"/>
    <s v="PRD022"/>
    <n v="1"/>
    <n v="55000"/>
    <x v="4"/>
  </r>
  <r>
    <s v="ITM00546"/>
    <s v="ORD00320"/>
    <s v="PRD009"/>
    <n v="1"/>
    <n v="79000"/>
    <x v="3"/>
  </r>
  <r>
    <s v="ITM00547"/>
    <s v="ORD00320"/>
    <s v="PRD021"/>
    <n v="1"/>
    <n v="69000"/>
    <x v="0"/>
  </r>
  <r>
    <s v="ITM00548"/>
    <s v="ORD00321"/>
    <s v="PRD017"/>
    <n v="1"/>
    <n v="329000"/>
    <x v="7"/>
  </r>
  <r>
    <s v="ITM00549"/>
    <s v="ORD00321"/>
    <s v="PRD005"/>
    <n v="1"/>
    <n v="39000"/>
    <x v="2"/>
  </r>
  <r>
    <s v="ITM00550"/>
    <s v="ORD00322"/>
    <s v="PRD021"/>
    <n v="1"/>
    <n v="69000"/>
    <x v="0"/>
  </r>
  <r>
    <s v="ITM00551"/>
    <s v="ORD00322"/>
    <s v="PRD022"/>
    <n v="2"/>
    <n v="55000"/>
    <x v="4"/>
  </r>
  <r>
    <s v="ITM00552"/>
    <s v="ORD00322"/>
    <s v="PRD020"/>
    <n v="1"/>
    <n v="179000"/>
    <x v="1"/>
  </r>
  <r>
    <s v="ITM00553"/>
    <s v="ORD00322"/>
    <s v="PRD005"/>
    <n v="2"/>
    <n v="39000"/>
    <x v="2"/>
  </r>
  <r>
    <s v="ITM00554"/>
    <s v="ORD00323"/>
    <s v="PRD021"/>
    <n v="3"/>
    <n v="69000"/>
    <x v="0"/>
  </r>
  <r>
    <s v="ITM00555"/>
    <s v="ORD00323"/>
    <s v="PRD006"/>
    <n v="2"/>
    <n v="129000"/>
    <x v="10"/>
  </r>
  <r>
    <s v="ITM00556"/>
    <s v="ORD00323"/>
    <s v="PRD022"/>
    <n v="3"/>
    <n v="55000"/>
    <x v="4"/>
  </r>
  <r>
    <s v="ITM00557"/>
    <s v="ORD00323"/>
    <s v="PRD005"/>
    <n v="1"/>
    <n v="39000"/>
    <x v="2"/>
  </r>
  <r>
    <s v="ITM00558"/>
    <s v="ORD00324"/>
    <s v="PRD005"/>
    <n v="2"/>
    <n v="39000"/>
    <x v="2"/>
  </r>
  <r>
    <s v="ITM00559"/>
    <s v="ORD00324"/>
    <s v="PRD002"/>
    <n v="1"/>
    <n v="159000"/>
    <x v="14"/>
  </r>
  <r>
    <s v="ITM00560"/>
    <s v="ORD00324"/>
    <s v="PRD003"/>
    <n v="1"/>
    <n v="499000"/>
    <x v="11"/>
  </r>
  <r>
    <s v="ITM00561"/>
    <s v="ORD00325"/>
    <s v="PRD012"/>
    <n v="2"/>
    <n v="229000"/>
    <x v="5"/>
  </r>
  <r>
    <s v="ITM00562"/>
    <s v="ORD00325"/>
    <s v="PRD021"/>
    <n v="3"/>
    <n v="69000"/>
    <x v="0"/>
  </r>
  <r>
    <s v="ITM00563"/>
    <s v="ORD00325"/>
    <s v="PRD008"/>
    <n v="2"/>
    <n v="399000"/>
    <x v="12"/>
  </r>
  <r>
    <s v="ITM00564"/>
    <s v="ORD00325"/>
    <s v="PRD005"/>
    <n v="2"/>
    <n v="39000"/>
    <x v="2"/>
  </r>
  <r>
    <s v="ITM00565"/>
    <s v="ORD00326"/>
    <s v="PRD009"/>
    <n v="1"/>
    <n v="79000"/>
    <x v="3"/>
  </r>
  <r>
    <s v="ITM00566"/>
    <s v="ORD00327"/>
    <s v="PRD021"/>
    <n v="1"/>
    <n v="69000"/>
    <x v="0"/>
  </r>
  <r>
    <s v="ITM00567"/>
    <s v="ORD00328"/>
    <s v="PRD021"/>
    <n v="3"/>
    <n v="69000"/>
    <x v="0"/>
  </r>
  <r>
    <s v="ITM00568"/>
    <s v="ORD00329"/>
    <s v="PRD019"/>
    <n v="1"/>
    <n v="79000"/>
    <x v="13"/>
  </r>
  <r>
    <s v="ITM00569"/>
    <s v="ORD00329"/>
    <s v="PRD020"/>
    <n v="1"/>
    <n v="179000"/>
    <x v="1"/>
  </r>
  <r>
    <s v="ITM00570"/>
    <s v="ORD00329"/>
    <s v="PRD017"/>
    <n v="1"/>
    <n v="329000"/>
    <x v="7"/>
  </r>
  <r>
    <s v="ITM00571"/>
    <s v="ORD00329"/>
    <s v="PRD021"/>
    <n v="1"/>
    <n v="69000"/>
    <x v="0"/>
  </r>
  <r>
    <s v="ITM00572"/>
    <s v="ORD00330"/>
    <s v="PRD020"/>
    <n v="1"/>
    <n v="179000"/>
    <x v="1"/>
  </r>
  <r>
    <s v="ITM00573"/>
    <s v="ORD00331"/>
    <s v="PRD022"/>
    <n v="1"/>
    <n v="55000"/>
    <x v="4"/>
  </r>
  <r>
    <s v="ITM00574"/>
    <s v="ORD00331"/>
    <s v="PRD003"/>
    <n v="3"/>
    <n v="499000"/>
    <x v="11"/>
  </r>
  <r>
    <s v="ITM00575"/>
    <s v="ORD00331"/>
    <s v="PRD021"/>
    <n v="1"/>
    <n v="69000"/>
    <x v="0"/>
  </r>
  <r>
    <s v="ITM00576"/>
    <s v="ORD00332"/>
    <s v="PRD020"/>
    <n v="2"/>
    <n v="179000"/>
    <x v="1"/>
  </r>
  <r>
    <s v="ITM00577"/>
    <s v="ORD00332"/>
    <s v="PRD014"/>
    <n v="3"/>
    <n v="349000"/>
    <x v="9"/>
  </r>
  <r>
    <s v="ITM00578"/>
    <s v="ORD00332"/>
    <s v="PRD021"/>
    <n v="2"/>
    <n v="69000"/>
    <x v="0"/>
  </r>
  <r>
    <s v="ITM00579"/>
    <s v="ORD00332"/>
    <s v="PRD006"/>
    <n v="1"/>
    <n v="129000"/>
    <x v="10"/>
  </r>
  <r>
    <s v="ITM00580"/>
    <s v="ORD00333"/>
    <s v="PRD020"/>
    <n v="1"/>
    <n v="179000"/>
    <x v="1"/>
  </r>
  <r>
    <s v="ITM00581"/>
    <s v="ORD00333"/>
    <s v="PRD005"/>
    <n v="1"/>
    <n v="39000"/>
    <x v="2"/>
  </r>
  <r>
    <s v="ITM00582"/>
    <s v="ORD00333"/>
    <s v="PRD006"/>
    <n v="1"/>
    <n v="129000"/>
    <x v="10"/>
  </r>
  <r>
    <s v="ITM00583"/>
    <s v="ORD00334"/>
    <s v="PRD019"/>
    <n v="1"/>
    <n v="79000"/>
    <x v="13"/>
  </r>
  <r>
    <s v="ITM00584"/>
    <s v="ORD00334"/>
    <s v="PRD013"/>
    <n v="1"/>
    <n v="209000"/>
    <x v="17"/>
  </r>
  <r>
    <s v="ITM00585"/>
    <s v="ORD00334"/>
    <s v="PRD021"/>
    <n v="2"/>
    <n v="69000"/>
    <x v="0"/>
  </r>
  <r>
    <s v="ITM00586"/>
    <s v="ORD00335"/>
    <s v="PRD017"/>
    <n v="3"/>
    <n v="329000"/>
    <x v="7"/>
  </r>
  <r>
    <s v="ITM00587"/>
    <s v="ORD00335"/>
    <s v="PRD005"/>
    <n v="1"/>
    <n v="39000"/>
    <x v="2"/>
  </r>
  <r>
    <s v="ITM00588"/>
    <s v="ORD00336"/>
    <s v="PRD014"/>
    <n v="1"/>
    <n v="349000"/>
    <x v="9"/>
  </r>
  <r>
    <s v="ITM00589"/>
    <s v="ORD00337"/>
    <s v="PRD014"/>
    <n v="1"/>
    <n v="349000"/>
    <x v="9"/>
  </r>
  <r>
    <s v="ITM00590"/>
    <s v="ORD00338"/>
    <s v="PRD021"/>
    <n v="2"/>
    <n v="69000"/>
    <x v="0"/>
  </r>
  <r>
    <s v="ITM00591"/>
    <s v="ORD00339"/>
    <s v="PRD021"/>
    <n v="1"/>
    <n v="69000"/>
    <x v="0"/>
  </r>
  <r>
    <s v="ITM00592"/>
    <s v="ORD00339"/>
    <s v="PRD006"/>
    <n v="3"/>
    <n v="129000"/>
    <x v="10"/>
  </r>
  <r>
    <s v="ITM00593"/>
    <s v="ORD00339"/>
    <s v="PRD007"/>
    <n v="1"/>
    <n v="99000"/>
    <x v="6"/>
  </r>
  <r>
    <s v="ITM00594"/>
    <s v="ORD00340"/>
    <s v="PRD021"/>
    <n v="1"/>
    <n v="69000"/>
    <x v="0"/>
  </r>
  <r>
    <s v="ITM00595"/>
    <s v="ORD00341"/>
    <s v="PRD006"/>
    <n v="1"/>
    <n v="129000"/>
    <x v="10"/>
  </r>
  <r>
    <s v="ITM00596"/>
    <s v="ORD00342"/>
    <s v="PRD021"/>
    <n v="2"/>
    <n v="69000"/>
    <x v="0"/>
  </r>
  <r>
    <s v="ITM00597"/>
    <s v="ORD00343"/>
    <s v="PRD021"/>
    <n v="1"/>
    <n v="69000"/>
    <x v="0"/>
  </r>
  <r>
    <s v="ITM00598"/>
    <s v="ORD00343"/>
    <s v="PRD005"/>
    <n v="1"/>
    <n v="39000"/>
    <x v="2"/>
  </r>
  <r>
    <s v="ITM00599"/>
    <s v="ORD00344"/>
    <s v="PRD005"/>
    <n v="1"/>
    <n v="39000"/>
    <x v="2"/>
  </r>
  <r>
    <s v="ITM00600"/>
    <s v="ORD00344"/>
    <s v="PRD021"/>
    <n v="1"/>
    <n v="69000"/>
    <x v="0"/>
  </r>
  <r>
    <s v="ITM00601"/>
    <s v="ORD00344"/>
    <s v="PRD009"/>
    <n v="1"/>
    <n v="79000"/>
    <x v="3"/>
  </r>
  <r>
    <s v="ITM00602"/>
    <s v="ORD00345"/>
    <s v="PRD021"/>
    <n v="1"/>
    <n v="69000"/>
    <x v="0"/>
  </r>
  <r>
    <s v="ITM00603"/>
    <s v="ORD00345"/>
    <s v="PRD020"/>
    <n v="1"/>
    <n v="179000"/>
    <x v="1"/>
  </r>
  <r>
    <s v="ITM00604"/>
    <s v="ORD00345"/>
    <s v="PRD022"/>
    <n v="2"/>
    <n v="55000"/>
    <x v="4"/>
  </r>
  <r>
    <s v="ITM00605"/>
    <s v="ORD00346"/>
    <s v="PRD021"/>
    <n v="2"/>
    <n v="69000"/>
    <x v="0"/>
  </r>
  <r>
    <s v="ITM00606"/>
    <s v="ORD00347"/>
    <s v="PRD006"/>
    <n v="2"/>
    <n v="129000"/>
    <x v="10"/>
  </r>
  <r>
    <s v="ITM00607"/>
    <s v="ORD00348"/>
    <s v="PRD014"/>
    <n v="1"/>
    <n v="349000"/>
    <x v="9"/>
  </r>
  <r>
    <s v="ITM00608"/>
    <s v="ORD00348"/>
    <s v="PRD008"/>
    <n v="3"/>
    <n v="399000"/>
    <x v="12"/>
  </r>
  <r>
    <s v="ITM00609"/>
    <s v="ORD00349"/>
    <s v="PRD005"/>
    <n v="1"/>
    <n v="39000"/>
    <x v="2"/>
  </r>
  <r>
    <s v="ITM00610"/>
    <s v="ORD00350"/>
    <s v="PRD021"/>
    <n v="2"/>
    <n v="69000"/>
    <x v="0"/>
  </r>
  <r>
    <s v="ITM00611"/>
    <s v="ORD00350"/>
    <s v="PRD006"/>
    <n v="3"/>
    <n v="129000"/>
    <x v="10"/>
  </r>
  <r>
    <s v="ITM00612"/>
    <s v="ORD00350"/>
    <s v="PRD014"/>
    <n v="1"/>
    <n v="349000"/>
    <x v="9"/>
  </r>
  <r>
    <s v="ITM00613"/>
    <s v="ORD00351"/>
    <s v="PRD002"/>
    <n v="1"/>
    <n v="159000"/>
    <x v="14"/>
  </r>
  <r>
    <s v="ITM00614"/>
    <s v="ORD00352"/>
    <s v="PRD021"/>
    <n v="1"/>
    <n v="69000"/>
    <x v="0"/>
  </r>
  <r>
    <s v="ITM00615"/>
    <s v="ORD00353"/>
    <s v="PRD009"/>
    <n v="1"/>
    <n v="79000"/>
    <x v="3"/>
  </r>
  <r>
    <s v="ITM00616"/>
    <s v="ORD00354"/>
    <s v="PRD021"/>
    <n v="1"/>
    <n v="69000"/>
    <x v="0"/>
  </r>
  <r>
    <s v="ITM00617"/>
    <s v="ORD00354"/>
    <s v="PRD005"/>
    <n v="3"/>
    <n v="39000"/>
    <x v="2"/>
  </r>
  <r>
    <s v="ITM00618"/>
    <s v="ORD00354"/>
    <s v="PRD020"/>
    <n v="3"/>
    <n v="179000"/>
    <x v="1"/>
  </r>
  <r>
    <s v="ITM00619"/>
    <s v="ORD00354"/>
    <s v="PRD017"/>
    <n v="1"/>
    <n v="329000"/>
    <x v="7"/>
  </r>
  <r>
    <s v="ITM00620"/>
    <s v="ORD00355"/>
    <s v="PRD022"/>
    <n v="1"/>
    <n v="55000"/>
    <x v="4"/>
  </r>
  <r>
    <s v="ITM00621"/>
    <s v="ORD00356"/>
    <s v="PRD005"/>
    <n v="1"/>
    <n v="39000"/>
    <x v="2"/>
  </r>
  <r>
    <s v="ITM00622"/>
    <s v="ORD00356"/>
    <s v="PRD020"/>
    <n v="1"/>
    <n v="179000"/>
    <x v="1"/>
  </r>
  <r>
    <s v="ITM00623"/>
    <s v="ORD00357"/>
    <s v="PRD021"/>
    <n v="1"/>
    <n v="69000"/>
    <x v="0"/>
  </r>
  <r>
    <s v="ITM00624"/>
    <s v="ORD00358"/>
    <s v="PRD005"/>
    <n v="1"/>
    <n v="39000"/>
    <x v="2"/>
  </r>
  <r>
    <s v="ITM00625"/>
    <s v="ORD00358"/>
    <s v="PRD014"/>
    <n v="1"/>
    <n v="349000"/>
    <x v="9"/>
  </r>
  <r>
    <s v="ITM00626"/>
    <s v="ORD00358"/>
    <s v="PRD021"/>
    <n v="1"/>
    <n v="69000"/>
    <x v="0"/>
  </r>
  <r>
    <s v="ITM00627"/>
    <s v="ORD00359"/>
    <s v="PRD021"/>
    <n v="1"/>
    <n v="69000"/>
    <x v="0"/>
  </r>
  <r>
    <s v="ITM00628"/>
    <s v="ORD00360"/>
    <s v="PRD002"/>
    <n v="1"/>
    <n v="159000"/>
    <x v="14"/>
  </r>
  <r>
    <s v="ITM00629"/>
    <s v="ORD00361"/>
    <s v="PRD021"/>
    <n v="1"/>
    <n v="69000"/>
    <x v="0"/>
  </r>
  <r>
    <s v="ITM00630"/>
    <s v="ORD00361"/>
    <s v="PRD005"/>
    <n v="1"/>
    <n v="39000"/>
    <x v="2"/>
  </r>
  <r>
    <s v="ITM00631"/>
    <s v="ORD00361"/>
    <s v="PRD017"/>
    <n v="1"/>
    <n v="329000"/>
    <x v="7"/>
  </r>
  <r>
    <s v="ITM00632"/>
    <s v="ORD00362"/>
    <s v="PRD022"/>
    <n v="1"/>
    <n v="55000"/>
    <x v="4"/>
  </r>
  <r>
    <s v="ITM00633"/>
    <s v="ORD00362"/>
    <s v="PRD005"/>
    <n v="2"/>
    <n v="39000"/>
    <x v="2"/>
  </r>
  <r>
    <s v="ITM00634"/>
    <s v="ORD00363"/>
    <s v="PRD002"/>
    <n v="1"/>
    <n v="159000"/>
    <x v="14"/>
  </r>
  <r>
    <s v="ITM00635"/>
    <s v="ORD00364"/>
    <s v="PRD006"/>
    <n v="2"/>
    <n v="129000"/>
    <x v="10"/>
  </r>
  <r>
    <s v="ITM00636"/>
    <s v="ORD00365"/>
    <s v="PRD021"/>
    <n v="1"/>
    <n v="69000"/>
    <x v="0"/>
  </r>
  <r>
    <s v="ITM00637"/>
    <s v="ORD00365"/>
    <s v="PRD006"/>
    <n v="1"/>
    <n v="129000"/>
    <x v="10"/>
  </r>
  <r>
    <s v="ITM00638"/>
    <s v="ORD00366"/>
    <s v="PRD006"/>
    <n v="1"/>
    <n v="129000"/>
    <x v="10"/>
  </r>
  <r>
    <s v="ITM00639"/>
    <s v="ORD00367"/>
    <s v="PRD021"/>
    <n v="1"/>
    <n v="69000"/>
    <x v="0"/>
  </r>
  <r>
    <s v="ITM00640"/>
    <s v="ORD00368"/>
    <s v="PRD009"/>
    <n v="1"/>
    <n v="79000"/>
    <x v="3"/>
  </r>
  <r>
    <s v="ITM00641"/>
    <s v="ORD00368"/>
    <s v="PRD017"/>
    <n v="1"/>
    <n v="329000"/>
    <x v="7"/>
  </r>
  <r>
    <s v="ITM00642"/>
    <s v="ORD00368"/>
    <s v="PRD008"/>
    <n v="1"/>
    <n v="399000"/>
    <x v="12"/>
  </r>
  <r>
    <s v="ITM00643"/>
    <s v="ORD00369"/>
    <s v="PRD014"/>
    <n v="1"/>
    <n v="349000"/>
    <x v="9"/>
  </r>
  <r>
    <s v="ITM00644"/>
    <s v="ORD00369"/>
    <s v="PRD005"/>
    <n v="2"/>
    <n v="39000"/>
    <x v="2"/>
  </r>
  <r>
    <s v="ITM00645"/>
    <s v="ORD00370"/>
    <s v="PRD021"/>
    <n v="1"/>
    <n v="69000"/>
    <x v="0"/>
  </r>
  <r>
    <s v="ITM00646"/>
    <s v="ORD00370"/>
    <s v="PRD017"/>
    <n v="2"/>
    <n v="329000"/>
    <x v="7"/>
  </r>
  <r>
    <s v="ITM00647"/>
    <s v="ORD00371"/>
    <s v="PRD005"/>
    <n v="1"/>
    <n v="39000"/>
    <x v="2"/>
  </r>
  <r>
    <s v="ITM00648"/>
    <s v="ORD00371"/>
    <s v="PRD021"/>
    <n v="2"/>
    <n v="69000"/>
    <x v="0"/>
  </r>
  <r>
    <s v="ITM00649"/>
    <s v="ORD00372"/>
    <s v="PRD019"/>
    <n v="1"/>
    <n v="79000"/>
    <x v="13"/>
  </r>
  <r>
    <s v="ITM00650"/>
    <s v="ORD00373"/>
    <s v="PRD013"/>
    <n v="1"/>
    <n v="209000"/>
    <x v="17"/>
  </r>
  <r>
    <s v="ITM00651"/>
    <s v="ORD00373"/>
    <s v="PRD021"/>
    <n v="1"/>
    <n v="69000"/>
    <x v="0"/>
  </r>
  <r>
    <s v="ITM00652"/>
    <s v="ORD00374"/>
    <s v="PRD021"/>
    <n v="3"/>
    <n v="69000"/>
    <x v="0"/>
  </r>
  <r>
    <s v="ITM00653"/>
    <s v="ORD00374"/>
    <s v="PRD008"/>
    <n v="1"/>
    <n v="399000"/>
    <x v="12"/>
  </r>
  <r>
    <s v="ITM00654"/>
    <s v="ORD00374"/>
    <s v="PRD020"/>
    <n v="1"/>
    <n v="179000"/>
    <x v="1"/>
  </r>
  <r>
    <s v="ITM00655"/>
    <s v="ORD00375"/>
    <s v="PRD021"/>
    <n v="1"/>
    <n v="69000"/>
    <x v="0"/>
  </r>
  <r>
    <s v="ITM00656"/>
    <s v="ORD00376"/>
    <s v="PRD009"/>
    <n v="3"/>
    <n v="79000"/>
    <x v="3"/>
  </r>
  <r>
    <s v="ITM00657"/>
    <s v="ORD00377"/>
    <s v="PRD005"/>
    <n v="2"/>
    <n v="39000"/>
    <x v="2"/>
  </r>
  <r>
    <s v="ITM00658"/>
    <s v="ORD00377"/>
    <s v="PRD021"/>
    <n v="2"/>
    <n v="69000"/>
    <x v="0"/>
  </r>
  <r>
    <s v="ITM00659"/>
    <s v="ORD00377"/>
    <s v="PRD009"/>
    <n v="1"/>
    <n v="79000"/>
    <x v="3"/>
  </r>
  <r>
    <s v="ITM00660"/>
    <s v="ORD00378"/>
    <s v="PRD021"/>
    <n v="1"/>
    <n v="69000"/>
    <x v="0"/>
  </r>
  <r>
    <s v="ITM00661"/>
    <s v="ORD00379"/>
    <s v="PRD017"/>
    <n v="2"/>
    <n v="329000"/>
    <x v="7"/>
  </r>
  <r>
    <s v="ITM00662"/>
    <s v="ORD00380"/>
    <s v="PRD020"/>
    <n v="1"/>
    <n v="179000"/>
    <x v="1"/>
  </r>
  <r>
    <s v="ITM00663"/>
    <s v="ORD00380"/>
    <s v="PRD005"/>
    <n v="1"/>
    <n v="39000"/>
    <x v="2"/>
  </r>
  <r>
    <s v="ITM00664"/>
    <s v="ORD00381"/>
    <s v="PRD021"/>
    <n v="1"/>
    <n v="69000"/>
    <x v="0"/>
  </r>
  <r>
    <s v="ITM00665"/>
    <s v="ORD00382"/>
    <s v="PRD005"/>
    <n v="1"/>
    <n v="39000"/>
    <x v="2"/>
  </r>
  <r>
    <s v="ITM00666"/>
    <s v="ORD00383"/>
    <s v="PRD023"/>
    <n v="2"/>
    <n v="139000"/>
    <x v="8"/>
  </r>
  <r>
    <s v="ITM00667"/>
    <s v="ORD00383"/>
    <s v="PRD014"/>
    <n v="1"/>
    <n v="349000"/>
    <x v="9"/>
  </r>
  <r>
    <s v="ITM00668"/>
    <s v="ORD00384"/>
    <s v="PRD019"/>
    <n v="2"/>
    <n v="79000"/>
    <x v="13"/>
  </r>
  <r>
    <s v="ITM00669"/>
    <s v="ORD00385"/>
    <s v="PRD019"/>
    <n v="3"/>
    <n v="79000"/>
    <x v="13"/>
  </r>
  <r>
    <s v="ITM00670"/>
    <s v="ORD00385"/>
    <s v="PRD022"/>
    <n v="1"/>
    <n v="55000"/>
    <x v="4"/>
  </r>
  <r>
    <s v="ITM00671"/>
    <s v="ORD00386"/>
    <s v="PRD005"/>
    <n v="2"/>
    <n v="39000"/>
    <x v="2"/>
  </r>
  <r>
    <s v="ITM00672"/>
    <s v="ORD00386"/>
    <s v="PRD020"/>
    <n v="1"/>
    <n v="179000"/>
    <x v="1"/>
  </r>
  <r>
    <s v="ITM00673"/>
    <s v="ORD00386"/>
    <s v="PRD014"/>
    <n v="1"/>
    <n v="349000"/>
    <x v="9"/>
  </r>
  <r>
    <s v="ITM00674"/>
    <s v="ORD00387"/>
    <s v="PRD021"/>
    <n v="2"/>
    <n v="69000"/>
    <x v="0"/>
  </r>
  <r>
    <s v="ITM00675"/>
    <s v="ORD00388"/>
    <s v="PRD021"/>
    <n v="1"/>
    <n v="69000"/>
    <x v="0"/>
  </r>
  <r>
    <s v="ITM00676"/>
    <s v="ORD00389"/>
    <s v="PRD021"/>
    <n v="1"/>
    <n v="69000"/>
    <x v="0"/>
  </r>
  <r>
    <s v="ITM00677"/>
    <s v="ORD00389"/>
    <s v="PRD012"/>
    <n v="1"/>
    <n v="229000"/>
    <x v="5"/>
  </r>
  <r>
    <s v="ITM00678"/>
    <s v="ORD00390"/>
    <s v="PRD005"/>
    <n v="3"/>
    <n v="39000"/>
    <x v="2"/>
  </r>
  <r>
    <s v="ITM00679"/>
    <s v="ORD00390"/>
    <s v="PRD021"/>
    <n v="1"/>
    <n v="69000"/>
    <x v="0"/>
  </r>
  <r>
    <s v="ITM00680"/>
    <s v="ORD00390"/>
    <s v="PRD009"/>
    <n v="1"/>
    <n v="79000"/>
    <x v="3"/>
  </r>
  <r>
    <s v="ITM00681"/>
    <s v="ORD00391"/>
    <s v="PRD023"/>
    <n v="1"/>
    <n v="139000"/>
    <x v="8"/>
  </r>
  <r>
    <s v="ITM00682"/>
    <s v="ORD00391"/>
    <s v="PRD005"/>
    <n v="1"/>
    <n v="39000"/>
    <x v="2"/>
  </r>
  <r>
    <s v="ITM00683"/>
    <s v="ORD00392"/>
    <s v="PRD005"/>
    <n v="1"/>
    <n v="39000"/>
    <x v="2"/>
  </r>
  <r>
    <s v="ITM00684"/>
    <s v="ORD00393"/>
    <s v="PRD022"/>
    <n v="2"/>
    <n v="55000"/>
    <x v="4"/>
  </r>
  <r>
    <s v="ITM00685"/>
    <s v="ORD00394"/>
    <s v="PRD021"/>
    <n v="1"/>
    <n v="69000"/>
    <x v="0"/>
  </r>
  <r>
    <s v="ITM00686"/>
    <s v="ORD00395"/>
    <s v="PRD021"/>
    <n v="1"/>
    <n v="69000"/>
    <x v="0"/>
  </r>
  <r>
    <s v="ITM00687"/>
    <s v="ORD00395"/>
    <s v="PRD020"/>
    <n v="1"/>
    <n v="179000"/>
    <x v="1"/>
  </r>
  <r>
    <s v="ITM00688"/>
    <s v="ORD00396"/>
    <s v="PRD021"/>
    <n v="1"/>
    <n v="69000"/>
    <x v="0"/>
  </r>
  <r>
    <s v="ITM00689"/>
    <s v="ORD00397"/>
    <s v="PRD021"/>
    <n v="1"/>
    <n v="69000"/>
    <x v="0"/>
  </r>
  <r>
    <s v="ITM00690"/>
    <s v="ORD00398"/>
    <s v="PRD021"/>
    <n v="1"/>
    <n v="69000"/>
    <x v="0"/>
  </r>
  <r>
    <s v="ITM00691"/>
    <s v="ORD00399"/>
    <s v="PRD014"/>
    <n v="1"/>
    <n v="349000"/>
    <x v="9"/>
  </r>
  <r>
    <s v="ITM00692"/>
    <s v="ORD00400"/>
    <s v="PRD005"/>
    <n v="3"/>
    <n v="39000"/>
    <x v="2"/>
  </r>
  <r>
    <s v="ITM00693"/>
    <s v="ORD00400"/>
    <s v="PRD015"/>
    <n v="1"/>
    <n v="139000"/>
    <x v="18"/>
  </r>
  <r>
    <s v="ITM00694"/>
    <s v="ORD00401"/>
    <s v="PRD022"/>
    <n v="1"/>
    <n v="55000"/>
    <x v="4"/>
  </r>
  <r>
    <s v="ITM00695"/>
    <s v="ORD00402"/>
    <s v="PRD008"/>
    <n v="2"/>
    <n v="399000"/>
    <x v="12"/>
  </r>
  <r>
    <s v="ITM00696"/>
    <s v="ORD00403"/>
    <s v="PRD021"/>
    <n v="1"/>
    <n v="69000"/>
    <x v="0"/>
  </r>
  <r>
    <s v="ITM00697"/>
    <s v="ORD00403"/>
    <s v="PRD005"/>
    <n v="1"/>
    <n v="39000"/>
    <x v="2"/>
  </r>
  <r>
    <s v="ITM00698"/>
    <s v="ORD00403"/>
    <s v="PRD004"/>
    <n v="1"/>
    <n v="199000"/>
    <x v="19"/>
  </r>
  <r>
    <s v="ITM00699"/>
    <s v="ORD00404"/>
    <s v="PRD021"/>
    <n v="1"/>
    <n v="69000"/>
    <x v="0"/>
  </r>
  <r>
    <s v="ITM00700"/>
    <s v="ORD00405"/>
    <s v="PRD005"/>
    <n v="2"/>
    <n v="39000"/>
    <x v="2"/>
  </r>
  <r>
    <s v="ITM00701"/>
    <s v="ORD00406"/>
    <s v="PRD021"/>
    <n v="1"/>
    <n v="69000"/>
    <x v="0"/>
  </r>
  <r>
    <s v="ITM00702"/>
    <s v="ORD00406"/>
    <s v="PRD006"/>
    <n v="3"/>
    <n v="129000"/>
    <x v="10"/>
  </r>
  <r>
    <s v="ITM00703"/>
    <s v="ORD00406"/>
    <s v="PRD020"/>
    <n v="1"/>
    <n v="179000"/>
    <x v="1"/>
  </r>
  <r>
    <s v="ITM00704"/>
    <s v="ORD00407"/>
    <s v="PRD023"/>
    <n v="1"/>
    <n v="139000"/>
    <x v="8"/>
  </r>
  <r>
    <s v="ITM00705"/>
    <s v="ORD00407"/>
    <s v="PRD006"/>
    <n v="1"/>
    <n v="129000"/>
    <x v="10"/>
  </r>
  <r>
    <s v="ITM00706"/>
    <s v="ORD00407"/>
    <s v="PRD004"/>
    <n v="1"/>
    <n v="199000"/>
    <x v="19"/>
  </r>
  <r>
    <s v="ITM00707"/>
    <s v="ORD00408"/>
    <s v="PRD005"/>
    <n v="1"/>
    <n v="39000"/>
    <x v="2"/>
  </r>
  <r>
    <s v="ITM00708"/>
    <s v="ORD00409"/>
    <s v="PRD008"/>
    <n v="1"/>
    <n v="399000"/>
    <x v="12"/>
  </r>
  <r>
    <s v="ITM00709"/>
    <s v="ORD00409"/>
    <s v="PRD005"/>
    <n v="3"/>
    <n v="39000"/>
    <x v="2"/>
  </r>
  <r>
    <s v="ITM00710"/>
    <s v="ORD00410"/>
    <s v="PRD020"/>
    <n v="1"/>
    <n v="179000"/>
    <x v="1"/>
  </r>
  <r>
    <s v="ITM00711"/>
    <s v="ORD00410"/>
    <s v="PRD023"/>
    <n v="2"/>
    <n v="139000"/>
    <x v="8"/>
  </r>
  <r>
    <s v="ITM00712"/>
    <s v="ORD00411"/>
    <s v="PRD021"/>
    <n v="1"/>
    <n v="69000"/>
    <x v="0"/>
  </r>
  <r>
    <s v="ITM00713"/>
    <s v="ORD00411"/>
    <s v="PRD009"/>
    <n v="1"/>
    <n v="79000"/>
    <x v="3"/>
  </r>
  <r>
    <s v="ITM00714"/>
    <s v="ORD00412"/>
    <s v="PRD021"/>
    <n v="1"/>
    <n v="69000"/>
    <x v="0"/>
  </r>
  <r>
    <s v="ITM00715"/>
    <s v="ORD00412"/>
    <s v="PRD004"/>
    <n v="3"/>
    <n v="199000"/>
    <x v="19"/>
  </r>
  <r>
    <s v="ITM00716"/>
    <s v="ORD00412"/>
    <s v="PRD008"/>
    <n v="1"/>
    <n v="399000"/>
    <x v="12"/>
  </r>
  <r>
    <s v="ITM00717"/>
    <s v="ORD00412"/>
    <s v="PRD017"/>
    <n v="1"/>
    <n v="329000"/>
    <x v="7"/>
  </r>
  <r>
    <s v="ITM00718"/>
    <s v="ORD00413"/>
    <s v="PRD007"/>
    <n v="1"/>
    <n v="99000"/>
    <x v="6"/>
  </r>
  <r>
    <s v="ITM00719"/>
    <s v="ORD00413"/>
    <s v="PRD005"/>
    <n v="1"/>
    <n v="39000"/>
    <x v="2"/>
  </r>
  <r>
    <s v="ITM00720"/>
    <s v="ORD00414"/>
    <s v="PRD017"/>
    <n v="1"/>
    <n v="329000"/>
    <x v="7"/>
  </r>
  <r>
    <s v="ITM00721"/>
    <s v="ORD00414"/>
    <s v="PRD022"/>
    <n v="1"/>
    <n v="55000"/>
    <x v="4"/>
  </r>
  <r>
    <s v="ITM00722"/>
    <s v="ORD00415"/>
    <s v="PRD021"/>
    <n v="1"/>
    <n v="69000"/>
    <x v="0"/>
  </r>
  <r>
    <s v="ITM00723"/>
    <s v="ORD00416"/>
    <s v="PRD020"/>
    <n v="3"/>
    <n v="179000"/>
    <x v="1"/>
  </r>
  <r>
    <s v="ITM00724"/>
    <s v="ORD00417"/>
    <s v="PRD005"/>
    <n v="1"/>
    <n v="39000"/>
    <x v="2"/>
  </r>
  <r>
    <s v="ITM00725"/>
    <s v="ORD00418"/>
    <s v="PRD021"/>
    <n v="1"/>
    <n v="69000"/>
    <x v="0"/>
  </r>
  <r>
    <s v="ITM00726"/>
    <s v="ORD00418"/>
    <s v="PRD005"/>
    <n v="2"/>
    <n v="39000"/>
    <x v="2"/>
  </r>
  <r>
    <s v="ITM00727"/>
    <s v="ORD00418"/>
    <s v="PRD022"/>
    <n v="1"/>
    <n v="55000"/>
    <x v="4"/>
  </r>
  <r>
    <s v="ITM00728"/>
    <s v="ORD00419"/>
    <s v="PRD005"/>
    <n v="1"/>
    <n v="39000"/>
    <x v="2"/>
  </r>
  <r>
    <s v="ITM00729"/>
    <s v="ORD00420"/>
    <s v="PRD009"/>
    <n v="3"/>
    <n v="79000"/>
    <x v="3"/>
  </r>
  <r>
    <s v="ITM00730"/>
    <s v="ORD00421"/>
    <s v="PRD005"/>
    <n v="1"/>
    <n v="39000"/>
    <x v="2"/>
  </r>
  <r>
    <s v="ITM00731"/>
    <s v="ORD00421"/>
    <s v="PRD009"/>
    <n v="1"/>
    <n v="79000"/>
    <x v="3"/>
  </r>
  <r>
    <s v="ITM00732"/>
    <s v="ORD00421"/>
    <s v="PRD014"/>
    <n v="1"/>
    <n v="349000"/>
    <x v="9"/>
  </r>
  <r>
    <s v="ITM00733"/>
    <s v="ORD00422"/>
    <s v="PRD023"/>
    <n v="1"/>
    <n v="139000"/>
    <x v="8"/>
  </r>
  <r>
    <s v="ITM00734"/>
    <s v="ORD00422"/>
    <s v="PRD005"/>
    <n v="1"/>
    <n v="39000"/>
    <x v="2"/>
  </r>
  <r>
    <s v="ITM00735"/>
    <s v="ORD00423"/>
    <s v="PRD005"/>
    <n v="1"/>
    <n v="39000"/>
    <x v="2"/>
  </r>
  <r>
    <s v="ITM00736"/>
    <s v="ORD00424"/>
    <s v="PRD021"/>
    <n v="1"/>
    <n v="69000"/>
    <x v="0"/>
  </r>
  <r>
    <s v="ITM00737"/>
    <s v="ORD00425"/>
    <s v="PRD008"/>
    <n v="2"/>
    <n v="399000"/>
    <x v="12"/>
  </r>
  <r>
    <s v="ITM00738"/>
    <s v="ORD00426"/>
    <s v="PRD008"/>
    <n v="2"/>
    <n v="399000"/>
    <x v="12"/>
  </r>
  <r>
    <s v="ITM00739"/>
    <s v="ORD00426"/>
    <s v="PRD002"/>
    <n v="1"/>
    <n v="159000"/>
    <x v="14"/>
  </r>
  <r>
    <s v="ITM00740"/>
    <s v="ORD00427"/>
    <s v="PRD005"/>
    <n v="1"/>
    <n v="39000"/>
    <x v="2"/>
  </r>
  <r>
    <s v="ITM00741"/>
    <s v="ORD00427"/>
    <s v="PRD014"/>
    <n v="1"/>
    <n v="349000"/>
    <x v="9"/>
  </r>
  <r>
    <s v="ITM00742"/>
    <s v="ORD00427"/>
    <s v="PRD017"/>
    <n v="2"/>
    <n v="329000"/>
    <x v="7"/>
  </r>
  <r>
    <s v="ITM00743"/>
    <s v="ORD00428"/>
    <s v="PRD021"/>
    <n v="1"/>
    <n v="69000"/>
    <x v="0"/>
  </r>
  <r>
    <s v="ITM00744"/>
    <s v="ORD00428"/>
    <s v="PRD009"/>
    <n v="1"/>
    <n v="79000"/>
    <x v="3"/>
  </r>
  <r>
    <s v="ITM00745"/>
    <s v="ORD00428"/>
    <s v="PRD005"/>
    <n v="2"/>
    <n v="39000"/>
    <x v="2"/>
  </r>
  <r>
    <s v="ITM00746"/>
    <s v="ORD00428"/>
    <s v="PRD017"/>
    <n v="1"/>
    <n v="329000"/>
    <x v="7"/>
  </r>
  <r>
    <s v="ITM00747"/>
    <s v="ORD00429"/>
    <s v="PRD021"/>
    <n v="1"/>
    <n v="69000"/>
    <x v="0"/>
  </r>
  <r>
    <s v="ITM00748"/>
    <s v="ORD00430"/>
    <s v="PRD005"/>
    <n v="1"/>
    <n v="39000"/>
    <x v="2"/>
  </r>
  <r>
    <s v="ITM00749"/>
    <s v="ORD00430"/>
    <s v="PRD020"/>
    <n v="1"/>
    <n v="179000"/>
    <x v="1"/>
  </r>
  <r>
    <s v="ITM00750"/>
    <s v="ORD00430"/>
    <s v="PRD017"/>
    <n v="1"/>
    <n v="329000"/>
    <x v="7"/>
  </r>
  <r>
    <s v="ITM00751"/>
    <s v="ORD00430"/>
    <s v="PRD021"/>
    <n v="1"/>
    <n v="69000"/>
    <x v="0"/>
  </r>
  <r>
    <s v="ITM00752"/>
    <s v="ORD00431"/>
    <s v="PRD021"/>
    <n v="1"/>
    <n v="69000"/>
    <x v="0"/>
  </r>
  <r>
    <s v="ITM00753"/>
    <s v="ORD00432"/>
    <s v="PRD020"/>
    <n v="1"/>
    <n v="179000"/>
    <x v="1"/>
  </r>
  <r>
    <s v="ITM00754"/>
    <s v="ORD00432"/>
    <s v="PRD009"/>
    <n v="3"/>
    <n v="79000"/>
    <x v="3"/>
  </r>
  <r>
    <s v="ITM00755"/>
    <s v="ORD00433"/>
    <s v="PRD021"/>
    <n v="1"/>
    <n v="69000"/>
    <x v="0"/>
  </r>
  <r>
    <s v="ITM00756"/>
    <s v="ORD00433"/>
    <s v="PRD005"/>
    <n v="1"/>
    <n v="39000"/>
    <x v="2"/>
  </r>
  <r>
    <s v="ITM00757"/>
    <s v="ORD00434"/>
    <s v="PRD021"/>
    <n v="1"/>
    <n v="69000"/>
    <x v="0"/>
  </r>
  <r>
    <s v="ITM00758"/>
    <s v="ORD00434"/>
    <s v="PRD004"/>
    <n v="1"/>
    <n v="199000"/>
    <x v="19"/>
  </r>
  <r>
    <s v="ITM00759"/>
    <s v="ORD00435"/>
    <s v="PRD017"/>
    <n v="1"/>
    <n v="329000"/>
    <x v="7"/>
  </r>
  <r>
    <s v="ITM00760"/>
    <s v="ORD00436"/>
    <s v="PRD021"/>
    <n v="1"/>
    <n v="69000"/>
    <x v="0"/>
  </r>
  <r>
    <s v="ITM00761"/>
    <s v="ORD00437"/>
    <s v="PRD020"/>
    <n v="1"/>
    <n v="179000"/>
    <x v="1"/>
  </r>
  <r>
    <s v="ITM00762"/>
    <s v="ORD00437"/>
    <s v="PRD021"/>
    <n v="2"/>
    <n v="69000"/>
    <x v="0"/>
  </r>
  <r>
    <s v="ITM00763"/>
    <s v="ORD00438"/>
    <s v="PRD005"/>
    <n v="1"/>
    <n v="39000"/>
    <x v="2"/>
  </r>
  <r>
    <s v="ITM00764"/>
    <s v="ORD00439"/>
    <s v="PRD021"/>
    <n v="1"/>
    <n v="69000"/>
    <x v="0"/>
  </r>
  <r>
    <s v="ITM00765"/>
    <s v="ORD00440"/>
    <s v="PRD021"/>
    <n v="1"/>
    <n v="69000"/>
    <x v="0"/>
  </r>
  <r>
    <s v="ITM00766"/>
    <s v="ORD00441"/>
    <s v="PRD017"/>
    <n v="3"/>
    <n v="329000"/>
    <x v="7"/>
  </r>
  <r>
    <s v="ITM00767"/>
    <s v="ORD00442"/>
    <s v="PRD009"/>
    <n v="1"/>
    <n v="79000"/>
    <x v="3"/>
  </r>
  <r>
    <s v="ITM00768"/>
    <s v="ORD00443"/>
    <s v="PRD005"/>
    <n v="2"/>
    <n v="39000"/>
    <x v="2"/>
  </r>
  <r>
    <s v="ITM00769"/>
    <s v="ORD00443"/>
    <s v="PRD020"/>
    <n v="3"/>
    <n v="179000"/>
    <x v="1"/>
  </r>
  <r>
    <s v="ITM00770"/>
    <s v="ORD00444"/>
    <s v="PRD021"/>
    <n v="2"/>
    <n v="69000"/>
    <x v="0"/>
  </r>
  <r>
    <s v="ITM00771"/>
    <s v="ORD00445"/>
    <s v="PRD009"/>
    <n v="1"/>
    <n v="79000"/>
    <x v="3"/>
  </r>
  <r>
    <s v="ITM00772"/>
    <s v="ORD00446"/>
    <s v="PRD021"/>
    <n v="3"/>
    <n v="69000"/>
    <x v="0"/>
  </r>
  <r>
    <s v="ITM00773"/>
    <s v="ORD00446"/>
    <s v="PRD008"/>
    <n v="2"/>
    <n v="399000"/>
    <x v="12"/>
  </r>
  <r>
    <s v="ITM00774"/>
    <s v="ORD00447"/>
    <s v="PRD009"/>
    <n v="1"/>
    <n v="79000"/>
    <x v="3"/>
  </r>
  <r>
    <s v="ITM00775"/>
    <s v="ORD00447"/>
    <s v="PRD017"/>
    <n v="1"/>
    <n v="329000"/>
    <x v="7"/>
  </r>
  <r>
    <s v="ITM00776"/>
    <s v="ORD00447"/>
    <s v="PRD021"/>
    <n v="2"/>
    <n v="69000"/>
    <x v="0"/>
  </r>
  <r>
    <s v="ITM00777"/>
    <s v="ORD00448"/>
    <s v="PRD014"/>
    <n v="1"/>
    <n v="349000"/>
    <x v="9"/>
  </r>
  <r>
    <s v="ITM00778"/>
    <s v="ORD00449"/>
    <s v="PRD009"/>
    <n v="1"/>
    <n v="79000"/>
    <x v="3"/>
  </r>
  <r>
    <s v="ITM00779"/>
    <s v="ORD00450"/>
    <s v="PRD009"/>
    <n v="3"/>
    <n v="79000"/>
    <x v="3"/>
  </r>
  <r>
    <s v="ITM00780"/>
    <s v="ORD00451"/>
    <s v="PRD021"/>
    <n v="1"/>
    <n v="69000"/>
    <x v="0"/>
  </r>
  <r>
    <s v="ITM00781"/>
    <s v="ORD00452"/>
    <s v="PRD022"/>
    <n v="1"/>
    <n v="55000"/>
    <x v="4"/>
  </r>
  <r>
    <s v="ITM00782"/>
    <s v="ORD00453"/>
    <s v="PRD012"/>
    <n v="2"/>
    <n v="229000"/>
    <x v="5"/>
  </r>
  <r>
    <s v="ITM00783"/>
    <s v="ORD00454"/>
    <s v="PRD021"/>
    <n v="1"/>
    <n v="69000"/>
    <x v="0"/>
  </r>
  <r>
    <s v="ITM00784"/>
    <s v="ORD00455"/>
    <s v="PRD021"/>
    <n v="1"/>
    <n v="69000"/>
    <x v="0"/>
  </r>
  <r>
    <s v="ITM00785"/>
    <s v="ORD00456"/>
    <s v="PRD021"/>
    <n v="1"/>
    <n v="69000"/>
    <x v="0"/>
  </r>
  <r>
    <s v="ITM00786"/>
    <s v="ORD00457"/>
    <s v="PRD009"/>
    <n v="1"/>
    <n v="79000"/>
    <x v="3"/>
  </r>
  <r>
    <s v="ITM00787"/>
    <s v="ORD00457"/>
    <s v="PRD021"/>
    <n v="1"/>
    <n v="69000"/>
    <x v="0"/>
  </r>
  <r>
    <s v="ITM00788"/>
    <s v="ORD00457"/>
    <s v="PRD022"/>
    <n v="2"/>
    <n v="55000"/>
    <x v="4"/>
  </r>
  <r>
    <s v="ITM00789"/>
    <s v="ORD00458"/>
    <s v="PRD005"/>
    <n v="1"/>
    <n v="39000"/>
    <x v="2"/>
  </r>
  <r>
    <s v="ITM00790"/>
    <s v="ORD00458"/>
    <s v="PRD006"/>
    <n v="1"/>
    <n v="129000"/>
    <x v="10"/>
  </r>
  <r>
    <s v="ITM00791"/>
    <s v="ORD00458"/>
    <s v="PRD021"/>
    <n v="1"/>
    <n v="69000"/>
    <x v="0"/>
  </r>
  <r>
    <s v="ITM00792"/>
    <s v="ORD00459"/>
    <s v="PRD021"/>
    <n v="1"/>
    <n v="69000"/>
    <x v="0"/>
  </r>
  <r>
    <s v="ITM00793"/>
    <s v="ORD00460"/>
    <s v="PRD021"/>
    <n v="2"/>
    <n v="69000"/>
    <x v="0"/>
  </r>
  <r>
    <s v="ITM00794"/>
    <s v="ORD00461"/>
    <s v="PRD023"/>
    <n v="1"/>
    <n v="139000"/>
    <x v="8"/>
  </r>
  <r>
    <s v="ITM00795"/>
    <s v="ORD00461"/>
    <s v="PRD006"/>
    <n v="1"/>
    <n v="129000"/>
    <x v="10"/>
  </r>
  <r>
    <s v="ITM00796"/>
    <s v="ORD00461"/>
    <s v="PRD022"/>
    <n v="1"/>
    <n v="55000"/>
    <x v="4"/>
  </r>
  <r>
    <s v="ITM00797"/>
    <s v="ORD00462"/>
    <s v="PRD021"/>
    <n v="1"/>
    <n v="69000"/>
    <x v="0"/>
  </r>
  <r>
    <s v="ITM00798"/>
    <s v="ORD00463"/>
    <s v="PRD005"/>
    <n v="1"/>
    <n v="39000"/>
    <x v="2"/>
  </r>
  <r>
    <s v="ITM00799"/>
    <s v="ORD00463"/>
    <s v="PRD021"/>
    <n v="1"/>
    <n v="69000"/>
    <x v="0"/>
  </r>
  <r>
    <s v="ITM00800"/>
    <s v="ORD00464"/>
    <s v="PRD017"/>
    <n v="2"/>
    <n v="329000"/>
    <x v="7"/>
  </r>
  <r>
    <s v="ITM00801"/>
    <s v="ORD00465"/>
    <s v="PRD021"/>
    <n v="1"/>
    <n v="69000"/>
    <x v="0"/>
  </r>
  <r>
    <s v="ITM00802"/>
    <s v="ORD00465"/>
    <s v="PRD005"/>
    <n v="1"/>
    <n v="39000"/>
    <x v="2"/>
  </r>
  <r>
    <s v="ITM00803"/>
    <s v="ORD00466"/>
    <s v="PRD022"/>
    <n v="1"/>
    <n v="55000"/>
    <x v="4"/>
  </r>
  <r>
    <s v="ITM00804"/>
    <s v="ORD00466"/>
    <s v="PRD008"/>
    <n v="1"/>
    <n v="399000"/>
    <x v="12"/>
  </r>
  <r>
    <s v="ITM00805"/>
    <s v="ORD00467"/>
    <s v="PRD005"/>
    <n v="1"/>
    <n v="39000"/>
    <x v="2"/>
  </r>
  <r>
    <s v="ITM00806"/>
    <s v="ORD00467"/>
    <s v="PRD014"/>
    <n v="3"/>
    <n v="349000"/>
    <x v="9"/>
  </r>
  <r>
    <s v="ITM00807"/>
    <s v="ORD00468"/>
    <s v="PRD005"/>
    <n v="1"/>
    <n v="39000"/>
    <x v="2"/>
  </r>
  <r>
    <s v="ITM00808"/>
    <s v="ORD00468"/>
    <s v="PRD021"/>
    <n v="1"/>
    <n v="69000"/>
    <x v="0"/>
  </r>
  <r>
    <s v="ITM00809"/>
    <s v="ORD00469"/>
    <s v="PRD015"/>
    <n v="1"/>
    <n v="139000"/>
    <x v="18"/>
  </r>
  <r>
    <s v="ITM00810"/>
    <s v="ORD00469"/>
    <s v="PRD021"/>
    <n v="1"/>
    <n v="69000"/>
    <x v="0"/>
  </r>
  <r>
    <s v="ITM00811"/>
    <s v="ORD00469"/>
    <s v="PRD020"/>
    <n v="1"/>
    <n v="179000"/>
    <x v="1"/>
  </r>
  <r>
    <s v="ITM00812"/>
    <s v="ORD00469"/>
    <s v="PRD005"/>
    <n v="3"/>
    <n v="39000"/>
    <x v="2"/>
  </r>
  <r>
    <s v="ITM00813"/>
    <s v="ORD00470"/>
    <s v="PRD021"/>
    <n v="1"/>
    <n v="69000"/>
    <x v="0"/>
  </r>
  <r>
    <s v="ITM00814"/>
    <s v="ORD00471"/>
    <s v="PRD008"/>
    <n v="1"/>
    <n v="399000"/>
    <x v="12"/>
  </r>
  <r>
    <s v="ITM00815"/>
    <s v="ORD00472"/>
    <s v="PRD008"/>
    <n v="1"/>
    <n v="399000"/>
    <x v="12"/>
  </r>
  <r>
    <s v="ITM00816"/>
    <s v="ORD00473"/>
    <s v="PRD021"/>
    <n v="1"/>
    <n v="69000"/>
    <x v="0"/>
  </r>
  <r>
    <s v="ITM00817"/>
    <s v="ORD00474"/>
    <s v="PRD006"/>
    <n v="1"/>
    <n v="129000"/>
    <x v="10"/>
  </r>
  <r>
    <s v="ITM00818"/>
    <s v="ORD00474"/>
    <s v="PRD005"/>
    <n v="1"/>
    <n v="39000"/>
    <x v="2"/>
  </r>
  <r>
    <s v="ITM00819"/>
    <s v="ORD00474"/>
    <s v="PRD021"/>
    <n v="1"/>
    <n v="69000"/>
    <x v="0"/>
  </r>
  <r>
    <s v="ITM00820"/>
    <s v="ORD00475"/>
    <s v="PRD009"/>
    <n v="1"/>
    <n v="79000"/>
    <x v="3"/>
  </r>
  <r>
    <s v="ITM00821"/>
    <s v="ORD00475"/>
    <s v="PRD004"/>
    <n v="3"/>
    <n v="199000"/>
    <x v="19"/>
  </r>
  <r>
    <s v="ITM00822"/>
    <s v="ORD00476"/>
    <s v="PRD005"/>
    <n v="2"/>
    <n v="39000"/>
    <x v="2"/>
  </r>
  <r>
    <s v="ITM00823"/>
    <s v="ORD00477"/>
    <s v="PRD021"/>
    <n v="3"/>
    <n v="69000"/>
    <x v="0"/>
  </r>
  <r>
    <s v="ITM00824"/>
    <s v="ORD00478"/>
    <s v="PRD017"/>
    <n v="1"/>
    <n v="329000"/>
    <x v="7"/>
  </r>
  <r>
    <s v="ITM00825"/>
    <s v="ORD00479"/>
    <s v="PRD005"/>
    <n v="1"/>
    <n v="39000"/>
    <x v="2"/>
  </r>
  <r>
    <s v="ITM00826"/>
    <s v="ORD00479"/>
    <s v="PRD008"/>
    <n v="1"/>
    <n v="399000"/>
    <x v="12"/>
  </r>
  <r>
    <s v="ITM00827"/>
    <s v="ORD00480"/>
    <s v="PRD021"/>
    <n v="1"/>
    <n v="69000"/>
    <x v="0"/>
  </r>
  <r>
    <s v="ITM00828"/>
    <s v="ORD00480"/>
    <s v="PRD005"/>
    <n v="1"/>
    <n v="39000"/>
    <x v="2"/>
  </r>
  <r>
    <s v="ITM00829"/>
    <s v="ORD00481"/>
    <s v="PRD003"/>
    <n v="3"/>
    <n v="499000"/>
    <x v="11"/>
  </r>
  <r>
    <s v="ITM00830"/>
    <s v="ORD00482"/>
    <s v="PRD022"/>
    <n v="1"/>
    <n v="55000"/>
    <x v="4"/>
  </r>
  <r>
    <s v="ITM00831"/>
    <s v="ORD00482"/>
    <s v="PRD014"/>
    <n v="1"/>
    <n v="349000"/>
    <x v="9"/>
  </r>
  <r>
    <s v="ITM00832"/>
    <s v="ORD00482"/>
    <s v="PRD005"/>
    <n v="1"/>
    <n v="39000"/>
    <x v="2"/>
  </r>
  <r>
    <s v="ITM00833"/>
    <s v="ORD00483"/>
    <s v="PRD008"/>
    <n v="1"/>
    <n v="399000"/>
    <x v="12"/>
  </r>
  <r>
    <s v="ITM00834"/>
    <s v="ORD00483"/>
    <s v="PRD006"/>
    <n v="1"/>
    <n v="129000"/>
    <x v="10"/>
  </r>
  <r>
    <s v="ITM00835"/>
    <s v="ORD00484"/>
    <s v="PRD021"/>
    <n v="3"/>
    <n v="69000"/>
    <x v="0"/>
  </r>
  <r>
    <s v="ITM00836"/>
    <s v="ORD00485"/>
    <s v="PRD005"/>
    <n v="1"/>
    <n v="39000"/>
    <x v="2"/>
  </r>
  <r>
    <s v="ITM00837"/>
    <s v="ORD00486"/>
    <s v="PRD021"/>
    <n v="1"/>
    <n v="69000"/>
    <x v="0"/>
  </r>
  <r>
    <s v="ITM00838"/>
    <s v="ORD00487"/>
    <s v="PRD008"/>
    <n v="2"/>
    <n v="399000"/>
    <x v="12"/>
  </r>
  <r>
    <s v="ITM00839"/>
    <s v="ORD00487"/>
    <s v="PRD009"/>
    <n v="2"/>
    <n v="79000"/>
    <x v="3"/>
  </r>
  <r>
    <s v="ITM00840"/>
    <s v="ORD00488"/>
    <s v="PRD020"/>
    <n v="1"/>
    <n v="179000"/>
    <x v="1"/>
  </r>
  <r>
    <s v="ITM00841"/>
    <s v="ORD00488"/>
    <s v="PRD005"/>
    <n v="3"/>
    <n v="39000"/>
    <x v="2"/>
  </r>
  <r>
    <s v="ITM00842"/>
    <s v="ORD00489"/>
    <s v="PRD009"/>
    <n v="1"/>
    <n v="79000"/>
    <x v="3"/>
  </r>
  <r>
    <s v="ITM00843"/>
    <s v="ORD00490"/>
    <s v="PRD009"/>
    <n v="3"/>
    <n v="79000"/>
    <x v="3"/>
  </r>
  <r>
    <s v="ITM00844"/>
    <s v="ORD00490"/>
    <s v="PRD021"/>
    <n v="1"/>
    <n v="69000"/>
    <x v="0"/>
  </r>
  <r>
    <s v="ITM00845"/>
    <s v="ORD00491"/>
    <s v="PRD005"/>
    <n v="2"/>
    <n v="39000"/>
    <x v="2"/>
  </r>
  <r>
    <s v="ITM00846"/>
    <s v="ORD00492"/>
    <s v="PRD021"/>
    <n v="2"/>
    <n v="69000"/>
    <x v="0"/>
  </r>
  <r>
    <s v="ITM00847"/>
    <s v="ORD00492"/>
    <s v="PRD012"/>
    <n v="1"/>
    <n v="229000"/>
    <x v="5"/>
  </r>
  <r>
    <s v="ITM00848"/>
    <s v="ORD00493"/>
    <s v="PRD003"/>
    <n v="1"/>
    <n v="499000"/>
    <x v="11"/>
  </r>
  <r>
    <s v="ITM00849"/>
    <s v="ORD00493"/>
    <s v="PRD015"/>
    <n v="2"/>
    <n v="139000"/>
    <x v="18"/>
  </r>
  <r>
    <s v="ITM00850"/>
    <s v="ORD00493"/>
    <s v="PRD019"/>
    <n v="1"/>
    <n v="79000"/>
    <x v="13"/>
  </r>
  <r>
    <s v="ITM00851"/>
    <s v="ORD00493"/>
    <s v="PRD005"/>
    <n v="1"/>
    <n v="39000"/>
    <x v="2"/>
  </r>
  <r>
    <s v="ITM00852"/>
    <s v="ORD00494"/>
    <s v="PRD017"/>
    <n v="1"/>
    <n v="329000"/>
    <x v="7"/>
  </r>
  <r>
    <s v="ITM00853"/>
    <s v="ORD00495"/>
    <s v="PRD014"/>
    <n v="1"/>
    <n v="349000"/>
    <x v="9"/>
  </r>
  <r>
    <s v="ITM00854"/>
    <s v="ORD00496"/>
    <s v="PRD006"/>
    <n v="1"/>
    <n v="129000"/>
    <x v="10"/>
  </r>
  <r>
    <s v="ITM00855"/>
    <s v="ORD00496"/>
    <s v="PRD017"/>
    <n v="1"/>
    <n v="329000"/>
    <x v="7"/>
  </r>
  <r>
    <s v="ITM00856"/>
    <s v="ORD00497"/>
    <s v="PRD020"/>
    <n v="1"/>
    <n v="179000"/>
    <x v="1"/>
  </r>
  <r>
    <s v="ITM00857"/>
    <s v="ORD00497"/>
    <s v="PRD005"/>
    <n v="3"/>
    <n v="39000"/>
    <x v="2"/>
  </r>
  <r>
    <s v="ITM00858"/>
    <s v="ORD00498"/>
    <s v="PRD021"/>
    <n v="1"/>
    <n v="69000"/>
    <x v="0"/>
  </r>
  <r>
    <s v="ITM00859"/>
    <s v="ORD00498"/>
    <s v="PRD017"/>
    <n v="1"/>
    <n v="329000"/>
    <x v="7"/>
  </r>
  <r>
    <s v="ITM00860"/>
    <s v="ORD00499"/>
    <s v="PRD022"/>
    <n v="1"/>
    <n v="55000"/>
    <x v="4"/>
  </r>
  <r>
    <s v="ITM00861"/>
    <s v="ORD00500"/>
    <s v="PRD005"/>
    <n v="3"/>
    <n v="39000"/>
    <x v="2"/>
  </r>
  <r>
    <s v="ITM00862"/>
    <s v="ORD00500"/>
    <s v="PRD021"/>
    <n v="1"/>
    <n v="69000"/>
    <x v="0"/>
  </r>
  <r>
    <s v="ITM00863"/>
    <s v="ORD00501"/>
    <s v="PRD017"/>
    <n v="1"/>
    <n v="329000"/>
    <x v="7"/>
  </r>
  <r>
    <s v="ITM00864"/>
    <s v="ORD00502"/>
    <s v="PRD021"/>
    <n v="2"/>
    <n v="69000"/>
    <x v="0"/>
  </r>
  <r>
    <s v="ITM00865"/>
    <s v="ORD00503"/>
    <s v="PRD022"/>
    <n v="1"/>
    <n v="55000"/>
    <x v="4"/>
  </r>
  <r>
    <s v="ITM00866"/>
    <s v="ORD00503"/>
    <s v="PRD005"/>
    <n v="1"/>
    <n v="39000"/>
    <x v="2"/>
  </r>
  <r>
    <s v="ITM00867"/>
    <s v="ORD00504"/>
    <s v="PRD021"/>
    <n v="2"/>
    <n v="69000"/>
    <x v="0"/>
  </r>
  <r>
    <s v="ITM00868"/>
    <s v="ORD00504"/>
    <s v="PRD005"/>
    <n v="1"/>
    <n v="39000"/>
    <x v="2"/>
  </r>
  <r>
    <s v="ITM00869"/>
    <s v="ORD00505"/>
    <s v="PRD020"/>
    <n v="3"/>
    <n v="179000"/>
    <x v="1"/>
  </r>
  <r>
    <s v="ITM00870"/>
    <s v="ORD00506"/>
    <s v="PRD021"/>
    <n v="1"/>
    <n v="69000"/>
    <x v="0"/>
  </r>
  <r>
    <s v="ITM00871"/>
    <s v="ORD00506"/>
    <s v="PRD020"/>
    <n v="3"/>
    <n v="179000"/>
    <x v="1"/>
  </r>
  <r>
    <s v="ITM00872"/>
    <s v="ORD00506"/>
    <s v="PRD006"/>
    <n v="1"/>
    <n v="129000"/>
    <x v="10"/>
  </r>
  <r>
    <s v="ITM00873"/>
    <s v="ORD00507"/>
    <s v="PRD009"/>
    <n v="1"/>
    <n v="79000"/>
    <x v="3"/>
  </r>
  <r>
    <s v="ITM00874"/>
    <s v="ORD00507"/>
    <s v="PRD021"/>
    <n v="1"/>
    <n v="69000"/>
    <x v="0"/>
  </r>
  <r>
    <s v="ITM00875"/>
    <s v="ORD00508"/>
    <s v="PRD019"/>
    <n v="2"/>
    <n v="79000"/>
    <x v="13"/>
  </r>
  <r>
    <s v="ITM00876"/>
    <s v="ORD00509"/>
    <s v="PRD021"/>
    <n v="1"/>
    <n v="69000"/>
    <x v="0"/>
  </r>
  <r>
    <s v="ITM00877"/>
    <s v="ORD00510"/>
    <s v="PRD020"/>
    <n v="3"/>
    <n v="179000"/>
    <x v="1"/>
  </r>
  <r>
    <s v="ITM00878"/>
    <s v="ORD00511"/>
    <s v="PRD021"/>
    <n v="3"/>
    <n v="69000"/>
    <x v="0"/>
  </r>
  <r>
    <s v="ITM00879"/>
    <s v="ORD00511"/>
    <s v="PRD009"/>
    <n v="1"/>
    <n v="79000"/>
    <x v="3"/>
  </r>
  <r>
    <s v="ITM00880"/>
    <s v="ORD00512"/>
    <s v="PRD005"/>
    <n v="3"/>
    <n v="39000"/>
    <x v="2"/>
  </r>
  <r>
    <s v="ITM00881"/>
    <s v="ORD00513"/>
    <s v="PRD005"/>
    <n v="1"/>
    <n v="39000"/>
    <x v="2"/>
  </r>
  <r>
    <s v="ITM00882"/>
    <s v="ORD00514"/>
    <s v="PRD012"/>
    <n v="1"/>
    <n v="229000"/>
    <x v="5"/>
  </r>
  <r>
    <s v="ITM00883"/>
    <s v="ORD00515"/>
    <s v="PRD021"/>
    <n v="1"/>
    <n v="69000"/>
    <x v="0"/>
  </r>
  <r>
    <s v="ITM00884"/>
    <s v="ORD00516"/>
    <s v="PRD021"/>
    <n v="1"/>
    <n v="69000"/>
    <x v="0"/>
  </r>
  <r>
    <s v="ITM00885"/>
    <s v="ORD00516"/>
    <s v="PRD019"/>
    <n v="1"/>
    <n v="79000"/>
    <x v="13"/>
  </r>
  <r>
    <s v="ITM00886"/>
    <s v="ORD00517"/>
    <s v="PRD017"/>
    <n v="1"/>
    <n v="329000"/>
    <x v="7"/>
  </r>
  <r>
    <s v="ITM00887"/>
    <s v="ORD00518"/>
    <s v="PRD008"/>
    <n v="1"/>
    <n v="399000"/>
    <x v="12"/>
  </r>
  <r>
    <s v="ITM00888"/>
    <s v="ORD00518"/>
    <s v="PRD006"/>
    <n v="2"/>
    <n v="129000"/>
    <x v="10"/>
  </r>
  <r>
    <s v="ITM00889"/>
    <s v="ORD00519"/>
    <s v="PRD008"/>
    <n v="1"/>
    <n v="399000"/>
    <x v="12"/>
  </r>
  <r>
    <s v="ITM00890"/>
    <s v="ORD00520"/>
    <s v="PRD008"/>
    <n v="2"/>
    <n v="399000"/>
    <x v="12"/>
  </r>
  <r>
    <s v="ITM00891"/>
    <s v="ORD00521"/>
    <s v="PRD021"/>
    <n v="3"/>
    <n v="69000"/>
    <x v="0"/>
  </r>
  <r>
    <s v="ITM00892"/>
    <s v="ORD00522"/>
    <s v="PRD020"/>
    <n v="1"/>
    <n v="179000"/>
    <x v="1"/>
  </r>
  <r>
    <s v="ITM00893"/>
    <s v="ORD00522"/>
    <s v="PRD009"/>
    <n v="1"/>
    <n v="79000"/>
    <x v="3"/>
  </r>
  <r>
    <s v="ITM00894"/>
    <s v="ORD00523"/>
    <s v="PRD008"/>
    <n v="1"/>
    <n v="399000"/>
    <x v="12"/>
  </r>
  <r>
    <s v="ITM00895"/>
    <s v="ORD00523"/>
    <s v="PRD022"/>
    <n v="1"/>
    <n v="55000"/>
    <x v="4"/>
  </r>
  <r>
    <s v="ITM00896"/>
    <s v="ORD00523"/>
    <s v="PRD021"/>
    <n v="1"/>
    <n v="69000"/>
    <x v="0"/>
  </r>
  <r>
    <s v="ITM00897"/>
    <s v="ORD00524"/>
    <s v="PRD021"/>
    <n v="1"/>
    <n v="69000"/>
    <x v="0"/>
  </r>
  <r>
    <s v="ITM00898"/>
    <s v="ORD00525"/>
    <s v="PRD005"/>
    <n v="1"/>
    <n v="39000"/>
    <x v="2"/>
  </r>
  <r>
    <s v="ITM00899"/>
    <s v="ORD00526"/>
    <s v="PRD012"/>
    <n v="2"/>
    <n v="229000"/>
    <x v="5"/>
  </r>
  <r>
    <s v="ITM00900"/>
    <s v="ORD00527"/>
    <s v="PRD021"/>
    <n v="1"/>
    <n v="69000"/>
    <x v="0"/>
  </r>
  <r>
    <s v="ITM00901"/>
    <s v="ORD00527"/>
    <s v="PRD017"/>
    <n v="1"/>
    <n v="329000"/>
    <x v="7"/>
  </r>
  <r>
    <s v="ITM00902"/>
    <s v="ORD00528"/>
    <s v="PRD005"/>
    <n v="1"/>
    <n v="39000"/>
    <x v="2"/>
  </r>
  <r>
    <s v="ITM00903"/>
    <s v="ORD00528"/>
    <s v="PRD017"/>
    <n v="1"/>
    <n v="329000"/>
    <x v="7"/>
  </r>
  <r>
    <s v="ITM00904"/>
    <s v="ORD00528"/>
    <s v="PRD021"/>
    <n v="1"/>
    <n v="69000"/>
    <x v="0"/>
  </r>
  <r>
    <s v="ITM00905"/>
    <s v="ORD00528"/>
    <s v="PRD020"/>
    <n v="1"/>
    <n v="179000"/>
    <x v="1"/>
  </r>
  <r>
    <s v="ITM00906"/>
    <s v="ORD00529"/>
    <s v="PRD005"/>
    <n v="1"/>
    <n v="39000"/>
    <x v="2"/>
  </r>
  <r>
    <s v="ITM00907"/>
    <s v="ORD00529"/>
    <s v="PRD004"/>
    <n v="1"/>
    <n v="199000"/>
    <x v="19"/>
  </r>
  <r>
    <s v="ITM00908"/>
    <s v="ORD00530"/>
    <s v="PRD005"/>
    <n v="1"/>
    <n v="39000"/>
    <x v="2"/>
  </r>
  <r>
    <s v="ITM00909"/>
    <s v="ORD00530"/>
    <s v="PRD020"/>
    <n v="1"/>
    <n v="179000"/>
    <x v="1"/>
  </r>
  <r>
    <s v="ITM00910"/>
    <s v="ORD00531"/>
    <s v="PRD021"/>
    <n v="3"/>
    <n v="69000"/>
    <x v="0"/>
  </r>
  <r>
    <s v="ITM00911"/>
    <s v="ORD00532"/>
    <s v="PRD005"/>
    <n v="2"/>
    <n v="39000"/>
    <x v="2"/>
  </r>
  <r>
    <s v="ITM00912"/>
    <s v="ORD00532"/>
    <s v="PRD017"/>
    <n v="1"/>
    <n v="329000"/>
    <x v="7"/>
  </r>
  <r>
    <s v="ITM00913"/>
    <s v="ORD00532"/>
    <s v="PRD021"/>
    <n v="3"/>
    <n v="69000"/>
    <x v="0"/>
  </r>
  <r>
    <s v="ITM00914"/>
    <s v="ORD00533"/>
    <s v="PRD009"/>
    <n v="3"/>
    <n v="79000"/>
    <x v="3"/>
  </r>
  <r>
    <s v="ITM00915"/>
    <s v="ORD00533"/>
    <s v="PRD012"/>
    <n v="1"/>
    <n v="229000"/>
    <x v="5"/>
  </r>
  <r>
    <s v="ITM00916"/>
    <s v="ORD00533"/>
    <s v="PRD021"/>
    <n v="2"/>
    <n v="69000"/>
    <x v="0"/>
  </r>
  <r>
    <s v="ITM00917"/>
    <s v="ORD00533"/>
    <s v="PRD007"/>
    <n v="1"/>
    <n v="99000"/>
    <x v="6"/>
  </r>
  <r>
    <s v="ITM00918"/>
    <s v="ORD00534"/>
    <s v="PRD022"/>
    <n v="2"/>
    <n v="55000"/>
    <x v="4"/>
  </r>
  <r>
    <s v="ITM00919"/>
    <s v="ORD00535"/>
    <s v="PRD021"/>
    <n v="1"/>
    <n v="69000"/>
    <x v="0"/>
  </r>
  <r>
    <s v="ITM00920"/>
    <s v="ORD00536"/>
    <s v="PRD021"/>
    <n v="2"/>
    <n v="69000"/>
    <x v="0"/>
  </r>
  <r>
    <s v="ITM00921"/>
    <s v="ORD00537"/>
    <s v="PRD021"/>
    <n v="1"/>
    <n v="69000"/>
    <x v="0"/>
  </r>
  <r>
    <s v="ITM00922"/>
    <s v="ORD00537"/>
    <s v="PRD009"/>
    <n v="2"/>
    <n v="79000"/>
    <x v="3"/>
  </r>
  <r>
    <s v="ITM00923"/>
    <s v="ORD00537"/>
    <s v="PRD012"/>
    <n v="1"/>
    <n v="229000"/>
    <x v="5"/>
  </r>
  <r>
    <s v="ITM00924"/>
    <s v="ORD00538"/>
    <s v="PRD014"/>
    <n v="1"/>
    <n v="349000"/>
    <x v="9"/>
  </r>
  <r>
    <s v="ITM00925"/>
    <s v="ORD00539"/>
    <s v="PRD021"/>
    <n v="1"/>
    <n v="69000"/>
    <x v="0"/>
  </r>
  <r>
    <s v="ITM00926"/>
    <s v="ORD00540"/>
    <s v="PRD014"/>
    <n v="1"/>
    <n v="349000"/>
    <x v="9"/>
  </r>
  <r>
    <s v="ITM00927"/>
    <s v="ORD00541"/>
    <s v="PRD012"/>
    <n v="1"/>
    <n v="229000"/>
    <x v="5"/>
  </r>
  <r>
    <s v="ITM00928"/>
    <s v="ORD00542"/>
    <s v="PRD019"/>
    <n v="1"/>
    <n v="79000"/>
    <x v="13"/>
  </r>
  <r>
    <s v="ITM00929"/>
    <s v="ORD00543"/>
    <s v="PRD005"/>
    <n v="3"/>
    <n v="39000"/>
    <x v="2"/>
  </r>
  <r>
    <s v="ITM00930"/>
    <s v="ORD00543"/>
    <s v="PRD006"/>
    <n v="1"/>
    <n v="129000"/>
    <x v="10"/>
  </r>
  <r>
    <s v="ITM00931"/>
    <s v="ORD00543"/>
    <s v="PRD021"/>
    <n v="1"/>
    <n v="69000"/>
    <x v="0"/>
  </r>
  <r>
    <s v="ITM00932"/>
    <s v="ORD00543"/>
    <s v="PRD020"/>
    <n v="1"/>
    <n v="179000"/>
    <x v="1"/>
  </r>
  <r>
    <s v="ITM00933"/>
    <s v="ORD00544"/>
    <s v="PRD005"/>
    <n v="1"/>
    <n v="39000"/>
    <x v="2"/>
  </r>
  <r>
    <s v="ITM00934"/>
    <s v="ORD00545"/>
    <s v="PRD005"/>
    <n v="2"/>
    <n v="39000"/>
    <x v="2"/>
  </r>
  <r>
    <s v="ITM00935"/>
    <s v="ORD00546"/>
    <s v="PRD020"/>
    <n v="1"/>
    <n v="179000"/>
    <x v="1"/>
  </r>
  <r>
    <s v="ITM00936"/>
    <s v="ORD00547"/>
    <s v="PRD021"/>
    <n v="1"/>
    <n v="69000"/>
    <x v="0"/>
  </r>
  <r>
    <s v="ITM00937"/>
    <s v="ORD00548"/>
    <s v="PRD005"/>
    <n v="1"/>
    <n v="39000"/>
    <x v="2"/>
  </r>
  <r>
    <s v="ITM00938"/>
    <s v="ORD00549"/>
    <s v="PRD005"/>
    <n v="1"/>
    <n v="39000"/>
    <x v="2"/>
  </r>
  <r>
    <s v="ITM00939"/>
    <s v="ORD00550"/>
    <s v="PRD017"/>
    <n v="1"/>
    <n v="329000"/>
    <x v="7"/>
  </r>
  <r>
    <s v="ITM00940"/>
    <s v="ORD00550"/>
    <s v="PRD022"/>
    <n v="1"/>
    <n v="55000"/>
    <x v="4"/>
  </r>
  <r>
    <s v="ITM00941"/>
    <s v="ORD00551"/>
    <s v="PRD021"/>
    <n v="2"/>
    <n v="69000"/>
    <x v="0"/>
  </r>
  <r>
    <s v="ITM00942"/>
    <s v="ORD00552"/>
    <s v="PRD022"/>
    <n v="2"/>
    <n v="55000"/>
    <x v="4"/>
  </r>
  <r>
    <s v="ITM00943"/>
    <s v="ORD00553"/>
    <s v="PRD020"/>
    <n v="2"/>
    <n v="179000"/>
    <x v="1"/>
  </r>
  <r>
    <s v="ITM00944"/>
    <s v="ORD00554"/>
    <s v="PRD021"/>
    <n v="2"/>
    <n v="69000"/>
    <x v="0"/>
  </r>
  <r>
    <s v="ITM00945"/>
    <s v="ORD00554"/>
    <s v="PRD017"/>
    <n v="3"/>
    <n v="329000"/>
    <x v="7"/>
  </r>
  <r>
    <s v="ITM00946"/>
    <s v="ORD00554"/>
    <s v="PRD009"/>
    <n v="1"/>
    <n v="79000"/>
    <x v="3"/>
  </r>
  <r>
    <s v="ITM00947"/>
    <s v="ORD00554"/>
    <s v="PRD003"/>
    <n v="2"/>
    <n v="499000"/>
    <x v="11"/>
  </r>
  <r>
    <s v="ITM00948"/>
    <s v="ORD00555"/>
    <s v="PRD023"/>
    <n v="1"/>
    <n v="139000"/>
    <x v="8"/>
  </r>
  <r>
    <s v="ITM00949"/>
    <s v="ORD00555"/>
    <s v="PRD005"/>
    <n v="1"/>
    <n v="39000"/>
    <x v="2"/>
  </r>
  <r>
    <s v="ITM00950"/>
    <s v="ORD00555"/>
    <s v="PRD009"/>
    <n v="1"/>
    <n v="79000"/>
    <x v="3"/>
  </r>
  <r>
    <s v="ITM00951"/>
    <s v="ORD00556"/>
    <s v="PRD005"/>
    <n v="1"/>
    <n v="39000"/>
    <x v="2"/>
  </r>
  <r>
    <s v="ITM00952"/>
    <s v="ORD00556"/>
    <s v="PRD008"/>
    <n v="2"/>
    <n v="399000"/>
    <x v="12"/>
  </r>
  <r>
    <s v="ITM00953"/>
    <s v="ORD00557"/>
    <s v="PRD021"/>
    <n v="2"/>
    <n v="69000"/>
    <x v="0"/>
  </r>
  <r>
    <s v="ITM00954"/>
    <s v="ORD00558"/>
    <s v="PRD021"/>
    <n v="1"/>
    <n v="69000"/>
    <x v="0"/>
  </r>
  <r>
    <s v="ITM00955"/>
    <s v="ORD00558"/>
    <s v="PRD017"/>
    <n v="1"/>
    <n v="329000"/>
    <x v="7"/>
  </r>
  <r>
    <s v="ITM00956"/>
    <s v="ORD00559"/>
    <s v="PRD008"/>
    <n v="3"/>
    <n v="399000"/>
    <x v="12"/>
  </r>
  <r>
    <s v="ITM00957"/>
    <s v="ORD00560"/>
    <s v="PRD021"/>
    <n v="1"/>
    <n v="69000"/>
    <x v="0"/>
  </r>
  <r>
    <s v="ITM00958"/>
    <s v="ORD00561"/>
    <s v="PRD020"/>
    <n v="2"/>
    <n v="179000"/>
    <x v="1"/>
  </r>
  <r>
    <s v="ITM00959"/>
    <s v="ORD00561"/>
    <s v="PRD012"/>
    <n v="1"/>
    <n v="229000"/>
    <x v="5"/>
  </r>
  <r>
    <s v="ITM00960"/>
    <s v="ORD00562"/>
    <s v="PRD021"/>
    <n v="1"/>
    <n v="69000"/>
    <x v="0"/>
  </r>
  <r>
    <s v="ITM00961"/>
    <s v="ORD00563"/>
    <s v="PRD021"/>
    <n v="1"/>
    <n v="69000"/>
    <x v="0"/>
  </r>
  <r>
    <s v="ITM00962"/>
    <s v="ORD00563"/>
    <s v="PRD020"/>
    <n v="1"/>
    <n v="179000"/>
    <x v="1"/>
  </r>
  <r>
    <s v="ITM00963"/>
    <s v="ORD00564"/>
    <s v="PRD021"/>
    <n v="1"/>
    <n v="69000"/>
    <x v="0"/>
  </r>
  <r>
    <s v="ITM00964"/>
    <s v="ORD00565"/>
    <s v="PRD005"/>
    <n v="1"/>
    <n v="39000"/>
    <x v="2"/>
  </r>
  <r>
    <s v="ITM00965"/>
    <s v="ORD00566"/>
    <s v="PRD021"/>
    <n v="2"/>
    <n v="69000"/>
    <x v="0"/>
  </r>
  <r>
    <s v="ITM00966"/>
    <s v="ORD00567"/>
    <s v="PRD002"/>
    <n v="1"/>
    <n v="159000"/>
    <x v="14"/>
  </r>
  <r>
    <s v="ITM00967"/>
    <s v="ORD00567"/>
    <s v="PRD005"/>
    <n v="1"/>
    <n v="39000"/>
    <x v="2"/>
  </r>
  <r>
    <s v="ITM00968"/>
    <s v="ORD00567"/>
    <s v="PRD021"/>
    <n v="1"/>
    <n v="69000"/>
    <x v="0"/>
  </r>
  <r>
    <s v="ITM00969"/>
    <s v="ORD00568"/>
    <s v="PRD005"/>
    <n v="1"/>
    <n v="39000"/>
    <x v="2"/>
  </r>
  <r>
    <s v="ITM00970"/>
    <s v="ORD00568"/>
    <s v="PRD021"/>
    <n v="1"/>
    <n v="69000"/>
    <x v="0"/>
  </r>
  <r>
    <s v="ITM00971"/>
    <s v="ORD00569"/>
    <s v="PRD021"/>
    <n v="1"/>
    <n v="69000"/>
    <x v="0"/>
  </r>
  <r>
    <s v="ITM00972"/>
    <s v="ORD00570"/>
    <s v="PRD008"/>
    <n v="3"/>
    <n v="399000"/>
    <x v="12"/>
  </r>
  <r>
    <s v="ITM00973"/>
    <s v="ORD00570"/>
    <s v="PRD014"/>
    <n v="1"/>
    <n v="349000"/>
    <x v="9"/>
  </r>
  <r>
    <s v="ITM00974"/>
    <s v="ORD00571"/>
    <s v="PRD021"/>
    <n v="1"/>
    <n v="69000"/>
    <x v="0"/>
  </r>
  <r>
    <s v="ITM00975"/>
    <s v="ORD00572"/>
    <s v="PRD022"/>
    <n v="1"/>
    <n v="55000"/>
    <x v="4"/>
  </r>
  <r>
    <s v="ITM00976"/>
    <s v="ORD00573"/>
    <s v="PRD014"/>
    <n v="2"/>
    <n v="349000"/>
    <x v="9"/>
  </r>
  <r>
    <s v="ITM00977"/>
    <s v="ORD00574"/>
    <s v="PRD020"/>
    <n v="2"/>
    <n v="179000"/>
    <x v="1"/>
  </r>
  <r>
    <s v="ITM00978"/>
    <s v="ORD00575"/>
    <s v="PRD021"/>
    <n v="1"/>
    <n v="69000"/>
    <x v="0"/>
  </r>
  <r>
    <s v="ITM00979"/>
    <s v="ORD00576"/>
    <s v="PRD005"/>
    <n v="1"/>
    <n v="39000"/>
    <x v="2"/>
  </r>
  <r>
    <s v="ITM00980"/>
    <s v="ORD00577"/>
    <s v="PRD017"/>
    <n v="2"/>
    <n v="329000"/>
    <x v="7"/>
  </r>
  <r>
    <s v="ITM00981"/>
    <s v="ORD00577"/>
    <s v="PRD020"/>
    <n v="2"/>
    <n v="179000"/>
    <x v="1"/>
  </r>
  <r>
    <s v="ITM00982"/>
    <s v="ORD00578"/>
    <s v="PRD022"/>
    <n v="1"/>
    <n v="55000"/>
    <x v="4"/>
  </r>
  <r>
    <s v="ITM00983"/>
    <s v="ORD00578"/>
    <s v="PRD021"/>
    <n v="1"/>
    <n v="69000"/>
    <x v="0"/>
  </r>
  <r>
    <s v="ITM00984"/>
    <s v="ORD00579"/>
    <s v="PRD005"/>
    <n v="1"/>
    <n v="39000"/>
    <x v="2"/>
  </r>
  <r>
    <s v="ITM00985"/>
    <s v="ORD00580"/>
    <s v="PRD006"/>
    <n v="1"/>
    <n v="129000"/>
    <x v="10"/>
  </r>
  <r>
    <s v="ITM00986"/>
    <s v="ORD00580"/>
    <s v="PRD022"/>
    <n v="2"/>
    <n v="55000"/>
    <x v="4"/>
  </r>
  <r>
    <s v="ITM00987"/>
    <s v="ORD00581"/>
    <s v="PRD021"/>
    <n v="1"/>
    <n v="69000"/>
    <x v="0"/>
  </r>
  <r>
    <s v="ITM00988"/>
    <s v="ORD00581"/>
    <s v="PRD005"/>
    <n v="1"/>
    <n v="39000"/>
    <x v="2"/>
  </r>
  <r>
    <s v="ITM00989"/>
    <s v="ORD00582"/>
    <s v="PRD005"/>
    <n v="2"/>
    <n v="39000"/>
    <x v="2"/>
  </r>
  <r>
    <s v="ITM00990"/>
    <s v="ORD00583"/>
    <s v="PRD021"/>
    <n v="1"/>
    <n v="69000"/>
    <x v="0"/>
  </r>
  <r>
    <s v="ITM00991"/>
    <s v="ORD00584"/>
    <s v="PRD022"/>
    <n v="1"/>
    <n v="55000"/>
    <x v="4"/>
  </r>
  <r>
    <s v="ITM00992"/>
    <s v="ORD00584"/>
    <s v="PRD012"/>
    <n v="1"/>
    <n v="229000"/>
    <x v="5"/>
  </r>
  <r>
    <s v="ITM00993"/>
    <s v="ORD00584"/>
    <s v="PRD017"/>
    <n v="1"/>
    <n v="329000"/>
    <x v="7"/>
  </r>
  <r>
    <s v="ITM00994"/>
    <s v="ORD00584"/>
    <s v="PRD021"/>
    <n v="1"/>
    <n v="69000"/>
    <x v="0"/>
  </r>
  <r>
    <s v="ITM00995"/>
    <s v="ORD00585"/>
    <s v="PRD022"/>
    <n v="1"/>
    <n v="55000"/>
    <x v="4"/>
  </r>
  <r>
    <s v="ITM00996"/>
    <s v="ORD00586"/>
    <s v="PRD021"/>
    <n v="1"/>
    <n v="69000"/>
    <x v="0"/>
  </r>
  <r>
    <s v="ITM00997"/>
    <s v="ORD00586"/>
    <s v="PRD005"/>
    <n v="3"/>
    <n v="39000"/>
    <x v="2"/>
  </r>
  <r>
    <s v="ITM00998"/>
    <s v="ORD00587"/>
    <s v="PRD009"/>
    <n v="1"/>
    <n v="79000"/>
    <x v="3"/>
  </r>
  <r>
    <s v="ITM00999"/>
    <s v="ORD00587"/>
    <s v="PRD020"/>
    <n v="1"/>
    <n v="179000"/>
    <x v="1"/>
  </r>
  <r>
    <s v="ITM01000"/>
    <s v="ORD00587"/>
    <s v="PRD017"/>
    <n v="3"/>
    <n v="329000"/>
    <x v="7"/>
  </r>
  <r>
    <s v="ITM01001"/>
    <s v="ORD00587"/>
    <s v="PRD021"/>
    <n v="1"/>
    <n v="69000"/>
    <x v="0"/>
  </r>
  <r>
    <s v="ITM01002"/>
    <s v="ORD00588"/>
    <s v="PRD020"/>
    <n v="2"/>
    <n v="179000"/>
    <x v="1"/>
  </r>
  <r>
    <s v="ITM01003"/>
    <s v="ORD00588"/>
    <s v="PRD017"/>
    <n v="2"/>
    <n v="329000"/>
    <x v="7"/>
  </r>
  <r>
    <s v="ITM01004"/>
    <s v="ORD00588"/>
    <s v="PRD014"/>
    <n v="1"/>
    <n v="349000"/>
    <x v="9"/>
  </r>
  <r>
    <s v="ITM01005"/>
    <s v="ORD00589"/>
    <s v="PRD022"/>
    <n v="2"/>
    <n v="55000"/>
    <x v="4"/>
  </r>
  <r>
    <s v="ITM01006"/>
    <s v="ORD00590"/>
    <s v="PRD022"/>
    <n v="1"/>
    <n v="55000"/>
    <x v="4"/>
  </r>
  <r>
    <s v="ITM01007"/>
    <s v="ORD00591"/>
    <s v="PRD005"/>
    <n v="2"/>
    <n v="39000"/>
    <x v="2"/>
  </r>
  <r>
    <s v="ITM01008"/>
    <s v="ORD00591"/>
    <s v="PRD020"/>
    <n v="2"/>
    <n v="179000"/>
    <x v="1"/>
  </r>
  <r>
    <s v="ITM01009"/>
    <s v="ORD00591"/>
    <s v="PRD012"/>
    <n v="2"/>
    <n v="229000"/>
    <x v="5"/>
  </r>
  <r>
    <s v="ITM01010"/>
    <s v="ORD00592"/>
    <s v="PRD008"/>
    <n v="2"/>
    <n v="399000"/>
    <x v="12"/>
  </r>
  <r>
    <s v="ITM01011"/>
    <s v="ORD00592"/>
    <s v="PRD006"/>
    <n v="2"/>
    <n v="129000"/>
    <x v="10"/>
  </r>
  <r>
    <s v="ITM01012"/>
    <s v="ORD00593"/>
    <s v="PRD005"/>
    <n v="1"/>
    <n v="39000"/>
    <x v="2"/>
  </r>
  <r>
    <s v="ITM01013"/>
    <s v="ORD00593"/>
    <s v="PRD021"/>
    <n v="1"/>
    <n v="69000"/>
    <x v="0"/>
  </r>
  <r>
    <s v="ITM01014"/>
    <s v="ORD00593"/>
    <s v="PRD009"/>
    <n v="2"/>
    <n v="79000"/>
    <x v="3"/>
  </r>
  <r>
    <s v="ITM01015"/>
    <s v="ORD00594"/>
    <s v="PRD021"/>
    <n v="1"/>
    <n v="69000"/>
    <x v="0"/>
  </r>
  <r>
    <s v="ITM01016"/>
    <s v="ORD00594"/>
    <s v="PRD002"/>
    <n v="3"/>
    <n v="159000"/>
    <x v="14"/>
  </r>
  <r>
    <s v="ITM01017"/>
    <s v="ORD00595"/>
    <s v="PRD008"/>
    <n v="1"/>
    <n v="399000"/>
    <x v="12"/>
  </r>
  <r>
    <s v="ITM01018"/>
    <s v="ORD00595"/>
    <s v="PRD021"/>
    <n v="2"/>
    <n v="69000"/>
    <x v="0"/>
  </r>
  <r>
    <s v="ITM01019"/>
    <s v="ORD00596"/>
    <s v="PRD002"/>
    <n v="1"/>
    <n v="159000"/>
    <x v="14"/>
  </r>
  <r>
    <s v="ITM01020"/>
    <s v="ORD00597"/>
    <s v="PRD001"/>
    <n v="1"/>
    <n v="299000"/>
    <x v="20"/>
  </r>
  <r>
    <s v="ITM01021"/>
    <s v="ORD00597"/>
    <s v="PRD008"/>
    <n v="1"/>
    <n v="399000"/>
    <x v="12"/>
  </r>
  <r>
    <s v="ITM01022"/>
    <s v="ORD00597"/>
    <s v="PRD006"/>
    <n v="1"/>
    <n v="129000"/>
    <x v="10"/>
  </r>
  <r>
    <s v="ITM01023"/>
    <s v="ORD00598"/>
    <s v="PRD014"/>
    <n v="2"/>
    <n v="349000"/>
    <x v="9"/>
  </r>
  <r>
    <s v="ITM01024"/>
    <s v="ORD00599"/>
    <s v="PRD022"/>
    <n v="1"/>
    <n v="55000"/>
    <x v="4"/>
  </r>
  <r>
    <s v="ITM01025"/>
    <s v="ORD00600"/>
    <s v="PRD021"/>
    <n v="1"/>
    <n v="69000"/>
    <x v="0"/>
  </r>
  <r>
    <s v="ITM01026"/>
    <s v="ORD00600"/>
    <s v="PRD017"/>
    <n v="1"/>
    <n v="329000"/>
    <x v="7"/>
  </r>
  <r>
    <s v="ITM01027"/>
    <s v="ORD00601"/>
    <s v="PRD020"/>
    <n v="2"/>
    <n v="179000"/>
    <x v="1"/>
  </r>
  <r>
    <s v="ITM01028"/>
    <s v="ORD00601"/>
    <s v="PRD005"/>
    <n v="1"/>
    <n v="39000"/>
    <x v="2"/>
  </r>
  <r>
    <s v="ITM01029"/>
    <s v="ORD00601"/>
    <s v="PRD022"/>
    <n v="2"/>
    <n v="55000"/>
    <x v="4"/>
  </r>
  <r>
    <s v="ITM01030"/>
    <s v="ORD00602"/>
    <s v="PRD022"/>
    <n v="2"/>
    <n v="55000"/>
    <x v="4"/>
  </r>
  <r>
    <s v="ITM01031"/>
    <s v="ORD00602"/>
    <s v="PRD021"/>
    <n v="1"/>
    <n v="69000"/>
    <x v="0"/>
  </r>
  <r>
    <s v="ITM01032"/>
    <s v="ORD00603"/>
    <s v="PRD012"/>
    <n v="1"/>
    <n v="229000"/>
    <x v="5"/>
  </r>
  <r>
    <s v="ITM01033"/>
    <s v="ORD00604"/>
    <s v="PRD017"/>
    <n v="1"/>
    <n v="329000"/>
    <x v="7"/>
  </r>
  <r>
    <s v="ITM01034"/>
    <s v="ORD00605"/>
    <s v="PRD020"/>
    <n v="1"/>
    <n v="179000"/>
    <x v="1"/>
  </r>
  <r>
    <s v="ITM01035"/>
    <s v="ORD00606"/>
    <s v="PRD006"/>
    <n v="2"/>
    <n v="129000"/>
    <x v="10"/>
  </r>
  <r>
    <s v="ITM01036"/>
    <s v="ORD00607"/>
    <s v="PRD005"/>
    <n v="2"/>
    <n v="39000"/>
    <x v="2"/>
  </r>
  <r>
    <s v="ITM01037"/>
    <s v="ORD00607"/>
    <s v="PRD021"/>
    <n v="1"/>
    <n v="69000"/>
    <x v="0"/>
  </r>
  <r>
    <s v="ITM01038"/>
    <s v="ORD00607"/>
    <s v="PRD023"/>
    <n v="1"/>
    <n v="139000"/>
    <x v="8"/>
  </r>
  <r>
    <s v="ITM01039"/>
    <s v="ORD00608"/>
    <s v="PRD020"/>
    <n v="2"/>
    <n v="179000"/>
    <x v="1"/>
  </r>
  <r>
    <s v="ITM01040"/>
    <s v="ORD00609"/>
    <s v="PRD009"/>
    <n v="1"/>
    <n v="79000"/>
    <x v="3"/>
  </r>
  <r>
    <s v="ITM01041"/>
    <s v="ORD00610"/>
    <s v="PRD021"/>
    <n v="1"/>
    <n v="69000"/>
    <x v="0"/>
  </r>
  <r>
    <s v="ITM01042"/>
    <s v="ORD00610"/>
    <s v="PRD009"/>
    <n v="1"/>
    <n v="79000"/>
    <x v="3"/>
  </r>
  <r>
    <s v="ITM01043"/>
    <s v="ORD00611"/>
    <s v="PRD021"/>
    <n v="1"/>
    <n v="69000"/>
    <x v="0"/>
  </r>
  <r>
    <s v="ITM01044"/>
    <s v="ORD00611"/>
    <s v="PRD009"/>
    <n v="1"/>
    <n v="79000"/>
    <x v="3"/>
  </r>
  <r>
    <s v="ITM01045"/>
    <s v="ORD00612"/>
    <s v="PRD020"/>
    <n v="1"/>
    <n v="179000"/>
    <x v="1"/>
  </r>
  <r>
    <s v="ITM01046"/>
    <s v="ORD00613"/>
    <s v="PRD005"/>
    <n v="1"/>
    <n v="39000"/>
    <x v="2"/>
  </r>
  <r>
    <s v="ITM01047"/>
    <s v="ORD00614"/>
    <s v="PRD005"/>
    <n v="2"/>
    <n v="39000"/>
    <x v="2"/>
  </r>
  <r>
    <s v="ITM01048"/>
    <s v="ORD00614"/>
    <s v="PRD020"/>
    <n v="1"/>
    <n v="179000"/>
    <x v="1"/>
  </r>
  <r>
    <s v="ITM01049"/>
    <s v="ORD00615"/>
    <s v="PRD005"/>
    <n v="1"/>
    <n v="39000"/>
    <x v="2"/>
  </r>
  <r>
    <s v="ITM01050"/>
    <s v="ORD00616"/>
    <s v="PRD021"/>
    <n v="1"/>
    <n v="69000"/>
    <x v="0"/>
  </r>
  <r>
    <s v="ITM01051"/>
    <s v="ORD00616"/>
    <s v="PRD020"/>
    <n v="1"/>
    <n v="179000"/>
    <x v="1"/>
  </r>
  <r>
    <s v="ITM01052"/>
    <s v="ORD00617"/>
    <s v="PRD021"/>
    <n v="1"/>
    <n v="69000"/>
    <x v="0"/>
  </r>
  <r>
    <s v="ITM01053"/>
    <s v="ORD00618"/>
    <s v="PRD008"/>
    <n v="1"/>
    <n v="399000"/>
    <x v="12"/>
  </r>
  <r>
    <s v="ITM01054"/>
    <s v="ORD00619"/>
    <s v="PRD014"/>
    <n v="1"/>
    <n v="349000"/>
    <x v="9"/>
  </r>
  <r>
    <s v="ITM01055"/>
    <s v="ORD00619"/>
    <s v="PRD009"/>
    <n v="1"/>
    <n v="79000"/>
    <x v="3"/>
  </r>
  <r>
    <s v="ITM01056"/>
    <s v="ORD00619"/>
    <s v="PRD022"/>
    <n v="3"/>
    <n v="55000"/>
    <x v="4"/>
  </r>
  <r>
    <s v="ITM01057"/>
    <s v="ORD00620"/>
    <s v="PRD008"/>
    <n v="2"/>
    <n v="399000"/>
    <x v="12"/>
  </r>
  <r>
    <s v="ITM01058"/>
    <s v="ORD00621"/>
    <s v="PRD021"/>
    <n v="1"/>
    <n v="69000"/>
    <x v="0"/>
  </r>
  <r>
    <s v="ITM01059"/>
    <s v="ORD00621"/>
    <s v="PRD009"/>
    <n v="2"/>
    <n v="79000"/>
    <x v="3"/>
  </r>
  <r>
    <s v="ITM01060"/>
    <s v="ORD00622"/>
    <s v="PRD021"/>
    <n v="2"/>
    <n v="69000"/>
    <x v="0"/>
  </r>
  <r>
    <s v="ITM01061"/>
    <s v="ORD00623"/>
    <s v="PRD021"/>
    <n v="1"/>
    <n v="69000"/>
    <x v="0"/>
  </r>
  <r>
    <s v="ITM01062"/>
    <s v="ORD00624"/>
    <s v="PRD009"/>
    <n v="1"/>
    <n v="79000"/>
    <x v="3"/>
  </r>
  <r>
    <s v="ITM01063"/>
    <s v="ORD00625"/>
    <s v="PRD017"/>
    <n v="1"/>
    <n v="329000"/>
    <x v="7"/>
  </r>
  <r>
    <s v="ITM01064"/>
    <s v="ORD00626"/>
    <s v="PRD005"/>
    <n v="1"/>
    <n v="39000"/>
    <x v="2"/>
  </r>
  <r>
    <s v="ITM01065"/>
    <s v="ORD00627"/>
    <s v="PRD009"/>
    <n v="1"/>
    <n v="79000"/>
    <x v="3"/>
  </r>
  <r>
    <s v="ITM01066"/>
    <s v="ORD00628"/>
    <s v="PRD021"/>
    <n v="1"/>
    <n v="69000"/>
    <x v="0"/>
  </r>
  <r>
    <s v="ITM01067"/>
    <s v="ORD00628"/>
    <s v="PRD020"/>
    <n v="1"/>
    <n v="179000"/>
    <x v="1"/>
  </r>
  <r>
    <s v="ITM01068"/>
    <s v="ORD00629"/>
    <s v="PRD005"/>
    <n v="2"/>
    <n v="39000"/>
    <x v="2"/>
  </r>
  <r>
    <s v="ITM01069"/>
    <s v="ORD00630"/>
    <s v="PRD017"/>
    <n v="1"/>
    <n v="329000"/>
    <x v="7"/>
  </r>
  <r>
    <s v="ITM01070"/>
    <s v="ORD00631"/>
    <s v="PRD009"/>
    <n v="1"/>
    <n v="79000"/>
    <x v="3"/>
  </r>
  <r>
    <s v="ITM01071"/>
    <s v="ORD00632"/>
    <s v="PRD020"/>
    <n v="1"/>
    <n v="179000"/>
    <x v="1"/>
  </r>
  <r>
    <s v="ITM01072"/>
    <s v="ORD00632"/>
    <s v="PRD021"/>
    <n v="1"/>
    <n v="69000"/>
    <x v="0"/>
  </r>
  <r>
    <s v="ITM01073"/>
    <s v="ORD00633"/>
    <s v="PRD022"/>
    <n v="1"/>
    <n v="55000"/>
    <x v="4"/>
  </r>
  <r>
    <s v="ITM01074"/>
    <s v="ORD00633"/>
    <s v="PRD021"/>
    <n v="1"/>
    <n v="69000"/>
    <x v="0"/>
  </r>
  <r>
    <s v="ITM01075"/>
    <s v="ORD00634"/>
    <s v="PRD021"/>
    <n v="2"/>
    <n v="69000"/>
    <x v="0"/>
  </r>
  <r>
    <s v="ITM01076"/>
    <s v="ORD00634"/>
    <s v="PRD005"/>
    <n v="1"/>
    <n v="39000"/>
    <x v="2"/>
  </r>
  <r>
    <s v="ITM01077"/>
    <s v="ORD00635"/>
    <s v="PRD009"/>
    <n v="3"/>
    <n v="79000"/>
    <x v="3"/>
  </r>
  <r>
    <s v="ITM01078"/>
    <s v="ORD00636"/>
    <s v="PRD021"/>
    <n v="1"/>
    <n v="69000"/>
    <x v="0"/>
  </r>
  <r>
    <s v="ITM01079"/>
    <s v="ORD00637"/>
    <s v="PRD017"/>
    <n v="1"/>
    <n v="329000"/>
    <x v="7"/>
  </r>
  <r>
    <s v="ITM01080"/>
    <s v="ORD00637"/>
    <s v="PRD020"/>
    <n v="1"/>
    <n v="179000"/>
    <x v="1"/>
  </r>
  <r>
    <s v="ITM01081"/>
    <s v="ORD00638"/>
    <s v="PRD014"/>
    <n v="1"/>
    <n v="349000"/>
    <x v="9"/>
  </r>
  <r>
    <s v="ITM01082"/>
    <s v="ORD00639"/>
    <s v="PRD005"/>
    <n v="1"/>
    <n v="39000"/>
    <x v="2"/>
  </r>
  <r>
    <s v="ITM01083"/>
    <s v="ORD00640"/>
    <s v="PRD004"/>
    <n v="3"/>
    <n v="199000"/>
    <x v="19"/>
  </r>
  <r>
    <s v="ITM01084"/>
    <s v="ORD00640"/>
    <s v="PRD017"/>
    <n v="1"/>
    <n v="329000"/>
    <x v="7"/>
  </r>
  <r>
    <s v="ITM01085"/>
    <s v="ORD00641"/>
    <s v="PRD009"/>
    <n v="1"/>
    <n v="79000"/>
    <x v="3"/>
  </r>
  <r>
    <s v="ITM01086"/>
    <s v="ORD00642"/>
    <s v="PRD017"/>
    <n v="1"/>
    <n v="329000"/>
    <x v="7"/>
  </r>
  <r>
    <s v="ITM01087"/>
    <s v="ORD00643"/>
    <s v="PRD005"/>
    <n v="2"/>
    <n v="39000"/>
    <x v="2"/>
  </r>
  <r>
    <s v="ITM01088"/>
    <s v="ORD00644"/>
    <s v="PRD021"/>
    <n v="1"/>
    <n v="69000"/>
    <x v="0"/>
  </r>
  <r>
    <s v="ITM01089"/>
    <s v="ORD00645"/>
    <s v="PRD006"/>
    <n v="1"/>
    <n v="129000"/>
    <x v="10"/>
  </r>
  <r>
    <s v="ITM01090"/>
    <s v="ORD00645"/>
    <s v="PRD014"/>
    <n v="1"/>
    <n v="349000"/>
    <x v="9"/>
  </r>
  <r>
    <s v="ITM01091"/>
    <s v="ORD00645"/>
    <s v="PRD004"/>
    <n v="1"/>
    <n v="199000"/>
    <x v="19"/>
  </r>
  <r>
    <s v="ITM01092"/>
    <s v="ORD00646"/>
    <s v="PRD005"/>
    <n v="1"/>
    <n v="39000"/>
    <x v="2"/>
  </r>
  <r>
    <s v="ITM01093"/>
    <s v="ORD00646"/>
    <s v="PRD012"/>
    <n v="1"/>
    <n v="229000"/>
    <x v="5"/>
  </r>
  <r>
    <s v="ITM01094"/>
    <s v="ORD00646"/>
    <s v="PRD023"/>
    <n v="1"/>
    <n v="139000"/>
    <x v="8"/>
  </r>
  <r>
    <s v="ITM01095"/>
    <s v="ORD00647"/>
    <s v="PRD017"/>
    <n v="1"/>
    <n v="329000"/>
    <x v="7"/>
  </r>
  <r>
    <s v="ITM01096"/>
    <s v="ORD00647"/>
    <s v="PRD021"/>
    <n v="3"/>
    <n v="69000"/>
    <x v="0"/>
  </r>
  <r>
    <s v="ITM01097"/>
    <s v="ORD00648"/>
    <s v="PRD021"/>
    <n v="2"/>
    <n v="69000"/>
    <x v="0"/>
  </r>
  <r>
    <s v="ITM01098"/>
    <s v="ORD00648"/>
    <s v="PRD020"/>
    <n v="1"/>
    <n v="179000"/>
    <x v="1"/>
  </r>
  <r>
    <s v="ITM01099"/>
    <s v="ORD00648"/>
    <s v="PRD006"/>
    <n v="1"/>
    <n v="129000"/>
    <x v="10"/>
  </r>
  <r>
    <s v="ITM01100"/>
    <s v="ORD00649"/>
    <s v="PRD020"/>
    <n v="1"/>
    <n v="179000"/>
    <x v="1"/>
  </r>
  <r>
    <s v="ITM01101"/>
    <s v="ORD00649"/>
    <s v="PRD021"/>
    <n v="1"/>
    <n v="69000"/>
    <x v="0"/>
  </r>
  <r>
    <s v="ITM01102"/>
    <s v="ORD00650"/>
    <s v="PRD020"/>
    <n v="1"/>
    <n v="179000"/>
    <x v="1"/>
  </r>
  <r>
    <s v="ITM01103"/>
    <s v="ORD00651"/>
    <s v="PRD021"/>
    <n v="1"/>
    <n v="69000"/>
    <x v="0"/>
  </r>
  <r>
    <s v="ITM01104"/>
    <s v="ORD00652"/>
    <s v="PRD008"/>
    <n v="1"/>
    <n v="399000"/>
    <x v="12"/>
  </r>
  <r>
    <s v="ITM01105"/>
    <s v="ORD00652"/>
    <s v="PRD005"/>
    <n v="1"/>
    <n v="39000"/>
    <x v="2"/>
  </r>
  <r>
    <s v="ITM01106"/>
    <s v="ORD00653"/>
    <s v="PRD017"/>
    <n v="3"/>
    <n v="329000"/>
    <x v="7"/>
  </r>
  <r>
    <s v="ITM01107"/>
    <s v="ORD00653"/>
    <s v="PRD006"/>
    <n v="1"/>
    <n v="129000"/>
    <x v="10"/>
  </r>
  <r>
    <s v="ITM01108"/>
    <s v="ORD00653"/>
    <s v="PRD014"/>
    <n v="3"/>
    <n v="349000"/>
    <x v="9"/>
  </r>
  <r>
    <s v="ITM01109"/>
    <s v="ORD00653"/>
    <s v="PRD021"/>
    <n v="2"/>
    <n v="69000"/>
    <x v="0"/>
  </r>
  <r>
    <s v="ITM01110"/>
    <s v="ORD00654"/>
    <s v="PRD017"/>
    <n v="2"/>
    <n v="329000"/>
    <x v="7"/>
  </r>
  <r>
    <s v="ITM01111"/>
    <s v="ORD00655"/>
    <s v="PRD021"/>
    <n v="1"/>
    <n v="69000"/>
    <x v="0"/>
  </r>
  <r>
    <s v="ITM01112"/>
    <s v="ORD00656"/>
    <s v="PRD022"/>
    <n v="3"/>
    <n v="55000"/>
    <x v="4"/>
  </r>
  <r>
    <s v="ITM01113"/>
    <s v="ORD00656"/>
    <s v="PRD021"/>
    <n v="1"/>
    <n v="69000"/>
    <x v="0"/>
  </r>
  <r>
    <s v="ITM01114"/>
    <s v="ORD00657"/>
    <s v="PRD022"/>
    <n v="2"/>
    <n v="55000"/>
    <x v="4"/>
  </r>
  <r>
    <s v="ITM01115"/>
    <s v="ORD00657"/>
    <s v="PRD005"/>
    <n v="1"/>
    <n v="39000"/>
    <x v="2"/>
  </r>
  <r>
    <s v="ITM01116"/>
    <s v="ORD00658"/>
    <s v="PRD022"/>
    <n v="1"/>
    <n v="55000"/>
    <x v="4"/>
  </r>
  <r>
    <s v="ITM01117"/>
    <s v="ORD00659"/>
    <s v="PRD021"/>
    <n v="2"/>
    <n v="69000"/>
    <x v="0"/>
  </r>
  <r>
    <s v="ITM01118"/>
    <s v="ORD00660"/>
    <s v="PRD009"/>
    <n v="1"/>
    <n v="79000"/>
    <x v="3"/>
  </r>
  <r>
    <s v="ITM01119"/>
    <s v="ORD00661"/>
    <s v="PRD008"/>
    <n v="1"/>
    <n v="399000"/>
    <x v="12"/>
  </r>
  <r>
    <s v="ITM01120"/>
    <s v="ORD00662"/>
    <s v="PRD009"/>
    <n v="1"/>
    <n v="79000"/>
    <x v="3"/>
  </r>
  <r>
    <s v="ITM01121"/>
    <s v="ORD00663"/>
    <s v="PRD002"/>
    <n v="1"/>
    <n v="159000"/>
    <x v="14"/>
  </r>
  <r>
    <s v="ITM01122"/>
    <s v="ORD00663"/>
    <s v="PRD009"/>
    <n v="1"/>
    <n v="79000"/>
    <x v="3"/>
  </r>
  <r>
    <s v="ITM01123"/>
    <s v="ORD00664"/>
    <s v="PRD005"/>
    <n v="1"/>
    <n v="39000"/>
    <x v="2"/>
  </r>
  <r>
    <s v="ITM01124"/>
    <s v="ORD00664"/>
    <s v="PRD021"/>
    <n v="1"/>
    <n v="69000"/>
    <x v="0"/>
  </r>
  <r>
    <s v="ITM01125"/>
    <s v="ORD00664"/>
    <s v="PRD020"/>
    <n v="2"/>
    <n v="179000"/>
    <x v="1"/>
  </r>
  <r>
    <s v="ITM01126"/>
    <s v="ORD00665"/>
    <s v="PRD021"/>
    <n v="1"/>
    <n v="69000"/>
    <x v="0"/>
  </r>
  <r>
    <s v="ITM01127"/>
    <s v="ORD00665"/>
    <s v="PRD008"/>
    <n v="3"/>
    <n v="399000"/>
    <x v="12"/>
  </r>
  <r>
    <s v="ITM01128"/>
    <s v="ORD00666"/>
    <s v="PRD023"/>
    <n v="2"/>
    <n v="139000"/>
    <x v="8"/>
  </r>
  <r>
    <s v="ITM01129"/>
    <s v="ORD00666"/>
    <s v="PRD014"/>
    <n v="2"/>
    <n v="349000"/>
    <x v="9"/>
  </r>
  <r>
    <s v="ITM01130"/>
    <s v="ORD00666"/>
    <s v="PRD005"/>
    <n v="1"/>
    <n v="39000"/>
    <x v="2"/>
  </r>
  <r>
    <s v="ITM01131"/>
    <s v="ORD00667"/>
    <s v="PRD022"/>
    <n v="1"/>
    <n v="55000"/>
    <x v="4"/>
  </r>
  <r>
    <s v="ITM01132"/>
    <s v="ORD00668"/>
    <s v="PRD021"/>
    <n v="2"/>
    <n v="69000"/>
    <x v="0"/>
  </r>
  <r>
    <s v="ITM01133"/>
    <s v="ORD00668"/>
    <s v="PRD005"/>
    <n v="3"/>
    <n v="39000"/>
    <x v="2"/>
  </r>
  <r>
    <s v="ITM01134"/>
    <s v="ORD00669"/>
    <s v="PRD009"/>
    <n v="1"/>
    <n v="79000"/>
    <x v="3"/>
  </r>
  <r>
    <s v="ITM01135"/>
    <s v="ORD00670"/>
    <s v="PRD005"/>
    <n v="1"/>
    <n v="39000"/>
    <x v="2"/>
  </r>
  <r>
    <s v="ITM01136"/>
    <s v="ORD00671"/>
    <s v="PRD005"/>
    <n v="2"/>
    <n v="39000"/>
    <x v="2"/>
  </r>
  <r>
    <s v="ITM01137"/>
    <s v="ORD00671"/>
    <s v="PRD022"/>
    <n v="1"/>
    <n v="55000"/>
    <x v="4"/>
  </r>
  <r>
    <s v="ITM01138"/>
    <s v="ORD00672"/>
    <s v="PRD017"/>
    <n v="1"/>
    <n v="329000"/>
    <x v="7"/>
  </r>
  <r>
    <s v="ITM01139"/>
    <s v="ORD00673"/>
    <s v="PRD005"/>
    <n v="2"/>
    <n v="39000"/>
    <x v="2"/>
  </r>
  <r>
    <s v="ITM01140"/>
    <s v="ORD00673"/>
    <s v="PRD021"/>
    <n v="3"/>
    <n v="69000"/>
    <x v="0"/>
  </r>
  <r>
    <s v="ITM01141"/>
    <s v="ORD00674"/>
    <s v="PRD021"/>
    <n v="3"/>
    <n v="69000"/>
    <x v="0"/>
  </r>
  <r>
    <s v="ITM01142"/>
    <s v="ORD00674"/>
    <s v="PRD017"/>
    <n v="1"/>
    <n v="329000"/>
    <x v="7"/>
  </r>
  <r>
    <s v="ITM01143"/>
    <s v="ORD00674"/>
    <s v="PRD022"/>
    <n v="1"/>
    <n v="55000"/>
    <x v="4"/>
  </r>
  <r>
    <s v="ITM01144"/>
    <s v="ORD00675"/>
    <s v="PRD020"/>
    <n v="1"/>
    <n v="179000"/>
    <x v="1"/>
  </r>
  <r>
    <s v="ITM01145"/>
    <s v="ORD00676"/>
    <s v="PRD021"/>
    <n v="2"/>
    <n v="69000"/>
    <x v="0"/>
  </r>
  <r>
    <s v="ITM01146"/>
    <s v="ORD00676"/>
    <s v="PRD012"/>
    <n v="1"/>
    <n v="229000"/>
    <x v="5"/>
  </r>
  <r>
    <s v="ITM01147"/>
    <s v="ORD00677"/>
    <s v="PRD005"/>
    <n v="3"/>
    <n v="39000"/>
    <x v="2"/>
  </r>
  <r>
    <s v="ITM01148"/>
    <s v="ORD00678"/>
    <s v="PRD009"/>
    <n v="1"/>
    <n v="79000"/>
    <x v="3"/>
  </r>
  <r>
    <s v="ITM01149"/>
    <s v="ORD00679"/>
    <s v="PRD022"/>
    <n v="1"/>
    <n v="55000"/>
    <x v="4"/>
  </r>
  <r>
    <s v="ITM01150"/>
    <s v="ORD00680"/>
    <s v="PRD021"/>
    <n v="1"/>
    <n v="69000"/>
    <x v="0"/>
  </r>
  <r>
    <s v="ITM01151"/>
    <s v="ORD00680"/>
    <s v="PRD023"/>
    <n v="1"/>
    <n v="139000"/>
    <x v="8"/>
  </r>
  <r>
    <s v="ITM01152"/>
    <s v="ORD00681"/>
    <s v="PRD005"/>
    <n v="2"/>
    <n v="39000"/>
    <x v="2"/>
  </r>
  <r>
    <s v="ITM01153"/>
    <s v="ORD00682"/>
    <s v="PRD021"/>
    <n v="1"/>
    <n v="69000"/>
    <x v="0"/>
  </r>
  <r>
    <s v="ITM01154"/>
    <s v="ORD00682"/>
    <s v="PRD020"/>
    <n v="1"/>
    <n v="179000"/>
    <x v="1"/>
  </r>
  <r>
    <s v="ITM01155"/>
    <s v="ORD00683"/>
    <s v="PRD021"/>
    <n v="1"/>
    <n v="69000"/>
    <x v="0"/>
  </r>
  <r>
    <s v="ITM01156"/>
    <s v="ORD00684"/>
    <s v="PRD020"/>
    <n v="1"/>
    <n v="179000"/>
    <x v="1"/>
  </r>
  <r>
    <s v="ITM01157"/>
    <s v="ORD00684"/>
    <s v="PRD009"/>
    <n v="1"/>
    <n v="79000"/>
    <x v="3"/>
  </r>
  <r>
    <s v="ITM01158"/>
    <s v="ORD00685"/>
    <s v="PRD021"/>
    <n v="1"/>
    <n v="69000"/>
    <x v="0"/>
  </r>
  <r>
    <s v="ITM01159"/>
    <s v="ORD00686"/>
    <s v="PRD021"/>
    <n v="3"/>
    <n v="69000"/>
    <x v="0"/>
  </r>
  <r>
    <s v="ITM01160"/>
    <s v="ORD00686"/>
    <s v="PRD005"/>
    <n v="1"/>
    <n v="39000"/>
    <x v="2"/>
  </r>
  <r>
    <s v="ITM01161"/>
    <s v="ORD00687"/>
    <s v="PRD012"/>
    <n v="1"/>
    <n v="229000"/>
    <x v="5"/>
  </r>
  <r>
    <s v="ITM01162"/>
    <s v="ORD00688"/>
    <s v="PRD020"/>
    <n v="1"/>
    <n v="179000"/>
    <x v="1"/>
  </r>
  <r>
    <s v="ITM01163"/>
    <s v="ORD00688"/>
    <s v="PRD021"/>
    <n v="2"/>
    <n v="69000"/>
    <x v="0"/>
  </r>
  <r>
    <s v="ITM01164"/>
    <s v="ORD00689"/>
    <s v="PRD007"/>
    <n v="1"/>
    <n v="99000"/>
    <x v="6"/>
  </r>
  <r>
    <s v="ITM01165"/>
    <s v="ORD00689"/>
    <s v="PRD021"/>
    <n v="1"/>
    <n v="69000"/>
    <x v="0"/>
  </r>
  <r>
    <s v="ITM01166"/>
    <s v="ORD00690"/>
    <s v="PRD022"/>
    <n v="1"/>
    <n v="55000"/>
    <x v="4"/>
  </r>
  <r>
    <s v="ITM01167"/>
    <s v="ORD00691"/>
    <s v="PRD020"/>
    <n v="1"/>
    <n v="179000"/>
    <x v="1"/>
  </r>
  <r>
    <s v="ITM01168"/>
    <s v="ORD00691"/>
    <s v="PRD021"/>
    <n v="1"/>
    <n v="69000"/>
    <x v="0"/>
  </r>
  <r>
    <s v="ITM01169"/>
    <s v="ORD00692"/>
    <s v="PRD021"/>
    <n v="1"/>
    <n v="69000"/>
    <x v="0"/>
  </r>
  <r>
    <s v="ITM01170"/>
    <s v="ORD00693"/>
    <s v="PRD021"/>
    <n v="1"/>
    <n v="69000"/>
    <x v="0"/>
  </r>
  <r>
    <s v="ITM01171"/>
    <s v="ORD00694"/>
    <s v="PRD022"/>
    <n v="1"/>
    <n v="55000"/>
    <x v="4"/>
  </r>
  <r>
    <s v="ITM01172"/>
    <s v="ORD00695"/>
    <s v="PRD005"/>
    <n v="1"/>
    <n v="39000"/>
    <x v="2"/>
  </r>
  <r>
    <s v="ITM01173"/>
    <s v="ORD00695"/>
    <s v="PRD008"/>
    <n v="1"/>
    <n v="399000"/>
    <x v="12"/>
  </r>
  <r>
    <s v="ITM01174"/>
    <s v="ORD00696"/>
    <s v="PRD005"/>
    <n v="1"/>
    <n v="39000"/>
    <x v="2"/>
  </r>
  <r>
    <s v="ITM01175"/>
    <s v="ORD00696"/>
    <s v="PRD021"/>
    <n v="1"/>
    <n v="69000"/>
    <x v="0"/>
  </r>
  <r>
    <s v="ITM01176"/>
    <s v="ORD00697"/>
    <s v="PRD006"/>
    <n v="1"/>
    <n v="129000"/>
    <x v="10"/>
  </r>
  <r>
    <s v="ITM01177"/>
    <s v="ORD00698"/>
    <s v="PRD021"/>
    <n v="1"/>
    <n v="69000"/>
    <x v="0"/>
  </r>
  <r>
    <s v="ITM01178"/>
    <s v="ORD00699"/>
    <s v="PRD005"/>
    <n v="1"/>
    <n v="39000"/>
    <x v="2"/>
  </r>
  <r>
    <s v="ITM01179"/>
    <s v="ORD00699"/>
    <s v="PRD021"/>
    <n v="2"/>
    <n v="69000"/>
    <x v="0"/>
  </r>
  <r>
    <s v="ITM01180"/>
    <s v="ORD00700"/>
    <s v="PRD021"/>
    <n v="1"/>
    <n v="69000"/>
    <x v="0"/>
  </r>
  <r>
    <s v="ITM01181"/>
    <s v="ORD00700"/>
    <s v="PRD023"/>
    <n v="1"/>
    <n v="139000"/>
    <x v="8"/>
  </r>
  <r>
    <s v="ITM01182"/>
    <s v="ORD00701"/>
    <s v="PRD014"/>
    <n v="1"/>
    <n v="349000"/>
    <x v="9"/>
  </r>
  <r>
    <s v="ITM01183"/>
    <s v="ORD00702"/>
    <s v="PRD021"/>
    <n v="1"/>
    <n v="69000"/>
    <x v="0"/>
  </r>
  <r>
    <s v="ITM01184"/>
    <s v="ORD00702"/>
    <s v="PRD020"/>
    <n v="1"/>
    <n v="179000"/>
    <x v="1"/>
  </r>
  <r>
    <s v="ITM01185"/>
    <s v="ORD00703"/>
    <s v="PRD005"/>
    <n v="1"/>
    <n v="39000"/>
    <x v="2"/>
  </r>
  <r>
    <s v="ITM01186"/>
    <s v="ORD00704"/>
    <s v="PRD008"/>
    <n v="1"/>
    <n v="399000"/>
    <x v="12"/>
  </r>
  <r>
    <s v="ITM01187"/>
    <s v="ORD00704"/>
    <s v="PRD017"/>
    <n v="1"/>
    <n v="329000"/>
    <x v="7"/>
  </r>
  <r>
    <s v="ITM01188"/>
    <s v="ORD00705"/>
    <s v="PRD014"/>
    <n v="2"/>
    <n v="349000"/>
    <x v="9"/>
  </r>
  <r>
    <s v="ITM01189"/>
    <s v="ORD00705"/>
    <s v="PRD004"/>
    <n v="1"/>
    <n v="199000"/>
    <x v="19"/>
  </r>
  <r>
    <s v="ITM01190"/>
    <s v="ORD00706"/>
    <s v="PRD021"/>
    <n v="1"/>
    <n v="69000"/>
    <x v="0"/>
  </r>
  <r>
    <s v="ITM01191"/>
    <s v="ORD00707"/>
    <s v="PRD014"/>
    <n v="1"/>
    <n v="349000"/>
    <x v="9"/>
  </r>
  <r>
    <s v="ITM01192"/>
    <s v="ORD00708"/>
    <s v="PRD021"/>
    <n v="1"/>
    <n v="69000"/>
    <x v="0"/>
  </r>
  <r>
    <s v="ITM01193"/>
    <s v="ORD00709"/>
    <s v="PRD021"/>
    <n v="1"/>
    <n v="69000"/>
    <x v="0"/>
  </r>
  <r>
    <s v="ITM01194"/>
    <s v="ORD00709"/>
    <s v="PRD005"/>
    <n v="1"/>
    <n v="39000"/>
    <x v="2"/>
  </r>
  <r>
    <s v="ITM01195"/>
    <s v="ORD00709"/>
    <s v="PRD006"/>
    <n v="1"/>
    <n v="129000"/>
    <x v="10"/>
  </r>
  <r>
    <s v="ITM01196"/>
    <s v="ORD00710"/>
    <s v="PRD021"/>
    <n v="1"/>
    <n v="69000"/>
    <x v="0"/>
  </r>
  <r>
    <s v="ITM01197"/>
    <s v="ORD00710"/>
    <s v="PRD005"/>
    <n v="1"/>
    <n v="39000"/>
    <x v="2"/>
  </r>
  <r>
    <s v="ITM01198"/>
    <s v="ORD00711"/>
    <s v="PRD021"/>
    <n v="1"/>
    <n v="69000"/>
    <x v="0"/>
  </r>
  <r>
    <s v="ITM01199"/>
    <s v="ORD00712"/>
    <s v="PRD021"/>
    <n v="1"/>
    <n v="69000"/>
    <x v="0"/>
  </r>
  <r>
    <s v="ITM01200"/>
    <s v="ORD00712"/>
    <s v="PRD022"/>
    <n v="2"/>
    <n v="55000"/>
    <x v="4"/>
  </r>
  <r>
    <s v="ITM01201"/>
    <s v="ORD00713"/>
    <s v="PRD020"/>
    <n v="2"/>
    <n v="179000"/>
    <x v="1"/>
  </r>
  <r>
    <s v="ITM01202"/>
    <s v="ORD00713"/>
    <s v="PRD006"/>
    <n v="1"/>
    <n v="129000"/>
    <x v="10"/>
  </r>
  <r>
    <s v="ITM01203"/>
    <s v="ORD00714"/>
    <s v="PRD021"/>
    <n v="1"/>
    <n v="69000"/>
    <x v="0"/>
  </r>
  <r>
    <s v="ITM01204"/>
    <s v="ORD00714"/>
    <s v="PRD017"/>
    <n v="3"/>
    <n v="329000"/>
    <x v="7"/>
  </r>
  <r>
    <s v="ITM01205"/>
    <s v="ORD00714"/>
    <s v="PRD005"/>
    <n v="1"/>
    <n v="39000"/>
    <x v="2"/>
  </r>
  <r>
    <s v="ITM01206"/>
    <s v="ORD00715"/>
    <s v="PRD009"/>
    <n v="2"/>
    <n v="79000"/>
    <x v="3"/>
  </r>
  <r>
    <s v="ITM01207"/>
    <s v="ORD00715"/>
    <s v="PRD021"/>
    <n v="2"/>
    <n v="69000"/>
    <x v="0"/>
  </r>
  <r>
    <s v="ITM01208"/>
    <s v="ORD00715"/>
    <s v="PRD022"/>
    <n v="1"/>
    <n v="55000"/>
    <x v="4"/>
  </r>
  <r>
    <s v="ITM01209"/>
    <s v="ORD00716"/>
    <s v="PRD005"/>
    <n v="1"/>
    <n v="39000"/>
    <x v="2"/>
  </r>
  <r>
    <s v="ITM01210"/>
    <s v="ORD00717"/>
    <s v="PRD022"/>
    <n v="2"/>
    <n v="55000"/>
    <x v="4"/>
  </r>
  <r>
    <s v="ITM01211"/>
    <s v="ORD00717"/>
    <s v="PRD023"/>
    <n v="2"/>
    <n v="139000"/>
    <x v="8"/>
  </r>
  <r>
    <s v="ITM01212"/>
    <s v="ORD00718"/>
    <s v="PRD021"/>
    <n v="1"/>
    <n v="69000"/>
    <x v="0"/>
  </r>
  <r>
    <s v="ITM01213"/>
    <s v="ORD00719"/>
    <s v="PRD021"/>
    <n v="2"/>
    <n v="69000"/>
    <x v="0"/>
  </r>
  <r>
    <s v="ITM01214"/>
    <s v="ORD00720"/>
    <s v="PRD021"/>
    <n v="1"/>
    <n v="69000"/>
    <x v="0"/>
  </r>
  <r>
    <s v="ITM01215"/>
    <s v="ORD00720"/>
    <s v="PRD020"/>
    <n v="2"/>
    <n v="179000"/>
    <x v="1"/>
  </r>
  <r>
    <s v="ITM01216"/>
    <s v="ORD00721"/>
    <s v="PRD005"/>
    <n v="1"/>
    <n v="39000"/>
    <x v="2"/>
  </r>
  <r>
    <s v="ITM01217"/>
    <s v="ORD00722"/>
    <s v="PRD020"/>
    <n v="1"/>
    <n v="179000"/>
    <x v="1"/>
  </r>
  <r>
    <s v="ITM01218"/>
    <s v="ORD00723"/>
    <s v="PRD003"/>
    <n v="1"/>
    <n v="499000"/>
    <x v="11"/>
  </r>
  <r>
    <s v="ITM01219"/>
    <s v="ORD00724"/>
    <s v="PRD005"/>
    <n v="1"/>
    <n v="39000"/>
    <x v="2"/>
  </r>
  <r>
    <s v="ITM01220"/>
    <s v="ORD00724"/>
    <s v="PRD009"/>
    <n v="1"/>
    <n v="79000"/>
    <x v="3"/>
  </r>
  <r>
    <s v="ITM01221"/>
    <s v="ORD00725"/>
    <s v="PRD020"/>
    <n v="1"/>
    <n v="179000"/>
    <x v="1"/>
  </r>
  <r>
    <s v="ITM01222"/>
    <s v="ORD00726"/>
    <s v="PRD021"/>
    <n v="2"/>
    <n v="69000"/>
    <x v="0"/>
  </r>
  <r>
    <s v="ITM01223"/>
    <s v="ORD00726"/>
    <s v="PRD020"/>
    <n v="2"/>
    <n v="179000"/>
    <x v="1"/>
  </r>
  <r>
    <s v="ITM01224"/>
    <s v="ORD00727"/>
    <s v="PRD014"/>
    <n v="3"/>
    <n v="349000"/>
    <x v="9"/>
  </r>
  <r>
    <s v="ITM01225"/>
    <s v="ORD00728"/>
    <s v="PRD005"/>
    <n v="3"/>
    <n v="39000"/>
    <x v="2"/>
  </r>
  <r>
    <s v="ITM01226"/>
    <s v="ORD00728"/>
    <s v="PRD006"/>
    <n v="1"/>
    <n v="129000"/>
    <x v="10"/>
  </r>
  <r>
    <s v="ITM01227"/>
    <s v="ORD00729"/>
    <s v="PRD005"/>
    <n v="1"/>
    <n v="39000"/>
    <x v="2"/>
  </r>
  <r>
    <s v="ITM01228"/>
    <s v="ORD00729"/>
    <s v="PRD021"/>
    <n v="2"/>
    <n v="69000"/>
    <x v="0"/>
  </r>
  <r>
    <s v="ITM01229"/>
    <s v="ORD00729"/>
    <s v="PRD006"/>
    <n v="1"/>
    <n v="129000"/>
    <x v="10"/>
  </r>
  <r>
    <s v="ITM01230"/>
    <s v="ORD00729"/>
    <s v="PRD022"/>
    <n v="3"/>
    <n v="55000"/>
    <x v="4"/>
  </r>
  <r>
    <s v="ITM01231"/>
    <s v="ORD00730"/>
    <s v="PRD008"/>
    <n v="1"/>
    <n v="399000"/>
    <x v="12"/>
  </r>
  <r>
    <s v="ITM01232"/>
    <s v="ORD00730"/>
    <s v="PRD009"/>
    <n v="2"/>
    <n v="79000"/>
    <x v="3"/>
  </r>
  <r>
    <s v="ITM01233"/>
    <s v="ORD00730"/>
    <s v="PRD020"/>
    <n v="1"/>
    <n v="179000"/>
    <x v="1"/>
  </r>
  <r>
    <s v="ITM01234"/>
    <s v="ORD00730"/>
    <s v="PRD005"/>
    <n v="1"/>
    <n v="39000"/>
    <x v="2"/>
  </r>
  <r>
    <s v="ITM01235"/>
    <s v="ORD00731"/>
    <s v="PRD021"/>
    <n v="1"/>
    <n v="69000"/>
    <x v="0"/>
  </r>
  <r>
    <s v="ITM01236"/>
    <s v="ORD00731"/>
    <s v="PRD005"/>
    <n v="1"/>
    <n v="39000"/>
    <x v="2"/>
  </r>
  <r>
    <s v="ITM01237"/>
    <s v="ORD00732"/>
    <s v="PRD005"/>
    <n v="2"/>
    <n v="39000"/>
    <x v="2"/>
  </r>
  <r>
    <s v="ITM01238"/>
    <s v="ORD00733"/>
    <s v="PRD021"/>
    <n v="1"/>
    <n v="69000"/>
    <x v="0"/>
  </r>
  <r>
    <s v="ITM01239"/>
    <s v="ORD00734"/>
    <s v="PRD009"/>
    <n v="1"/>
    <n v="79000"/>
    <x v="3"/>
  </r>
  <r>
    <s v="ITM01240"/>
    <s v="ORD00734"/>
    <s v="PRD021"/>
    <n v="1"/>
    <n v="69000"/>
    <x v="0"/>
  </r>
  <r>
    <s v="ITM01241"/>
    <s v="ORD00734"/>
    <s v="PRD020"/>
    <n v="1"/>
    <n v="179000"/>
    <x v="1"/>
  </r>
  <r>
    <s v="ITM01242"/>
    <s v="ORD00735"/>
    <s v="PRD020"/>
    <n v="1"/>
    <n v="179000"/>
    <x v="1"/>
  </r>
  <r>
    <s v="ITM01243"/>
    <s v="ORD00736"/>
    <s v="PRD021"/>
    <n v="1"/>
    <n v="69000"/>
    <x v="0"/>
  </r>
  <r>
    <s v="ITM01244"/>
    <s v="ORD00736"/>
    <s v="PRD022"/>
    <n v="1"/>
    <n v="55000"/>
    <x v="4"/>
  </r>
  <r>
    <s v="ITM01245"/>
    <s v="ORD00737"/>
    <s v="PRD021"/>
    <n v="1"/>
    <n v="69000"/>
    <x v="0"/>
  </r>
  <r>
    <s v="ITM01246"/>
    <s v="ORD00738"/>
    <s v="PRD008"/>
    <n v="3"/>
    <n v="399000"/>
    <x v="12"/>
  </r>
  <r>
    <s v="ITM01247"/>
    <s v="ORD00739"/>
    <s v="PRD006"/>
    <n v="1"/>
    <n v="129000"/>
    <x v="10"/>
  </r>
  <r>
    <s v="ITM01248"/>
    <s v="ORD00739"/>
    <s v="PRD021"/>
    <n v="1"/>
    <n v="69000"/>
    <x v="0"/>
  </r>
  <r>
    <s v="ITM01249"/>
    <s v="ORD00739"/>
    <s v="PRD017"/>
    <n v="1"/>
    <n v="329000"/>
    <x v="7"/>
  </r>
  <r>
    <s v="ITM01250"/>
    <s v="ORD00739"/>
    <s v="PRD005"/>
    <n v="2"/>
    <n v="39000"/>
    <x v="2"/>
  </r>
  <r>
    <s v="ITM01251"/>
    <s v="ORD00740"/>
    <s v="PRD005"/>
    <n v="1"/>
    <n v="39000"/>
    <x v="2"/>
  </r>
  <r>
    <s v="ITM01252"/>
    <s v="ORD00740"/>
    <s v="PRD021"/>
    <n v="1"/>
    <n v="69000"/>
    <x v="0"/>
  </r>
  <r>
    <s v="ITM01253"/>
    <s v="ORD00741"/>
    <s v="PRD021"/>
    <n v="2"/>
    <n v="69000"/>
    <x v="0"/>
  </r>
  <r>
    <s v="ITM01254"/>
    <s v="ORD00742"/>
    <s v="PRD014"/>
    <n v="1"/>
    <n v="349000"/>
    <x v="9"/>
  </r>
  <r>
    <s v="ITM01255"/>
    <s v="ORD00743"/>
    <s v="PRD005"/>
    <n v="1"/>
    <n v="39000"/>
    <x v="2"/>
  </r>
  <r>
    <s v="ITM01256"/>
    <s v="ORD00743"/>
    <s v="PRD022"/>
    <n v="1"/>
    <n v="55000"/>
    <x v="4"/>
  </r>
  <r>
    <s v="ITM01257"/>
    <s v="ORD00744"/>
    <s v="PRD005"/>
    <n v="1"/>
    <n v="39000"/>
    <x v="2"/>
  </r>
  <r>
    <s v="ITM01258"/>
    <s v="ORD00744"/>
    <s v="PRD006"/>
    <n v="1"/>
    <n v="129000"/>
    <x v="10"/>
  </r>
  <r>
    <s v="ITM01259"/>
    <s v="ORD00745"/>
    <s v="PRD023"/>
    <n v="1"/>
    <n v="139000"/>
    <x v="8"/>
  </r>
  <r>
    <s v="ITM01260"/>
    <s v="ORD00746"/>
    <s v="PRD021"/>
    <n v="1"/>
    <n v="69000"/>
    <x v="0"/>
  </r>
  <r>
    <s v="ITM01261"/>
    <s v="ORD00746"/>
    <s v="PRD005"/>
    <n v="1"/>
    <n v="39000"/>
    <x v="2"/>
  </r>
  <r>
    <s v="ITM01262"/>
    <s v="ORD00747"/>
    <s v="PRD021"/>
    <n v="1"/>
    <n v="69000"/>
    <x v="0"/>
  </r>
  <r>
    <s v="ITM01263"/>
    <s v="ORD00748"/>
    <s v="PRD017"/>
    <n v="1"/>
    <n v="329000"/>
    <x v="7"/>
  </r>
  <r>
    <s v="ITM01264"/>
    <s v="ORD00748"/>
    <s v="PRD021"/>
    <n v="1"/>
    <n v="69000"/>
    <x v="0"/>
  </r>
  <r>
    <s v="ITM01265"/>
    <s v="ORD00748"/>
    <s v="PRD014"/>
    <n v="1"/>
    <n v="349000"/>
    <x v="9"/>
  </r>
  <r>
    <s v="ITM01266"/>
    <s v="ORD00748"/>
    <s v="PRD009"/>
    <n v="1"/>
    <n v="79000"/>
    <x v="3"/>
  </r>
  <r>
    <s v="ITM01267"/>
    <s v="ORD00749"/>
    <s v="PRD021"/>
    <n v="1"/>
    <n v="69000"/>
    <x v="0"/>
  </r>
  <r>
    <s v="ITM01268"/>
    <s v="ORD00750"/>
    <s v="PRD021"/>
    <n v="2"/>
    <n v="69000"/>
    <x v="0"/>
  </r>
  <r>
    <s v="ITM01269"/>
    <s v="ORD00750"/>
    <s v="PRD022"/>
    <n v="1"/>
    <n v="55000"/>
    <x v="4"/>
  </r>
  <r>
    <s v="ITM01270"/>
    <s v="ORD00751"/>
    <s v="PRD002"/>
    <n v="1"/>
    <n v="159000"/>
    <x v="14"/>
  </r>
  <r>
    <s v="ITM01271"/>
    <s v="ORD00752"/>
    <s v="PRD021"/>
    <n v="1"/>
    <n v="69000"/>
    <x v="0"/>
  </r>
  <r>
    <s v="ITM01272"/>
    <s v="ORD00752"/>
    <s v="PRD005"/>
    <n v="3"/>
    <n v="39000"/>
    <x v="2"/>
  </r>
  <r>
    <s v="ITM01273"/>
    <s v="ORD00753"/>
    <s v="PRD014"/>
    <n v="1"/>
    <n v="349000"/>
    <x v="9"/>
  </r>
  <r>
    <s v="ITM01274"/>
    <s v="ORD00754"/>
    <s v="PRD020"/>
    <n v="2"/>
    <n v="179000"/>
    <x v="1"/>
  </r>
  <r>
    <s v="ITM01275"/>
    <s v="ORD00755"/>
    <s v="PRD023"/>
    <n v="1"/>
    <n v="139000"/>
    <x v="8"/>
  </r>
  <r>
    <s v="ITM01276"/>
    <s v="ORD00756"/>
    <s v="PRD021"/>
    <n v="1"/>
    <n v="69000"/>
    <x v="0"/>
  </r>
  <r>
    <s v="ITM01277"/>
    <s v="ORD00756"/>
    <s v="PRD001"/>
    <n v="1"/>
    <n v="299000"/>
    <x v="20"/>
  </r>
  <r>
    <s v="ITM01278"/>
    <s v="ORD00756"/>
    <s v="PRD017"/>
    <n v="1"/>
    <n v="329000"/>
    <x v="7"/>
  </r>
  <r>
    <s v="ITM01279"/>
    <s v="ORD00757"/>
    <s v="PRD020"/>
    <n v="1"/>
    <n v="179000"/>
    <x v="1"/>
  </r>
  <r>
    <s v="ITM01280"/>
    <s v="ORD00757"/>
    <s v="PRD021"/>
    <n v="1"/>
    <n v="69000"/>
    <x v="0"/>
  </r>
  <r>
    <s v="ITM01281"/>
    <s v="ORD00757"/>
    <s v="PRD005"/>
    <n v="2"/>
    <n v="39000"/>
    <x v="2"/>
  </r>
  <r>
    <s v="ITM01282"/>
    <s v="ORD00757"/>
    <s v="PRD009"/>
    <n v="1"/>
    <n v="79000"/>
    <x v="3"/>
  </r>
  <r>
    <s v="ITM01283"/>
    <s v="ORD00758"/>
    <s v="PRD022"/>
    <n v="2"/>
    <n v="55000"/>
    <x v="4"/>
  </r>
  <r>
    <s v="ITM01284"/>
    <s v="ORD00758"/>
    <s v="PRD005"/>
    <n v="1"/>
    <n v="39000"/>
    <x v="2"/>
  </r>
  <r>
    <s v="ITM01285"/>
    <s v="ORD00758"/>
    <s v="PRD017"/>
    <n v="1"/>
    <n v="329000"/>
    <x v="7"/>
  </r>
  <r>
    <s v="ITM01286"/>
    <s v="ORD00759"/>
    <s v="PRD005"/>
    <n v="1"/>
    <n v="39000"/>
    <x v="2"/>
  </r>
  <r>
    <s v="ITM01287"/>
    <s v="ORD00759"/>
    <s v="PRD021"/>
    <n v="2"/>
    <n v="69000"/>
    <x v="0"/>
  </r>
  <r>
    <s v="ITM01288"/>
    <s v="ORD00759"/>
    <s v="PRD006"/>
    <n v="1"/>
    <n v="129000"/>
    <x v="10"/>
  </r>
  <r>
    <s v="ITM01289"/>
    <s v="ORD00759"/>
    <s v="PRD020"/>
    <n v="1"/>
    <n v="179000"/>
    <x v="1"/>
  </r>
  <r>
    <s v="ITM01290"/>
    <s v="ORD00760"/>
    <s v="PRD023"/>
    <n v="1"/>
    <n v="139000"/>
    <x v="8"/>
  </r>
  <r>
    <s v="ITM01291"/>
    <s v="ORD00760"/>
    <s v="PRD021"/>
    <n v="1"/>
    <n v="69000"/>
    <x v="0"/>
  </r>
  <r>
    <s v="ITM01292"/>
    <s v="ORD00761"/>
    <s v="PRD021"/>
    <n v="1"/>
    <n v="69000"/>
    <x v="0"/>
  </r>
  <r>
    <s v="ITM01293"/>
    <s v="ORD00762"/>
    <s v="PRD021"/>
    <n v="2"/>
    <n v="69000"/>
    <x v="0"/>
  </r>
  <r>
    <s v="ITM01294"/>
    <s v="ORD00762"/>
    <s v="PRD005"/>
    <n v="1"/>
    <n v="39000"/>
    <x v="2"/>
  </r>
  <r>
    <s v="ITM01295"/>
    <s v="ORD00763"/>
    <s v="PRD021"/>
    <n v="2"/>
    <n v="69000"/>
    <x v="0"/>
  </r>
  <r>
    <s v="ITM01296"/>
    <s v="ORD00763"/>
    <s v="PRD005"/>
    <n v="1"/>
    <n v="39000"/>
    <x v="2"/>
  </r>
  <r>
    <s v="ITM01297"/>
    <s v="ORD00764"/>
    <s v="PRD021"/>
    <n v="1"/>
    <n v="69000"/>
    <x v="0"/>
  </r>
  <r>
    <s v="ITM01298"/>
    <s v="ORD00765"/>
    <s v="PRD005"/>
    <n v="3"/>
    <n v="39000"/>
    <x v="2"/>
  </r>
  <r>
    <s v="ITM01299"/>
    <s v="ORD00765"/>
    <s v="PRD020"/>
    <n v="1"/>
    <n v="179000"/>
    <x v="1"/>
  </r>
  <r>
    <s v="ITM01300"/>
    <s v="ORD00765"/>
    <s v="PRD022"/>
    <n v="1"/>
    <n v="55000"/>
    <x v="4"/>
  </r>
  <r>
    <s v="ITM01301"/>
    <s v="ORD00766"/>
    <s v="PRD012"/>
    <n v="1"/>
    <n v="229000"/>
    <x v="5"/>
  </r>
  <r>
    <s v="ITM01302"/>
    <s v="ORD00767"/>
    <s v="PRD020"/>
    <n v="1"/>
    <n v="179000"/>
    <x v="1"/>
  </r>
  <r>
    <s v="ITM01303"/>
    <s v="ORD00768"/>
    <s v="PRD021"/>
    <n v="1"/>
    <n v="69000"/>
    <x v="0"/>
  </r>
  <r>
    <s v="ITM01304"/>
    <s v="ORD00768"/>
    <s v="PRD005"/>
    <n v="2"/>
    <n v="39000"/>
    <x v="2"/>
  </r>
  <r>
    <s v="ITM01305"/>
    <s v="ORD00768"/>
    <s v="PRD020"/>
    <n v="1"/>
    <n v="179000"/>
    <x v="1"/>
  </r>
  <r>
    <s v="ITM01306"/>
    <s v="ORD00768"/>
    <s v="PRD009"/>
    <n v="1"/>
    <n v="79000"/>
    <x v="3"/>
  </r>
  <r>
    <s v="ITM01307"/>
    <s v="ORD00769"/>
    <s v="PRD005"/>
    <n v="2"/>
    <n v="39000"/>
    <x v="2"/>
  </r>
  <r>
    <s v="ITM01308"/>
    <s v="ORD00769"/>
    <s v="PRD021"/>
    <n v="2"/>
    <n v="69000"/>
    <x v="0"/>
  </r>
  <r>
    <s v="ITM01309"/>
    <s v="ORD00770"/>
    <s v="PRD021"/>
    <n v="1"/>
    <n v="69000"/>
    <x v="0"/>
  </r>
  <r>
    <s v="ITM01310"/>
    <s v="ORD00771"/>
    <s v="PRD008"/>
    <n v="3"/>
    <n v="399000"/>
    <x v="12"/>
  </r>
  <r>
    <s v="ITM01311"/>
    <s v="ORD00772"/>
    <s v="PRD021"/>
    <n v="2"/>
    <n v="69000"/>
    <x v="0"/>
  </r>
  <r>
    <s v="ITM01312"/>
    <s v="ORD00773"/>
    <s v="PRD021"/>
    <n v="2"/>
    <n v="69000"/>
    <x v="0"/>
  </r>
  <r>
    <s v="ITM01313"/>
    <s v="ORD00773"/>
    <s v="PRD005"/>
    <n v="1"/>
    <n v="39000"/>
    <x v="2"/>
  </r>
  <r>
    <s v="ITM01314"/>
    <s v="ORD00773"/>
    <s v="PRD007"/>
    <n v="1"/>
    <n v="99000"/>
    <x v="6"/>
  </r>
  <r>
    <s v="ITM01315"/>
    <s v="ORD00773"/>
    <s v="PRD009"/>
    <n v="1"/>
    <n v="79000"/>
    <x v="3"/>
  </r>
  <r>
    <s v="ITM01316"/>
    <s v="ORD00774"/>
    <s v="PRD021"/>
    <n v="1"/>
    <n v="69000"/>
    <x v="0"/>
  </r>
  <r>
    <s v="ITM01317"/>
    <s v="ORD00775"/>
    <s v="PRD017"/>
    <n v="1"/>
    <n v="329000"/>
    <x v="7"/>
  </r>
  <r>
    <s v="ITM01318"/>
    <s v="ORD00776"/>
    <s v="PRD017"/>
    <n v="1"/>
    <n v="329000"/>
    <x v="7"/>
  </r>
  <r>
    <s v="ITM01319"/>
    <s v="ORD00776"/>
    <s v="PRD021"/>
    <n v="1"/>
    <n v="69000"/>
    <x v="0"/>
  </r>
  <r>
    <s v="ITM01320"/>
    <s v="ORD00776"/>
    <s v="PRD006"/>
    <n v="1"/>
    <n v="129000"/>
    <x v="10"/>
  </r>
  <r>
    <s v="ITM01321"/>
    <s v="ORD00777"/>
    <s v="PRD020"/>
    <n v="1"/>
    <n v="179000"/>
    <x v="1"/>
  </r>
  <r>
    <s v="ITM01322"/>
    <s v="ORD00777"/>
    <s v="PRD022"/>
    <n v="2"/>
    <n v="55000"/>
    <x v="4"/>
  </r>
  <r>
    <s v="ITM01323"/>
    <s v="ORD00778"/>
    <s v="PRD004"/>
    <n v="1"/>
    <n v="199000"/>
    <x v="19"/>
  </r>
  <r>
    <s v="ITM01324"/>
    <s v="ORD00779"/>
    <s v="PRD021"/>
    <n v="1"/>
    <n v="69000"/>
    <x v="0"/>
  </r>
  <r>
    <s v="ITM01325"/>
    <s v="ORD00780"/>
    <s v="PRD021"/>
    <n v="2"/>
    <n v="69000"/>
    <x v="0"/>
  </r>
  <r>
    <s v="ITM01326"/>
    <s v="ORD00781"/>
    <s v="PRD008"/>
    <n v="3"/>
    <n v="399000"/>
    <x v="12"/>
  </r>
  <r>
    <s v="ITM01327"/>
    <s v="ORD00782"/>
    <s v="PRD005"/>
    <n v="1"/>
    <n v="39000"/>
    <x v="2"/>
  </r>
  <r>
    <s v="ITM01328"/>
    <s v="ORD00782"/>
    <s v="PRD021"/>
    <n v="3"/>
    <n v="69000"/>
    <x v="0"/>
  </r>
  <r>
    <s v="ITM01329"/>
    <s v="ORD00782"/>
    <s v="PRD009"/>
    <n v="1"/>
    <n v="79000"/>
    <x v="3"/>
  </r>
  <r>
    <s v="ITM01330"/>
    <s v="ORD00783"/>
    <s v="PRD005"/>
    <n v="3"/>
    <n v="39000"/>
    <x v="2"/>
  </r>
  <r>
    <s v="ITM01331"/>
    <s v="ORD00784"/>
    <s v="PRD007"/>
    <n v="3"/>
    <n v="99000"/>
    <x v="6"/>
  </r>
  <r>
    <s v="ITM01332"/>
    <s v="ORD00784"/>
    <s v="PRD021"/>
    <n v="1"/>
    <n v="69000"/>
    <x v="0"/>
  </r>
  <r>
    <s v="ITM01333"/>
    <s v="ORD00785"/>
    <s v="PRD005"/>
    <n v="2"/>
    <n v="39000"/>
    <x v="2"/>
  </r>
  <r>
    <s v="ITM01334"/>
    <s v="ORD00786"/>
    <s v="PRD005"/>
    <n v="1"/>
    <n v="39000"/>
    <x v="2"/>
  </r>
  <r>
    <s v="ITM01335"/>
    <s v="ORD00786"/>
    <s v="PRD021"/>
    <n v="2"/>
    <n v="69000"/>
    <x v="0"/>
  </r>
  <r>
    <s v="ITM01336"/>
    <s v="ORD00787"/>
    <s v="PRD005"/>
    <n v="3"/>
    <n v="39000"/>
    <x v="2"/>
  </r>
  <r>
    <s v="ITM01337"/>
    <s v="ORD00788"/>
    <s v="PRD017"/>
    <n v="1"/>
    <n v="329000"/>
    <x v="7"/>
  </r>
  <r>
    <s v="ITM01338"/>
    <s v="ORD00788"/>
    <s v="PRD022"/>
    <n v="2"/>
    <n v="55000"/>
    <x v="4"/>
  </r>
  <r>
    <s v="ITM01339"/>
    <s v="ORD00789"/>
    <s v="PRD021"/>
    <n v="1"/>
    <n v="69000"/>
    <x v="0"/>
  </r>
  <r>
    <s v="ITM01340"/>
    <s v="ORD00790"/>
    <s v="PRD019"/>
    <n v="2"/>
    <n v="79000"/>
    <x v="13"/>
  </r>
  <r>
    <s v="ITM01341"/>
    <s v="ORD00790"/>
    <s v="PRD021"/>
    <n v="3"/>
    <n v="69000"/>
    <x v="0"/>
  </r>
  <r>
    <s v="ITM01342"/>
    <s v="ORD00791"/>
    <s v="PRD008"/>
    <n v="1"/>
    <n v="399000"/>
    <x v="12"/>
  </r>
  <r>
    <s v="ITM01343"/>
    <s v="ORD00792"/>
    <s v="PRD005"/>
    <n v="1"/>
    <n v="39000"/>
    <x v="2"/>
  </r>
  <r>
    <s v="ITM01344"/>
    <s v="ORD00793"/>
    <s v="PRD009"/>
    <n v="2"/>
    <n v="79000"/>
    <x v="3"/>
  </r>
  <r>
    <s v="ITM01345"/>
    <s v="ORD00794"/>
    <s v="PRD005"/>
    <n v="1"/>
    <n v="39000"/>
    <x v="2"/>
  </r>
  <r>
    <s v="ITM01346"/>
    <s v="ORD00795"/>
    <s v="PRD002"/>
    <n v="1"/>
    <n v="159000"/>
    <x v="14"/>
  </r>
  <r>
    <s v="ITM01347"/>
    <s v="ORD00795"/>
    <s v="PRD021"/>
    <n v="1"/>
    <n v="69000"/>
    <x v="0"/>
  </r>
  <r>
    <s v="ITM01348"/>
    <s v="ORD00795"/>
    <s v="PRD008"/>
    <n v="2"/>
    <n v="399000"/>
    <x v="12"/>
  </r>
  <r>
    <s v="ITM01349"/>
    <s v="ORD00795"/>
    <s v="PRD005"/>
    <n v="3"/>
    <n v="39000"/>
    <x v="2"/>
  </r>
  <r>
    <s v="ITM01350"/>
    <s v="ORD00796"/>
    <s v="PRD022"/>
    <n v="3"/>
    <n v="55000"/>
    <x v="4"/>
  </r>
  <r>
    <s v="ITM01351"/>
    <s v="ORD00797"/>
    <s v="PRD021"/>
    <n v="1"/>
    <n v="69000"/>
    <x v="0"/>
  </r>
  <r>
    <s v="ITM01352"/>
    <s v="ORD00797"/>
    <s v="PRD005"/>
    <n v="1"/>
    <n v="39000"/>
    <x v="2"/>
  </r>
  <r>
    <s v="ITM01353"/>
    <s v="ORD00797"/>
    <s v="PRD022"/>
    <n v="1"/>
    <n v="55000"/>
    <x v="4"/>
  </r>
  <r>
    <s v="ITM01354"/>
    <s v="ORD00798"/>
    <s v="PRD006"/>
    <n v="1"/>
    <n v="129000"/>
    <x v="10"/>
  </r>
  <r>
    <s v="ITM01355"/>
    <s v="ORD00798"/>
    <s v="PRD022"/>
    <n v="1"/>
    <n v="55000"/>
    <x v="4"/>
  </r>
  <r>
    <s v="ITM01356"/>
    <s v="ORD00799"/>
    <s v="PRD021"/>
    <n v="1"/>
    <n v="69000"/>
    <x v="0"/>
  </r>
  <r>
    <s v="ITM01357"/>
    <s v="ORD00800"/>
    <s v="PRD005"/>
    <n v="1"/>
    <n v="39000"/>
    <x v="2"/>
  </r>
  <r>
    <s v="ITM00824"/>
    <s v="ORD00478"/>
    <s v="PRD017"/>
    <n v="1"/>
    <n v="329000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s v="ITM00001"/>
    <s v="ORD00001"/>
    <s v="PRD021"/>
    <n v="1"/>
    <n v="69000"/>
    <x v="0"/>
    <n v="69000"/>
  </r>
  <r>
    <s v="ITM00002"/>
    <s v="ORD00001"/>
    <s v="PRD020"/>
    <n v="1"/>
    <n v="179000"/>
    <x v="1"/>
    <n v="179000"/>
  </r>
  <r>
    <s v="ITM00003"/>
    <s v="ORD00002"/>
    <s v="PRD021"/>
    <n v="3"/>
    <n v="69000"/>
    <x v="0"/>
    <n v="207000"/>
  </r>
  <r>
    <s v="ITM00004"/>
    <s v="ORD00003"/>
    <s v="PRD021"/>
    <n v="3"/>
    <n v="69000"/>
    <x v="0"/>
    <n v="207000"/>
  </r>
  <r>
    <s v="ITM00005"/>
    <s v="ORD00004"/>
    <s v="PRD005"/>
    <n v="3"/>
    <n v="39000"/>
    <x v="2"/>
    <n v="117000"/>
  </r>
  <r>
    <s v="ITM00006"/>
    <s v="ORD00004"/>
    <s v="PRD009"/>
    <n v="1"/>
    <n v="79000"/>
    <x v="3"/>
    <n v="79000"/>
  </r>
  <r>
    <s v="ITM00007"/>
    <s v="ORD00005"/>
    <s v="PRD022"/>
    <n v="1"/>
    <n v="55000"/>
    <x v="4"/>
    <n v="55000"/>
  </r>
  <r>
    <s v="ITM00008"/>
    <s v="ORD00005"/>
    <s v="PRD005"/>
    <n v="1"/>
    <n v="39000"/>
    <x v="2"/>
    <n v="39000"/>
  </r>
  <r>
    <s v="ITM00009"/>
    <s v="ORD00005"/>
    <s v="PRD012"/>
    <n v="1"/>
    <n v="229000"/>
    <x v="5"/>
    <n v="229000"/>
  </r>
  <r>
    <s v="ITM00010"/>
    <s v="ORD00006"/>
    <s v="PRD005"/>
    <n v="1"/>
    <n v="39000"/>
    <x v="2"/>
    <n v="39000"/>
  </r>
  <r>
    <s v="ITM00011"/>
    <s v="ORD00006"/>
    <s v="PRD022"/>
    <n v="1"/>
    <n v="55000"/>
    <x v="4"/>
    <n v="55000"/>
  </r>
  <r>
    <s v="ITM00012"/>
    <s v="ORD00007"/>
    <s v="PRD007"/>
    <n v="3"/>
    <n v="99000"/>
    <x v="6"/>
    <n v="297000"/>
  </r>
  <r>
    <s v="ITM00013"/>
    <s v="ORD00007"/>
    <s v="PRD005"/>
    <n v="1"/>
    <n v="39000"/>
    <x v="2"/>
    <n v="39000"/>
  </r>
  <r>
    <s v="ITM00014"/>
    <s v="ORD00008"/>
    <s v="PRD022"/>
    <n v="1"/>
    <n v="55000"/>
    <x v="4"/>
    <n v="55000"/>
  </r>
  <r>
    <s v="ITM00015"/>
    <s v="ORD00009"/>
    <s v="PRD017"/>
    <n v="2"/>
    <n v="329000"/>
    <x v="7"/>
    <n v="658000"/>
  </r>
  <r>
    <s v="ITM00016"/>
    <s v="ORD00009"/>
    <s v="PRD023"/>
    <n v="1"/>
    <n v="139000"/>
    <x v="8"/>
    <n v="139000"/>
  </r>
  <r>
    <s v="ITM00017"/>
    <s v="ORD00010"/>
    <s v="PRD017"/>
    <n v="2"/>
    <n v="329000"/>
    <x v="7"/>
    <n v="658000"/>
  </r>
  <r>
    <s v="ITM00018"/>
    <s v="ORD00010"/>
    <s v="PRD014"/>
    <n v="2"/>
    <n v="349000"/>
    <x v="9"/>
    <n v="698000"/>
  </r>
  <r>
    <s v="ITM00019"/>
    <s v="ORD00010"/>
    <s v="PRD007"/>
    <n v="3"/>
    <n v="99000"/>
    <x v="6"/>
    <n v="297000"/>
  </r>
  <r>
    <s v="ITM00020"/>
    <s v="ORD00011"/>
    <s v="PRD021"/>
    <n v="1"/>
    <n v="69000"/>
    <x v="0"/>
    <n v="69000"/>
  </r>
  <r>
    <s v="ITM00021"/>
    <s v="ORD00011"/>
    <s v="PRD006"/>
    <n v="1"/>
    <n v="129000"/>
    <x v="10"/>
    <n v="129000"/>
  </r>
  <r>
    <s v="ITM00022"/>
    <s v="ORD00012"/>
    <s v="PRD021"/>
    <n v="1"/>
    <n v="69000"/>
    <x v="0"/>
    <n v="69000"/>
  </r>
  <r>
    <s v="ITM00023"/>
    <s v="ORD00013"/>
    <s v="PRD017"/>
    <n v="1"/>
    <n v="329000"/>
    <x v="7"/>
    <n v="329000"/>
  </r>
  <r>
    <s v="ITM00024"/>
    <s v="ORD00014"/>
    <s v="PRD021"/>
    <n v="1"/>
    <n v="69000"/>
    <x v="0"/>
    <n v="69000"/>
  </r>
  <r>
    <s v="ITM00025"/>
    <s v="ORD00014"/>
    <s v="PRD012"/>
    <n v="2"/>
    <n v="229000"/>
    <x v="5"/>
    <n v="458000"/>
  </r>
  <r>
    <s v="ITM00026"/>
    <s v="ORD00015"/>
    <s v="PRD021"/>
    <n v="1"/>
    <n v="69000"/>
    <x v="0"/>
    <n v="69000"/>
  </r>
  <r>
    <s v="ITM00027"/>
    <s v="ORD00015"/>
    <s v="PRD022"/>
    <n v="1"/>
    <n v="55000"/>
    <x v="4"/>
    <n v="55000"/>
  </r>
  <r>
    <s v="ITM00028"/>
    <s v="ORD00015"/>
    <s v="PRD009"/>
    <n v="2"/>
    <n v="79000"/>
    <x v="3"/>
    <n v="158000"/>
  </r>
  <r>
    <s v="ITM00029"/>
    <s v="ORD00016"/>
    <s v="PRD012"/>
    <n v="3"/>
    <n v="229000"/>
    <x v="5"/>
    <n v="687000"/>
  </r>
  <r>
    <s v="ITM00030"/>
    <s v="ORD00016"/>
    <s v="PRD021"/>
    <n v="1"/>
    <n v="69000"/>
    <x v="0"/>
    <n v="69000"/>
  </r>
  <r>
    <s v="ITM00031"/>
    <s v="ORD00017"/>
    <s v="PRD005"/>
    <n v="1"/>
    <n v="39000"/>
    <x v="2"/>
    <n v="39000"/>
  </r>
  <r>
    <s v="ITM00032"/>
    <s v="ORD00017"/>
    <s v="PRD021"/>
    <n v="1"/>
    <n v="69000"/>
    <x v="0"/>
    <n v="69000"/>
  </r>
  <r>
    <s v="ITM00033"/>
    <s v="ORD00018"/>
    <s v="PRD021"/>
    <n v="1"/>
    <n v="69000"/>
    <x v="0"/>
    <n v="69000"/>
  </r>
  <r>
    <s v="ITM00034"/>
    <s v="ORD00019"/>
    <s v="PRD021"/>
    <n v="1"/>
    <n v="69000"/>
    <x v="0"/>
    <n v="69000"/>
  </r>
  <r>
    <s v="ITM00035"/>
    <s v="ORD00020"/>
    <s v="PRD021"/>
    <n v="1"/>
    <n v="69000"/>
    <x v="0"/>
    <n v="69000"/>
  </r>
  <r>
    <s v="ITM00036"/>
    <s v="ORD00021"/>
    <s v="PRD017"/>
    <n v="1"/>
    <n v="329000"/>
    <x v="7"/>
    <n v="329000"/>
  </r>
  <r>
    <s v="ITM00037"/>
    <s v="ORD00022"/>
    <s v="PRD005"/>
    <n v="1"/>
    <n v="39000"/>
    <x v="2"/>
    <n v="39000"/>
  </r>
  <r>
    <s v="ITM00038"/>
    <s v="ORD00023"/>
    <s v="PRD005"/>
    <n v="1"/>
    <n v="39000"/>
    <x v="2"/>
    <n v="39000"/>
  </r>
  <r>
    <s v="ITM00039"/>
    <s v="ORD00023"/>
    <s v="PRD007"/>
    <n v="1"/>
    <n v="99000"/>
    <x v="6"/>
    <n v="99000"/>
  </r>
  <r>
    <s v="ITM00040"/>
    <s v="ORD00023"/>
    <s v="PRD021"/>
    <n v="1"/>
    <n v="69000"/>
    <x v="0"/>
    <n v="69000"/>
  </r>
  <r>
    <s v="ITM00041"/>
    <s v="ORD00024"/>
    <s v="PRD020"/>
    <n v="1"/>
    <n v="179000"/>
    <x v="1"/>
    <n v="179000"/>
  </r>
  <r>
    <s v="ITM00042"/>
    <s v="ORD00024"/>
    <s v="PRD021"/>
    <n v="1"/>
    <n v="69000"/>
    <x v="0"/>
    <n v="69000"/>
  </r>
  <r>
    <s v="ITM00043"/>
    <s v="ORD00025"/>
    <s v="PRD003"/>
    <n v="1"/>
    <n v="499000"/>
    <x v="11"/>
    <n v="499000"/>
  </r>
  <r>
    <s v="ITM00044"/>
    <s v="ORD00025"/>
    <s v="PRD021"/>
    <n v="1"/>
    <n v="69000"/>
    <x v="0"/>
    <n v="69000"/>
  </r>
  <r>
    <s v="ITM00045"/>
    <s v="ORD00026"/>
    <s v="PRD009"/>
    <n v="1"/>
    <n v="79000"/>
    <x v="3"/>
    <n v="79000"/>
  </r>
  <r>
    <s v="ITM00046"/>
    <s v="ORD00027"/>
    <s v="PRD017"/>
    <n v="1"/>
    <n v="329000"/>
    <x v="7"/>
    <n v="329000"/>
  </r>
  <r>
    <s v="ITM00047"/>
    <s v="ORD00028"/>
    <s v="PRD021"/>
    <n v="1"/>
    <n v="69000"/>
    <x v="0"/>
    <n v="69000"/>
  </r>
  <r>
    <s v="ITM00048"/>
    <s v="ORD00028"/>
    <s v="PRD008"/>
    <n v="1"/>
    <n v="399000"/>
    <x v="12"/>
    <n v="399000"/>
  </r>
  <r>
    <s v="ITM00049"/>
    <s v="ORD00029"/>
    <s v="PRD019"/>
    <n v="3"/>
    <n v="79000"/>
    <x v="13"/>
    <n v="237000"/>
  </r>
  <r>
    <s v="ITM00050"/>
    <s v="ORD00030"/>
    <s v="PRD006"/>
    <n v="1"/>
    <n v="129000"/>
    <x v="10"/>
    <n v="129000"/>
  </r>
  <r>
    <s v="ITM00051"/>
    <s v="ORD00031"/>
    <s v="PRD020"/>
    <n v="3"/>
    <n v="179000"/>
    <x v="1"/>
    <n v="537000"/>
  </r>
  <r>
    <s v="ITM00052"/>
    <s v="ORD00032"/>
    <s v="PRD021"/>
    <n v="1"/>
    <n v="69000"/>
    <x v="0"/>
    <n v="69000"/>
  </r>
  <r>
    <s v="ITM00053"/>
    <s v="ORD00032"/>
    <s v="PRD002"/>
    <n v="2"/>
    <n v="159000"/>
    <x v="14"/>
    <n v="318000"/>
  </r>
  <r>
    <s v="ITM00054"/>
    <s v="ORD00033"/>
    <s v="PRD020"/>
    <n v="1"/>
    <n v="179000"/>
    <x v="1"/>
    <n v="179000"/>
  </r>
  <r>
    <s v="ITM00055"/>
    <s v="ORD00033"/>
    <s v="PRD008"/>
    <n v="1"/>
    <n v="399000"/>
    <x v="12"/>
    <n v="399000"/>
  </r>
  <r>
    <s v="ITM00056"/>
    <s v="ORD00034"/>
    <s v="PRD020"/>
    <n v="1"/>
    <n v="179000"/>
    <x v="1"/>
    <n v="179000"/>
  </r>
  <r>
    <s v="ITM00057"/>
    <s v="ORD00034"/>
    <s v="PRD021"/>
    <n v="1"/>
    <n v="69000"/>
    <x v="0"/>
    <n v="69000"/>
  </r>
  <r>
    <s v="ITM00058"/>
    <s v="ORD00035"/>
    <s v="PRD005"/>
    <n v="1"/>
    <n v="39000"/>
    <x v="2"/>
    <n v="39000"/>
  </r>
  <r>
    <s v="ITM00059"/>
    <s v="ORD00035"/>
    <s v="PRD009"/>
    <n v="3"/>
    <n v="79000"/>
    <x v="3"/>
    <n v="237000"/>
  </r>
  <r>
    <s v="ITM00060"/>
    <s v="ORD00036"/>
    <s v="PRD005"/>
    <n v="1"/>
    <n v="39000"/>
    <x v="2"/>
    <n v="39000"/>
  </r>
  <r>
    <s v="ITM00061"/>
    <s v="ORD00037"/>
    <s v="PRD009"/>
    <n v="2"/>
    <n v="79000"/>
    <x v="3"/>
    <n v="158000"/>
  </r>
  <r>
    <s v="ITM00062"/>
    <s v="ORD00038"/>
    <s v="PRD023"/>
    <n v="2"/>
    <n v="139000"/>
    <x v="8"/>
    <n v="278000"/>
  </r>
  <r>
    <s v="ITM00063"/>
    <s v="ORD00038"/>
    <s v="PRD005"/>
    <n v="1"/>
    <n v="39000"/>
    <x v="2"/>
    <n v="39000"/>
  </r>
  <r>
    <s v="ITM00064"/>
    <s v="ORD00038"/>
    <s v="PRD009"/>
    <n v="2"/>
    <n v="79000"/>
    <x v="3"/>
    <n v="158000"/>
  </r>
  <r>
    <s v="ITM00065"/>
    <s v="ORD00039"/>
    <s v="PRD005"/>
    <n v="2"/>
    <n v="39000"/>
    <x v="2"/>
    <n v="78000"/>
  </r>
  <r>
    <s v="ITM00066"/>
    <s v="ORD00040"/>
    <s v="PRD008"/>
    <n v="2"/>
    <n v="399000"/>
    <x v="12"/>
    <n v="798000"/>
  </r>
  <r>
    <s v="ITM00067"/>
    <s v="ORD00040"/>
    <s v="PRD021"/>
    <n v="1"/>
    <n v="69000"/>
    <x v="0"/>
    <n v="69000"/>
  </r>
  <r>
    <s v="ITM00068"/>
    <s v="ORD00040"/>
    <s v="PRD009"/>
    <n v="1"/>
    <n v="79000"/>
    <x v="3"/>
    <n v="79000"/>
  </r>
  <r>
    <s v="ITM00069"/>
    <s v="ORD00041"/>
    <s v="PRD021"/>
    <n v="1"/>
    <n v="69000"/>
    <x v="0"/>
    <n v="69000"/>
  </r>
  <r>
    <s v="ITM00070"/>
    <s v="ORD00042"/>
    <s v="PRD014"/>
    <n v="1"/>
    <n v="349000"/>
    <x v="9"/>
    <n v="349000"/>
  </r>
  <r>
    <s v="ITM00071"/>
    <s v="ORD00042"/>
    <s v="PRD009"/>
    <n v="1"/>
    <n v="79000"/>
    <x v="3"/>
    <n v="79000"/>
  </r>
  <r>
    <s v="ITM00072"/>
    <s v="ORD00043"/>
    <s v="PRD021"/>
    <n v="1"/>
    <n v="69000"/>
    <x v="0"/>
    <n v="69000"/>
  </r>
  <r>
    <s v="ITM00073"/>
    <s v="ORD00043"/>
    <s v="PRD005"/>
    <n v="2"/>
    <n v="39000"/>
    <x v="2"/>
    <n v="78000"/>
  </r>
  <r>
    <s v="ITM00074"/>
    <s v="ORD00044"/>
    <s v="PRD018"/>
    <n v="1"/>
    <n v="149000"/>
    <x v="15"/>
    <n v="149000"/>
  </r>
  <r>
    <s v="ITM00075"/>
    <s v="ORD00044"/>
    <s v="PRD021"/>
    <n v="1"/>
    <n v="69000"/>
    <x v="0"/>
    <n v="69000"/>
  </r>
  <r>
    <s v="ITM00076"/>
    <s v="ORD00045"/>
    <s v="PRD021"/>
    <n v="1"/>
    <n v="69000"/>
    <x v="0"/>
    <n v="69000"/>
  </r>
  <r>
    <s v="ITM00077"/>
    <s v="ORD00046"/>
    <s v="PRD021"/>
    <n v="2"/>
    <n v="69000"/>
    <x v="0"/>
    <n v="138000"/>
  </r>
  <r>
    <s v="ITM00078"/>
    <s v="ORD00047"/>
    <s v="PRD021"/>
    <n v="1"/>
    <n v="69000"/>
    <x v="0"/>
    <n v="69000"/>
  </r>
  <r>
    <s v="ITM00079"/>
    <s v="ORD00048"/>
    <s v="PRD021"/>
    <n v="1"/>
    <n v="69000"/>
    <x v="0"/>
    <n v="69000"/>
  </r>
  <r>
    <s v="ITM00080"/>
    <s v="ORD00048"/>
    <s v="PRD005"/>
    <n v="2"/>
    <n v="39000"/>
    <x v="2"/>
    <n v="78000"/>
  </r>
  <r>
    <s v="ITM00081"/>
    <s v="ORD00049"/>
    <s v="PRD021"/>
    <n v="1"/>
    <n v="69000"/>
    <x v="0"/>
    <n v="69000"/>
  </r>
  <r>
    <s v="ITM00082"/>
    <s v="ORD00049"/>
    <s v="PRD022"/>
    <n v="1"/>
    <n v="55000"/>
    <x v="4"/>
    <n v="55000"/>
  </r>
  <r>
    <s v="ITM00083"/>
    <s v="ORD00050"/>
    <s v="PRD005"/>
    <n v="3"/>
    <n v="39000"/>
    <x v="2"/>
    <n v="117000"/>
  </r>
  <r>
    <s v="ITM00084"/>
    <s v="ORD00051"/>
    <s v="PRD021"/>
    <n v="1"/>
    <n v="69000"/>
    <x v="0"/>
    <n v="69000"/>
  </r>
  <r>
    <s v="ITM00085"/>
    <s v="ORD00051"/>
    <s v="PRD005"/>
    <n v="1"/>
    <n v="39000"/>
    <x v="2"/>
    <n v="39000"/>
  </r>
  <r>
    <s v="ITM00086"/>
    <s v="ORD00051"/>
    <s v="PRD022"/>
    <n v="1"/>
    <n v="55000"/>
    <x v="4"/>
    <n v="55000"/>
  </r>
  <r>
    <s v="ITM00087"/>
    <s v="ORD00051"/>
    <s v="PRD012"/>
    <n v="2"/>
    <n v="229000"/>
    <x v="5"/>
    <n v="458000"/>
  </r>
  <r>
    <s v="ITM00088"/>
    <s v="ORD00052"/>
    <s v="PRD014"/>
    <n v="3"/>
    <n v="349000"/>
    <x v="9"/>
    <n v="1047000"/>
  </r>
  <r>
    <s v="ITM00089"/>
    <s v="ORD00053"/>
    <s v="PRD017"/>
    <n v="1"/>
    <n v="329000"/>
    <x v="7"/>
    <n v="329000"/>
  </r>
  <r>
    <s v="ITM00090"/>
    <s v="ORD00053"/>
    <s v="PRD005"/>
    <n v="1"/>
    <n v="39000"/>
    <x v="2"/>
    <n v="39000"/>
  </r>
  <r>
    <s v="ITM00091"/>
    <s v="ORD00054"/>
    <s v="PRD008"/>
    <n v="1"/>
    <n v="399000"/>
    <x v="12"/>
    <n v="399000"/>
  </r>
  <r>
    <s v="ITM00092"/>
    <s v="ORD00055"/>
    <s v="PRD005"/>
    <n v="1"/>
    <n v="39000"/>
    <x v="2"/>
    <n v="39000"/>
  </r>
  <r>
    <s v="ITM00093"/>
    <s v="ORD00055"/>
    <s v="PRD022"/>
    <n v="1"/>
    <n v="55000"/>
    <x v="4"/>
    <n v="55000"/>
  </r>
  <r>
    <s v="ITM00094"/>
    <s v="ORD00056"/>
    <s v="PRD008"/>
    <n v="1"/>
    <n v="399000"/>
    <x v="12"/>
    <n v="399000"/>
  </r>
  <r>
    <s v="ITM00095"/>
    <s v="ORD00057"/>
    <s v="PRD005"/>
    <n v="1"/>
    <n v="39000"/>
    <x v="2"/>
    <n v="39000"/>
  </r>
  <r>
    <s v="ITM00096"/>
    <s v="ORD00058"/>
    <s v="PRD021"/>
    <n v="1"/>
    <n v="69000"/>
    <x v="0"/>
    <n v="69000"/>
  </r>
  <r>
    <s v="ITM00097"/>
    <s v="ORD00059"/>
    <s v="PRD005"/>
    <n v="1"/>
    <n v="39000"/>
    <x v="2"/>
    <n v="39000"/>
  </r>
  <r>
    <s v="ITM00098"/>
    <s v="ORD00059"/>
    <s v="PRD021"/>
    <n v="1"/>
    <n v="69000"/>
    <x v="0"/>
    <n v="69000"/>
  </r>
  <r>
    <s v="ITM00099"/>
    <s v="ORD00060"/>
    <s v="PRD022"/>
    <n v="1"/>
    <n v="55000"/>
    <x v="4"/>
    <n v="55000"/>
  </r>
  <r>
    <s v="ITM00100"/>
    <s v="ORD00060"/>
    <s v="PRD021"/>
    <n v="1"/>
    <n v="69000"/>
    <x v="0"/>
    <n v="69000"/>
  </r>
  <r>
    <s v="ITM00101"/>
    <s v="ORD00060"/>
    <s v="PRD006"/>
    <n v="1"/>
    <n v="129000"/>
    <x v="10"/>
    <n v="129000"/>
  </r>
  <r>
    <s v="ITM00102"/>
    <s v="ORD00061"/>
    <s v="PRD005"/>
    <n v="1"/>
    <n v="39000"/>
    <x v="2"/>
    <n v="39000"/>
  </r>
  <r>
    <s v="ITM00103"/>
    <s v="ORD00061"/>
    <s v="PRD021"/>
    <n v="1"/>
    <n v="69000"/>
    <x v="0"/>
    <n v="69000"/>
  </r>
  <r>
    <s v="ITM00104"/>
    <s v="ORD00062"/>
    <s v="PRD012"/>
    <n v="2"/>
    <n v="229000"/>
    <x v="5"/>
    <n v="458000"/>
  </r>
  <r>
    <s v="ITM00105"/>
    <s v="ORD00062"/>
    <s v="PRD021"/>
    <n v="1"/>
    <n v="69000"/>
    <x v="0"/>
    <n v="69000"/>
  </r>
  <r>
    <s v="ITM00106"/>
    <s v="ORD00062"/>
    <s v="PRD005"/>
    <n v="1"/>
    <n v="39000"/>
    <x v="2"/>
    <n v="39000"/>
  </r>
  <r>
    <s v="ITM00107"/>
    <s v="ORD00063"/>
    <s v="PRD021"/>
    <n v="2"/>
    <n v="69000"/>
    <x v="0"/>
    <n v="138000"/>
  </r>
  <r>
    <s v="ITM00108"/>
    <s v="ORD00064"/>
    <s v="PRD006"/>
    <n v="1"/>
    <n v="129000"/>
    <x v="10"/>
    <n v="129000"/>
  </r>
  <r>
    <s v="ITM00109"/>
    <s v="ORD00065"/>
    <s v="PRD021"/>
    <n v="2"/>
    <n v="69000"/>
    <x v="0"/>
    <n v="138000"/>
  </r>
  <r>
    <s v="ITM00110"/>
    <s v="ORD00066"/>
    <s v="PRD005"/>
    <n v="2"/>
    <n v="39000"/>
    <x v="2"/>
    <n v="78000"/>
  </r>
  <r>
    <s v="ITM00111"/>
    <s v="ORD00066"/>
    <s v="PRD021"/>
    <n v="2"/>
    <n v="69000"/>
    <x v="0"/>
    <n v="138000"/>
  </r>
  <r>
    <s v="ITM00112"/>
    <s v="ORD00067"/>
    <s v="PRD021"/>
    <n v="1"/>
    <n v="69000"/>
    <x v="0"/>
    <n v="69000"/>
  </r>
  <r>
    <s v="ITM00113"/>
    <s v="ORD00067"/>
    <s v="PRD006"/>
    <n v="1"/>
    <n v="129000"/>
    <x v="10"/>
    <n v="129000"/>
  </r>
  <r>
    <s v="ITM00114"/>
    <s v="ORD00068"/>
    <s v="PRD007"/>
    <n v="3"/>
    <n v="99000"/>
    <x v="6"/>
    <n v="297000"/>
  </r>
  <r>
    <s v="ITM00115"/>
    <s v="ORD00069"/>
    <s v="PRD005"/>
    <n v="1"/>
    <n v="39000"/>
    <x v="2"/>
    <n v="39000"/>
  </r>
  <r>
    <s v="ITM00116"/>
    <s v="ORD00070"/>
    <s v="PRD005"/>
    <n v="2"/>
    <n v="39000"/>
    <x v="2"/>
    <n v="78000"/>
  </r>
  <r>
    <s v="ITM00117"/>
    <s v="ORD00071"/>
    <s v="PRD018"/>
    <n v="1"/>
    <n v="149000"/>
    <x v="15"/>
    <n v="149000"/>
  </r>
  <r>
    <s v="ITM00118"/>
    <s v="ORD00071"/>
    <s v="PRD020"/>
    <n v="2"/>
    <n v="179000"/>
    <x v="1"/>
    <n v="358000"/>
  </r>
  <r>
    <s v="ITM00119"/>
    <s v="ORD00072"/>
    <s v="PRD021"/>
    <n v="1"/>
    <n v="69000"/>
    <x v="0"/>
    <n v="69000"/>
  </r>
  <r>
    <s v="ITM00120"/>
    <s v="ORD00073"/>
    <s v="PRD014"/>
    <n v="1"/>
    <n v="349000"/>
    <x v="9"/>
    <n v="349000"/>
  </r>
  <r>
    <s v="ITM00121"/>
    <s v="ORD00073"/>
    <s v="PRD021"/>
    <n v="3"/>
    <n v="69000"/>
    <x v="0"/>
    <n v="207000"/>
  </r>
  <r>
    <s v="ITM00122"/>
    <s v="ORD00073"/>
    <s v="PRD009"/>
    <n v="1"/>
    <n v="79000"/>
    <x v="3"/>
    <n v="79000"/>
  </r>
  <r>
    <s v="ITM00123"/>
    <s v="ORD00074"/>
    <s v="PRD006"/>
    <n v="1"/>
    <n v="129000"/>
    <x v="10"/>
    <n v="129000"/>
  </r>
  <r>
    <s v="ITM00124"/>
    <s v="ORD00075"/>
    <s v="PRD021"/>
    <n v="1"/>
    <n v="69000"/>
    <x v="0"/>
    <n v="69000"/>
  </r>
  <r>
    <s v="ITM00125"/>
    <s v="ORD00076"/>
    <s v="PRD021"/>
    <n v="1"/>
    <n v="69000"/>
    <x v="0"/>
    <n v="69000"/>
  </r>
  <r>
    <s v="ITM00126"/>
    <s v="ORD00077"/>
    <s v="PRD022"/>
    <n v="1"/>
    <n v="55000"/>
    <x v="4"/>
    <n v="55000"/>
  </r>
  <r>
    <s v="ITM00127"/>
    <s v="ORD00078"/>
    <s v="PRD005"/>
    <n v="1"/>
    <n v="39000"/>
    <x v="2"/>
    <n v="39000"/>
  </r>
  <r>
    <s v="ITM00128"/>
    <s v="ORD00078"/>
    <s v="PRD022"/>
    <n v="2"/>
    <n v="55000"/>
    <x v="4"/>
    <n v="110000"/>
  </r>
  <r>
    <s v="ITM00129"/>
    <s v="ORD00078"/>
    <s v="PRD017"/>
    <n v="2"/>
    <n v="329000"/>
    <x v="7"/>
    <n v="658000"/>
  </r>
  <r>
    <s v="ITM00130"/>
    <s v="ORD00079"/>
    <s v="PRD021"/>
    <n v="1"/>
    <n v="69000"/>
    <x v="0"/>
    <n v="69000"/>
  </r>
  <r>
    <s v="ITM00131"/>
    <s v="ORD00079"/>
    <s v="PRD006"/>
    <n v="3"/>
    <n v="129000"/>
    <x v="10"/>
    <n v="387000"/>
  </r>
  <r>
    <s v="ITM00132"/>
    <s v="ORD00080"/>
    <s v="PRD024"/>
    <n v="1"/>
    <n v="89000"/>
    <x v="16"/>
    <n v="89000"/>
  </r>
  <r>
    <s v="ITM00133"/>
    <s v="ORD00080"/>
    <s v="PRD020"/>
    <n v="1"/>
    <n v="179000"/>
    <x v="1"/>
    <n v="179000"/>
  </r>
  <r>
    <s v="ITM00134"/>
    <s v="ORD00081"/>
    <s v="PRD022"/>
    <n v="1"/>
    <n v="55000"/>
    <x v="4"/>
    <n v="55000"/>
  </r>
  <r>
    <s v="ITM00135"/>
    <s v="ORD00081"/>
    <s v="PRD017"/>
    <n v="2"/>
    <n v="329000"/>
    <x v="7"/>
    <n v="658000"/>
  </r>
  <r>
    <s v="ITM00136"/>
    <s v="ORD00081"/>
    <s v="PRD021"/>
    <n v="1"/>
    <n v="69000"/>
    <x v="0"/>
    <n v="69000"/>
  </r>
  <r>
    <s v="ITM00137"/>
    <s v="ORD00082"/>
    <s v="PRD017"/>
    <n v="1"/>
    <n v="329000"/>
    <x v="7"/>
    <n v="329000"/>
  </r>
  <r>
    <s v="ITM00138"/>
    <s v="ORD00082"/>
    <s v="PRD021"/>
    <n v="1"/>
    <n v="69000"/>
    <x v="0"/>
    <n v="69000"/>
  </r>
  <r>
    <s v="ITM00139"/>
    <s v="ORD00083"/>
    <s v="PRD021"/>
    <n v="2"/>
    <n v="69000"/>
    <x v="0"/>
    <n v="138000"/>
  </r>
  <r>
    <s v="ITM00140"/>
    <s v="ORD00083"/>
    <s v="PRD009"/>
    <n v="1"/>
    <n v="79000"/>
    <x v="3"/>
    <n v="79000"/>
  </r>
  <r>
    <s v="ITM00141"/>
    <s v="ORD00084"/>
    <s v="PRD021"/>
    <n v="3"/>
    <n v="69000"/>
    <x v="0"/>
    <n v="207000"/>
  </r>
  <r>
    <s v="ITM00142"/>
    <s v="ORD00085"/>
    <s v="PRD021"/>
    <n v="1"/>
    <n v="69000"/>
    <x v="0"/>
    <n v="69000"/>
  </r>
  <r>
    <s v="ITM00143"/>
    <s v="ORD00086"/>
    <s v="PRD021"/>
    <n v="1"/>
    <n v="69000"/>
    <x v="0"/>
    <n v="69000"/>
  </r>
  <r>
    <s v="ITM00144"/>
    <s v="ORD00086"/>
    <s v="PRD014"/>
    <n v="1"/>
    <n v="349000"/>
    <x v="9"/>
    <n v="349000"/>
  </r>
  <r>
    <s v="ITM00145"/>
    <s v="ORD00086"/>
    <s v="PRD005"/>
    <n v="1"/>
    <n v="39000"/>
    <x v="2"/>
    <n v="39000"/>
  </r>
  <r>
    <s v="ITM00146"/>
    <s v="ORD00086"/>
    <s v="PRD009"/>
    <n v="1"/>
    <n v="79000"/>
    <x v="3"/>
    <n v="79000"/>
  </r>
  <r>
    <s v="ITM00147"/>
    <s v="ORD00087"/>
    <s v="PRD012"/>
    <n v="3"/>
    <n v="229000"/>
    <x v="5"/>
    <n v="687000"/>
  </r>
  <r>
    <s v="ITM00148"/>
    <s v="ORD00088"/>
    <s v="PRD014"/>
    <n v="3"/>
    <n v="349000"/>
    <x v="9"/>
    <n v="1047000"/>
  </r>
  <r>
    <s v="ITM00149"/>
    <s v="ORD00089"/>
    <s v="PRD021"/>
    <n v="1"/>
    <n v="69000"/>
    <x v="0"/>
    <n v="69000"/>
  </r>
  <r>
    <s v="ITM00150"/>
    <s v="ORD00089"/>
    <s v="PRD005"/>
    <n v="1"/>
    <n v="39000"/>
    <x v="2"/>
    <n v="39000"/>
  </r>
  <r>
    <s v="ITM00151"/>
    <s v="ORD00089"/>
    <s v="PRD012"/>
    <n v="1"/>
    <n v="229000"/>
    <x v="5"/>
    <n v="229000"/>
  </r>
  <r>
    <s v="ITM00152"/>
    <s v="ORD00089"/>
    <s v="PRD008"/>
    <n v="1"/>
    <n v="399000"/>
    <x v="12"/>
    <n v="399000"/>
  </r>
  <r>
    <s v="ITM00153"/>
    <s v="ORD00090"/>
    <s v="PRD021"/>
    <n v="1"/>
    <n v="69000"/>
    <x v="0"/>
    <n v="69000"/>
  </r>
  <r>
    <s v="ITM00154"/>
    <s v="ORD00090"/>
    <s v="PRD005"/>
    <n v="1"/>
    <n v="39000"/>
    <x v="2"/>
    <n v="39000"/>
  </r>
  <r>
    <s v="ITM00155"/>
    <s v="ORD00090"/>
    <s v="PRD020"/>
    <n v="1"/>
    <n v="179000"/>
    <x v="1"/>
    <n v="179000"/>
  </r>
  <r>
    <s v="ITM00156"/>
    <s v="ORD00091"/>
    <s v="PRD021"/>
    <n v="1"/>
    <n v="69000"/>
    <x v="0"/>
    <n v="69000"/>
  </r>
  <r>
    <s v="ITM00157"/>
    <s v="ORD00092"/>
    <s v="PRD021"/>
    <n v="1"/>
    <n v="69000"/>
    <x v="0"/>
    <n v="69000"/>
  </r>
  <r>
    <s v="ITM00158"/>
    <s v="ORD00092"/>
    <s v="PRD017"/>
    <n v="1"/>
    <n v="329000"/>
    <x v="7"/>
    <n v="329000"/>
  </r>
  <r>
    <s v="ITM00159"/>
    <s v="ORD00092"/>
    <s v="PRD012"/>
    <n v="2"/>
    <n v="229000"/>
    <x v="5"/>
    <n v="458000"/>
  </r>
  <r>
    <s v="ITM00160"/>
    <s v="ORD00093"/>
    <s v="PRD005"/>
    <n v="1"/>
    <n v="39000"/>
    <x v="2"/>
    <n v="39000"/>
  </r>
  <r>
    <s v="ITM00161"/>
    <s v="ORD00093"/>
    <s v="PRD013"/>
    <n v="2"/>
    <n v="209000"/>
    <x v="17"/>
    <n v="418000"/>
  </r>
  <r>
    <s v="ITM00162"/>
    <s v="ORD00094"/>
    <s v="PRD005"/>
    <n v="3"/>
    <n v="39000"/>
    <x v="2"/>
    <n v="117000"/>
  </r>
  <r>
    <s v="ITM00163"/>
    <s v="ORD00094"/>
    <s v="PRD021"/>
    <n v="1"/>
    <n v="69000"/>
    <x v="0"/>
    <n v="69000"/>
  </r>
  <r>
    <s v="ITM00164"/>
    <s v="ORD00094"/>
    <s v="PRD023"/>
    <n v="1"/>
    <n v="139000"/>
    <x v="8"/>
    <n v="139000"/>
  </r>
  <r>
    <s v="ITM00165"/>
    <s v="ORD00094"/>
    <s v="PRD022"/>
    <n v="1"/>
    <n v="55000"/>
    <x v="4"/>
    <n v="55000"/>
  </r>
  <r>
    <s v="ITM00166"/>
    <s v="ORD00095"/>
    <s v="PRD021"/>
    <n v="1"/>
    <n v="69000"/>
    <x v="0"/>
    <n v="69000"/>
  </r>
  <r>
    <s v="ITM00167"/>
    <s v="ORD00095"/>
    <s v="PRD020"/>
    <n v="1"/>
    <n v="179000"/>
    <x v="1"/>
    <n v="179000"/>
  </r>
  <r>
    <s v="ITM00168"/>
    <s v="ORD00095"/>
    <s v="PRD017"/>
    <n v="1"/>
    <n v="329000"/>
    <x v="7"/>
    <n v="329000"/>
  </r>
  <r>
    <s v="ITM00169"/>
    <s v="ORD00096"/>
    <s v="PRD021"/>
    <n v="2"/>
    <n v="69000"/>
    <x v="0"/>
    <n v="138000"/>
  </r>
  <r>
    <s v="ITM00170"/>
    <s v="ORD00096"/>
    <s v="PRD003"/>
    <n v="1"/>
    <n v="499000"/>
    <x v="11"/>
    <n v="499000"/>
  </r>
  <r>
    <s v="ITM00171"/>
    <s v="ORD00096"/>
    <s v="PRD005"/>
    <n v="2"/>
    <n v="39000"/>
    <x v="2"/>
    <n v="78000"/>
  </r>
  <r>
    <s v="ITM00172"/>
    <s v="ORD00097"/>
    <s v="PRD005"/>
    <n v="1"/>
    <n v="39000"/>
    <x v="2"/>
    <n v="39000"/>
  </r>
  <r>
    <s v="ITM00173"/>
    <s v="ORD00098"/>
    <s v="PRD020"/>
    <n v="2"/>
    <n v="179000"/>
    <x v="1"/>
    <n v="358000"/>
  </r>
  <r>
    <s v="ITM00174"/>
    <s v="ORD00098"/>
    <s v="PRD021"/>
    <n v="1"/>
    <n v="69000"/>
    <x v="0"/>
    <n v="69000"/>
  </r>
  <r>
    <s v="ITM00175"/>
    <s v="ORD00099"/>
    <s v="PRD022"/>
    <n v="1"/>
    <n v="55000"/>
    <x v="4"/>
    <n v="55000"/>
  </r>
  <r>
    <s v="ITM00176"/>
    <s v="ORD00099"/>
    <s v="PRD005"/>
    <n v="1"/>
    <n v="39000"/>
    <x v="2"/>
    <n v="39000"/>
  </r>
  <r>
    <s v="ITM00177"/>
    <s v="ORD00100"/>
    <s v="PRD021"/>
    <n v="1"/>
    <n v="69000"/>
    <x v="0"/>
    <n v="69000"/>
  </r>
  <r>
    <s v="ITM00178"/>
    <s v="ORD00100"/>
    <s v="PRD017"/>
    <n v="2"/>
    <n v="329000"/>
    <x v="7"/>
    <n v="658000"/>
  </r>
  <r>
    <s v="ITM00179"/>
    <s v="ORD00101"/>
    <s v="PRD021"/>
    <n v="1"/>
    <n v="69000"/>
    <x v="0"/>
    <n v="69000"/>
  </r>
  <r>
    <s v="ITM00180"/>
    <s v="ORD00102"/>
    <s v="PRD017"/>
    <n v="1"/>
    <n v="329000"/>
    <x v="7"/>
    <n v="329000"/>
  </r>
  <r>
    <s v="ITM00181"/>
    <s v="ORD00103"/>
    <s v="PRD022"/>
    <n v="2"/>
    <n v="55000"/>
    <x v="4"/>
    <n v="110000"/>
  </r>
  <r>
    <s v="ITM00182"/>
    <s v="ORD00104"/>
    <s v="PRD005"/>
    <n v="1"/>
    <n v="39000"/>
    <x v="2"/>
    <n v="39000"/>
  </r>
  <r>
    <s v="ITM00183"/>
    <s v="ORD00104"/>
    <s v="PRD021"/>
    <n v="3"/>
    <n v="69000"/>
    <x v="0"/>
    <n v="207000"/>
  </r>
  <r>
    <s v="ITM00184"/>
    <s v="ORD00105"/>
    <s v="PRD021"/>
    <n v="1"/>
    <n v="69000"/>
    <x v="0"/>
    <n v="69000"/>
  </r>
  <r>
    <s v="ITM00185"/>
    <s v="ORD00105"/>
    <s v="PRD022"/>
    <n v="1"/>
    <n v="55000"/>
    <x v="4"/>
    <n v="55000"/>
  </r>
  <r>
    <s v="ITM00186"/>
    <s v="ORD00106"/>
    <s v="PRD005"/>
    <n v="1"/>
    <n v="39000"/>
    <x v="2"/>
    <n v="39000"/>
  </r>
  <r>
    <s v="ITM00187"/>
    <s v="ORD00107"/>
    <s v="PRD022"/>
    <n v="2"/>
    <n v="55000"/>
    <x v="4"/>
    <n v="110000"/>
  </r>
  <r>
    <s v="ITM00188"/>
    <s v="ORD00108"/>
    <s v="PRD021"/>
    <n v="1"/>
    <n v="69000"/>
    <x v="0"/>
    <n v="69000"/>
  </r>
  <r>
    <s v="ITM00189"/>
    <s v="ORD00108"/>
    <s v="PRD005"/>
    <n v="2"/>
    <n v="39000"/>
    <x v="2"/>
    <n v="78000"/>
  </r>
  <r>
    <s v="ITM00190"/>
    <s v="ORD00108"/>
    <s v="PRD002"/>
    <n v="1"/>
    <n v="159000"/>
    <x v="14"/>
    <n v="159000"/>
  </r>
  <r>
    <s v="ITM00191"/>
    <s v="ORD00109"/>
    <s v="PRD006"/>
    <n v="1"/>
    <n v="129000"/>
    <x v="10"/>
    <n v="129000"/>
  </r>
  <r>
    <s v="ITM00192"/>
    <s v="ORD00109"/>
    <s v="PRD020"/>
    <n v="1"/>
    <n v="179000"/>
    <x v="1"/>
    <n v="179000"/>
  </r>
  <r>
    <s v="ITM00193"/>
    <s v="ORD00110"/>
    <s v="PRD008"/>
    <n v="1"/>
    <n v="399000"/>
    <x v="12"/>
    <n v="399000"/>
  </r>
  <r>
    <s v="ITM00194"/>
    <s v="ORD00110"/>
    <s v="PRD017"/>
    <n v="1"/>
    <n v="329000"/>
    <x v="7"/>
    <n v="329000"/>
  </r>
  <r>
    <s v="ITM00195"/>
    <s v="ORD00111"/>
    <s v="PRD021"/>
    <n v="2"/>
    <n v="69000"/>
    <x v="0"/>
    <n v="138000"/>
  </r>
  <r>
    <s v="ITM00196"/>
    <s v="ORD00112"/>
    <s v="PRD005"/>
    <n v="1"/>
    <n v="39000"/>
    <x v="2"/>
    <n v="39000"/>
  </r>
  <r>
    <s v="ITM00197"/>
    <s v="ORD00112"/>
    <s v="PRD021"/>
    <n v="1"/>
    <n v="69000"/>
    <x v="0"/>
    <n v="69000"/>
  </r>
  <r>
    <s v="ITM00198"/>
    <s v="ORD00113"/>
    <s v="PRD020"/>
    <n v="1"/>
    <n v="179000"/>
    <x v="1"/>
    <n v="179000"/>
  </r>
  <r>
    <s v="ITM00199"/>
    <s v="ORD00114"/>
    <s v="PRD009"/>
    <n v="1"/>
    <n v="79000"/>
    <x v="3"/>
    <n v="79000"/>
  </r>
  <r>
    <s v="ITM00200"/>
    <s v="ORD00115"/>
    <s v="PRD021"/>
    <n v="1"/>
    <n v="69000"/>
    <x v="0"/>
    <n v="69000"/>
  </r>
  <r>
    <s v="ITM00201"/>
    <s v="ORD00116"/>
    <s v="PRD005"/>
    <n v="2"/>
    <n v="39000"/>
    <x v="2"/>
    <n v="78000"/>
  </r>
  <r>
    <s v="ITM00202"/>
    <s v="ORD00116"/>
    <s v="PRD020"/>
    <n v="2"/>
    <n v="179000"/>
    <x v="1"/>
    <n v="358000"/>
  </r>
  <r>
    <s v="ITM00203"/>
    <s v="ORD00116"/>
    <s v="PRD021"/>
    <n v="1"/>
    <n v="69000"/>
    <x v="0"/>
    <n v="69000"/>
  </r>
  <r>
    <s v="ITM00204"/>
    <s v="ORD00117"/>
    <s v="PRD020"/>
    <n v="1"/>
    <n v="179000"/>
    <x v="1"/>
    <n v="179000"/>
  </r>
  <r>
    <s v="ITM00205"/>
    <s v="ORD00117"/>
    <s v="PRD021"/>
    <n v="2"/>
    <n v="69000"/>
    <x v="0"/>
    <n v="138000"/>
  </r>
  <r>
    <s v="ITM00206"/>
    <s v="ORD00117"/>
    <s v="PRD017"/>
    <n v="1"/>
    <n v="329000"/>
    <x v="7"/>
    <n v="329000"/>
  </r>
  <r>
    <s v="ITM00207"/>
    <s v="ORD00118"/>
    <s v="PRD021"/>
    <n v="3"/>
    <n v="69000"/>
    <x v="0"/>
    <n v="207000"/>
  </r>
  <r>
    <s v="ITM00208"/>
    <s v="ORD00119"/>
    <s v="PRD021"/>
    <n v="2"/>
    <n v="69000"/>
    <x v="0"/>
    <n v="138000"/>
  </r>
  <r>
    <s v="ITM00209"/>
    <s v="ORD00119"/>
    <s v="PRD019"/>
    <n v="1"/>
    <n v="79000"/>
    <x v="13"/>
    <n v="79000"/>
  </r>
  <r>
    <s v="ITM00210"/>
    <s v="ORD00120"/>
    <s v="PRD005"/>
    <n v="1"/>
    <n v="39000"/>
    <x v="2"/>
    <n v="39000"/>
  </r>
  <r>
    <s v="ITM00211"/>
    <s v="ORD00121"/>
    <s v="PRD005"/>
    <n v="1"/>
    <n v="39000"/>
    <x v="2"/>
    <n v="39000"/>
  </r>
  <r>
    <s v="ITM00212"/>
    <s v="ORD00121"/>
    <s v="PRD022"/>
    <n v="2"/>
    <n v="55000"/>
    <x v="4"/>
    <n v="110000"/>
  </r>
  <r>
    <s v="ITM00213"/>
    <s v="ORD00121"/>
    <s v="PRD014"/>
    <n v="2"/>
    <n v="349000"/>
    <x v="9"/>
    <n v="698000"/>
  </r>
  <r>
    <s v="ITM00214"/>
    <s v="ORD00122"/>
    <s v="PRD020"/>
    <n v="2"/>
    <n v="179000"/>
    <x v="1"/>
    <n v="358000"/>
  </r>
  <r>
    <s v="ITM00215"/>
    <s v="ORD00122"/>
    <s v="PRD014"/>
    <n v="3"/>
    <n v="349000"/>
    <x v="9"/>
    <n v="1047000"/>
  </r>
  <r>
    <s v="ITM00216"/>
    <s v="ORD00122"/>
    <s v="PRD021"/>
    <n v="1"/>
    <n v="69000"/>
    <x v="0"/>
    <n v="69000"/>
  </r>
  <r>
    <s v="ITM00217"/>
    <s v="ORD00123"/>
    <s v="PRD009"/>
    <n v="1"/>
    <n v="79000"/>
    <x v="3"/>
    <n v="79000"/>
  </r>
  <r>
    <s v="ITM00218"/>
    <s v="ORD00124"/>
    <s v="PRD021"/>
    <n v="1"/>
    <n v="69000"/>
    <x v="0"/>
    <n v="69000"/>
  </r>
  <r>
    <s v="ITM00219"/>
    <s v="ORD00125"/>
    <s v="PRD014"/>
    <n v="1"/>
    <n v="349000"/>
    <x v="9"/>
    <n v="349000"/>
  </r>
  <r>
    <s v="ITM00220"/>
    <s v="ORD00125"/>
    <s v="PRD005"/>
    <n v="1"/>
    <n v="39000"/>
    <x v="2"/>
    <n v="39000"/>
  </r>
  <r>
    <s v="ITM00221"/>
    <s v="ORD00126"/>
    <s v="PRD005"/>
    <n v="1"/>
    <n v="39000"/>
    <x v="2"/>
    <n v="39000"/>
  </r>
  <r>
    <s v="ITM00222"/>
    <s v="ORD00126"/>
    <s v="PRD021"/>
    <n v="2"/>
    <n v="69000"/>
    <x v="0"/>
    <n v="138000"/>
  </r>
  <r>
    <s v="ITM00223"/>
    <s v="ORD00127"/>
    <s v="PRD005"/>
    <n v="1"/>
    <n v="39000"/>
    <x v="2"/>
    <n v="39000"/>
  </r>
  <r>
    <s v="ITM00224"/>
    <s v="ORD00127"/>
    <s v="PRD022"/>
    <n v="1"/>
    <n v="55000"/>
    <x v="4"/>
    <n v="55000"/>
  </r>
  <r>
    <s v="ITM00225"/>
    <s v="ORD00128"/>
    <s v="PRD021"/>
    <n v="1"/>
    <n v="69000"/>
    <x v="0"/>
    <n v="69000"/>
  </r>
  <r>
    <s v="ITM00226"/>
    <s v="ORD00129"/>
    <s v="PRD005"/>
    <n v="1"/>
    <n v="39000"/>
    <x v="2"/>
    <n v="39000"/>
  </r>
  <r>
    <s v="ITM00227"/>
    <s v="ORD00129"/>
    <s v="PRD003"/>
    <n v="1"/>
    <n v="499000"/>
    <x v="11"/>
    <n v="499000"/>
  </r>
  <r>
    <s v="ITM00228"/>
    <s v="ORD00130"/>
    <s v="PRD021"/>
    <n v="1"/>
    <n v="69000"/>
    <x v="0"/>
    <n v="69000"/>
  </r>
  <r>
    <s v="ITM00229"/>
    <s v="ORD00131"/>
    <s v="PRD020"/>
    <n v="1"/>
    <n v="179000"/>
    <x v="1"/>
    <n v="179000"/>
  </r>
  <r>
    <s v="ITM00230"/>
    <s v="ORD00132"/>
    <s v="PRD005"/>
    <n v="1"/>
    <n v="39000"/>
    <x v="2"/>
    <n v="39000"/>
  </r>
  <r>
    <s v="ITM00231"/>
    <s v="ORD00133"/>
    <s v="PRD022"/>
    <n v="1"/>
    <n v="55000"/>
    <x v="4"/>
    <n v="55000"/>
  </r>
  <r>
    <s v="ITM00232"/>
    <s v="ORD00133"/>
    <s v="PRD002"/>
    <n v="1"/>
    <n v="159000"/>
    <x v="14"/>
    <n v="159000"/>
  </r>
  <r>
    <s v="ITM00233"/>
    <s v="ORD00133"/>
    <s v="PRD021"/>
    <n v="1"/>
    <n v="69000"/>
    <x v="0"/>
    <n v="69000"/>
  </r>
  <r>
    <s v="ITM00234"/>
    <s v="ORD00133"/>
    <s v="PRD020"/>
    <n v="1"/>
    <n v="179000"/>
    <x v="1"/>
    <n v="179000"/>
  </r>
  <r>
    <s v="ITM00235"/>
    <s v="ORD00134"/>
    <s v="PRD022"/>
    <n v="1"/>
    <n v="55000"/>
    <x v="4"/>
    <n v="55000"/>
  </r>
  <r>
    <s v="ITM00236"/>
    <s v="ORD00135"/>
    <s v="PRD021"/>
    <n v="1"/>
    <n v="69000"/>
    <x v="0"/>
    <n v="69000"/>
  </r>
  <r>
    <s v="ITM00237"/>
    <s v="ORD00136"/>
    <s v="PRD002"/>
    <n v="2"/>
    <n v="159000"/>
    <x v="14"/>
    <n v="318000"/>
  </r>
  <r>
    <s v="ITM00238"/>
    <s v="ORD00137"/>
    <s v="PRD022"/>
    <n v="1"/>
    <n v="55000"/>
    <x v="4"/>
    <n v="55000"/>
  </r>
  <r>
    <s v="ITM00239"/>
    <s v="ORD00138"/>
    <s v="PRD021"/>
    <n v="1"/>
    <n v="69000"/>
    <x v="0"/>
    <n v="69000"/>
  </r>
  <r>
    <s v="ITM00240"/>
    <s v="ORD00139"/>
    <s v="PRD021"/>
    <n v="2"/>
    <n v="69000"/>
    <x v="0"/>
    <n v="138000"/>
  </r>
  <r>
    <s v="ITM00241"/>
    <s v="ORD00140"/>
    <s v="PRD021"/>
    <n v="3"/>
    <n v="69000"/>
    <x v="0"/>
    <n v="207000"/>
  </r>
  <r>
    <s v="ITM00242"/>
    <s v="ORD00141"/>
    <s v="PRD021"/>
    <n v="1"/>
    <n v="69000"/>
    <x v="0"/>
    <n v="69000"/>
  </r>
  <r>
    <s v="ITM00243"/>
    <s v="ORD00141"/>
    <s v="PRD014"/>
    <n v="1"/>
    <n v="349000"/>
    <x v="9"/>
    <n v="349000"/>
  </r>
  <r>
    <s v="ITM00244"/>
    <s v="ORD00142"/>
    <s v="PRD012"/>
    <n v="1"/>
    <n v="229000"/>
    <x v="5"/>
    <n v="229000"/>
  </r>
  <r>
    <s v="ITM00245"/>
    <s v="ORD00143"/>
    <s v="PRD015"/>
    <n v="1"/>
    <n v="139000"/>
    <x v="18"/>
    <n v="139000"/>
  </r>
  <r>
    <s v="ITM00246"/>
    <s v="ORD00143"/>
    <s v="PRD002"/>
    <n v="1"/>
    <n v="159000"/>
    <x v="14"/>
    <n v="159000"/>
  </r>
  <r>
    <s v="ITM00247"/>
    <s v="ORD00144"/>
    <s v="PRD021"/>
    <n v="1"/>
    <n v="69000"/>
    <x v="0"/>
    <n v="69000"/>
  </r>
  <r>
    <s v="ITM00248"/>
    <s v="ORD00145"/>
    <s v="PRD005"/>
    <n v="1"/>
    <n v="39000"/>
    <x v="2"/>
    <n v="39000"/>
  </r>
  <r>
    <s v="ITM00249"/>
    <s v="ORD00146"/>
    <s v="PRD021"/>
    <n v="1"/>
    <n v="69000"/>
    <x v="0"/>
    <n v="69000"/>
  </r>
  <r>
    <s v="ITM00250"/>
    <s v="ORD00146"/>
    <s v="PRD022"/>
    <n v="1"/>
    <n v="55000"/>
    <x v="4"/>
    <n v="55000"/>
  </r>
  <r>
    <s v="ITM00251"/>
    <s v="ORD00147"/>
    <s v="PRD021"/>
    <n v="1"/>
    <n v="69000"/>
    <x v="0"/>
    <n v="69000"/>
  </r>
  <r>
    <s v="ITM00252"/>
    <s v="ORD00147"/>
    <s v="PRD009"/>
    <n v="1"/>
    <n v="79000"/>
    <x v="3"/>
    <n v="79000"/>
  </r>
  <r>
    <s v="ITM00253"/>
    <s v="ORD00147"/>
    <s v="PRD005"/>
    <n v="1"/>
    <n v="39000"/>
    <x v="2"/>
    <n v="39000"/>
  </r>
  <r>
    <s v="ITM00254"/>
    <s v="ORD00147"/>
    <s v="PRD017"/>
    <n v="1"/>
    <n v="329000"/>
    <x v="7"/>
    <n v="329000"/>
  </r>
  <r>
    <s v="ITM00255"/>
    <s v="ORD00148"/>
    <s v="PRD008"/>
    <n v="1"/>
    <n v="399000"/>
    <x v="12"/>
    <n v="399000"/>
  </r>
  <r>
    <s v="ITM00256"/>
    <s v="ORD00148"/>
    <s v="PRD021"/>
    <n v="1"/>
    <n v="69000"/>
    <x v="0"/>
    <n v="69000"/>
  </r>
  <r>
    <s v="ITM00257"/>
    <s v="ORD00149"/>
    <s v="PRD021"/>
    <n v="1"/>
    <n v="69000"/>
    <x v="0"/>
    <n v="69000"/>
  </r>
  <r>
    <s v="ITM00258"/>
    <s v="ORD00150"/>
    <s v="PRD006"/>
    <n v="2"/>
    <n v="129000"/>
    <x v="10"/>
    <n v="258000"/>
  </r>
  <r>
    <s v="ITM00259"/>
    <s v="ORD00150"/>
    <s v="PRD022"/>
    <n v="1"/>
    <n v="55000"/>
    <x v="4"/>
    <n v="55000"/>
  </r>
  <r>
    <s v="ITM00260"/>
    <s v="ORD00151"/>
    <s v="PRD002"/>
    <n v="1"/>
    <n v="159000"/>
    <x v="14"/>
    <n v="159000"/>
  </r>
  <r>
    <s v="ITM00261"/>
    <s v="ORD00152"/>
    <s v="PRD021"/>
    <n v="2"/>
    <n v="69000"/>
    <x v="0"/>
    <n v="138000"/>
  </r>
  <r>
    <s v="ITM00262"/>
    <s v="ORD00153"/>
    <s v="PRD021"/>
    <n v="2"/>
    <n v="69000"/>
    <x v="0"/>
    <n v="138000"/>
  </r>
  <r>
    <s v="ITM00263"/>
    <s v="ORD00154"/>
    <s v="PRD021"/>
    <n v="1"/>
    <n v="69000"/>
    <x v="0"/>
    <n v="69000"/>
  </r>
  <r>
    <s v="ITM00264"/>
    <s v="ORD00154"/>
    <s v="PRD005"/>
    <n v="2"/>
    <n v="39000"/>
    <x v="2"/>
    <n v="78000"/>
  </r>
  <r>
    <s v="ITM00265"/>
    <s v="ORD00154"/>
    <s v="PRD014"/>
    <n v="1"/>
    <n v="349000"/>
    <x v="9"/>
    <n v="349000"/>
  </r>
  <r>
    <s v="ITM00266"/>
    <s v="ORD00155"/>
    <s v="PRD021"/>
    <n v="1"/>
    <n v="69000"/>
    <x v="0"/>
    <n v="69000"/>
  </r>
  <r>
    <s v="ITM00267"/>
    <s v="ORD00156"/>
    <s v="PRD005"/>
    <n v="1"/>
    <n v="39000"/>
    <x v="2"/>
    <n v="39000"/>
  </r>
  <r>
    <s v="ITM00268"/>
    <s v="ORD00156"/>
    <s v="PRD014"/>
    <n v="1"/>
    <n v="349000"/>
    <x v="9"/>
    <n v="349000"/>
  </r>
  <r>
    <s v="ITM00269"/>
    <s v="ORD00157"/>
    <s v="PRD023"/>
    <n v="2"/>
    <n v="139000"/>
    <x v="8"/>
    <n v="278000"/>
  </r>
  <r>
    <s v="ITM00270"/>
    <s v="ORD00157"/>
    <s v="PRD005"/>
    <n v="1"/>
    <n v="39000"/>
    <x v="2"/>
    <n v="39000"/>
  </r>
  <r>
    <s v="ITM00271"/>
    <s v="ORD00158"/>
    <s v="PRD021"/>
    <n v="1"/>
    <n v="69000"/>
    <x v="0"/>
    <n v="69000"/>
  </r>
  <r>
    <s v="ITM00272"/>
    <s v="ORD00159"/>
    <s v="PRD005"/>
    <n v="1"/>
    <n v="39000"/>
    <x v="2"/>
    <n v="39000"/>
  </r>
  <r>
    <s v="ITM00273"/>
    <s v="ORD00160"/>
    <s v="PRD007"/>
    <n v="1"/>
    <n v="99000"/>
    <x v="6"/>
    <n v="99000"/>
  </r>
  <r>
    <s v="ITM00274"/>
    <s v="ORD00160"/>
    <s v="PRD021"/>
    <n v="1"/>
    <n v="69000"/>
    <x v="0"/>
    <n v="69000"/>
  </r>
  <r>
    <s v="ITM00275"/>
    <s v="ORD00161"/>
    <s v="PRD021"/>
    <n v="3"/>
    <n v="69000"/>
    <x v="0"/>
    <n v="207000"/>
  </r>
  <r>
    <s v="ITM00276"/>
    <s v="ORD00161"/>
    <s v="PRD020"/>
    <n v="1"/>
    <n v="179000"/>
    <x v="1"/>
    <n v="179000"/>
  </r>
  <r>
    <s v="ITM00277"/>
    <s v="ORD00161"/>
    <s v="PRD017"/>
    <n v="1"/>
    <n v="329000"/>
    <x v="7"/>
    <n v="329000"/>
  </r>
  <r>
    <s v="ITM00278"/>
    <s v="ORD00161"/>
    <s v="PRD003"/>
    <n v="1"/>
    <n v="499000"/>
    <x v="11"/>
    <n v="499000"/>
  </r>
  <r>
    <s v="ITM00279"/>
    <s v="ORD00162"/>
    <s v="PRD021"/>
    <n v="1"/>
    <n v="69000"/>
    <x v="0"/>
    <n v="69000"/>
  </r>
  <r>
    <s v="ITM00280"/>
    <s v="ORD00163"/>
    <s v="PRD006"/>
    <n v="3"/>
    <n v="129000"/>
    <x v="10"/>
    <n v="387000"/>
  </r>
  <r>
    <s v="ITM00281"/>
    <s v="ORD00163"/>
    <s v="PRD012"/>
    <n v="1"/>
    <n v="229000"/>
    <x v="5"/>
    <n v="229000"/>
  </r>
  <r>
    <s v="ITM00282"/>
    <s v="ORD00163"/>
    <s v="PRD005"/>
    <n v="2"/>
    <n v="39000"/>
    <x v="2"/>
    <n v="78000"/>
  </r>
  <r>
    <s v="ITM00283"/>
    <s v="ORD00164"/>
    <s v="PRD021"/>
    <n v="1"/>
    <n v="69000"/>
    <x v="0"/>
    <n v="69000"/>
  </r>
  <r>
    <s v="ITM00284"/>
    <s v="ORD00165"/>
    <s v="PRD004"/>
    <n v="1"/>
    <n v="199000"/>
    <x v="19"/>
    <n v="199000"/>
  </r>
  <r>
    <s v="ITM00285"/>
    <s v="ORD00165"/>
    <s v="PRD008"/>
    <n v="1"/>
    <n v="399000"/>
    <x v="12"/>
    <n v="399000"/>
  </r>
  <r>
    <s v="ITM00286"/>
    <s v="ORD00166"/>
    <s v="PRD021"/>
    <n v="2"/>
    <n v="69000"/>
    <x v="0"/>
    <n v="138000"/>
  </r>
  <r>
    <s v="ITM00287"/>
    <s v="ORD00166"/>
    <s v="PRD008"/>
    <n v="1"/>
    <n v="399000"/>
    <x v="12"/>
    <n v="399000"/>
  </r>
  <r>
    <s v="ITM00288"/>
    <s v="ORD00167"/>
    <s v="PRD012"/>
    <n v="1"/>
    <n v="229000"/>
    <x v="5"/>
    <n v="229000"/>
  </r>
  <r>
    <s v="ITM00289"/>
    <s v="ORD00167"/>
    <s v="PRD019"/>
    <n v="1"/>
    <n v="79000"/>
    <x v="13"/>
    <n v="79000"/>
  </r>
  <r>
    <s v="ITM00290"/>
    <s v="ORD00168"/>
    <s v="PRD021"/>
    <n v="1"/>
    <n v="69000"/>
    <x v="0"/>
    <n v="69000"/>
  </r>
  <r>
    <s v="ITM00291"/>
    <s v="ORD00168"/>
    <s v="PRD008"/>
    <n v="1"/>
    <n v="399000"/>
    <x v="12"/>
    <n v="399000"/>
  </r>
  <r>
    <s v="ITM00292"/>
    <s v="ORD00168"/>
    <s v="PRD005"/>
    <n v="1"/>
    <n v="39000"/>
    <x v="2"/>
    <n v="39000"/>
  </r>
  <r>
    <s v="ITM00293"/>
    <s v="ORD00169"/>
    <s v="PRD005"/>
    <n v="1"/>
    <n v="39000"/>
    <x v="2"/>
    <n v="39000"/>
  </r>
  <r>
    <s v="ITM00294"/>
    <s v="ORD00169"/>
    <s v="PRD021"/>
    <n v="2"/>
    <n v="69000"/>
    <x v="0"/>
    <n v="138000"/>
  </r>
  <r>
    <s v="ITM00295"/>
    <s v="ORD00169"/>
    <s v="PRD022"/>
    <n v="1"/>
    <n v="55000"/>
    <x v="4"/>
    <n v="55000"/>
  </r>
  <r>
    <s v="ITM00296"/>
    <s v="ORD00170"/>
    <s v="PRD021"/>
    <n v="1"/>
    <n v="69000"/>
    <x v="0"/>
    <n v="69000"/>
  </r>
  <r>
    <s v="ITM00297"/>
    <s v="ORD00170"/>
    <s v="PRD005"/>
    <n v="1"/>
    <n v="39000"/>
    <x v="2"/>
    <n v="39000"/>
  </r>
  <r>
    <s v="ITM00298"/>
    <s v="ORD00170"/>
    <s v="PRD017"/>
    <n v="2"/>
    <n v="329000"/>
    <x v="7"/>
    <n v="658000"/>
  </r>
  <r>
    <s v="ITM00299"/>
    <s v="ORD00171"/>
    <s v="PRD019"/>
    <n v="1"/>
    <n v="79000"/>
    <x v="13"/>
    <n v="79000"/>
  </r>
  <r>
    <s v="ITM00300"/>
    <s v="ORD00172"/>
    <s v="PRD021"/>
    <n v="1"/>
    <n v="69000"/>
    <x v="0"/>
    <n v="69000"/>
  </r>
  <r>
    <s v="ITM00301"/>
    <s v="ORD00173"/>
    <s v="PRD005"/>
    <n v="1"/>
    <n v="39000"/>
    <x v="2"/>
    <n v="39000"/>
  </r>
  <r>
    <s v="ITM00302"/>
    <s v="ORD00174"/>
    <s v="PRD005"/>
    <n v="2"/>
    <n v="39000"/>
    <x v="2"/>
    <n v="78000"/>
  </r>
  <r>
    <s v="ITM00303"/>
    <s v="ORD00175"/>
    <s v="PRD021"/>
    <n v="1"/>
    <n v="69000"/>
    <x v="0"/>
    <n v="69000"/>
  </r>
  <r>
    <s v="ITM00304"/>
    <s v="ORD00175"/>
    <s v="PRD005"/>
    <n v="1"/>
    <n v="39000"/>
    <x v="2"/>
    <n v="39000"/>
  </r>
  <r>
    <s v="ITM00305"/>
    <s v="ORD00176"/>
    <s v="PRD005"/>
    <n v="1"/>
    <n v="39000"/>
    <x v="2"/>
    <n v="39000"/>
  </r>
  <r>
    <s v="ITM00306"/>
    <s v="ORD00177"/>
    <s v="PRD021"/>
    <n v="2"/>
    <n v="69000"/>
    <x v="0"/>
    <n v="138000"/>
  </r>
  <r>
    <s v="ITM00307"/>
    <s v="ORD00178"/>
    <s v="PRD014"/>
    <n v="1"/>
    <n v="349000"/>
    <x v="9"/>
    <n v="349000"/>
  </r>
  <r>
    <s v="ITM00308"/>
    <s v="ORD00179"/>
    <s v="PRD002"/>
    <n v="3"/>
    <n v="159000"/>
    <x v="14"/>
    <n v="477000"/>
  </r>
  <r>
    <s v="ITM00309"/>
    <s v="ORD00180"/>
    <s v="PRD009"/>
    <n v="1"/>
    <n v="79000"/>
    <x v="3"/>
    <n v="79000"/>
  </r>
  <r>
    <s v="ITM00310"/>
    <s v="ORD00181"/>
    <s v="PRD005"/>
    <n v="2"/>
    <n v="39000"/>
    <x v="2"/>
    <n v="78000"/>
  </r>
  <r>
    <s v="ITM00311"/>
    <s v="ORD00182"/>
    <s v="PRD021"/>
    <n v="1"/>
    <n v="69000"/>
    <x v="0"/>
    <n v="69000"/>
  </r>
  <r>
    <s v="ITM00312"/>
    <s v="ORD00182"/>
    <s v="PRD012"/>
    <n v="1"/>
    <n v="229000"/>
    <x v="5"/>
    <n v="229000"/>
  </r>
  <r>
    <s v="ITM00313"/>
    <s v="ORD00183"/>
    <s v="PRD014"/>
    <n v="1"/>
    <n v="349000"/>
    <x v="9"/>
    <n v="349000"/>
  </r>
  <r>
    <s v="ITM00314"/>
    <s v="ORD00183"/>
    <s v="PRD006"/>
    <n v="3"/>
    <n v="129000"/>
    <x v="10"/>
    <n v="387000"/>
  </r>
  <r>
    <s v="ITM00315"/>
    <s v="ORD00184"/>
    <s v="PRD009"/>
    <n v="1"/>
    <n v="79000"/>
    <x v="3"/>
    <n v="79000"/>
  </r>
  <r>
    <s v="ITM00316"/>
    <s v="ORD00185"/>
    <s v="PRD021"/>
    <n v="1"/>
    <n v="69000"/>
    <x v="0"/>
    <n v="69000"/>
  </r>
  <r>
    <s v="ITM00317"/>
    <s v="ORD00186"/>
    <s v="PRD021"/>
    <n v="1"/>
    <n v="69000"/>
    <x v="0"/>
    <n v="69000"/>
  </r>
  <r>
    <s v="ITM00318"/>
    <s v="ORD00186"/>
    <s v="PRD005"/>
    <n v="1"/>
    <n v="39000"/>
    <x v="2"/>
    <n v="39000"/>
  </r>
  <r>
    <s v="ITM00319"/>
    <s v="ORD00187"/>
    <s v="PRD021"/>
    <n v="1"/>
    <n v="69000"/>
    <x v="0"/>
    <n v="69000"/>
  </r>
  <r>
    <s v="ITM00320"/>
    <s v="ORD00188"/>
    <s v="PRD021"/>
    <n v="1"/>
    <n v="69000"/>
    <x v="0"/>
    <n v="69000"/>
  </r>
  <r>
    <s v="ITM00321"/>
    <s v="ORD00188"/>
    <s v="PRD005"/>
    <n v="1"/>
    <n v="39000"/>
    <x v="2"/>
    <n v="39000"/>
  </r>
  <r>
    <s v="ITM00322"/>
    <s v="ORD00189"/>
    <s v="PRD021"/>
    <n v="1"/>
    <n v="69000"/>
    <x v="0"/>
    <n v="69000"/>
  </r>
  <r>
    <s v="ITM00323"/>
    <s v="ORD00189"/>
    <s v="PRD002"/>
    <n v="2"/>
    <n v="159000"/>
    <x v="14"/>
    <n v="318000"/>
  </r>
  <r>
    <s v="ITM00324"/>
    <s v="ORD00189"/>
    <s v="PRD006"/>
    <n v="1"/>
    <n v="129000"/>
    <x v="10"/>
    <n v="129000"/>
  </r>
  <r>
    <s v="ITM00325"/>
    <s v="ORD00189"/>
    <s v="PRD005"/>
    <n v="1"/>
    <n v="39000"/>
    <x v="2"/>
    <n v="39000"/>
  </r>
  <r>
    <s v="ITM00326"/>
    <s v="ORD00190"/>
    <s v="PRD020"/>
    <n v="1"/>
    <n v="179000"/>
    <x v="1"/>
    <n v="179000"/>
  </r>
  <r>
    <s v="ITM00327"/>
    <s v="ORD00190"/>
    <s v="PRD021"/>
    <n v="1"/>
    <n v="69000"/>
    <x v="0"/>
    <n v="69000"/>
  </r>
  <r>
    <s v="ITM00328"/>
    <s v="ORD00191"/>
    <s v="PRD009"/>
    <n v="1"/>
    <n v="79000"/>
    <x v="3"/>
    <n v="79000"/>
  </r>
  <r>
    <s v="ITM00329"/>
    <s v="ORD00192"/>
    <s v="PRD022"/>
    <n v="1"/>
    <n v="55000"/>
    <x v="4"/>
    <n v="55000"/>
  </r>
  <r>
    <s v="ITM00330"/>
    <s v="ORD00193"/>
    <s v="PRD021"/>
    <n v="2"/>
    <n v="69000"/>
    <x v="0"/>
    <n v="138000"/>
  </r>
  <r>
    <s v="ITM00331"/>
    <s v="ORD00194"/>
    <s v="PRD005"/>
    <n v="1"/>
    <n v="39000"/>
    <x v="2"/>
    <n v="39000"/>
  </r>
  <r>
    <s v="ITM00332"/>
    <s v="ORD00194"/>
    <s v="PRD022"/>
    <n v="1"/>
    <n v="55000"/>
    <x v="4"/>
    <n v="55000"/>
  </r>
  <r>
    <s v="ITM00333"/>
    <s v="ORD00195"/>
    <s v="PRD007"/>
    <n v="1"/>
    <n v="99000"/>
    <x v="6"/>
    <n v="99000"/>
  </r>
  <r>
    <s v="ITM00334"/>
    <s v="ORD00195"/>
    <s v="PRD020"/>
    <n v="1"/>
    <n v="179000"/>
    <x v="1"/>
    <n v="179000"/>
  </r>
  <r>
    <s v="ITM00335"/>
    <s v="ORD00196"/>
    <s v="PRD019"/>
    <n v="2"/>
    <n v="79000"/>
    <x v="13"/>
    <n v="158000"/>
  </r>
  <r>
    <s v="ITM00336"/>
    <s v="ORD00197"/>
    <s v="PRD021"/>
    <n v="1"/>
    <n v="69000"/>
    <x v="0"/>
    <n v="69000"/>
  </r>
  <r>
    <s v="ITM00337"/>
    <s v="ORD00197"/>
    <s v="PRD005"/>
    <n v="1"/>
    <n v="39000"/>
    <x v="2"/>
    <n v="39000"/>
  </r>
  <r>
    <s v="ITM00338"/>
    <s v="ORD00198"/>
    <s v="PRD017"/>
    <n v="1"/>
    <n v="329000"/>
    <x v="7"/>
    <n v="329000"/>
  </r>
  <r>
    <s v="ITM00339"/>
    <s v="ORD00199"/>
    <s v="PRD005"/>
    <n v="1"/>
    <n v="39000"/>
    <x v="2"/>
    <n v="39000"/>
  </r>
  <r>
    <s v="ITM00340"/>
    <s v="ORD00200"/>
    <s v="PRD021"/>
    <n v="2"/>
    <n v="69000"/>
    <x v="0"/>
    <n v="138000"/>
  </r>
  <r>
    <s v="ITM00341"/>
    <s v="ORD00200"/>
    <s v="PRD005"/>
    <n v="1"/>
    <n v="39000"/>
    <x v="2"/>
    <n v="39000"/>
  </r>
  <r>
    <s v="ITM00342"/>
    <s v="ORD00201"/>
    <s v="PRD021"/>
    <n v="2"/>
    <n v="69000"/>
    <x v="0"/>
    <n v="138000"/>
  </r>
  <r>
    <s v="ITM00343"/>
    <s v="ORD00201"/>
    <s v="PRD002"/>
    <n v="2"/>
    <n v="159000"/>
    <x v="14"/>
    <n v="318000"/>
  </r>
  <r>
    <s v="ITM00344"/>
    <s v="ORD00201"/>
    <s v="PRD020"/>
    <n v="1"/>
    <n v="179000"/>
    <x v="1"/>
    <n v="179000"/>
  </r>
  <r>
    <s v="ITM00345"/>
    <s v="ORD00202"/>
    <s v="PRD017"/>
    <n v="2"/>
    <n v="329000"/>
    <x v="7"/>
    <n v="658000"/>
  </r>
  <r>
    <s v="ITM00346"/>
    <s v="ORD00203"/>
    <s v="PRD002"/>
    <n v="1"/>
    <n v="159000"/>
    <x v="14"/>
    <n v="159000"/>
  </r>
  <r>
    <s v="ITM00347"/>
    <s v="ORD00203"/>
    <s v="PRD005"/>
    <n v="1"/>
    <n v="39000"/>
    <x v="2"/>
    <n v="39000"/>
  </r>
  <r>
    <s v="ITM00348"/>
    <s v="ORD00204"/>
    <s v="PRD017"/>
    <n v="1"/>
    <n v="329000"/>
    <x v="7"/>
    <n v="329000"/>
  </r>
  <r>
    <s v="ITM00349"/>
    <s v="ORD00204"/>
    <s v="PRD021"/>
    <n v="1"/>
    <n v="69000"/>
    <x v="0"/>
    <n v="69000"/>
  </r>
  <r>
    <s v="ITM00350"/>
    <s v="ORD00205"/>
    <s v="PRD021"/>
    <n v="1"/>
    <n v="69000"/>
    <x v="0"/>
    <n v="69000"/>
  </r>
  <r>
    <s v="ITM00351"/>
    <s v="ORD00206"/>
    <s v="PRD021"/>
    <n v="3"/>
    <n v="69000"/>
    <x v="0"/>
    <n v="207000"/>
  </r>
  <r>
    <s v="ITM00352"/>
    <s v="ORD00207"/>
    <s v="PRD014"/>
    <n v="1"/>
    <n v="349000"/>
    <x v="9"/>
    <n v="349000"/>
  </r>
  <r>
    <s v="ITM00353"/>
    <s v="ORD00207"/>
    <s v="PRD005"/>
    <n v="1"/>
    <n v="39000"/>
    <x v="2"/>
    <n v="39000"/>
  </r>
  <r>
    <s v="ITM00354"/>
    <s v="ORD00208"/>
    <s v="PRD021"/>
    <n v="1"/>
    <n v="69000"/>
    <x v="0"/>
    <n v="69000"/>
  </r>
  <r>
    <s v="ITM00355"/>
    <s v="ORD00208"/>
    <s v="PRD008"/>
    <n v="1"/>
    <n v="399000"/>
    <x v="12"/>
    <n v="399000"/>
  </r>
  <r>
    <s v="ITM00356"/>
    <s v="ORD00208"/>
    <s v="PRD005"/>
    <n v="1"/>
    <n v="39000"/>
    <x v="2"/>
    <n v="39000"/>
  </r>
  <r>
    <s v="ITM00357"/>
    <s v="ORD00209"/>
    <s v="PRD020"/>
    <n v="1"/>
    <n v="179000"/>
    <x v="1"/>
    <n v="179000"/>
  </r>
  <r>
    <s v="ITM00358"/>
    <s v="ORD00210"/>
    <s v="PRD021"/>
    <n v="1"/>
    <n v="69000"/>
    <x v="0"/>
    <n v="69000"/>
  </r>
  <r>
    <s v="ITM00359"/>
    <s v="ORD00211"/>
    <s v="PRD022"/>
    <n v="1"/>
    <n v="55000"/>
    <x v="4"/>
    <n v="55000"/>
  </r>
  <r>
    <s v="ITM00360"/>
    <s v="ORD00212"/>
    <s v="PRD017"/>
    <n v="3"/>
    <n v="329000"/>
    <x v="7"/>
    <n v="987000"/>
  </r>
  <r>
    <s v="ITM00361"/>
    <s v="ORD00213"/>
    <s v="PRD021"/>
    <n v="1"/>
    <n v="69000"/>
    <x v="0"/>
    <n v="69000"/>
  </r>
  <r>
    <s v="ITM00362"/>
    <s v="ORD00214"/>
    <s v="PRD005"/>
    <n v="1"/>
    <n v="39000"/>
    <x v="2"/>
    <n v="39000"/>
  </r>
  <r>
    <s v="ITM00363"/>
    <s v="ORD00215"/>
    <s v="PRD005"/>
    <n v="1"/>
    <n v="39000"/>
    <x v="2"/>
    <n v="39000"/>
  </r>
  <r>
    <s v="ITM00364"/>
    <s v="ORD00215"/>
    <s v="PRD008"/>
    <n v="1"/>
    <n v="399000"/>
    <x v="12"/>
    <n v="399000"/>
  </r>
  <r>
    <s v="ITM00365"/>
    <s v="ORD00215"/>
    <s v="PRD006"/>
    <n v="2"/>
    <n v="129000"/>
    <x v="10"/>
    <n v="258000"/>
  </r>
  <r>
    <s v="ITM00366"/>
    <s v="ORD00215"/>
    <s v="PRD017"/>
    <n v="1"/>
    <n v="329000"/>
    <x v="7"/>
    <n v="329000"/>
  </r>
  <r>
    <s v="ITM00367"/>
    <s v="ORD00216"/>
    <s v="PRD021"/>
    <n v="1"/>
    <n v="69000"/>
    <x v="0"/>
    <n v="69000"/>
  </r>
  <r>
    <s v="ITM00368"/>
    <s v="ORD00217"/>
    <s v="PRD014"/>
    <n v="1"/>
    <n v="349000"/>
    <x v="9"/>
    <n v="349000"/>
  </r>
  <r>
    <s v="ITM00369"/>
    <s v="ORD00217"/>
    <s v="PRD009"/>
    <n v="1"/>
    <n v="79000"/>
    <x v="3"/>
    <n v="79000"/>
  </r>
  <r>
    <s v="ITM00370"/>
    <s v="ORD00218"/>
    <s v="PRD014"/>
    <n v="2"/>
    <n v="349000"/>
    <x v="9"/>
    <n v="698000"/>
  </r>
  <r>
    <s v="ITM00371"/>
    <s v="ORD00219"/>
    <s v="PRD021"/>
    <n v="1"/>
    <n v="69000"/>
    <x v="0"/>
    <n v="69000"/>
  </r>
  <r>
    <s v="ITM00372"/>
    <s v="ORD00220"/>
    <s v="PRD009"/>
    <n v="1"/>
    <n v="79000"/>
    <x v="3"/>
    <n v="79000"/>
  </r>
  <r>
    <s v="ITM00373"/>
    <s v="ORD00220"/>
    <s v="PRD005"/>
    <n v="1"/>
    <n v="39000"/>
    <x v="2"/>
    <n v="39000"/>
  </r>
  <r>
    <s v="ITM00374"/>
    <s v="ORD00221"/>
    <s v="PRD005"/>
    <n v="1"/>
    <n v="39000"/>
    <x v="2"/>
    <n v="39000"/>
  </r>
  <r>
    <s v="ITM00375"/>
    <s v="ORD00221"/>
    <s v="PRD021"/>
    <n v="2"/>
    <n v="69000"/>
    <x v="0"/>
    <n v="138000"/>
  </r>
  <r>
    <s v="ITM00376"/>
    <s v="ORD00222"/>
    <s v="PRD021"/>
    <n v="1"/>
    <n v="69000"/>
    <x v="0"/>
    <n v="69000"/>
  </r>
  <r>
    <s v="ITM00377"/>
    <s v="ORD00223"/>
    <s v="PRD017"/>
    <n v="1"/>
    <n v="329000"/>
    <x v="7"/>
    <n v="329000"/>
  </r>
  <r>
    <s v="ITM00378"/>
    <s v="ORD00223"/>
    <s v="PRD014"/>
    <n v="1"/>
    <n v="349000"/>
    <x v="9"/>
    <n v="349000"/>
  </r>
  <r>
    <s v="ITM00379"/>
    <s v="ORD00224"/>
    <s v="PRD022"/>
    <n v="1"/>
    <n v="55000"/>
    <x v="4"/>
    <n v="55000"/>
  </r>
  <r>
    <s v="ITM00380"/>
    <s v="ORD00225"/>
    <s v="PRD009"/>
    <n v="1"/>
    <n v="79000"/>
    <x v="3"/>
    <n v="79000"/>
  </r>
  <r>
    <s v="ITM00381"/>
    <s v="ORD00226"/>
    <s v="PRD005"/>
    <n v="1"/>
    <n v="39000"/>
    <x v="2"/>
    <n v="39000"/>
  </r>
  <r>
    <s v="ITM00382"/>
    <s v="ORD00226"/>
    <s v="PRD006"/>
    <n v="2"/>
    <n v="129000"/>
    <x v="10"/>
    <n v="258000"/>
  </r>
  <r>
    <s v="ITM00383"/>
    <s v="ORD00227"/>
    <s v="PRD017"/>
    <n v="1"/>
    <n v="329000"/>
    <x v="7"/>
    <n v="329000"/>
  </r>
  <r>
    <s v="ITM00384"/>
    <s v="ORD00228"/>
    <s v="PRD017"/>
    <n v="1"/>
    <n v="329000"/>
    <x v="7"/>
    <n v="329000"/>
  </r>
  <r>
    <s v="ITM00385"/>
    <s v="ORD00229"/>
    <s v="PRD020"/>
    <n v="2"/>
    <n v="179000"/>
    <x v="1"/>
    <n v="358000"/>
  </r>
  <r>
    <s v="ITM00386"/>
    <s v="ORD00230"/>
    <s v="PRD021"/>
    <n v="2"/>
    <n v="69000"/>
    <x v="0"/>
    <n v="138000"/>
  </r>
  <r>
    <s v="ITM00387"/>
    <s v="ORD00231"/>
    <s v="PRD021"/>
    <n v="3"/>
    <n v="69000"/>
    <x v="0"/>
    <n v="207000"/>
  </r>
  <r>
    <s v="ITM00388"/>
    <s v="ORD00231"/>
    <s v="PRD008"/>
    <n v="1"/>
    <n v="399000"/>
    <x v="12"/>
    <n v="399000"/>
  </r>
  <r>
    <s v="ITM00389"/>
    <s v="ORD00232"/>
    <s v="PRD004"/>
    <n v="2"/>
    <n v="199000"/>
    <x v="19"/>
    <n v="398000"/>
  </r>
  <r>
    <s v="ITM00390"/>
    <s v="ORD00232"/>
    <s v="PRD009"/>
    <n v="1"/>
    <n v="79000"/>
    <x v="3"/>
    <n v="79000"/>
  </r>
  <r>
    <s v="ITM00391"/>
    <s v="ORD00233"/>
    <s v="PRD021"/>
    <n v="1"/>
    <n v="69000"/>
    <x v="0"/>
    <n v="69000"/>
  </r>
  <r>
    <s v="ITM00392"/>
    <s v="ORD00234"/>
    <s v="PRD021"/>
    <n v="1"/>
    <n v="69000"/>
    <x v="0"/>
    <n v="69000"/>
  </r>
  <r>
    <s v="ITM00393"/>
    <s v="ORD00234"/>
    <s v="PRD005"/>
    <n v="1"/>
    <n v="39000"/>
    <x v="2"/>
    <n v="39000"/>
  </r>
  <r>
    <s v="ITM00394"/>
    <s v="ORD00234"/>
    <s v="PRD012"/>
    <n v="2"/>
    <n v="229000"/>
    <x v="5"/>
    <n v="458000"/>
  </r>
  <r>
    <s v="ITM00395"/>
    <s v="ORD00234"/>
    <s v="PRD006"/>
    <n v="2"/>
    <n v="129000"/>
    <x v="10"/>
    <n v="258000"/>
  </r>
  <r>
    <s v="ITM00396"/>
    <s v="ORD00235"/>
    <s v="PRD009"/>
    <n v="3"/>
    <n v="79000"/>
    <x v="3"/>
    <n v="237000"/>
  </r>
  <r>
    <s v="ITM00397"/>
    <s v="ORD00235"/>
    <s v="PRD008"/>
    <n v="3"/>
    <n v="399000"/>
    <x v="12"/>
    <n v="1197000"/>
  </r>
  <r>
    <s v="ITM00398"/>
    <s v="ORD00235"/>
    <s v="PRD022"/>
    <n v="1"/>
    <n v="55000"/>
    <x v="4"/>
    <n v="55000"/>
  </r>
  <r>
    <s v="ITM00399"/>
    <s v="ORD00235"/>
    <s v="PRD005"/>
    <n v="1"/>
    <n v="39000"/>
    <x v="2"/>
    <n v="39000"/>
  </r>
  <r>
    <s v="ITM00400"/>
    <s v="ORD00236"/>
    <s v="PRD009"/>
    <n v="1"/>
    <n v="79000"/>
    <x v="3"/>
    <n v="79000"/>
  </r>
  <r>
    <s v="ITM00401"/>
    <s v="ORD00236"/>
    <s v="PRD005"/>
    <n v="1"/>
    <n v="39000"/>
    <x v="2"/>
    <n v="39000"/>
  </r>
  <r>
    <s v="ITM00402"/>
    <s v="ORD00236"/>
    <s v="PRD021"/>
    <n v="1"/>
    <n v="69000"/>
    <x v="0"/>
    <n v="69000"/>
  </r>
  <r>
    <s v="ITM00403"/>
    <s v="ORD00237"/>
    <s v="PRD021"/>
    <n v="1"/>
    <n v="69000"/>
    <x v="0"/>
    <n v="69000"/>
  </r>
  <r>
    <s v="ITM00404"/>
    <s v="ORD00237"/>
    <s v="PRD006"/>
    <n v="3"/>
    <n v="129000"/>
    <x v="10"/>
    <n v="387000"/>
  </r>
  <r>
    <s v="ITM00405"/>
    <s v="ORD00238"/>
    <s v="PRD005"/>
    <n v="1"/>
    <n v="39000"/>
    <x v="2"/>
    <n v="39000"/>
  </r>
  <r>
    <s v="ITM00406"/>
    <s v="ORD00238"/>
    <s v="PRD008"/>
    <n v="1"/>
    <n v="399000"/>
    <x v="12"/>
    <n v="399000"/>
  </r>
  <r>
    <s v="ITM00407"/>
    <s v="ORD00239"/>
    <s v="PRD008"/>
    <n v="1"/>
    <n v="399000"/>
    <x v="12"/>
    <n v="399000"/>
  </r>
  <r>
    <s v="ITM00408"/>
    <s v="ORD00239"/>
    <s v="PRD021"/>
    <n v="1"/>
    <n v="69000"/>
    <x v="0"/>
    <n v="69000"/>
  </r>
  <r>
    <s v="ITM00409"/>
    <s v="ORD00239"/>
    <s v="PRD009"/>
    <n v="1"/>
    <n v="79000"/>
    <x v="3"/>
    <n v="79000"/>
  </r>
  <r>
    <s v="ITM00410"/>
    <s v="ORD00240"/>
    <s v="PRD005"/>
    <n v="2"/>
    <n v="39000"/>
    <x v="2"/>
    <n v="78000"/>
  </r>
  <r>
    <s v="ITM00411"/>
    <s v="ORD00240"/>
    <s v="PRD021"/>
    <n v="1"/>
    <n v="69000"/>
    <x v="0"/>
    <n v="69000"/>
  </r>
  <r>
    <s v="ITM00412"/>
    <s v="ORD00240"/>
    <s v="PRD022"/>
    <n v="1"/>
    <n v="55000"/>
    <x v="4"/>
    <n v="55000"/>
  </r>
  <r>
    <s v="ITM00413"/>
    <s v="ORD00241"/>
    <s v="PRD021"/>
    <n v="1"/>
    <n v="69000"/>
    <x v="0"/>
    <n v="69000"/>
  </r>
  <r>
    <s v="ITM00414"/>
    <s v="ORD00242"/>
    <s v="PRD002"/>
    <n v="1"/>
    <n v="159000"/>
    <x v="14"/>
    <n v="159000"/>
  </r>
  <r>
    <s v="ITM00415"/>
    <s v="ORD00243"/>
    <s v="PRD008"/>
    <n v="3"/>
    <n v="399000"/>
    <x v="12"/>
    <n v="1197000"/>
  </r>
  <r>
    <s v="ITM00416"/>
    <s v="ORD00243"/>
    <s v="PRD021"/>
    <n v="2"/>
    <n v="69000"/>
    <x v="0"/>
    <n v="138000"/>
  </r>
  <r>
    <s v="ITM00417"/>
    <s v="ORD00243"/>
    <s v="PRD020"/>
    <n v="1"/>
    <n v="179000"/>
    <x v="1"/>
    <n v="179000"/>
  </r>
  <r>
    <s v="ITM00418"/>
    <s v="ORD00244"/>
    <s v="PRD017"/>
    <n v="1"/>
    <n v="329000"/>
    <x v="7"/>
    <n v="329000"/>
  </r>
  <r>
    <s v="ITM00419"/>
    <s v="ORD00244"/>
    <s v="PRD005"/>
    <n v="1"/>
    <n v="39000"/>
    <x v="2"/>
    <n v="39000"/>
  </r>
  <r>
    <s v="ITM00420"/>
    <s v="ORD00245"/>
    <s v="PRD008"/>
    <n v="1"/>
    <n v="399000"/>
    <x v="12"/>
    <n v="399000"/>
  </r>
  <r>
    <s v="ITM00421"/>
    <s v="ORD00246"/>
    <s v="PRD005"/>
    <n v="1"/>
    <n v="39000"/>
    <x v="2"/>
    <n v="39000"/>
  </r>
  <r>
    <s v="ITM00422"/>
    <s v="ORD00246"/>
    <s v="PRD021"/>
    <n v="1"/>
    <n v="69000"/>
    <x v="0"/>
    <n v="69000"/>
  </r>
  <r>
    <s v="ITM00423"/>
    <s v="ORD00247"/>
    <s v="PRD008"/>
    <n v="1"/>
    <n v="399000"/>
    <x v="12"/>
    <n v="399000"/>
  </r>
  <r>
    <s v="ITM00424"/>
    <s v="ORD00247"/>
    <s v="PRD014"/>
    <n v="1"/>
    <n v="349000"/>
    <x v="9"/>
    <n v="349000"/>
  </r>
  <r>
    <s v="ITM00425"/>
    <s v="ORD00247"/>
    <s v="PRD006"/>
    <n v="1"/>
    <n v="129000"/>
    <x v="10"/>
    <n v="129000"/>
  </r>
  <r>
    <s v="ITM00426"/>
    <s v="ORD00248"/>
    <s v="PRD005"/>
    <n v="1"/>
    <n v="39000"/>
    <x v="2"/>
    <n v="39000"/>
  </r>
  <r>
    <s v="ITM00427"/>
    <s v="ORD00249"/>
    <s v="PRD021"/>
    <n v="3"/>
    <n v="69000"/>
    <x v="0"/>
    <n v="207000"/>
  </r>
  <r>
    <s v="ITM00428"/>
    <s v="ORD00250"/>
    <s v="PRD005"/>
    <n v="3"/>
    <n v="39000"/>
    <x v="2"/>
    <n v="117000"/>
  </r>
  <r>
    <s v="ITM00429"/>
    <s v="ORD00251"/>
    <s v="PRD006"/>
    <n v="1"/>
    <n v="129000"/>
    <x v="10"/>
    <n v="129000"/>
  </r>
  <r>
    <s v="ITM00430"/>
    <s v="ORD00251"/>
    <s v="PRD020"/>
    <n v="1"/>
    <n v="179000"/>
    <x v="1"/>
    <n v="179000"/>
  </r>
  <r>
    <s v="ITM00431"/>
    <s v="ORD00252"/>
    <s v="PRD017"/>
    <n v="1"/>
    <n v="329000"/>
    <x v="7"/>
    <n v="329000"/>
  </r>
  <r>
    <s v="ITM00432"/>
    <s v="ORD00253"/>
    <s v="PRD009"/>
    <n v="1"/>
    <n v="79000"/>
    <x v="3"/>
    <n v="79000"/>
  </r>
  <r>
    <s v="ITM00433"/>
    <s v="ORD00254"/>
    <s v="PRD017"/>
    <n v="1"/>
    <n v="329000"/>
    <x v="7"/>
    <n v="329000"/>
  </r>
  <r>
    <s v="ITM00434"/>
    <s v="ORD00255"/>
    <s v="PRD021"/>
    <n v="2"/>
    <n v="69000"/>
    <x v="0"/>
    <n v="138000"/>
  </r>
  <r>
    <s v="ITM00435"/>
    <s v="ORD00256"/>
    <s v="PRD008"/>
    <n v="1"/>
    <n v="399000"/>
    <x v="12"/>
    <n v="399000"/>
  </r>
  <r>
    <s v="ITM00436"/>
    <s v="ORD00256"/>
    <s v="PRD017"/>
    <n v="1"/>
    <n v="329000"/>
    <x v="7"/>
    <n v="329000"/>
  </r>
  <r>
    <s v="ITM00437"/>
    <s v="ORD00256"/>
    <s v="PRD014"/>
    <n v="1"/>
    <n v="349000"/>
    <x v="9"/>
    <n v="349000"/>
  </r>
  <r>
    <s v="ITM00438"/>
    <s v="ORD00257"/>
    <s v="PRD005"/>
    <n v="2"/>
    <n v="39000"/>
    <x v="2"/>
    <n v="78000"/>
  </r>
  <r>
    <s v="ITM00439"/>
    <s v="ORD00257"/>
    <s v="PRD009"/>
    <n v="1"/>
    <n v="79000"/>
    <x v="3"/>
    <n v="79000"/>
  </r>
  <r>
    <s v="ITM00440"/>
    <s v="ORD00258"/>
    <s v="PRD022"/>
    <n v="1"/>
    <n v="55000"/>
    <x v="4"/>
    <n v="55000"/>
  </r>
  <r>
    <s v="ITM00441"/>
    <s v="ORD00259"/>
    <s v="PRD021"/>
    <n v="3"/>
    <n v="69000"/>
    <x v="0"/>
    <n v="207000"/>
  </r>
  <r>
    <s v="ITM00442"/>
    <s v="ORD00259"/>
    <s v="PRD008"/>
    <n v="2"/>
    <n v="399000"/>
    <x v="12"/>
    <n v="798000"/>
  </r>
  <r>
    <s v="ITM00443"/>
    <s v="ORD00260"/>
    <s v="PRD021"/>
    <n v="1"/>
    <n v="69000"/>
    <x v="0"/>
    <n v="69000"/>
  </r>
  <r>
    <s v="ITM00444"/>
    <s v="ORD00261"/>
    <s v="PRD009"/>
    <n v="1"/>
    <n v="79000"/>
    <x v="3"/>
    <n v="79000"/>
  </r>
  <r>
    <s v="ITM00445"/>
    <s v="ORD00262"/>
    <s v="PRD021"/>
    <n v="2"/>
    <n v="69000"/>
    <x v="0"/>
    <n v="138000"/>
  </r>
  <r>
    <s v="ITM00446"/>
    <s v="ORD00262"/>
    <s v="PRD012"/>
    <n v="1"/>
    <n v="229000"/>
    <x v="5"/>
    <n v="229000"/>
  </r>
  <r>
    <s v="ITM00447"/>
    <s v="ORD00263"/>
    <s v="PRD021"/>
    <n v="1"/>
    <n v="69000"/>
    <x v="0"/>
    <n v="69000"/>
  </r>
  <r>
    <s v="ITM00448"/>
    <s v="ORD00264"/>
    <s v="PRD005"/>
    <n v="2"/>
    <n v="39000"/>
    <x v="2"/>
    <n v="78000"/>
  </r>
  <r>
    <s v="ITM00449"/>
    <s v="ORD00265"/>
    <s v="PRD005"/>
    <n v="1"/>
    <n v="39000"/>
    <x v="2"/>
    <n v="39000"/>
  </r>
  <r>
    <s v="ITM00450"/>
    <s v="ORD00265"/>
    <s v="PRD002"/>
    <n v="1"/>
    <n v="159000"/>
    <x v="14"/>
    <n v="159000"/>
  </r>
  <r>
    <s v="ITM00451"/>
    <s v="ORD00266"/>
    <s v="PRD021"/>
    <n v="1"/>
    <n v="69000"/>
    <x v="0"/>
    <n v="69000"/>
  </r>
  <r>
    <s v="ITM00452"/>
    <s v="ORD00266"/>
    <s v="PRD005"/>
    <n v="1"/>
    <n v="39000"/>
    <x v="2"/>
    <n v="39000"/>
  </r>
  <r>
    <s v="ITM00453"/>
    <s v="ORD00266"/>
    <s v="PRD017"/>
    <n v="2"/>
    <n v="329000"/>
    <x v="7"/>
    <n v="658000"/>
  </r>
  <r>
    <s v="ITM00454"/>
    <s v="ORD00267"/>
    <s v="PRD008"/>
    <n v="1"/>
    <n v="399000"/>
    <x v="12"/>
    <n v="399000"/>
  </r>
  <r>
    <s v="ITM00455"/>
    <s v="ORD00268"/>
    <s v="PRD020"/>
    <n v="1"/>
    <n v="179000"/>
    <x v="1"/>
    <n v="179000"/>
  </r>
  <r>
    <s v="ITM00456"/>
    <s v="ORD00269"/>
    <s v="PRD003"/>
    <n v="1"/>
    <n v="499000"/>
    <x v="11"/>
    <n v="499000"/>
  </r>
  <r>
    <s v="ITM00457"/>
    <s v="ORD00270"/>
    <s v="PRD005"/>
    <n v="1"/>
    <n v="39000"/>
    <x v="2"/>
    <n v="39000"/>
  </r>
  <r>
    <s v="ITM00458"/>
    <s v="ORD00271"/>
    <s v="PRD009"/>
    <n v="2"/>
    <n v="79000"/>
    <x v="3"/>
    <n v="158000"/>
  </r>
  <r>
    <s v="ITM00459"/>
    <s v="ORD00271"/>
    <s v="PRD002"/>
    <n v="1"/>
    <n v="159000"/>
    <x v="14"/>
    <n v="159000"/>
  </r>
  <r>
    <s v="ITM00460"/>
    <s v="ORD00272"/>
    <s v="PRD021"/>
    <n v="1"/>
    <n v="69000"/>
    <x v="0"/>
    <n v="69000"/>
  </r>
  <r>
    <s v="ITM00461"/>
    <s v="ORD00272"/>
    <s v="PRD020"/>
    <n v="1"/>
    <n v="179000"/>
    <x v="1"/>
    <n v="179000"/>
  </r>
  <r>
    <s v="ITM00462"/>
    <s v="ORD00273"/>
    <s v="PRD019"/>
    <n v="1"/>
    <n v="79000"/>
    <x v="13"/>
    <n v="79000"/>
  </r>
  <r>
    <s v="ITM00463"/>
    <s v="ORD00274"/>
    <s v="PRD014"/>
    <n v="1"/>
    <n v="349000"/>
    <x v="9"/>
    <n v="349000"/>
  </r>
  <r>
    <s v="ITM00464"/>
    <s v="ORD00274"/>
    <s v="PRD012"/>
    <n v="1"/>
    <n v="229000"/>
    <x v="5"/>
    <n v="229000"/>
  </r>
  <r>
    <s v="ITM00465"/>
    <s v="ORD00274"/>
    <s v="PRD008"/>
    <n v="2"/>
    <n v="399000"/>
    <x v="12"/>
    <n v="798000"/>
  </r>
  <r>
    <s v="ITM00466"/>
    <s v="ORD00275"/>
    <s v="PRD021"/>
    <n v="2"/>
    <n v="69000"/>
    <x v="0"/>
    <n v="138000"/>
  </r>
  <r>
    <s v="ITM00467"/>
    <s v="ORD00276"/>
    <s v="PRD005"/>
    <n v="2"/>
    <n v="39000"/>
    <x v="2"/>
    <n v="78000"/>
  </r>
  <r>
    <s v="ITM00468"/>
    <s v="ORD00276"/>
    <s v="PRD003"/>
    <n v="3"/>
    <n v="499000"/>
    <x v="11"/>
    <n v="1497000"/>
  </r>
  <r>
    <s v="ITM00469"/>
    <s v="ORD00277"/>
    <s v="PRD021"/>
    <n v="1"/>
    <n v="69000"/>
    <x v="0"/>
    <n v="69000"/>
  </r>
  <r>
    <s v="ITM00470"/>
    <s v="ORD00277"/>
    <s v="PRD008"/>
    <n v="1"/>
    <n v="399000"/>
    <x v="12"/>
    <n v="399000"/>
  </r>
  <r>
    <s v="ITM00471"/>
    <s v="ORD00278"/>
    <s v="PRD006"/>
    <n v="1"/>
    <n v="129000"/>
    <x v="10"/>
    <n v="129000"/>
  </r>
  <r>
    <s v="ITM00472"/>
    <s v="ORD00278"/>
    <s v="PRD021"/>
    <n v="1"/>
    <n v="69000"/>
    <x v="0"/>
    <n v="69000"/>
  </r>
  <r>
    <s v="ITM00473"/>
    <s v="ORD00279"/>
    <s v="PRD017"/>
    <n v="2"/>
    <n v="329000"/>
    <x v="7"/>
    <n v="658000"/>
  </r>
  <r>
    <s v="ITM00474"/>
    <s v="ORD00279"/>
    <s v="PRD012"/>
    <n v="1"/>
    <n v="229000"/>
    <x v="5"/>
    <n v="229000"/>
  </r>
  <r>
    <s v="ITM00475"/>
    <s v="ORD00280"/>
    <s v="PRD021"/>
    <n v="2"/>
    <n v="69000"/>
    <x v="0"/>
    <n v="138000"/>
  </r>
  <r>
    <s v="ITM00476"/>
    <s v="ORD00281"/>
    <s v="PRD022"/>
    <n v="2"/>
    <n v="55000"/>
    <x v="4"/>
    <n v="110000"/>
  </r>
  <r>
    <s v="ITM00477"/>
    <s v="ORD00282"/>
    <s v="PRD021"/>
    <n v="1"/>
    <n v="69000"/>
    <x v="0"/>
    <n v="69000"/>
  </r>
  <r>
    <s v="ITM00478"/>
    <s v="ORD00283"/>
    <s v="PRD022"/>
    <n v="1"/>
    <n v="55000"/>
    <x v="4"/>
    <n v="55000"/>
  </r>
  <r>
    <s v="ITM00479"/>
    <s v="ORD00283"/>
    <s v="PRD005"/>
    <n v="2"/>
    <n v="39000"/>
    <x v="2"/>
    <n v="78000"/>
  </r>
  <r>
    <s v="ITM00480"/>
    <s v="ORD00283"/>
    <s v="PRD017"/>
    <n v="1"/>
    <n v="329000"/>
    <x v="7"/>
    <n v="329000"/>
  </r>
  <r>
    <s v="ITM00481"/>
    <s v="ORD00284"/>
    <s v="PRD020"/>
    <n v="3"/>
    <n v="179000"/>
    <x v="1"/>
    <n v="537000"/>
  </r>
  <r>
    <s v="ITM00482"/>
    <s v="ORD00284"/>
    <s v="PRD014"/>
    <n v="1"/>
    <n v="349000"/>
    <x v="9"/>
    <n v="349000"/>
  </r>
  <r>
    <s v="ITM00483"/>
    <s v="ORD00285"/>
    <s v="PRD013"/>
    <n v="1"/>
    <n v="209000"/>
    <x v="17"/>
    <n v="209000"/>
  </r>
  <r>
    <s v="ITM00484"/>
    <s v="ORD00285"/>
    <s v="PRD021"/>
    <n v="2"/>
    <n v="69000"/>
    <x v="0"/>
    <n v="138000"/>
  </r>
  <r>
    <s v="ITM00485"/>
    <s v="ORD00285"/>
    <s v="PRD020"/>
    <n v="1"/>
    <n v="179000"/>
    <x v="1"/>
    <n v="179000"/>
  </r>
  <r>
    <s v="ITM00486"/>
    <s v="ORD00285"/>
    <s v="PRD022"/>
    <n v="2"/>
    <n v="55000"/>
    <x v="4"/>
    <n v="110000"/>
  </r>
  <r>
    <s v="ITM00487"/>
    <s v="ORD00286"/>
    <s v="PRD006"/>
    <n v="3"/>
    <n v="129000"/>
    <x v="10"/>
    <n v="387000"/>
  </r>
  <r>
    <s v="ITM00488"/>
    <s v="ORD00287"/>
    <s v="PRD021"/>
    <n v="1"/>
    <n v="69000"/>
    <x v="0"/>
    <n v="69000"/>
  </r>
  <r>
    <s v="ITM00489"/>
    <s v="ORD00288"/>
    <s v="PRD021"/>
    <n v="1"/>
    <n v="69000"/>
    <x v="0"/>
    <n v="69000"/>
  </r>
  <r>
    <s v="ITM00490"/>
    <s v="ORD00288"/>
    <s v="PRD009"/>
    <n v="2"/>
    <n v="79000"/>
    <x v="3"/>
    <n v="158000"/>
  </r>
  <r>
    <s v="ITM00491"/>
    <s v="ORD00289"/>
    <s v="PRD021"/>
    <n v="2"/>
    <n v="69000"/>
    <x v="0"/>
    <n v="138000"/>
  </r>
  <r>
    <s v="ITM00492"/>
    <s v="ORD00289"/>
    <s v="PRD008"/>
    <n v="2"/>
    <n v="399000"/>
    <x v="12"/>
    <n v="798000"/>
  </r>
  <r>
    <s v="ITM00493"/>
    <s v="ORD00290"/>
    <s v="PRD022"/>
    <n v="2"/>
    <n v="55000"/>
    <x v="4"/>
    <n v="110000"/>
  </r>
  <r>
    <s v="ITM00494"/>
    <s v="ORD00291"/>
    <s v="PRD005"/>
    <n v="1"/>
    <n v="39000"/>
    <x v="2"/>
    <n v="39000"/>
  </r>
  <r>
    <s v="ITM00495"/>
    <s v="ORD00291"/>
    <s v="PRD017"/>
    <n v="1"/>
    <n v="329000"/>
    <x v="7"/>
    <n v="329000"/>
  </r>
  <r>
    <s v="ITM00496"/>
    <s v="ORD00292"/>
    <s v="PRD021"/>
    <n v="1"/>
    <n v="69000"/>
    <x v="0"/>
    <n v="69000"/>
  </r>
  <r>
    <s v="ITM00497"/>
    <s v="ORD00292"/>
    <s v="PRD020"/>
    <n v="1"/>
    <n v="179000"/>
    <x v="1"/>
    <n v="179000"/>
  </r>
  <r>
    <s v="ITM00498"/>
    <s v="ORD00293"/>
    <s v="PRD019"/>
    <n v="2"/>
    <n v="79000"/>
    <x v="13"/>
    <n v="158000"/>
  </r>
  <r>
    <s v="ITM00499"/>
    <s v="ORD00294"/>
    <s v="PRD021"/>
    <n v="1"/>
    <n v="69000"/>
    <x v="0"/>
    <n v="69000"/>
  </r>
  <r>
    <s v="ITM00500"/>
    <s v="ORD00294"/>
    <s v="PRD005"/>
    <n v="1"/>
    <n v="39000"/>
    <x v="2"/>
    <n v="39000"/>
  </r>
  <r>
    <s v="ITM00501"/>
    <s v="ORD00295"/>
    <s v="PRD020"/>
    <n v="1"/>
    <n v="179000"/>
    <x v="1"/>
    <n v="179000"/>
  </r>
  <r>
    <s v="ITM00502"/>
    <s v="ORD00296"/>
    <s v="PRD009"/>
    <n v="2"/>
    <n v="79000"/>
    <x v="3"/>
    <n v="158000"/>
  </r>
  <r>
    <s v="ITM00503"/>
    <s v="ORD00296"/>
    <s v="PRD021"/>
    <n v="1"/>
    <n v="69000"/>
    <x v="0"/>
    <n v="69000"/>
  </r>
  <r>
    <s v="ITM00504"/>
    <s v="ORD00297"/>
    <s v="PRD020"/>
    <n v="1"/>
    <n v="179000"/>
    <x v="1"/>
    <n v="179000"/>
  </r>
  <r>
    <s v="ITM00505"/>
    <s v="ORD00297"/>
    <s v="PRD021"/>
    <n v="1"/>
    <n v="69000"/>
    <x v="0"/>
    <n v="69000"/>
  </r>
  <r>
    <s v="ITM00506"/>
    <s v="ORD00297"/>
    <s v="PRD007"/>
    <n v="1"/>
    <n v="99000"/>
    <x v="6"/>
    <n v="99000"/>
  </r>
  <r>
    <s v="ITM00507"/>
    <s v="ORD00298"/>
    <s v="PRD007"/>
    <n v="1"/>
    <n v="99000"/>
    <x v="6"/>
    <n v="99000"/>
  </r>
  <r>
    <s v="ITM00508"/>
    <s v="ORD00298"/>
    <s v="PRD019"/>
    <n v="1"/>
    <n v="79000"/>
    <x v="13"/>
    <n v="79000"/>
  </r>
  <r>
    <s v="ITM00509"/>
    <s v="ORD00299"/>
    <s v="PRD005"/>
    <n v="2"/>
    <n v="39000"/>
    <x v="2"/>
    <n v="78000"/>
  </r>
  <r>
    <s v="ITM00510"/>
    <s v="ORD00300"/>
    <s v="PRD005"/>
    <n v="1"/>
    <n v="39000"/>
    <x v="2"/>
    <n v="39000"/>
  </r>
  <r>
    <s v="ITM00511"/>
    <s v="ORD00300"/>
    <s v="PRD021"/>
    <n v="2"/>
    <n v="69000"/>
    <x v="0"/>
    <n v="138000"/>
  </r>
  <r>
    <s v="ITM00512"/>
    <s v="ORD00301"/>
    <s v="PRD005"/>
    <n v="3"/>
    <n v="39000"/>
    <x v="2"/>
    <n v="117000"/>
  </r>
  <r>
    <s v="ITM00513"/>
    <s v="ORD00301"/>
    <s v="PRD020"/>
    <n v="3"/>
    <n v="179000"/>
    <x v="1"/>
    <n v="537000"/>
  </r>
  <r>
    <s v="ITM00514"/>
    <s v="ORD00301"/>
    <s v="PRD021"/>
    <n v="1"/>
    <n v="69000"/>
    <x v="0"/>
    <n v="69000"/>
  </r>
  <r>
    <s v="ITM00515"/>
    <s v="ORD00302"/>
    <s v="PRD005"/>
    <n v="3"/>
    <n v="39000"/>
    <x v="2"/>
    <n v="117000"/>
  </r>
  <r>
    <s v="ITM00516"/>
    <s v="ORD00302"/>
    <s v="PRD004"/>
    <n v="2"/>
    <n v="199000"/>
    <x v="19"/>
    <n v="398000"/>
  </r>
  <r>
    <s v="ITM00517"/>
    <s v="ORD00303"/>
    <s v="PRD021"/>
    <n v="3"/>
    <n v="69000"/>
    <x v="0"/>
    <n v="207000"/>
  </r>
  <r>
    <s v="ITM00518"/>
    <s v="ORD00303"/>
    <s v="PRD022"/>
    <n v="2"/>
    <n v="55000"/>
    <x v="4"/>
    <n v="110000"/>
  </r>
  <r>
    <s v="ITM00519"/>
    <s v="ORD00304"/>
    <s v="PRD021"/>
    <n v="1"/>
    <n v="69000"/>
    <x v="0"/>
    <n v="69000"/>
  </r>
  <r>
    <s v="ITM00520"/>
    <s v="ORD00305"/>
    <s v="PRD017"/>
    <n v="1"/>
    <n v="329000"/>
    <x v="7"/>
    <n v="329000"/>
  </r>
  <r>
    <s v="ITM00521"/>
    <s v="ORD00305"/>
    <s v="PRD005"/>
    <n v="2"/>
    <n v="39000"/>
    <x v="2"/>
    <n v="78000"/>
  </r>
  <r>
    <s v="ITM00522"/>
    <s v="ORD00305"/>
    <s v="PRD021"/>
    <n v="1"/>
    <n v="69000"/>
    <x v="0"/>
    <n v="69000"/>
  </r>
  <r>
    <s v="ITM00523"/>
    <s v="ORD00306"/>
    <s v="PRD005"/>
    <n v="1"/>
    <n v="39000"/>
    <x v="2"/>
    <n v="39000"/>
  </r>
  <r>
    <s v="ITM00524"/>
    <s v="ORD00306"/>
    <s v="PRD021"/>
    <n v="1"/>
    <n v="69000"/>
    <x v="0"/>
    <n v="69000"/>
  </r>
  <r>
    <s v="ITM00525"/>
    <s v="ORD00306"/>
    <s v="PRD017"/>
    <n v="1"/>
    <n v="329000"/>
    <x v="7"/>
    <n v="329000"/>
  </r>
  <r>
    <s v="ITM00526"/>
    <s v="ORD00307"/>
    <s v="PRD008"/>
    <n v="2"/>
    <n v="399000"/>
    <x v="12"/>
    <n v="798000"/>
  </r>
  <r>
    <s v="ITM00527"/>
    <s v="ORD00307"/>
    <s v="PRD021"/>
    <n v="1"/>
    <n v="69000"/>
    <x v="0"/>
    <n v="69000"/>
  </r>
  <r>
    <s v="ITM00528"/>
    <s v="ORD00308"/>
    <s v="PRD021"/>
    <n v="2"/>
    <n v="69000"/>
    <x v="0"/>
    <n v="138000"/>
  </r>
  <r>
    <s v="ITM00529"/>
    <s v="ORD00309"/>
    <s v="PRD006"/>
    <n v="2"/>
    <n v="129000"/>
    <x v="10"/>
    <n v="258000"/>
  </r>
  <r>
    <s v="ITM00530"/>
    <s v="ORD00309"/>
    <s v="PRD021"/>
    <n v="3"/>
    <n v="69000"/>
    <x v="0"/>
    <n v="207000"/>
  </r>
  <r>
    <s v="ITM00531"/>
    <s v="ORD00310"/>
    <s v="PRD020"/>
    <n v="1"/>
    <n v="179000"/>
    <x v="1"/>
    <n v="179000"/>
  </r>
  <r>
    <s v="ITM00532"/>
    <s v="ORD00311"/>
    <s v="PRD012"/>
    <n v="1"/>
    <n v="229000"/>
    <x v="5"/>
    <n v="229000"/>
  </r>
  <r>
    <s v="ITM00533"/>
    <s v="ORD00312"/>
    <s v="PRD022"/>
    <n v="2"/>
    <n v="55000"/>
    <x v="4"/>
    <n v="110000"/>
  </r>
  <r>
    <s v="ITM00534"/>
    <s v="ORD00312"/>
    <s v="PRD005"/>
    <n v="2"/>
    <n v="39000"/>
    <x v="2"/>
    <n v="78000"/>
  </r>
  <r>
    <s v="ITM00535"/>
    <s v="ORD00313"/>
    <s v="PRD009"/>
    <n v="2"/>
    <n v="79000"/>
    <x v="3"/>
    <n v="158000"/>
  </r>
  <r>
    <s v="ITM00536"/>
    <s v="ORD00314"/>
    <s v="PRD001"/>
    <n v="1"/>
    <n v="299000"/>
    <x v="20"/>
    <n v="299000"/>
  </r>
  <r>
    <s v="ITM00537"/>
    <s v="ORD00315"/>
    <s v="PRD021"/>
    <n v="2"/>
    <n v="69000"/>
    <x v="0"/>
    <n v="138000"/>
  </r>
  <r>
    <s v="ITM00538"/>
    <s v="ORD00316"/>
    <s v="PRD021"/>
    <n v="3"/>
    <n v="69000"/>
    <x v="0"/>
    <n v="207000"/>
  </r>
  <r>
    <s v="ITM00539"/>
    <s v="ORD00317"/>
    <s v="PRD017"/>
    <n v="3"/>
    <n v="329000"/>
    <x v="7"/>
    <n v="987000"/>
  </r>
  <r>
    <s v="ITM00540"/>
    <s v="ORD00317"/>
    <s v="PRD005"/>
    <n v="2"/>
    <n v="39000"/>
    <x v="2"/>
    <n v="78000"/>
  </r>
  <r>
    <s v="ITM00541"/>
    <s v="ORD00318"/>
    <s v="PRD020"/>
    <n v="2"/>
    <n v="179000"/>
    <x v="1"/>
    <n v="358000"/>
  </r>
  <r>
    <s v="ITM00542"/>
    <s v="ORD00318"/>
    <s v="PRD021"/>
    <n v="1"/>
    <n v="69000"/>
    <x v="0"/>
    <n v="69000"/>
  </r>
  <r>
    <s v="ITM00543"/>
    <s v="ORD00319"/>
    <s v="PRD020"/>
    <n v="1"/>
    <n v="179000"/>
    <x v="1"/>
    <n v="179000"/>
  </r>
  <r>
    <s v="ITM00544"/>
    <s v="ORD00319"/>
    <s v="PRD005"/>
    <n v="1"/>
    <n v="39000"/>
    <x v="2"/>
    <n v="39000"/>
  </r>
  <r>
    <s v="ITM00545"/>
    <s v="ORD00320"/>
    <s v="PRD022"/>
    <n v="1"/>
    <n v="55000"/>
    <x v="4"/>
    <n v="55000"/>
  </r>
  <r>
    <s v="ITM00546"/>
    <s v="ORD00320"/>
    <s v="PRD009"/>
    <n v="1"/>
    <n v="79000"/>
    <x v="3"/>
    <n v="79000"/>
  </r>
  <r>
    <s v="ITM00547"/>
    <s v="ORD00320"/>
    <s v="PRD021"/>
    <n v="1"/>
    <n v="69000"/>
    <x v="0"/>
    <n v="69000"/>
  </r>
  <r>
    <s v="ITM00548"/>
    <s v="ORD00321"/>
    <s v="PRD017"/>
    <n v="1"/>
    <n v="329000"/>
    <x v="7"/>
    <n v="329000"/>
  </r>
  <r>
    <s v="ITM00549"/>
    <s v="ORD00321"/>
    <s v="PRD005"/>
    <n v="1"/>
    <n v="39000"/>
    <x v="2"/>
    <n v="39000"/>
  </r>
  <r>
    <s v="ITM00550"/>
    <s v="ORD00322"/>
    <s v="PRD021"/>
    <n v="1"/>
    <n v="69000"/>
    <x v="0"/>
    <n v="69000"/>
  </r>
  <r>
    <s v="ITM00551"/>
    <s v="ORD00322"/>
    <s v="PRD022"/>
    <n v="2"/>
    <n v="55000"/>
    <x v="4"/>
    <n v="110000"/>
  </r>
  <r>
    <s v="ITM00552"/>
    <s v="ORD00322"/>
    <s v="PRD020"/>
    <n v="1"/>
    <n v="179000"/>
    <x v="1"/>
    <n v="179000"/>
  </r>
  <r>
    <s v="ITM00553"/>
    <s v="ORD00322"/>
    <s v="PRD005"/>
    <n v="2"/>
    <n v="39000"/>
    <x v="2"/>
    <n v="78000"/>
  </r>
  <r>
    <s v="ITM00554"/>
    <s v="ORD00323"/>
    <s v="PRD021"/>
    <n v="3"/>
    <n v="69000"/>
    <x v="0"/>
    <n v="207000"/>
  </r>
  <r>
    <s v="ITM00555"/>
    <s v="ORD00323"/>
    <s v="PRD006"/>
    <n v="2"/>
    <n v="129000"/>
    <x v="10"/>
    <n v="258000"/>
  </r>
  <r>
    <s v="ITM00556"/>
    <s v="ORD00323"/>
    <s v="PRD022"/>
    <n v="3"/>
    <n v="55000"/>
    <x v="4"/>
    <n v="165000"/>
  </r>
  <r>
    <s v="ITM00557"/>
    <s v="ORD00323"/>
    <s v="PRD005"/>
    <n v="1"/>
    <n v="39000"/>
    <x v="2"/>
    <n v="39000"/>
  </r>
  <r>
    <s v="ITM00558"/>
    <s v="ORD00324"/>
    <s v="PRD005"/>
    <n v="2"/>
    <n v="39000"/>
    <x v="2"/>
    <n v="78000"/>
  </r>
  <r>
    <s v="ITM00559"/>
    <s v="ORD00324"/>
    <s v="PRD002"/>
    <n v="1"/>
    <n v="159000"/>
    <x v="14"/>
    <n v="159000"/>
  </r>
  <r>
    <s v="ITM00560"/>
    <s v="ORD00324"/>
    <s v="PRD003"/>
    <n v="1"/>
    <n v="499000"/>
    <x v="11"/>
    <n v="499000"/>
  </r>
  <r>
    <s v="ITM00561"/>
    <s v="ORD00325"/>
    <s v="PRD012"/>
    <n v="2"/>
    <n v="229000"/>
    <x v="5"/>
    <n v="458000"/>
  </r>
  <r>
    <s v="ITM00562"/>
    <s v="ORD00325"/>
    <s v="PRD021"/>
    <n v="3"/>
    <n v="69000"/>
    <x v="0"/>
    <n v="207000"/>
  </r>
  <r>
    <s v="ITM00563"/>
    <s v="ORD00325"/>
    <s v="PRD008"/>
    <n v="2"/>
    <n v="399000"/>
    <x v="12"/>
    <n v="798000"/>
  </r>
  <r>
    <s v="ITM00564"/>
    <s v="ORD00325"/>
    <s v="PRD005"/>
    <n v="2"/>
    <n v="39000"/>
    <x v="2"/>
    <n v="78000"/>
  </r>
  <r>
    <s v="ITM00565"/>
    <s v="ORD00326"/>
    <s v="PRD009"/>
    <n v="1"/>
    <n v="79000"/>
    <x v="3"/>
    <n v="79000"/>
  </r>
  <r>
    <s v="ITM00566"/>
    <s v="ORD00327"/>
    <s v="PRD021"/>
    <n v="1"/>
    <n v="69000"/>
    <x v="0"/>
    <n v="69000"/>
  </r>
  <r>
    <s v="ITM00567"/>
    <s v="ORD00328"/>
    <s v="PRD021"/>
    <n v="3"/>
    <n v="69000"/>
    <x v="0"/>
    <n v="207000"/>
  </r>
  <r>
    <s v="ITM00568"/>
    <s v="ORD00329"/>
    <s v="PRD019"/>
    <n v="1"/>
    <n v="79000"/>
    <x v="13"/>
    <n v="79000"/>
  </r>
  <r>
    <s v="ITM00569"/>
    <s v="ORD00329"/>
    <s v="PRD020"/>
    <n v="1"/>
    <n v="179000"/>
    <x v="1"/>
    <n v="179000"/>
  </r>
  <r>
    <s v="ITM00570"/>
    <s v="ORD00329"/>
    <s v="PRD017"/>
    <n v="1"/>
    <n v="329000"/>
    <x v="7"/>
    <n v="329000"/>
  </r>
  <r>
    <s v="ITM00571"/>
    <s v="ORD00329"/>
    <s v="PRD021"/>
    <n v="1"/>
    <n v="69000"/>
    <x v="0"/>
    <n v="69000"/>
  </r>
  <r>
    <s v="ITM00572"/>
    <s v="ORD00330"/>
    <s v="PRD020"/>
    <n v="1"/>
    <n v="179000"/>
    <x v="1"/>
    <n v="179000"/>
  </r>
  <r>
    <s v="ITM00573"/>
    <s v="ORD00331"/>
    <s v="PRD022"/>
    <n v="1"/>
    <n v="55000"/>
    <x v="4"/>
    <n v="55000"/>
  </r>
  <r>
    <s v="ITM00574"/>
    <s v="ORD00331"/>
    <s v="PRD003"/>
    <n v="3"/>
    <n v="499000"/>
    <x v="11"/>
    <n v="1497000"/>
  </r>
  <r>
    <s v="ITM00575"/>
    <s v="ORD00331"/>
    <s v="PRD021"/>
    <n v="1"/>
    <n v="69000"/>
    <x v="0"/>
    <n v="69000"/>
  </r>
  <r>
    <s v="ITM00576"/>
    <s v="ORD00332"/>
    <s v="PRD020"/>
    <n v="2"/>
    <n v="179000"/>
    <x v="1"/>
    <n v="358000"/>
  </r>
  <r>
    <s v="ITM00577"/>
    <s v="ORD00332"/>
    <s v="PRD014"/>
    <n v="3"/>
    <n v="349000"/>
    <x v="9"/>
    <n v="1047000"/>
  </r>
  <r>
    <s v="ITM00578"/>
    <s v="ORD00332"/>
    <s v="PRD021"/>
    <n v="2"/>
    <n v="69000"/>
    <x v="0"/>
    <n v="138000"/>
  </r>
  <r>
    <s v="ITM00579"/>
    <s v="ORD00332"/>
    <s v="PRD006"/>
    <n v="1"/>
    <n v="129000"/>
    <x v="10"/>
    <n v="129000"/>
  </r>
  <r>
    <s v="ITM00580"/>
    <s v="ORD00333"/>
    <s v="PRD020"/>
    <n v="1"/>
    <n v="179000"/>
    <x v="1"/>
    <n v="179000"/>
  </r>
  <r>
    <s v="ITM00581"/>
    <s v="ORD00333"/>
    <s v="PRD005"/>
    <n v="1"/>
    <n v="39000"/>
    <x v="2"/>
    <n v="39000"/>
  </r>
  <r>
    <s v="ITM00582"/>
    <s v="ORD00333"/>
    <s v="PRD006"/>
    <n v="1"/>
    <n v="129000"/>
    <x v="10"/>
    <n v="129000"/>
  </r>
  <r>
    <s v="ITM00583"/>
    <s v="ORD00334"/>
    <s v="PRD019"/>
    <n v="1"/>
    <n v="79000"/>
    <x v="13"/>
    <n v="79000"/>
  </r>
  <r>
    <s v="ITM00584"/>
    <s v="ORD00334"/>
    <s v="PRD013"/>
    <n v="1"/>
    <n v="209000"/>
    <x v="17"/>
    <n v="209000"/>
  </r>
  <r>
    <s v="ITM00585"/>
    <s v="ORD00334"/>
    <s v="PRD021"/>
    <n v="2"/>
    <n v="69000"/>
    <x v="0"/>
    <n v="138000"/>
  </r>
  <r>
    <s v="ITM00586"/>
    <s v="ORD00335"/>
    <s v="PRD017"/>
    <n v="3"/>
    <n v="329000"/>
    <x v="7"/>
    <n v="987000"/>
  </r>
  <r>
    <s v="ITM00587"/>
    <s v="ORD00335"/>
    <s v="PRD005"/>
    <n v="1"/>
    <n v="39000"/>
    <x v="2"/>
    <n v="39000"/>
  </r>
  <r>
    <s v="ITM00588"/>
    <s v="ORD00336"/>
    <s v="PRD014"/>
    <n v="1"/>
    <n v="349000"/>
    <x v="9"/>
    <n v="349000"/>
  </r>
  <r>
    <s v="ITM00589"/>
    <s v="ORD00337"/>
    <s v="PRD014"/>
    <n v="1"/>
    <n v="349000"/>
    <x v="9"/>
    <n v="349000"/>
  </r>
  <r>
    <s v="ITM00590"/>
    <s v="ORD00338"/>
    <s v="PRD021"/>
    <n v="2"/>
    <n v="69000"/>
    <x v="0"/>
    <n v="138000"/>
  </r>
  <r>
    <s v="ITM00591"/>
    <s v="ORD00339"/>
    <s v="PRD021"/>
    <n v="1"/>
    <n v="69000"/>
    <x v="0"/>
    <n v="69000"/>
  </r>
  <r>
    <s v="ITM00592"/>
    <s v="ORD00339"/>
    <s v="PRD006"/>
    <n v="3"/>
    <n v="129000"/>
    <x v="10"/>
    <n v="387000"/>
  </r>
  <r>
    <s v="ITM00593"/>
    <s v="ORD00339"/>
    <s v="PRD007"/>
    <n v="1"/>
    <n v="99000"/>
    <x v="6"/>
    <n v="99000"/>
  </r>
  <r>
    <s v="ITM00594"/>
    <s v="ORD00340"/>
    <s v="PRD021"/>
    <n v="1"/>
    <n v="69000"/>
    <x v="0"/>
    <n v="69000"/>
  </r>
  <r>
    <s v="ITM00595"/>
    <s v="ORD00341"/>
    <s v="PRD006"/>
    <n v="1"/>
    <n v="129000"/>
    <x v="10"/>
    <n v="129000"/>
  </r>
  <r>
    <s v="ITM00596"/>
    <s v="ORD00342"/>
    <s v="PRD021"/>
    <n v="2"/>
    <n v="69000"/>
    <x v="0"/>
    <n v="138000"/>
  </r>
  <r>
    <s v="ITM00597"/>
    <s v="ORD00343"/>
    <s v="PRD021"/>
    <n v="1"/>
    <n v="69000"/>
    <x v="0"/>
    <n v="69000"/>
  </r>
  <r>
    <s v="ITM00598"/>
    <s v="ORD00343"/>
    <s v="PRD005"/>
    <n v="1"/>
    <n v="39000"/>
    <x v="2"/>
    <n v="39000"/>
  </r>
  <r>
    <s v="ITM00599"/>
    <s v="ORD00344"/>
    <s v="PRD005"/>
    <n v="1"/>
    <n v="39000"/>
    <x v="2"/>
    <n v="39000"/>
  </r>
  <r>
    <s v="ITM00600"/>
    <s v="ORD00344"/>
    <s v="PRD021"/>
    <n v="1"/>
    <n v="69000"/>
    <x v="0"/>
    <n v="69000"/>
  </r>
  <r>
    <s v="ITM00601"/>
    <s v="ORD00344"/>
    <s v="PRD009"/>
    <n v="1"/>
    <n v="79000"/>
    <x v="3"/>
    <n v="79000"/>
  </r>
  <r>
    <s v="ITM00602"/>
    <s v="ORD00345"/>
    <s v="PRD021"/>
    <n v="1"/>
    <n v="69000"/>
    <x v="0"/>
    <n v="69000"/>
  </r>
  <r>
    <s v="ITM00603"/>
    <s v="ORD00345"/>
    <s v="PRD020"/>
    <n v="1"/>
    <n v="179000"/>
    <x v="1"/>
    <n v="179000"/>
  </r>
  <r>
    <s v="ITM00604"/>
    <s v="ORD00345"/>
    <s v="PRD022"/>
    <n v="2"/>
    <n v="55000"/>
    <x v="4"/>
    <n v="110000"/>
  </r>
  <r>
    <s v="ITM00605"/>
    <s v="ORD00346"/>
    <s v="PRD021"/>
    <n v="2"/>
    <n v="69000"/>
    <x v="0"/>
    <n v="138000"/>
  </r>
  <r>
    <s v="ITM00606"/>
    <s v="ORD00347"/>
    <s v="PRD006"/>
    <n v="2"/>
    <n v="129000"/>
    <x v="10"/>
    <n v="258000"/>
  </r>
  <r>
    <s v="ITM00607"/>
    <s v="ORD00348"/>
    <s v="PRD014"/>
    <n v="1"/>
    <n v="349000"/>
    <x v="9"/>
    <n v="349000"/>
  </r>
  <r>
    <s v="ITM00608"/>
    <s v="ORD00348"/>
    <s v="PRD008"/>
    <n v="3"/>
    <n v="399000"/>
    <x v="12"/>
    <n v="1197000"/>
  </r>
  <r>
    <s v="ITM00609"/>
    <s v="ORD00349"/>
    <s v="PRD005"/>
    <n v="1"/>
    <n v="39000"/>
    <x v="2"/>
    <n v="39000"/>
  </r>
  <r>
    <s v="ITM00610"/>
    <s v="ORD00350"/>
    <s v="PRD021"/>
    <n v="2"/>
    <n v="69000"/>
    <x v="0"/>
    <n v="138000"/>
  </r>
  <r>
    <s v="ITM00611"/>
    <s v="ORD00350"/>
    <s v="PRD006"/>
    <n v="3"/>
    <n v="129000"/>
    <x v="10"/>
    <n v="387000"/>
  </r>
  <r>
    <s v="ITM00612"/>
    <s v="ORD00350"/>
    <s v="PRD014"/>
    <n v="1"/>
    <n v="349000"/>
    <x v="9"/>
    <n v="349000"/>
  </r>
  <r>
    <s v="ITM00613"/>
    <s v="ORD00351"/>
    <s v="PRD002"/>
    <n v="1"/>
    <n v="159000"/>
    <x v="14"/>
    <n v="159000"/>
  </r>
  <r>
    <s v="ITM00614"/>
    <s v="ORD00352"/>
    <s v="PRD021"/>
    <n v="1"/>
    <n v="69000"/>
    <x v="0"/>
    <n v="69000"/>
  </r>
  <r>
    <s v="ITM00615"/>
    <s v="ORD00353"/>
    <s v="PRD009"/>
    <n v="1"/>
    <n v="79000"/>
    <x v="3"/>
    <n v="79000"/>
  </r>
  <r>
    <s v="ITM00616"/>
    <s v="ORD00354"/>
    <s v="PRD021"/>
    <n v="1"/>
    <n v="69000"/>
    <x v="0"/>
    <n v="69000"/>
  </r>
  <r>
    <s v="ITM00617"/>
    <s v="ORD00354"/>
    <s v="PRD005"/>
    <n v="3"/>
    <n v="39000"/>
    <x v="2"/>
    <n v="117000"/>
  </r>
  <r>
    <s v="ITM00618"/>
    <s v="ORD00354"/>
    <s v="PRD020"/>
    <n v="3"/>
    <n v="179000"/>
    <x v="1"/>
    <n v="537000"/>
  </r>
  <r>
    <s v="ITM00619"/>
    <s v="ORD00354"/>
    <s v="PRD017"/>
    <n v="1"/>
    <n v="329000"/>
    <x v="7"/>
    <n v="329000"/>
  </r>
  <r>
    <s v="ITM00620"/>
    <s v="ORD00355"/>
    <s v="PRD022"/>
    <n v="1"/>
    <n v="55000"/>
    <x v="4"/>
    <n v="55000"/>
  </r>
  <r>
    <s v="ITM00621"/>
    <s v="ORD00356"/>
    <s v="PRD005"/>
    <n v="1"/>
    <n v="39000"/>
    <x v="2"/>
    <n v="39000"/>
  </r>
  <r>
    <s v="ITM00622"/>
    <s v="ORD00356"/>
    <s v="PRD020"/>
    <n v="1"/>
    <n v="179000"/>
    <x v="1"/>
    <n v="179000"/>
  </r>
  <r>
    <s v="ITM00623"/>
    <s v="ORD00357"/>
    <s v="PRD021"/>
    <n v="1"/>
    <n v="69000"/>
    <x v="0"/>
    <n v="69000"/>
  </r>
  <r>
    <s v="ITM00624"/>
    <s v="ORD00358"/>
    <s v="PRD005"/>
    <n v="1"/>
    <n v="39000"/>
    <x v="2"/>
    <n v="39000"/>
  </r>
  <r>
    <s v="ITM00625"/>
    <s v="ORD00358"/>
    <s v="PRD014"/>
    <n v="1"/>
    <n v="349000"/>
    <x v="9"/>
    <n v="349000"/>
  </r>
  <r>
    <s v="ITM00626"/>
    <s v="ORD00358"/>
    <s v="PRD021"/>
    <n v="1"/>
    <n v="69000"/>
    <x v="0"/>
    <n v="69000"/>
  </r>
  <r>
    <s v="ITM00627"/>
    <s v="ORD00359"/>
    <s v="PRD021"/>
    <n v="1"/>
    <n v="69000"/>
    <x v="0"/>
    <n v="69000"/>
  </r>
  <r>
    <s v="ITM00628"/>
    <s v="ORD00360"/>
    <s v="PRD002"/>
    <n v="1"/>
    <n v="159000"/>
    <x v="14"/>
    <n v="159000"/>
  </r>
  <r>
    <s v="ITM00629"/>
    <s v="ORD00361"/>
    <s v="PRD021"/>
    <n v="1"/>
    <n v="69000"/>
    <x v="0"/>
    <n v="69000"/>
  </r>
  <r>
    <s v="ITM00630"/>
    <s v="ORD00361"/>
    <s v="PRD005"/>
    <n v="1"/>
    <n v="39000"/>
    <x v="2"/>
    <n v="39000"/>
  </r>
  <r>
    <s v="ITM00631"/>
    <s v="ORD00361"/>
    <s v="PRD017"/>
    <n v="1"/>
    <n v="329000"/>
    <x v="7"/>
    <n v="329000"/>
  </r>
  <r>
    <s v="ITM00632"/>
    <s v="ORD00362"/>
    <s v="PRD022"/>
    <n v="1"/>
    <n v="55000"/>
    <x v="4"/>
    <n v="55000"/>
  </r>
  <r>
    <s v="ITM00633"/>
    <s v="ORD00362"/>
    <s v="PRD005"/>
    <n v="2"/>
    <n v="39000"/>
    <x v="2"/>
    <n v="78000"/>
  </r>
  <r>
    <s v="ITM00634"/>
    <s v="ORD00363"/>
    <s v="PRD002"/>
    <n v="1"/>
    <n v="159000"/>
    <x v="14"/>
    <n v="159000"/>
  </r>
  <r>
    <s v="ITM00635"/>
    <s v="ORD00364"/>
    <s v="PRD006"/>
    <n v="2"/>
    <n v="129000"/>
    <x v="10"/>
    <n v="258000"/>
  </r>
  <r>
    <s v="ITM00636"/>
    <s v="ORD00365"/>
    <s v="PRD021"/>
    <n v="1"/>
    <n v="69000"/>
    <x v="0"/>
    <n v="69000"/>
  </r>
  <r>
    <s v="ITM00637"/>
    <s v="ORD00365"/>
    <s v="PRD006"/>
    <n v="1"/>
    <n v="129000"/>
    <x v="10"/>
    <n v="129000"/>
  </r>
  <r>
    <s v="ITM00638"/>
    <s v="ORD00366"/>
    <s v="PRD006"/>
    <n v="1"/>
    <n v="129000"/>
    <x v="10"/>
    <n v="129000"/>
  </r>
  <r>
    <s v="ITM00639"/>
    <s v="ORD00367"/>
    <s v="PRD021"/>
    <n v="1"/>
    <n v="69000"/>
    <x v="0"/>
    <n v="69000"/>
  </r>
  <r>
    <s v="ITM00640"/>
    <s v="ORD00368"/>
    <s v="PRD009"/>
    <n v="1"/>
    <n v="79000"/>
    <x v="3"/>
    <n v="79000"/>
  </r>
  <r>
    <s v="ITM00641"/>
    <s v="ORD00368"/>
    <s v="PRD017"/>
    <n v="1"/>
    <n v="329000"/>
    <x v="7"/>
    <n v="329000"/>
  </r>
  <r>
    <s v="ITM00642"/>
    <s v="ORD00368"/>
    <s v="PRD008"/>
    <n v="1"/>
    <n v="399000"/>
    <x v="12"/>
    <n v="399000"/>
  </r>
  <r>
    <s v="ITM00643"/>
    <s v="ORD00369"/>
    <s v="PRD014"/>
    <n v="1"/>
    <n v="349000"/>
    <x v="9"/>
    <n v="349000"/>
  </r>
  <r>
    <s v="ITM00644"/>
    <s v="ORD00369"/>
    <s v="PRD005"/>
    <n v="2"/>
    <n v="39000"/>
    <x v="2"/>
    <n v="78000"/>
  </r>
  <r>
    <s v="ITM00645"/>
    <s v="ORD00370"/>
    <s v="PRD021"/>
    <n v="1"/>
    <n v="69000"/>
    <x v="0"/>
    <n v="69000"/>
  </r>
  <r>
    <s v="ITM00646"/>
    <s v="ORD00370"/>
    <s v="PRD017"/>
    <n v="2"/>
    <n v="329000"/>
    <x v="7"/>
    <n v="658000"/>
  </r>
  <r>
    <s v="ITM00647"/>
    <s v="ORD00371"/>
    <s v="PRD005"/>
    <n v="1"/>
    <n v="39000"/>
    <x v="2"/>
    <n v="39000"/>
  </r>
  <r>
    <s v="ITM00648"/>
    <s v="ORD00371"/>
    <s v="PRD021"/>
    <n v="2"/>
    <n v="69000"/>
    <x v="0"/>
    <n v="138000"/>
  </r>
  <r>
    <s v="ITM00649"/>
    <s v="ORD00372"/>
    <s v="PRD019"/>
    <n v="1"/>
    <n v="79000"/>
    <x v="13"/>
    <n v="79000"/>
  </r>
  <r>
    <s v="ITM00650"/>
    <s v="ORD00373"/>
    <s v="PRD013"/>
    <n v="1"/>
    <n v="209000"/>
    <x v="17"/>
    <n v="209000"/>
  </r>
  <r>
    <s v="ITM00651"/>
    <s v="ORD00373"/>
    <s v="PRD021"/>
    <n v="1"/>
    <n v="69000"/>
    <x v="0"/>
    <n v="69000"/>
  </r>
  <r>
    <s v="ITM00652"/>
    <s v="ORD00374"/>
    <s v="PRD021"/>
    <n v="3"/>
    <n v="69000"/>
    <x v="0"/>
    <n v="207000"/>
  </r>
  <r>
    <s v="ITM00653"/>
    <s v="ORD00374"/>
    <s v="PRD008"/>
    <n v="1"/>
    <n v="399000"/>
    <x v="12"/>
    <n v="399000"/>
  </r>
  <r>
    <s v="ITM00654"/>
    <s v="ORD00374"/>
    <s v="PRD020"/>
    <n v="1"/>
    <n v="179000"/>
    <x v="1"/>
    <n v="179000"/>
  </r>
  <r>
    <s v="ITM00655"/>
    <s v="ORD00375"/>
    <s v="PRD021"/>
    <n v="1"/>
    <n v="69000"/>
    <x v="0"/>
    <n v="69000"/>
  </r>
  <r>
    <s v="ITM00656"/>
    <s v="ORD00376"/>
    <s v="PRD009"/>
    <n v="3"/>
    <n v="79000"/>
    <x v="3"/>
    <n v="237000"/>
  </r>
  <r>
    <s v="ITM00657"/>
    <s v="ORD00377"/>
    <s v="PRD005"/>
    <n v="2"/>
    <n v="39000"/>
    <x v="2"/>
    <n v="78000"/>
  </r>
  <r>
    <s v="ITM00658"/>
    <s v="ORD00377"/>
    <s v="PRD021"/>
    <n v="2"/>
    <n v="69000"/>
    <x v="0"/>
    <n v="138000"/>
  </r>
  <r>
    <s v="ITM00659"/>
    <s v="ORD00377"/>
    <s v="PRD009"/>
    <n v="1"/>
    <n v="79000"/>
    <x v="3"/>
    <n v="79000"/>
  </r>
  <r>
    <s v="ITM00660"/>
    <s v="ORD00378"/>
    <s v="PRD021"/>
    <n v="1"/>
    <n v="69000"/>
    <x v="0"/>
    <n v="69000"/>
  </r>
  <r>
    <s v="ITM00661"/>
    <s v="ORD00379"/>
    <s v="PRD017"/>
    <n v="2"/>
    <n v="329000"/>
    <x v="7"/>
    <n v="658000"/>
  </r>
  <r>
    <s v="ITM00662"/>
    <s v="ORD00380"/>
    <s v="PRD020"/>
    <n v="1"/>
    <n v="179000"/>
    <x v="1"/>
    <n v="179000"/>
  </r>
  <r>
    <s v="ITM00663"/>
    <s v="ORD00380"/>
    <s v="PRD005"/>
    <n v="1"/>
    <n v="39000"/>
    <x v="2"/>
    <n v="39000"/>
  </r>
  <r>
    <s v="ITM00664"/>
    <s v="ORD00381"/>
    <s v="PRD021"/>
    <n v="1"/>
    <n v="69000"/>
    <x v="0"/>
    <n v="69000"/>
  </r>
  <r>
    <s v="ITM00665"/>
    <s v="ORD00382"/>
    <s v="PRD005"/>
    <n v="1"/>
    <n v="39000"/>
    <x v="2"/>
    <n v="39000"/>
  </r>
  <r>
    <s v="ITM00666"/>
    <s v="ORD00383"/>
    <s v="PRD023"/>
    <n v="2"/>
    <n v="139000"/>
    <x v="8"/>
    <n v="278000"/>
  </r>
  <r>
    <s v="ITM00667"/>
    <s v="ORD00383"/>
    <s v="PRD014"/>
    <n v="1"/>
    <n v="349000"/>
    <x v="9"/>
    <n v="349000"/>
  </r>
  <r>
    <s v="ITM00668"/>
    <s v="ORD00384"/>
    <s v="PRD019"/>
    <n v="2"/>
    <n v="79000"/>
    <x v="13"/>
    <n v="158000"/>
  </r>
  <r>
    <s v="ITM00669"/>
    <s v="ORD00385"/>
    <s v="PRD019"/>
    <n v="3"/>
    <n v="79000"/>
    <x v="13"/>
    <n v="237000"/>
  </r>
  <r>
    <s v="ITM00670"/>
    <s v="ORD00385"/>
    <s v="PRD022"/>
    <n v="1"/>
    <n v="55000"/>
    <x v="4"/>
    <n v="55000"/>
  </r>
  <r>
    <s v="ITM00671"/>
    <s v="ORD00386"/>
    <s v="PRD005"/>
    <n v="2"/>
    <n v="39000"/>
    <x v="2"/>
    <n v="78000"/>
  </r>
  <r>
    <s v="ITM00672"/>
    <s v="ORD00386"/>
    <s v="PRD020"/>
    <n v="1"/>
    <n v="179000"/>
    <x v="1"/>
    <n v="179000"/>
  </r>
  <r>
    <s v="ITM00673"/>
    <s v="ORD00386"/>
    <s v="PRD014"/>
    <n v="1"/>
    <n v="349000"/>
    <x v="9"/>
    <n v="349000"/>
  </r>
  <r>
    <s v="ITM00674"/>
    <s v="ORD00387"/>
    <s v="PRD021"/>
    <n v="2"/>
    <n v="69000"/>
    <x v="0"/>
    <n v="138000"/>
  </r>
  <r>
    <s v="ITM00675"/>
    <s v="ORD00388"/>
    <s v="PRD021"/>
    <n v="1"/>
    <n v="69000"/>
    <x v="0"/>
    <n v="69000"/>
  </r>
  <r>
    <s v="ITM00676"/>
    <s v="ORD00389"/>
    <s v="PRD021"/>
    <n v="1"/>
    <n v="69000"/>
    <x v="0"/>
    <n v="69000"/>
  </r>
  <r>
    <s v="ITM00677"/>
    <s v="ORD00389"/>
    <s v="PRD012"/>
    <n v="1"/>
    <n v="229000"/>
    <x v="5"/>
    <n v="229000"/>
  </r>
  <r>
    <s v="ITM00678"/>
    <s v="ORD00390"/>
    <s v="PRD005"/>
    <n v="3"/>
    <n v="39000"/>
    <x v="2"/>
    <n v="117000"/>
  </r>
  <r>
    <s v="ITM00679"/>
    <s v="ORD00390"/>
    <s v="PRD021"/>
    <n v="1"/>
    <n v="69000"/>
    <x v="0"/>
    <n v="69000"/>
  </r>
  <r>
    <s v="ITM00680"/>
    <s v="ORD00390"/>
    <s v="PRD009"/>
    <n v="1"/>
    <n v="79000"/>
    <x v="3"/>
    <n v="79000"/>
  </r>
  <r>
    <s v="ITM00681"/>
    <s v="ORD00391"/>
    <s v="PRD023"/>
    <n v="1"/>
    <n v="139000"/>
    <x v="8"/>
    <n v="139000"/>
  </r>
  <r>
    <s v="ITM00682"/>
    <s v="ORD00391"/>
    <s v="PRD005"/>
    <n v="1"/>
    <n v="39000"/>
    <x v="2"/>
    <n v="39000"/>
  </r>
  <r>
    <s v="ITM00683"/>
    <s v="ORD00392"/>
    <s v="PRD005"/>
    <n v="1"/>
    <n v="39000"/>
    <x v="2"/>
    <n v="39000"/>
  </r>
  <r>
    <s v="ITM00684"/>
    <s v="ORD00393"/>
    <s v="PRD022"/>
    <n v="2"/>
    <n v="55000"/>
    <x v="4"/>
    <n v="110000"/>
  </r>
  <r>
    <s v="ITM00685"/>
    <s v="ORD00394"/>
    <s v="PRD021"/>
    <n v="1"/>
    <n v="69000"/>
    <x v="0"/>
    <n v="69000"/>
  </r>
  <r>
    <s v="ITM00686"/>
    <s v="ORD00395"/>
    <s v="PRD021"/>
    <n v="1"/>
    <n v="69000"/>
    <x v="0"/>
    <n v="69000"/>
  </r>
  <r>
    <s v="ITM00687"/>
    <s v="ORD00395"/>
    <s v="PRD020"/>
    <n v="1"/>
    <n v="179000"/>
    <x v="1"/>
    <n v="179000"/>
  </r>
  <r>
    <s v="ITM00688"/>
    <s v="ORD00396"/>
    <s v="PRD021"/>
    <n v="1"/>
    <n v="69000"/>
    <x v="0"/>
    <n v="69000"/>
  </r>
  <r>
    <s v="ITM00689"/>
    <s v="ORD00397"/>
    <s v="PRD021"/>
    <n v="1"/>
    <n v="69000"/>
    <x v="0"/>
    <n v="69000"/>
  </r>
  <r>
    <s v="ITM00690"/>
    <s v="ORD00398"/>
    <s v="PRD021"/>
    <n v="1"/>
    <n v="69000"/>
    <x v="0"/>
    <n v="69000"/>
  </r>
  <r>
    <s v="ITM00691"/>
    <s v="ORD00399"/>
    <s v="PRD014"/>
    <n v="1"/>
    <n v="349000"/>
    <x v="9"/>
    <n v="349000"/>
  </r>
  <r>
    <s v="ITM00692"/>
    <s v="ORD00400"/>
    <s v="PRD005"/>
    <n v="3"/>
    <n v="39000"/>
    <x v="2"/>
    <n v="117000"/>
  </r>
  <r>
    <s v="ITM00693"/>
    <s v="ORD00400"/>
    <s v="PRD015"/>
    <n v="1"/>
    <n v="139000"/>
    <x v="18"/>
    <n v="139000"/>
  </r>
  <r>
    <s v="ITM00694"/>
    <s v="ORD00401"/>
    <s v="PRD022"/>
    <n v="1"/>
    <n v="55000"/>
    <x v="4"/>
    <n v="55000"/>
  </r>
  <r>
    <s v="ITM00695"/>
    <s v="ORD00402"/>
    <s v="PRD008"/>
    <n v="2"/>
    <n v="399000"/>
    <x v="12"/>
    <n v="798000"/>
  </r>
  <r>
    <s v="ITM00696"/>
    <s v="ORD00403"/>
    <s v="PRD021"/>
    <n v="1"/>
    <n v="69000"/>
    <x v="0"/>
    <n v="69000"/>
  </r>
  <r>
    <s v="ITM00697"/>
    <s v="ORD00403"/>
    <s v="PRD005"/>
    <n v="1"/>
    <n v="39000"/>
    <x v="2"/>
    <n v="39000"/>
  </r>
  <r>
    <s v="ITM00698"/>
    <s v="ORD00403"/>
    <s v="PRD004"/>
    <n v="1"/>
    <n v="199000"/>
    <x v="19"/>
    <n v="199000"/>
  </r>
  <r>
    <s v="ITM00699"/>
    <s v="ORD00404"/>
    <s v="PRD021"/>
    <n v="1"/>
    <n v="69000"/>
    <x v="0"/>
    <n v="69000"/>
  </r>
  <r>
    <s v="ITM00700"/>
    <s v="ORD00405"/>
    <s v="PRD005"/>
    <n v="2"/>
    <n v="39000"/>
    <x v="2"/>
    <n v="78000"/>
  </r>
  <r>
    <s v="ITM00701"/>
    <s v="ORD00406"/>
    <s v="PRD021"/>
    <n v="1"/>
    <n v="69000"/>
    <x v="0"/>
    <n v="69000"/>
  </r>
  <r>
    <s v="ITM00702"/>
    <s v="ORD00406"/>
    <s v="PRD006"/>
    <n v="3"/>
    <n v="129000"/>
    <x v="10"/>
    <n v="387000"/>
  </r>
  <r>
    <s v="ITM00703"/>
    <s v="ORD00406"/>
    <s v="PRD020"/>
    <n v="1"/>
    <n v="179000"/>
    <x v="1"/>
    <n v="179000"/>
  </r>
  <r>
    <s v="ITM00704"/>
    <s v="ORD00407"/>
    <s v="PRD023"/>
    <n v="1"/>
    <n v="139000"/>
    <x v="8"/>
    <n v="139000"/>
  </r>
  <r>
    <s v="ITM00705"/>
    <s v="ORD00407"/>
    <s v="PRD006"/>
    <n v="1"/>
    <n v="129000"/>
    <x v="10"/>
    <n v="129000"/>
  </r>
  <r>
    <s v="ITM00706"/>
    <s v="ORD00407"/>
    <s v="PRD004"/>
    <n v="1"/>
    <n v="199000"/>
    <x v="19"/>
    <n v="199000"/>
  </r>
  <r>
    <s v="ITM00707"/>
    <s v="ORD00408"/>
    <s v="PRD005"/>
    <n v="1"/>
    <n v="39000"/>
    <x v="2"/>
    <n v="39000"/>
  </r>
  <r>
    <s v="ITM00708"/>
    <s v="ORD00409"/>
    <s v="PRD008"/>
    <n v="1"/>
    <n v="399000"/>
    <x v="12"/>
    <n v="399000"/>
  </r>
  <r>
    <s v="ITM00709"/>
    <s v="ORD00409"/>
    <s v="PRD005"/>
    <n v="3"/>
    <n v="39000"/>
    <x v="2"/>
    <n v="117000"/>
  </r>
  <r>
    <s v="ITM00710"/>
    <s v="ORD00410"/>
    <s v="PRD020"/>
    <n v="1"/>
    <n v="179000"/>
    <x v="1"/>
    <n v="179000"/>
  </r>
  <r>
    <s v="ITM00711"/>
    <s v="ORD00410"/>
    <s v="PRD023"/>
    <n v="2"/>
    <n v="139000"/>
    <x v="8"/>
    <n v="278000"/>
  </r>
  <r>
    <s v="ITM00712"/>
    <s v="ORD00411"/>
    <s v="PRD021"/>
    <n v="1"/>
    <n v="69000"/>
    <x v="0"/>
    <n v="69000"/>
  </r>
  <r>
    <s v="ITM00713"/>
    <s v="ORD00411"/>
    <s v="PRD009"/>
    <n v="1"/>
    <n v="79000"/>
    <x v="3"/>
    <n v="79000"/>
  </r>
  <r>
    <s v="ITM00714"/>
    <s v="ORD00412"/>
    <s v="PRD021"/>
    <n v="1"/>
    <n v="69000"/>
    <x v="0"/>
    <n v="69000"/>
  </r>
  <r>
    <s v="ITM00715"/>
    <s v="ORD00412"/>
    <s v="PRD004"/>
    <n v="3"/>
    <n v="199000"/>
    <x v="19"/>
    <n v="597000"/>
  </r>
  <r>
    <s v="ITM00716"/>
    <s v="ORD00412"/>
    <s v="PRD008"/>
    <n v="1"/>
    <n v="399000"/>
    <x v="12"/>
    <n v="399000"/>
  </r>
  <r>
    <s v="ITM00717"/>
    <s v="ORD00412"/>
    <s v="PRD017"/>
    <n v="1"/>
    <n v="329000"/>
    <x v="7"/>
    <n v="329000"/>
  </r>
  <r>
    <s v="ITM00718"/>
    <s v="ORD00413"/>
    <s v="PRD007"/>
    <n v="1"/>
    <n v="99000"/>
    <x v="6"/>
    <n v="99000"/>
  </r>
  <r>
    <s v="ITM00719"/>
    <s v="ORD00413"/>
    <s v="PRD005"/>
    <n v="1"/>
    <n v="39000"/>
    <x v="2"/>
    <n v="39000"/>
  </r>
  <r>
    <s v="ITM00720"/>
    <s v="ORD00414"/>
    <s v="PRD017"/>
    <n v="1"/>
    <n v="329000"/>
    <x v="7"/>
    <n v="329000"/>
  </r>
  <r>
    <s v="ITM00721"/>
    <s v="ORD00414"/>
    <s v="PRD022"/>
    <n v="1"/>
    <n v="55000"/>
    <x v="4"/>
    <n v="55000"/>
  </r>
  <r>
    <s v="ITM00722"/>
    <s v="ORD00415"/>
    <s v="PRD021"/>
    <n v="1"/>
    <n v="69000"/>
    <x v="0"/>
    <n v="69000"/>
  </r>
  <r>
    <s v="ITM00723"/>
    <s v="ORD00416"/>
    <s v="PRD020"/>
    <n v="3"/>
    <n v="179000"/>
    <x v="1"/>
    <n v="537000"/>
  </r>
  <r>
    <s v="ITM00724"/>
    <s v="ORD00417"/>
    <s v="PRD005"/>
    <n v="1"/>
    <n v="39000"/>
    <x v="2"/>
    <n v="39000"/>
  </r>
  <r>
    <s v="ITM00725"/>
    <s v="ORD00418"/>
    <s v="PRD021"/>
    <n v="1"/>
    <n v="69000"/>
    <x v="0"/>
    <n v="69000"/>
  </r>
  <r>
    <s v="ITM00726"/>
    <s v="ORD00418"/>
    <s v="PRD005"/>
    <n v="2"/>
    <n v="39000"/>
    <x v="2"/>
    <n v="78000"/>
  </r>
  <r>
    <s v="ITM00727"/>
    <s v="ORD00418"/>
    <s v="PRD022"/>
    <n v="1"/>
    <n v="55000"/>
    <x v="4"/>
    <n v="55000"/>
  </r>
  <r>
    <s v="ITM00728"/>
    <s v="ORD00419"/>
    <s v="PRD005"/>
    <n v="1"/>
    <n v="39000"/>
    <x v="2"/>
    <n v="39000"/>
  </r>
  <r>
    <s v="ITM00729"/>
    <s v="ORD00420"/>
    <s v="PRD009"/>
    <n v="3"/>
    <n v="79000"/>
    <x v="3"/>
    <n v="237000"/>
  </r>
  <r>
    <s v="ITM00730"/>
    <s v="ORD00421"/>
    <s v="PRD005"/>
    <n v="1"/>
    <n v="39000"/>
    <x v="2"/>
    <n v="39000"/>
  </r>
  <r>
    <s v="ITM00731"/>
    <s v="ORD00421"/>
    <s v="PRD009"/>
    <n v="1"/>
    <n v="79000"/>
    <x v="3"/>
    <n v="79000"/>
  </r>
  <r>
    <s v="ITM00732"/>
    <s v="ORD00421"/>
    <s v="PRD014"/>
    <n v="1"/>
    <n v="349000"/>
    <x v="9"/>
    <n v="349000"/>
  </r>
  <r>
    <s v="ITM00733"/>
    <s v="ORD00422"/>
    <s v="PRD023"/>
    <n v="1"/>
    <n v="139000"/>
    <x v="8"/>
    <n v="139000"/>
  </r>
  <r>
    <s v="ITM00734"/>
    <s v="ORD00422"/>
    <s v="PRD005"/>
    <n v="1"/>
    <n v="39000"/>
    <x v="2"/>
    <n v="39000"/>
  </r>
  <r>
    <s v="ITM00735"/>
    <s v="ORD00423"/>
    <s v="PRD005"/>
    <n v="1"/>
    <n v="39000"/>
    <x v="2"/>
    <n v="39000"/>
  </r>
  <r>
    <s v="ITM00736"/>
    <s v="ORD00424"/>
    <s v="PRD021"/>
    <n v="1"/>
    <n v="69000"/>
    <x v="0"/>
    <n v="69000"/>
  </r>
  <r>
    <s v="ITM00737"/>
    <s v="ORD00425"/>
    <s v="PRD008"/>
    <n v="2"/>
    <n v="399000"/>
    <x v="12"/>
    <n v="798000"/>
  </r>
  <r>
    <s v="ITM00738"/>
    <s v="ORD00426"/>
    <s v="PRD008"/>
    <n v="2"/>
    <n v="399000"/>
    <x v="12"/>
    <n v="798000"/>
  </r>
  <r>
    <s v="ITM00739"/>
    <s v="ORD00426"/>
    <s v="PRD002"/>
    <n v="1"/>
    <n v="159000"/>
    <x v="14"/>
    <n v="159000"/>
  </r>
  <r>
    <s v="ITM00740"/>
    <s v="ORD00427"/>
    <s v="PRD005"/>
    <n v="1"/>
    <n v="39000"/>
    <x v="2"/>
    <n v="39000"/>
  </r>
  <r>
    <s v="ITM00741"/>
    <s v="ORD00427"/>
    <s v="PRD014"/>
    <n v="1"/>
    <n v="349000"/>
    <x v="9"/>
    <n v="349000"/>
  </r>
  <r>
    <s v="ITM00742"/>
    <s v="ORD00427"/>
    <s v="PRD017"/>
    <n v="2"/>
    <n v="329000"/>
    <x v="7"/>
    <n v="658000"/>
  </r>
  <r>
    <s v="ITM00743"/>
    <s v="ORD00428"/>
    <s v="PRD021"/>
    <n v="1"/>
    <n v="69000"/>
    <x v="0"/>
    <n v="69000"/>
  </r>
  <r>
    <s v="ITM00744"/>
    <s v="ORD00428"/>
    <s v="PRD009"/>
    <n v="1"/>
    <n v="79000"/>
    <x v="3"/>
    <n v="79000"/>
  </r>
  <r>
    <s v="ITM00745"/>
    <s v="ORD00428"/>
    <s v="PRD005"/>
    <n v="2"/>
    <n v="39000"/>
    <x v="2"/>
    <n v="78000"/>
  </r>
  <r>
    <s v="ITM00746"/>
    <s v="ORD00428"/>
    <s v="PRD017"/>
    <n v="1"/>
    <n v="329000"/>
    <x v="7"/>
    <n v="329000"/>
  </r>
  <r>
    <s v="ITM00747"/>
    <s v="ORD00429"/>
    <s v="PRD021"/>
    <n v="1"/>
    <n v="69000"/>
    <x v="0"/>
    <n v="69000"/>
  </r>
  <r>
    <s v="ITM00748"/>
    <s v="ORD00430"/>
    <s v="PRD005"/>
    <n v="1"/>
    <n v="39000"/>
    <x v="2"/>
    <n v="39000"/>
  </r>
  <r>
    <s v="ITM00749"/>
    <s v="ORD00430"/>
    <s v="PRD020"/>
    <n v="1"/>
    <n v="179000"/>
    <x v="1"/>
    <n v="179000"/>
  </r>
  <r>
    <s v="ITM00750"/>
    <s v="ORD00430"/>
    <s v="PRD017"/>
    <n v="1"/>
    <n v="329000"/>
    <x v="7"/>
    <n v="329000"/>
  </r>
  <r>
    <s v="ITM00751"/>
    <s v="ORD00430"/>
    <s v="PRD021"/>
    <n v="1"/>
    <n v="69000"/>
    <x v="0"/>
    <n v="69000"/>
  </r>
  <r>
    <s v="ITM00752"/>
    <s v="ORD00431"/>
    <s v="PRD021"/>
    <n v="1"/>
    <n v="69000"/>
    <x v="0"/>
    <n v="69000"/>
  </r>
  <r>
    <s v="ITM00753"/>
    <s v="ORD00432"/>
    <s v="PRD020"/>
    <n v="1"/>
    <n v="179000"/>
    <x v="1"/>
    <n v="179000"/>
  </r>
  <r>
    <s v="ITM00754"/>
    <s v="ORD00432"/>
    <s v="PRD009"/>
    <n v="3"/>
    <n v="79000"/>
    <x v="3"/>
    <n v="237000"/>
  </r>
  <r>
    <s v="ITM00755"/>
    <s v="ORD00433"/>
    <s v="PRD021"/>
    <n v="1"/>
    <n v="69000"/>
    <x v="0"/>
    <n v="69000"/>
  </r>
  <r>
    <s v="ITM00756"/>
    <s v="ORD00433"/>
    <s v="PRD005"/>
    <n v="1"/>
    <n v="39000"/>
    <x v="2"/>
    <n v="39000"/>
  </r>
  <r>
    <s v="ITM00757"/>
    <s v="ORD00434"/>
    <s v="PRD021"/>
    <n v="1"/>
    <n v="69000"/>
    <x v="0"/>
    <n v="69000"/>
  </r>
  <r>
    <s v="ITM00758"/>
    <s v="ORD00434"/>
    <s v="PRD004"/>
    <n v="1"/>
    <n v="199000"/>
    <x v="19"/>
    <n v="199000"/>
  </r>
  <r>
    <s v="ITM00759"/>
    <s v="ORD00435"/>
    <s v="PRD017"/>
    <n v="1"/>
    <n v="329000"/>
    <x v="7"/>
    <n v="329000"/>
  </r>
  <r>
    <s v="ITM00760"/>
    <s v="ORD00436"/>
    <s v="PRD021"/>
    <n v="1"/>
    <n v="69000"/>
    <x v="0"/>
    <n v="69000"/>
  </r>
  <r>
    <s v="ITM00761"/>
    <s v="ORD00437"/>
    <s v="PRD020"/>
    <n v="1"/>
    <n v="179000"/>
    <x v="1"/>
    <n v="179000"/>
  </r>
  <r>
    <s v="ITM00762"/>
    <s v="ORD00437"/>
    <s v="PRD021"/>
    <n v="2"/>
    <n v="69000"/>
    <x v="0"/>
    <n v="138000"/>
  </r>
  <r>
    <s v="ITM00763"/>
    <s v="ORD00438"/>
    <s v="PRD005"/>
    <n v="1"/>
    <n v="39000"/>
    <x v="2"/>
    <n v="39000"/>
  </r>
  <r>
    <s v="ITM00764"/>
    <s v="ORD00439"/>
    <s v="PRD021"/>
    <n v="1"/>
    <n v="69000"/>
    <x v="0"/>
    <n v="69000"/>
  </r>
  <r>
    <s v="ITM00765"/>
    <s v="ORD00440"/>
    <s v="PRD021"/>
    <n v="1"/>
    <n v="69000"/>
    <x v="0"/>
    <n v="69000"/>
  </r>
  <r>
    <s v="ITM00766"/>
    <s v="ORD00441"/>
    <s v="PRD017"/>
    <n v="3"/>
    <n v="329000"/>
    <x v="7"/>
    <n v="987000"/>
  </r>
  <r>
    <s v="ITM00767"/>
    <s v="ORD00442"/>
    <s v="PRD009"/>
    <n v="1"/>
    <n v="79000"/>
    <x v="3"/>
    <n v="79000"/>
  </r>
  <r>
    <s v="ITM00768"/>
    <s v="ORD00443"/>
    <s v="PRD005"/>
    <n v="2"/>
    <n v="39000"/>
    <x v="2"/>
    <n v="78000"/>
  </r>
  <r>
    <s v="ITM00769"/>
    <s v="ORD00443"/>
    <s v="PRD020"/>
    <n v="3"/>
    <n v="179000"/>
    <x v="1"/>
    <n v="537000"/>
  </r>
  <r>
    <s v="ITM00770"/>
    <s v="ORD00444"/>
    <s v="PRD021"/>
    <n v="2"/>
    <n v="69000"/>
    <x v="0"/>
    <n v="138000"/>
  </r>
  <r>
    <s v="ITM00771"/>
    <s v="ORD00445"/>
    <s v="PRD009"/>
    <n v="1"/>
    <n v="79000"/>
    <x v="3"/>
    <n v="79000"/>
  </r>
  <r>
    <s v="ITM00772"/>
    <s v="ORD00446"/>
    <s v="PRD021"/>
    <n v="3"/>
    <n v="69000"/>
    <x v="0"/>
    <n v="207000"/>
  </r>
  <r>
    <s v="ITM00773"/>
    <s v="ORD00446"/>
    <s v="PRD008"/>
    <n v="2"/>
    <n v="399000"/>
    <x v="12"/>
    <n v="798000"/>
  </r>
  <r>
    <s v="ITM00774"/>
    <s v="ORD00447"/>
    <s v="PRD009"/>
    <n v="1"/>
    <n v="79000"/>
    <x v="3"/>
    <n v="79000"/>
  </r>
  <r>
    <s v="ITM00775"/>
    <s v="ORD00447"/>
    <s v="PRD017"/>
    <n v="1"/>
    <n v="329000"/>
    <x v="7"/>
    <n v="329000"/>
  </r>
  <r>
    <s v="ITM00776"/>
    <s v="ORD00447"/>
    <s v="PRD021"/>
    <n v="2"/>
    <n v="69000"/>
    <x v="0"/>
    <n v="138000"/>
  </r>
  <r>
    <s v="ITM00777"/>
    <s v="ORD00448"/>
    <s v="PRD014"/>
    <n v="1"/>
    <n v="349000"/>
    <x v="9"/>
    <n v="349000"/>
  </r>
  <r>
    <s v="ITM00778"/>
    <s v="ORD00449"/>
    <s v="PRD009"/>
    <n v="1"/>
    <n v="79000"/>
    <x v="3"/>
    <n v="79000"/>
  </r>
  <r>
    <s v="ITM00779"/>
    <s v="ORD00450"/>
    <s v="PRD009"/>
    <n v="3"/>
    <n v="79000"/>
    <x v="3"/>
    <n v="237000"/>
  </r>
  <r>
    <s v="ITM00780"/>
    <s v="ORD00451"/>
    <s v="PRD021"/>
    <n v="1"/>
    <n v="69000"/>
    <x v="0"/>
    <n v="69000"/>
  </r>
  <r>
    <s v="ITM00781"/>
    <s v="ORD00452"/>
    <s v="PRD022"/>
    <n v="1"/>
    <n v="55000"/>
    <x v="4"/>
    <n v="55000"/>
  </r>
  <r>
    <s v="ITM00782"/>
    <s v="ORD00453"/>
    <s v="PRD012"/>
    <n v="2"/>
    <n v="229000"/>
    <x v="5"/>
    <n v="458000"/>
  </r>
  <r>
    <s v="ITM00783"/>
    <s v="ORD00454"/>
    <s v="PRD021"/>
    <n v="1"/>
    <n v="69000"/>
    <x v="0"/>
    <n v="69000"/>
  </r>
  <r>
    <s v="ITM00784"/>
    <s v="ORD00455"/>
    <s v="PRD021"/>
    <n v="1"/>
    <n v="69000"/>
    <x v="0"/>
    <n v="69000"/>
  </r>
  <r>
    <s v="ITM00785"/>
    <s v="ORD00456"/>
    <s v="PRD021"/>
    <n v="1"/>
    <n v="69000"/>
    <x v="0"/>
    <n v="69000"/>
  </r>
  <r>
    <s v="ITM00786"/>
    <s v="ORD00457"/>
    <s v="PRD009"/>
    <n v="1"/>
    <n v="79000"/>
    <x v="3"/>
    <n v="79000"/>
  </r>
  <r>
    <s v="ITM00787"/>
    <s v="ORD00457"/>
    <s v="PRD021"/>
    <n v="1"/>
    <n v="69000"/>
    <x v="0"/>
    <n v="69000"/>
  </r>
  <r>
    <s v="ITM00788"/>
    <s v="ORD00457"/>
    <s v="PRD022"/>
    <n v="2"/>
    <n v="55000"/>
    <x v="4"/>
    <n v="110000"/>
  </r>
  <r>
    <s v="ITM00789"/>
    <s v="ORD00458"/>
    <s v="PRD005"/>
    <n v="1"/>
    <n v="39000"/>
    <x v="2"/>
    <n v="39000"/>
  </r>
  <r>
    <s v="ITM00790"/>
    <s v="ORD00458"/>
    <s v="PRD006"/>
    <n v="1"/>
    <n v="129000"/>
    <x v="10"/>
    <n v="129000"/>
  </r>
  <r>
    <s v="ITM00791"/>
    <s v="ORD00458"/>
    <s v="PRD021"/>
    <n v="1"/>
    <n v="69000"/>
    <x v="0"/>
    <n v="69000"/>
  </r>
  <r>
    <s v="ITM00792"/>
    <s v="ORD00459"/>
    <s v="PRD021"/>
    <n v="1"/>
    <n v="69000"/>
    <x v="0"/>
    <n v="69000"/>
  </r>
  <r>
    <s v="ITM00793"/>
    <s v="ORD00460"/>
    <s v="PRD021"/>
    <n v="2"/>
    <n v="69000"/>
    <x v="0"/>
    <n v="138000"/>
  </r>
  <r>
    <s v="ITM00794"/>
    <s v="ORD00461"/>
    <s v="PRD023"/>
    <n v="1"/>
    <n v="139000"/>
    <x v="8"/>
    <n v="139000"/>
  </r>
  <r>
    <s v="ITM00795"/>
    <s v="ORD00461"/>
    <s v="PRD006"/>
    <n v="1"/>
    <n v="129000"/>
    <x v="10"/>
    <n v="129000"/>
  </r>
  <r>
    <s v="ITM00796"/>
    <s v="ORD00461"/>
    <s v="PRD022"/>
    <n v="1"/>
    <n v="55000"/>
    <x v="4"/>
    <n v="55000"/>
  </r>
  <r>
    <s v="ITM00797"/>
    <s v="ORD00462"/>
    <s v="PRD021"/>
    <n v="1"/>
    <n v="69000"/>
    <x v="0"/>
    <n v="69000"/>
  </r>
  <r>
    <s v="ITM00798"/>
    <s v="ORD00463"/>
    <s v="PRD005"/>
    <n v="1"/>
    <n v="39000"/>
    <x v="2"/>
    <n v="39000"/>
  </r>
  <r>
    <s v="ITM00799"/>
    <s v="ORD00463"/>
    <s v="PRD021"/>
    <n v="1"/>
    <n v="69000"/>
    <x v="0"/>
    <n v="69000"/>
  </r>
  <r>
    <s v="ITM00800"/>
    <s v="ORD00464"/>
    <s v="PRD017"/>
    <n v="2"/>
    <n v="329000"/>
    <x v="7"/>
    <n v="658000"/>
  </r>
  <r>
    <s v="ITM00801"/>
    <s v="ORD00465"/>
    <s v="PRD021"/>
    <n v="1"/>
    <n v="69000"/>
    <x v="0"/>
    <n v="69000"/>
  </r>
  <r>
    <s v="ITM00802"/>
    <s v="ORD00465"/>
    <s v="PRD005"/>
    <n v="1"/>
    <n v="39000"/>
    <x v="2"/>
    <n v="39000"/>
  </r>
  <r>
    <s v="ITM00803"/>
    <s v="ORD00466"/>
    <s v="PRD022"/>
    <n v="1"/>
    <n v="55000"/>
    <x v="4"/>
    <n v="55000"/>
  </r>
  <r>
    <s v="ITM00804"/>
    <s v="ORD00466"/>
    <s v="PRD008"/>
    <n v="1"/>
    <n v="399000"/>
    <x v="12"/>
    <n v="399000"/>
  </r>
  <r>
    <s v="ITM00805"/>
    <s v="ORD00467"/>
    <s v="PRD005"/>
    <n v="1"/>
    <n v="39000"/>
    <x v="2"/>
    <n v="39000"/>
  </r>
  <r>
    <s v="ITM00806"/>
    <s v="ORD00467"/>
    <s v="PRD014"/>
    <n v="3"/>
    <n v="349000"/>
    <x v="9"/>
    <n v="1047000"/>
  </r>
  <r>
    <s v="ITM00807"/>
    <s v="ORD00468"/>
    <s v="PRD005"/>
    <n v="1"/>
    <n v="39000"/>
    <x v="2"/>
    <n v="39000"/>
  </r>
  <r>
    <s v="ITM00808"/>
    <s v="ORD00468"/>
    <s v="PRD021"/>
    <n v="1"/>
    <n v="69000"/>
    <x v="0"/>
    <n v="69000"/>
  </r>
  <r>
    <s v="ITM00809"/>
    <s v="ORD00469"/>
    <s v="PRD015"/>
    <n v="1"/>
    <n v="139000"/>
    <x v="18"/>
    <n v="139000"/>
  </r>
  <r>
    <s v="ITM00810"/>
    <s v="ORD00469"/>
    <s v="PRD021"/>
    <n v="1"/>
    <n v="69000"/>
    <x v="0"/>
    <n v="69000"/>
  </r>
  <r>
    <s v="ITM00811"/>
    <s v="ORD00469"/>
    <s v="PRD020"/>
    <n v="1"/>
    <n v="179000"/>
    <x v="1"/>
    <n v="179000"/>
  </r>
  <r>
    <s v="ITM00812"/>
    <s v="ORD00469"/>
    <s v="PRD005"/>
    <n v="3"/>
    <n v="39000"/>
    <x v="2"/>
    <n v="117000"/>
  </r>
  <r>
    <s v="ITM00813"/>
    <s v="ORD00470"/>
    <s v="PRD021"/>
    <n v="1"/>
    <n v="69000"/>
    <x v="0"/>
    <n v="69000"/>
  </r>
  <r>
    <s v="ITM00814"/>
    <s v="ORD00471"/>
    <s v="PRD008"/>
    <n v="1"/>
    <n v="399000"/>
    <x v="12"/>
    <n v="399000"/>
  </r>
  <r>
    <s v="ITM00815"/>
    <s v="ORD00472"/>
    <s v="PRD008"/>
    <n v="1"/>
    <n v="399000"/>
    <x v="12"/>
    <n v="399000"/>
  </r>
  <r>
    <s v="ITM00816"/>
    <s v="ORD00473"/>
    <s v="PRD021"/>
    <n v="1"/>
    <n v="69000"/>
    <x v="0"/>
    <n v="69000"/>
  </r>
  <r>
    <s v="ITM00817"/>
    <s v="ORD00474"/>
    <s v="PRD006"/>
    <n v="1"/>
    <n v="129000"/>
    <x v="10"/>
    <n v="129000"/>
  </r>
  <r>
    <s v="ITM00818"/>
    <s v="ORD00474"/>
    <s v="PRD005"/>
    <n v="1"/>
    <n v="39000"/>
    <x v="2"/>
    <n v="39000"/>
  </r>
  <r>
    <s v="ITM00819"/>
    <s v="ORD00474"/>
    <s v="PRD021"/>
    <n v="1"/>
    <n v="69000"/>
    <x v="0"/>
    <n v="69000"/>
  </r>
  <r>
    <s v="ITM00820"/>
    <s v="ORD00475"/>
    <s v="PRD009"/>
    <n v="1"/>
    <n v="79000"/>
    <x v="3"/>
    <n v="79000"/>
  </r>
  <r>
    <s v="ITM00821"/>
    <s v="ORD00475"/>
    <s v="PRD004"/>
    <n v="3"/>
    <n v="199000"/>
    <x v="19"/>
    <n v="597000"/>
  </r>
  <r>
    <s v="ITM00822"/>
    <s v="ORD00476"/>
    <s v="PRD005"/>
    <n v="2"/>
    <n v="39000"/>
    <x v="2"/>
    <n v="78000"/>
  </r>
  <r>
    <s v="ITM00823"/>
    <s v="ORD00477"/>
    <s v="PRD021"/>
    <n v="3"/>
    <n v="69000"/>
    <x v="0"/>
    <n v="207000"/>
  </r>
  <r>
    <s v="ITM00824"/>
    <s v="ORD00478"/>
    <s v="PRD017"/>
    <n v="1"/>
    <n v="329000"/>
    <x v="7"/>
    <n v="329000"/>
  </r>
  <r>
    <s v="ITM00825"/>
    <s v="ORD00479"/>
    <s v="PRD005"/>
    <n v="1"/>
    <n v="39000"/>
    <x v="2"/>
    <n v="39000"/>
  </r>
  <r>
    <s v="ITM00826"/>
    <s v="ORD00479"/>
    <s v="PRD008"/>
    <n v="1"/>
    <n v="399000"/>
    <x v="12"/>
    <n v="399000"/>
  </r>
  <r>
    <s v="ITM00827"/>
    <s v="ORD00480"/>
    <s v="PRD021"/>
    <n v="1"/>
    <n v="69000"/>
    <x v="0"/>
    <n v="69000"/>
  </r>
  <r>
    <s v="ITM00828"/>
    <s v="ORD00480"/>
    <s v="PRD005"/>
    <n v="1"/>
    <n v="39000"/>
    <x v="2"/>
    <n v="39000"/>
  </r>
  <r>
    <s v="ITM00829"/>
    <s v="ORD00481"/>
    <s v="PRD003"/>
    <n v="3"/>
    <n v="499000"/>
    <x v="11"/>
    <n v="1497000"/>
  </r>
  <r>
    <s v="ITM00830"/>
    <s v="ORD00482"/>
    <s v="PRD022"/>
    <n v="1"/>
    <n v="55000"/>
    <x v="4"/>
    <n v="55000"/>
  </r>
  <r>
    <s v="ITM00831"/>
    <s v="ORD00482"/>
    <s v="PRD014"/>
    <n v="1"/>
    <n v="349000"/>
    <x v="9"/>
    <n v="349000"/>
  </r>
  <r>
    <s v="ITM00832"/>
    <s v="ORD00482"/>
    <s v="PRD005"/>
    <n v="1"/>
    <n v="39000"/>
    <x v="2"/>
    <n v="39000"/>
  </r>
  <r>
    <s v="ITM00833"/>
    <s v="ORD00483"/>
    <s v="PRD008"/>
    <n v="1"/>
    <n v="399000"/>
    <x v="12"/>
    <n v="399000"/>
  </r>
  <r>
    <s v="ITM00834"/>
    <s v="ORD00483"/>
    <s v="PRD006"/>
    <n v="1"/>
    <n v="129000"/>
    <x v="10"/>
    <n v="129000"/>
  </r>
  <r>
    <s v="ITM00835"/>
    <s v="ORD00484"/>
    <s v="PRD021"/>
    <n v="3"/>
    <n v="69000"/>
    <x v="0"/>
    <n v="207000"/>
  </r>
  <r>
    <s v="ITM00836"/>
    <s v="ORD00485"/>
    <s v="PRD005"/>
    <n v="1"/>
    <n v="39000"/>
    <x v="2"/>
    <n v="39000"/>
  </r>
  <r>
    <s v="ITM00837"/>
    <s v="ORD00486"/>
    <s v="PRD021"/>
    <n v="1"/>
    <n v="69000"/>
    <x v="0"/>
    <n v="69000"/>
  </r>
  <r>
    <s v="ITM00838"/>
    <s v="ORD00487"/>
    <s v="PRD008"/>
    <n v="2"/>
    <n v="399000"/>
    <x v="12"/>
    <n v="798000"/>
  </r>
  <r>
    <s v="ITM00839"/>
    <s v="ORD00487"/>
    <s v="PRD009"/>
    <n v="2"/>
    <n v="79000"/>
    <x v="3"/>
    <n v="158000"/>
  </r>
  <r>
    <s v="ITM00840"/>
    <s v="ORD00488"/>
    <s v="PRD020"/>
    <n v="1"/>
    <n v="179000"/>
    <x v="1"/>
    <n v="179000"/>
  </r>
  <r>
    <s v="ITM00841"/>
    <s v="ORD00488"/>
    <s v="PRD005"/>
    <n v="3"/>
    <n v="39000"/>
    <x v="2"/>
    <n v="117000"/>
  </r>
  <r>
    <s v="ITM00842"/>
    <s v="ORD00489"/>
    <s v="PRD009"/>
    <n v="1"/>
    <n v="79000"/>
    <x v="3"/>
    <n v="79000"/>
  </r>
  <r>
    <s v="ITM00843"/>
    <s v="ORD00490"/>
    <s v="PRD009"/>
    <n v="3"/>
    <n v="79000"/>
    <x v="3"/>
    <n v="237000"/>
  </r>
  <r>
    <s v="ITM00844"/>
    <s v="ORD00490"/>
    <s v="PRD021"/>
    <n v="1"/>
    <n v="69000"/>
    <x v="0"/>
    <n v="69000"/>
  </r>
  <r>
    <s v="ITM00845"/>
    <s v="ORD00491"/>
    <s v="PRD005"/>
    <n v="2"/>
    <n v="39000"/>
    <x v="2"/>
    <n v="78000"/>
  </r>
  <r>
    <s v="ITM00846"/>
    <s v="ORD00492"/>
    <s v="PRD021"/>
    <n v="2"/>
    <n v="69000"/>
    <x v="0"/>
    <n v="138000"/>
  </r>
  <r>
    <s v="ITM00847"/>
    <s v="ORD00492"/>
    <s v="PRD012"/>
    <n v="1"/>
    <n v="229000"/>
    <x v="5"/>
    <n v="229000"/>
  </r>
  <r>
    <s v="ITM00848"/>
    <s v="ORD00493"/>
    <s v="PRD003"/>
    <n v="1"/>
    <n v="499000"/>
    <x v="11"/>
    <n v="499000"/>
  </r>
  <r>
    <s v="ITM00849"/>
    <s v="ORD00493"/>
    <s v="PRD015"/>
    <n v="2"/>
    <n v="139000"/>
    <x v="18"/>
    <n v="278000"/>
  </r>
  <r>
    <s v="ITM00850"/>
    <s v="ORD00493"/>
    <s v="PRD019"/>
    <n v="1"/>
    <n v="79000"/>
    <x v="13"/>
    <n v="79000"/>
  </r>
  <r>
    <s v="ITM00851"/>
    <s v="ORD00493"/>
    <s v="PRD005"/>
    <n v="1"/>
    <n v="39000"/>
    <x v="2"/>
    <n v="39000"/>
  </r>
  <r>
    <s v="ITM00852"/>
    <s v="ORD00494"/>
    <s v="PRD017"/>
    <n v="1"/>
    <n v="329000"/>
    <x v="7"/>
    <n v="329000"/>
  </r>
  <r>
    <s v="ITM00853"/>
    <s v="ORD00495"/>
    <s v="PRD014"/>
    <n v="1"/>
    <n v="349000"/>
    <x v="9"/>
    <n v="349000"/>
  </r>
  <r>
    <s v="ITM00854"/>
    <s v="ORD00496"/>
    <s v="PRD006"/>
    <n v="1"/>
    <n v="129000"/>
    <x v="10"/>
    <n v="129000"/>
  </r>
  <r>
    <s v="ITM00855"/>
    <s v="ORD00496"/>
    <s v="PRD017"/>
    <n v="1"/>
    <n v="329000"/>
    <x v="7"/>
    <n v="329000"/>
  </r>
  <r>
    <s v="ITM00856"/>
    <s v="ORD00497"/>
    <s v="PRD020"/>
    <n v="1"/>
    <n v="179000"/>
    <x v="1"/>
    <n v="179000"/>
  </r>
  <r>
    <s v="ITM00857"/>
    <s v="ORD00497"/>
    <s v="PRD005"/>
    <n v="3"/>
    <n v="39000"/>
    <x v="2"/>
    <n v="117000"/>
  </r>
  <r>
    <s v="ITM00858"/>
    <s v="ORD00498"/>
    <s v="PRD021"/>
    <n v="1"/>
    <n v="69000"/>
    <x v="0"/>
    <n v="69000"/>
  </r>
  <r>
    <s v="ITM00859"/>
    <s v="ORD00498"/>
    <s v="PRD017"/>
    <n v="1"/>
    <n v="329000"/>
    <x v="7"/>
    <n v="329000"/>
  </r>
  <r>
    <s v="ITM00860"/>
    <s v="ORD00499"/>
    <s v="PRD022"/>
    <n v="1"/>
    <n v="55000"/>
    <x v="4"/>
    <n v="55000"/>
  </r>
  <r>
    <s v="ITM00861"/>
    <s v="ORD00500"/>
    <s v="PRD005"/>
    <n v="3"/>
    <n v="39000"/>
    <x v="2"/>
    <n v="117000"/>
  </r>
  <r>
    <s v="ITM00862"/>
    <s v="ORD00500"/>
    <s v="PRD021"/>
    <n v="1"/>
    <n v="69000"/>
    <x v="0"/>
    <n v="69000"/>
  </r>
  <r>
    <s v="ITM00863"/>
    <s v="ORD00501"/>
    <s v="PRD017"/>
    <n v="1"/>
    <n v="329000"/>
    <x v="7"/>
    <n v="329000"/>
  </r>
  <r>
    <s v="ITM00864"/>
    <s v="ORD00502"/>
    <s v="PRD021"/>
    <n v="2"/>
    <n v="69000"/>
    <x v="0"/>
    <n v="138000"/>
  </r>
  <r>
    <s v="ITM00865"/>
    <s v="ORD00503"/>
    <s v="PRD022"/>
    <n v="1"/>
    <n v="55000"/>
    <x v="4"/>
    <n v="55000"/>
  </r>
  <r>
    <s v="ITM00866"/>
    <s v="ORD00503"/>
    <s v="PRD005"/>
    <n v="1"/>
    <n v="39000"/>
    <x v="2"/>
    <n v="39000"/>
  </r>
  <r>
    <s v="ITM00867"/>
    <s v="ORD00504"/>
    <s v="PRD021"/>
    <n v="2"/>
    <n v="69000"/>
    <x v="0"/>
    <n v="138000"/>
  </r>
  <r>
    <s v="ITM00868"/>
    <s v="ORD00504"/>
    <s v="PRD005"/>
    <n v="1"/>
    <n v="39000"/>
    <x v="2"/>
    <n v="39000"/>
  </r>
  <r>
    <s v="ITM00869"/>
    <s v="ORD00505"/>
    <s v="PRD020"/>
    <n v="3"/>
    <n v="179000"/>
    <x v="1"/>
    <n v="537000"/>
  </r>
  <r>
    <s v="ITM00870"/>
    <s v="ORD00506"/>
    <s v="PRD021"/>
    <n v="1"/>
    <n v="69000"/>
    <x v="0"/>
    <n v="69000"/>
  </r>
  <r>
    <s v="ITM00871"/>
    <s v="ORD00506"/>
    <s v="PRD020"/>
    <n v="3"/>
    <n v="179000"/>
    <x v="1"/>
    <n v="537000"/>
  </r>
  <r>
    <s v="ITM00872"/>
    <s v="ORD00506"/>
    <s v="PRD006"/>
    <n v="1"/>
    <n v="129000"/>
    <x v="10"/>
    <n v="129000"/>
  </r>
  <r>
    <s v="ITM00873"/>
    <s v="ORD00507"/>
    <s v="PRD009"/>
    <n v="1"/>
    <n v="79000"/>
    <x v="3"/>
    <n v="79000"/>
  </r>
  <r>
    <s v="ITM00874"/>
    <s v="ORD00507"/>
    <s v="PRD021"/>
    <n v="1"/>
    <n v="69000"/>
    <x v="0"/>
    <n v="69000"/>
  </r>
  <r>
    <s v="ITM00875"/>
    <s v="ORD00508"/>
    <s v="PRD019"/>
    <n v="2"/>
    <n v="79000"/>
    <x v="13"/>
    <n v="158000"/>
  </r>
  <r>
    <s v="ITM00876"/>
    <s v="ORD00509"/>
    <s v="PRD021"/>
    <n v="1"/>
    <n v="69000"/>
    <x v="0"/>
    <n v="69000"/>
  </r>
  <r>
    <s v="ITM00877"/>
    <s v="ORD00510"/>
    <s v="PRD020"/>
    <n v="3"/>
    <n v="179000"/>
    <x v="1"/>
    <n v="537000"/>
  </r>
  <r>
    <s v="ITM00878"/>
    <s v="ORD00511"/>
    <s v="PRD021"/>
    <n v="3"/>
    <n v="69000"/>
    <x v="0"/>
    <n v="207000"/>
  </r>
  <r>
    <s v="ITM00879"/>
    <s v="ORD00511"/>
    <s v="PRD009"/>
    <n v="1"/>
    <n v="79000"/>
    <x v="3"/>
    <n v="79000"/>
  </r>
  <r>
    <s v="ITM00880"/>
    <s v="ORD00512"/>
    <s v="PRD005"/>
    <n v="3"/>
    <n v="39000"/>
    <x v="2"/>
    <n v="117000"/>
  </r>
  <r>
    <s v="ITM00881"/>
    <s v="ORD00513"/>
    <s v="PRD005"/>
    <n v="1"/>
    <n v="39000"/>
    <x v="2"/>
    <n v="39000"/>
  </r>
  <r>
    <s v="ITM00882"/>
    <s v="ORD00514"/>
    <s v="PRD012"/>
    <n v="1"/>
    <n v="229000"/>
    <x v="5"/>
    <n v="229000"/>
  </r>
  <r>
    <s v="ITM00883"/>
    <s v="ORD00515"/>
    <s v="PRD021"/>
    <n v="1"/>
    <n v="69000"/>
    <x v="0"/>
    <n v="69000"/>
  </r>
  <r>
    <s v="ITM00884"/>
    <s v="ORD00516"/>
    <s v="PRD021"/>
    <n v="1"/>
    <n v="69000"/>
    <x v="0"/>
    <n v="69000"/>
  </r>
  <r>
    <s v="ITM00885"/>
    <s v="ORD00516"/>
    <s v="PRD019"/>
    <n v="1"/>
    <n v="79000"/>
    <x v="13"/>
    <n v="79000"/>
  </r>
  <r>
    <s v="ITM00886"/>
    <s v="ORD00517"/>
    <s v="PRD017"/>
    <n v="1"/>
    <n v="329000"/>
    <x v="7"/>
    <n v="329000"/>
  </r>
  <r>
    <s v="ITM00887"/>
    <s v="ORD00518"/>
    <s v="PRD008"/>
    <n v="1"/>
    <n v="399000"/>
    <x v="12"/>
    <n v="399000"/>
  </r>
  <r>
    <s v="ITM00888"/>
    <s v="ORD00518"/>
    <s v="PRD006"/>
    <n v="2"/>
    <n v="129000"/>
    <x v="10"/>
    <n v="258000"/>
  </r>
  <r>
    <s v="ITM00889"/>
    <s v="ORD00519"/>
    <s v="PRD008"/>
    <n v="1"/>
    <n v="399000"/>
    <x v="12"/>
    <n v="399000"/>
  </r>
  <r>
    <s v="ITM00890"/>
    <s v="ORD00520"/>
    <s v="PRD008"/>
    <n v="2"/>
    <n v="399000"/>
    <x v="12"/>
    <n v="798000"/>
  </r>
  <r>
    <s v="ITM00891"/>
    <s v="ORD00521"/>
    <s v="PRD021"/>
    <n v="3"/>
    <n v="69000"/>
    <x v="0"/>
    <n v="207000"/>
  </r>
  <r>
    <s v="ITM00892"/>
    <s v="ORD00522"/>
    <s v="PRD020"/>
    <n v="1"/>
    <n v="179000"/>
    <x v="1"/>
    <n v="179000"/>
  </r>
  <r>
    <s v="ITM00893"/>
    <s v="ORD00522"/>
    <s v="PRD009"/>
    <n v="1"/>
    <n v="79000"/>
    <x v="3"/>
    <n v="79000"/>
  </r>
  <r>
    <s v="ITM00894"/>
    <s v="ORD00523"/>
    <s v="PRD008"/>
    <n v="1"/>
    <n v="399000"/>
    <x v="12"/>
    <n v="399000"/>
  </r>
  <r>
    <s v="ITM00895"/>
    <s v="ORD00523"/>
    <s v="PRD022"/>
    <n v="1"/>
    <n v="55000"/>
    <x v="4"/>
    <n v="55000"/>
  </r>
  <r>
    <s v="ITM00896"/>
    <s v="ORD00523"/>
    <s v="PRD021"/>
    <n v="1"/>
    <n v="69000"/>
    <x v="0"/>
    <n v="69000"/>
  </r>
  <r>
    <s v="ITM00897"/>
    <s v="ORD00524"/>
    <s v="PRD021"/>
    <n v="1"/>
    <n v="69000"/>
    <x v="0"/>
    <n v="69000"/>
  </r>
  <r>
    <s v="ITM00898"/>
    <s v="ORD00525"/>
    <s v="PRD005"/>
    <n v="1"/>
    <n v="39000"/>
    <x v="2"/>
    <n v="39000"/>
  </r>
  <r>
    <s v="ITM00899"/>
    <s v="ORD00526"/>
    <s v="PRD012"/>
    <n v="2"/>
    <n v="229000"/>
    <x v="5"/>
    <n v="458000"/>
  </r>
  <r>
    <s v="ITM00900"/>
    <s v="ORD00527"/>
    <s v="PRD021"/>
    <n v="1"/>
    <n v="69000"/>
    <x v="0"/>
    <n v="69000"/>
  </r>
  <r>
    <s v="ITM00901"/>
    <s v="ORD00527"/>
    <s v="PRD017"/>
    <n v="1"/>
    <n v="329000"/>
    <x v="7"/>
    <n v="329000"/>
  </r>
  <r>
    <s v="ITM00902"/>
    <s v="ORD00528"/>
    <s v="PRD005"/>
    <n v="1"/>
    <n v="39000"/>
    <x v="2"/>
    <n v="39000"/>
  </r>
  <r>
    <s v="ITM00903"/>
    <s v="ORD00528"/>
    <s v="PRD017"/>
    <n v="1"/>
    <n v="329000"/>
    <x v="7"/>
    <n v="329000"/>
  </r>
  <r>
    <s v="ITM00904"/>
    <s v="ORD00528"/>
    <s v="PRD021"/>
    <n v="1"/>
    <n v="69000"/>
    <x v="0"/>
    <n v="69000"/>
  </r>
  <r>
    <s v="ITM00905"/>
    <s v="ORD00528"/>
    <s v="PRD020"/>
    <n v="1"/>
    <n v="179000"/>
    <x v="1"/>
    <n v="179000"/>
  </r>
  <r>
    <s v="ITM00906"/>
    <s v="ORD00529"/>
    <s v="PRD005"/>
    <n v="1"/>
    <n v="39000"/>
    <x v="2"/>
    <n v="39000"/>
  </r>
  <r>
    <s v="ITM00907"/>
    <s v="ORD00529"/>
    <s v="PRD004"/>
    <n v="1"/>
    <n v="199000"/>
    <x v="19"/>
    <n v="199000"/>
  </r>
  <r>
    <s v="ITM00908"/>
    <s v="ORD00530"/>
    <s v="PRD005"/>
    <n v="1"/>
    <n v="39000"/>
    <x v="2"/>
    <n v="39000"/>
  </r>
  <r>
    <s v="ITM00909"/>
    <s v="ORD00530"/>
    <s v="PRD020"/>
    <n v="1"/>
    <n v="179000"/>
    <x v="1"/>
    <n v="179000"/>
  </r>
  <r>
    <s v="ITM00910"/>
    <s v="ORD00531"/>
    <s v="PRD021"/>
    <n v="3"/>
    <n v="69000"/>
    <x v="0"/>
    <n v="207000"/>
  </r>
  <r>
    <s v="ITM00911"/>
    <s v="ORD00532"/>
    <s v="PRD005"/>
    <n v="2"/>
    <n v="39000"/>
    <x v="2"/>
    <n v="78000"/>
  </r>
  <r>
    <s v="ITM00912"/>
    <s v="ORD00532"/>
    <s v="PRD017"/>
    <n v="1"/>
    <n v="329000"/>
    <x v="7"/>
    <n v="329000"/>
  </r>
  <r>
    <s v="ITM00913"/>
    <s v="ORD00532"/>
    <s v="PRD021"/>
    <n v="3"/>
    <n v="69000"/>
    <x v="0"/>
    <n v="207000"/>
  </r>
  <r>
    <s v="ITM00914"/>
    <s v="ORD00533"/>
    <s v="PRD009"/>
    <n v="3"/>
    <n v="79000"/>
    <x v="3"/>
    <n v="237000"/>
  </r>
  <r>
    <s v="ITM00915"/>
    <s v="ORD00533"/>
    <s v="PRD012"/>
    <n v="1"/>
    <n v="229000"/>
    <x v="5"/>
    <n v="229000"/>
  </r>
  <r>
    <s v="ITM00916"/>
    <s v="ORD00533"/>
    <s v="PRD021"/>
    <n v="2"/>
    <n v="69000"/>
    <x v="0"/>
    <n v="138000"/>
  </r>
  <r>
    <s v="ITM00917"/>
    <s v="ORD00533"/>
    <s v="PRD007"/>
    <n v="1"/>
    <n v="99000"/>
    <x v="6"/>
    <n v="99000"/>
  </r>
  <r>
    <s v="ITM00918"/>
    <s v="ORD00534"/>
    <s v="PRD022"/>
    <n v="2"/>
    <n v="55000"/>
    <x v="4"/>
    <n v="110000"/>
  </r>
  <r>
    <s v="ITM00919"/>
    <s v="ORD00535"/>
    <s v="PRD021"/>
    <n v="1"/>
    <n v="69000"/>
    <x v="0"/>
    <n v="69000"/>
  </r>
  <r>
    <s v="ITM00920"/>
    <s v="ORD00536"/>
    <s v="PRD021"/>
    <n v="2"/>
    <n v="69000"/>
    <x v="0"/>
    <n v="138000"/>
  </r>
  <r>
    <s v="ITM00921"/>
    <s v="ORD00537"/>
    <s v="PRD021"/>
    <n v="1"/>
    <n v="69000"/>
    <x v="0"/>
    <n v="69000"/>
  </r>
  <r>
    <s v="ITM00922"/>
    <s v="ORD00537"/>
    <s v="PRD009"/>
    <n v="2"/>
    <n v="79000"/>
    <x v="3"/>
    <n v="158000"/>
  </r>
  <r>
    <s v="ITM00923"/>
    <s v="ORD00537"/>
    <s v="PRD012"/>
    <n v="1"/>
    <n v="229000"/>
    <x v="5"/>
    <n v="229000"/>
  </r>
  <r>
    <s v="ITM00924"/>
    <s v="ORD00538"/>
    <s v="PRD014"/>
    <n v="1"/>
    <n v="349000"/>
    <x v="9"/>
    <n v="349000"/>
  </r>
  <r>
    <s v="ITM00925"/>
    <s v="ORD00539"/>
    <s v="PRD021"/>
    <n v="1"/>
    <n v="69000"/>
    <x v="0"/>
    <n v="69000"/>
  </r>
  <r>
    <s v="ITM00926"/>
    <s v="ORD00540"/>
    <s v="PRD014"/>
    <n v="1"/>
    <n v="349000"/>
    <x v="9"/>
    <n v="349000"/>
  </r>
  <r>
    <s v="ITM00927"/>
    <s v="ORD00541"/>
    <s v="PRD012"/>
    <n v="1"/>
    <n v="229000"/>
    <x v="5"/>
    <n v="229000"/>
  </r>
  <r>
    <s v="ITM00928"/>
    <s v="ORD00542"/>
    <s v="PRD019"/>
    <n v="1"/>
    <n v="79000"/>
    <x v="13"/>
    <n v="79000"/>
  </r>
  <r>
    <s v="ITM00929"/>
    <s v="ORD00543"/>
    <s v="PRD005"/>
    <n v="3"/>
    <n v="39000"/>
    <x v="2"/>
    <n v="117000"/>
  </r>
  <r>
    <s v="ITM00930"/>
    <s v="ORD00543"/>
    <s v="PRD006"/>
    <n v="1"/>
    <n v="129000"/>
    <x v="10"/>
    <n v="129000"/>
  </r>
  <r>
    <s v="ITM00931"/>
    <s v="ORD00543"/>
    <s v="PRD021"/>
    <n v="1"/>
    <n v="69000"/>
    <x v="0"/>
    <n v="69000"/>
  </r>
  <r>
    <s v="ITM00932"/>
    <s v="ORD00543"/>
    <s v="PRD020"/>
    <n v="1"/>
    <n v="179000"/>
    <x v="1"/>
    <n v="179000"/>
  </r>
  <r>
    <s v="ITM00933"/>
    <s v="ORD00544"/>
    <s v="PRD005"/>
    <n v="1"/>
    <n v="39000"/>
    <x v="2"/>
    <n v="39000"/>
  </r>
  <r>
    <s v="ITM00934"/>
    <s v="ORD00545"/>
    <s v="PRD005"/>
    <n v="2"/>
    <n v="39000"/>
    <x v="2"/>
    <n v="78000"/>
  </r>
  <r>
    <s v="ITM00935"/>
    <s v="ORD00546"/>
    <s v="PRD020"/>
    <n v="1"/>
    <n v="179000"/>
    <x v="1"/>
    <n v="179000"/>
  </r>
  <r>
    <s v="ITM00936"/>
    <s v="ORD00547"/>
    <s v="PRD021"/>
    <n v="1"/>
    <n v="69000"/>
    <x v="0"/>
    <n v="69000"/>
  </r>
  <r>
    <s v="ITM00937"/>
    <s v="ORD00548"/>
    <s v="PRD005"/>
    <n v="1"/>
    <n v="39000"/>
    <x v="2"/>
    <n v="39000"/>
  </r>
  <r>
    <s v="ITM00938"/>
    <s v="ORD00549"/>
    <s v="PRD005"/>
    <n v="1"/>
    <n v="39000"/>
    <x v="2"/>
    <n v="39000"/>
  </r>
  <r>
    <s v="ITM00939"/>
    <s v="ORD00550"/>
    <s v="PRD017"/>
    <n v="1"/>
    <n v="329000"/>
    <x v="7"/>
    <n v="329000"/>
  </r>
  <r>
    <s v="ITM00940"/>
    <s v="ORD00550"/>
    <s v="PRD022"/>
    <n v="1"/>
    <n v="55000"/>
    <x v="4"/>
    <n v="55000"/>
  </r>
  <r>
    <s v="ITM00941"/>
    <s v="ORD00551"/>
    <s v="PRD021"/>
    <n v="2"/>
    <n v="69000"/>
    <x v="0"/>
    <n v="138000"/>
  </r>
  <r>
    <s v="ITM00942"/>
    <s v="ORD00552"/>
    <s v="PRD022"/>
    <n v="2"/>
    <n v="55000"/>
    <x v="4"/>
    <n v="110000"/>
  </r>
  <r>
    <s v="ITM00943"/>
    <s v="ORD00553"/>
    <s v="PRD020"/>
    <n v="2"/>
    <n v="179000"/>
    <x v="1"/>
    <n v="358000"/>
  </r>
  <r>
    <s v="ITM00944"/>
    <s v="ORD00554"/>
    <s v="PRD021"/>
    <n v="2"/>
    <n v="69000"/>
    <x v="0"/>
    <n v="138000"/>
  </r>
  <r>
    <s v="ITM00945"/>
    <s v="ORD00554"/>
    <s v="PRD017"/>
    <n v="3"/>
    <n v="329000"/>
    <x v="7"/>
    <n v="987000"/>
  </r>
  <r>
    <s v="ITM00946"/>
    <s v="ORD00554"/>
    <s v="PRD009"/>
    <n v="1"/>
    <n v="79000"/>
    <x v="3"/>
    <n v="79000"/>
  </r>
  <r>
    <s v="ITM00947"/>
    <s v="ORD00554"/>
    <s v="PRD003"/>
    <n v="2"/>
    <n v="499000"/>
    <x v="11"/>
    <n v="998000"/>
  </r>
  <r>
    <s v="ITM00948"/>
    <s v="ORD00555"/>
    <s v="PRD023"/>
    <n v="1"/>
    <n v="139000"/>
    <x v="8"/>
    <n v="139000"/>
  </r>
  <r>
    <s v="ITM00949"/>
    <s v="ORD00555"/>
    <s v="PRD005"/>
    <n v="1"/>
    <n v="39000"/>
    <x v="2"/>
    <n v="39000"/>
  </r>
  <r>
    <s v="ITM00950"/>
    <s v="ORD00555"/>
    <s v="PRD009"/>
    <n v="1"/>
    <n v="79000"/>
    <x v="3"/>
    <n v="79000"/>
  </r>
  <r>
    <s v="ITM00951"/>
    <s v="ORD00556"/>
    <s v="PRD005"/>
    <n v="1"/>
    <n v="39000"/>
    <x v="2"/>
    <n v="39000"/>
  </r>
  <r>
    <s v="ITM00952"/>
    <s v="ORD00556"/>
    <s v="PRD008"/>
    <n v="2"/>
    <n v="399000"/>
    <x v="12"/>
    <n v="798000"/>
  </r>
  <r>
    <s v="ITM00953"/>
    <s v="ORD00557"/>
    <s v="PRD021"/>
    <n v="2"/>
    <n v="69000"/>
    <x v="0"/>
    <n v="138000"/>
  </r>
  <r>
    <s v="ITM00954"/>
    <s v="ORD00558"/>
    <s v="PRD021"/>
    <n v="1"/>
    <n v="69000"/>
    <x v="0"/>
    <n v="69000"/>
  </r>
  <r>
    <s v="ITM00955"/>
    <s v="ORD00558"/>
    <s v="PRD017"/>
    <n v="1"/>
    <n v="329000"/>
    <x v="7"/>
    <n v="329000"/>
  </r>
  <r>
    <s v="ITM00956"/>
    <s v="ORD00559"/>
    <s v="PRD008"/>
    <n v="3"/>
    <n v="399000"/>
    <x v="12"/>
    <n v="1197000"/>
  </r>
  <r>
    <s v="ITM00957"/>
    <s v="ORD00560"/>
    <s v="PRD021"/>
    <n v="1"/>
    <n v="69000"/>
    <x v="0"/>
    <n v="69000"/>
  </r>
  <r>
    <s v="ITM00958"/>
    <s v="ORD00561"/>
    <s v="PRD020"/>
    <n v="2"/>
    <n v="179000"/>
    <x v="1"/>
    <n v="358000"/>
  </r>
  <r>
    <s v="ITM00959"/>
    <s v="ORD00561"/>
    <s v="PRD012"/>
    <n v="1"/>
    <n v="229000"/>
    <x v="5"/>
    <n v="229000"/>
  </r>
  <r>
    <s v="ITM00960"/>
    <s v="ORD00562"/>
    <s v="PRD021"/>
    <n v="1"/>
    <n v="69000"/>
    <x v="0"/>
    <n v="69000"/>
  </r>
  <r>
    <s v="ITM00961"/>
    <s v="ORD00563"/>
    <s v="PRD021"/>
    <n v="1"/>
    <n v="69000"/>
    <x v="0"/>
    <n v="69000"/>
  </r>
  <r>
    <s v="ITM00962"/>
    <s v="ORD00563"/>
    <s v="PRD020"/>
    <n v="1"/>
    <n v="179000"/>
    <x v="1"/>
    <n v="179000"/>
  </r>
  <r>
    <s v="ITM00963"/>
    <s v="ORD00564"/>
    <s v="PRD021"/>
    <n v="1"/>
    <n v="69000"/>
    <x v="0"/>
    <n v="69000"/>
  </r>
  <r>
    <s v="ITM00964"/>
    <s v="ORD00565"/>
    <s v="PRD005"/>
    <n v="1"/>
    <n v="39000"/>
    <x v="2"/>
    <n v="39000"/>
  </r>
  <r>
    <s v="ITM00965"/>
    <s v="ORD00566"/>
    <s v="PRD021"/>
    <n v="2"/>
    <n v="69000"/>
    <x v="0"/>
    <n v="138000"/>
  </r>
  <r>
    <s v="ITM00966"/>
    <s v="ORD00567"/>
    <s v="PRD002"/>
    <n v="1"/>
    <n v="159000"/>
    <x v="14"/>
    <n v="159000"/>
  </r>
  <r>
    <s v="ITM00967"/>
    <s v="ORD00567"/>
    <s v="PRD005"/>
    <n v="1"/>
    <n v="39000"/>
    <x v="2"/>
    <n v="39000"/>
  </r>
  <r>
    <s v="ITM00968"/>
    <s v="ORD00567"/>
    <s v="PRD021"/>
    <n v="1"/>
    <n v="69000"/>
    <x v="0"/>
    <n v="69000"/>
  </r>
  <r>
    <s v="ITM00969"/>
    <s v="ORD00568"/>
    <s v="PRD005"/>
    <n v="1"/>
    <n v="39000"/>
    <x v="2"/>
    <n v="39000"/>
  </r>
  <r>
    <s v="ITM00970"/>
    <s v="ORD00568"/>
    <s v="PRD021"/>
    <n v="1"/>
    <n v="69000"/>
    <x v="0"/>
    <n v="69000"/>
  </r>
  <r>
    <s v="ITM00971"/>
    <s v="ORD00569"/>
    <s v="PRD021"/>
    <n v="1"/>
    <n v="69000"/>
    <x v="0"/>
    <n v="69000"/>
  </r>
  <r>
    <s v="ITM00972"/>
    <s v="ORD00570"/>
    <s v="PRD008"/>
    <n v="3"/>
    <n v="399000"/>
    <x v="12"/>
    <n v="1197000"/>
  </r>
  <r>
    <s v="ITM00973"/>
    <s v="ORD00570"/>
    <s v="PRD014"/>
    <n v="1"/>
    <n v="349000"/>
    <x v="9"/>
    <n v="349000"/>
  </r>
  <r>
    <s v="ITM00974"/>
    <s v="ORD00571"/>
    <s v="PRD021"/>
    <n v="1"/>
    <n v="69000"/>
    <x v="0"/>
    <n v="69000"/>
  </r>
  <r>
    <s v="ITM00975"/>
    <s v="ORD00572"/>
    <s v="PRD022"/>
    <n v="1"/>
    <n v="55000"/>
    <x v="4"/>
    <n v="55000"/>
  </r>
  <r>
    <s v="ITM00976"/>
    <s v="ORD00573"/>
    <s v="PRD014"/>
    <n v="2"/>
    <n v="349000"/>
    <x v="9"/>
    <n v="698000"/>
  </r>
  <r>
    <s v="ITM00977"/>
    <s v="ORD00574"/>
    <s v="PRD020"/>
    <n v="2"/>
    <n v="179000"/>
    <x v="1"/>
    <n v="358000"/>
  </r>
  <r>
    <s v="ITM00978"/>
    <s v="ORD00575"/>
    <s v="PRD021"/>
    <n v="1"/>
    <n v="69000"/>
    <x v="0"/>
    <n v="69000"/>
  </r>
  <r>
    <s v="ITM00979"/>
    <s v="ORD00576"/>
    <s v="PRD005"/>
    <n v="1"/>
    <n v="39000"/>
    <x v="2"/>
    <n v="39000"/>
  </r>
  <r>
    <s v="ITM00980"/>
    <s v="ORD00577"/>
    <s v="PRD017"/>
    <n v="2"/>
    <n v="329000"/>
    <x v="7"/>
    <n v="658000"/>
  </r>
  <r>
    <s v="ITM00981"/>
    <s v="ORD00577"/>
    <s v="PRD020"/>
    <n v="2"/>
    <n v="179000"/>
    <x v="1"/>
    <n v="358000"/>
  </r>
  <r>
    <s v="ITM00982"/>
    <s v="ORD00578"/>
    <s v="PRD022"/>
    <n v="1"/>
    <n v="55000"/>
    <x v="4"/>
    <n v="55000"/>
  </r>
  <r>
    <s v="ITM00983"/>
    <s v="ORD00578"/>
    <s v="PRD021"/>
    <n v="1"/>
    <n v="69000"/>
    <x v="0"/>
    <n v="69000"/>
  </r>
  <r>
    <s v="ITM00984"/>
    <s v="ORD00579"/>
    <s v="PRD005"/>
    <n v="1"/>
    <n v="39000"/>
    <x v="2"/>
    <n v="39000"/>
  </r>
  <r>
    <s v="ITM00985"/>
    <s v="ORD00580"/>
    <s v="PRD006"/>
    <n v="1"/>
    <n v="129000"/>
    <x v="10"/>
    <n v="129000"/>
  </r>
  <r>
    <s v="ITM00986"/>
    <s v="ORD00580"/>
    <s v="PRD022"/>
    <n v="2"/>
    <n v="55000"/>
    <x v="4"/>
    <n v="110000"/>
  </r>
  <r>
    <s v="ITM00987"/>
    <s v="ORD00581"/>
    <s v="PRD021"/>
    <n v="1"/>
    <n v="69000"/>
    <x v="0"/>
    <n v="69000"/>
  </r>
  <r>
    <s v="ITM00988"/>
    <s v="ORD00581"/>
    <s v="PRD005"/>
    <n v="1"/>
    <n v="39000"/>
    <x v="2"/>
    <n v="39000"/>
  </r>
  <r>
    <s v="ITM00989"/>
    <s v="ORD00582"/>
    <s v="PRD005"/>
    <n v="2"/>
    <n v="39000"/>
    <x v="2"/>
    <n v="78000"/>
  </r>
  <r>
    <s v="ITM00990"/>
    <s v="ORD00583"/>
    <s v="PRD021"/>
    <n v="1"/>
    <n v="69000"/>
    <x v="0"/>
    <n v="69000"/>
  </r>
  <r>
    <s v="ITM00991"/>
    <s v="ORD00584"/>
    <s v="PRD022"/>
    <n v="1"/>
    <n v="55000"/>
    <x v="4"/>
    <n v="55000"/>
  </r>
  <r>
    <s v="ITM00992"/>
    <s v="ORD00584"/>
    <s v="PRD012"/>
    <n v="1"/>
    <n v="229000"/>
    <x v="5"/>
    <n v="229000"/>
  </r>
  <r>
    <s v="ITM00993"/>
    <s v="ORD00584"/>
    <s v="PRD017"/>
    <n v="1"/>
    <n v="329000"/>
    <x v="7"/>
    <n v="329000"/>
  </r>
  <r>
    <s v="ITM00994"/>
    <s v="ORD00584"/>
    <s v="PRD021"/>
    <n v="1"/>
    <n v="69000"/>
    <x v="0"/>
    <n v="69000"/>
  </r>
  <r>
    <s v="ITM00995"/>
    <s v="ORD00585"/>
    <s v="PRD022"/>
    <n v="1"/>
    <n v="55000"/>
    <x v="4"/>
    <n v="55000"/>
  </r>
  <r>
    <s v="ITM00996"/>
    <s v="ORD00586"/>
    <s v="PRD021"/>
    <n v="1"/>
    <n v="69000"/>
    <x v="0"/>
    <n v="69000"/>
  </r>
  <r>
    <s v="ITM00997"/>
    <s v="ORD00586"/>
    <s v="PRD005"/>
    <n v="3"/>
    <n v="39000"/>
    <x v="2"/>
    <n v="117000"/>
  </r>
  <r>
    <s v="ITM00998"/>
    <s v="ORD00587"/>
    <s v="PRD009"/>
    <n v="1"/>
    <n v="79000"/>
    <x v="3"/>
    <n v="79000"/>
  </r>
  <r>
    <s v="ITM00999"/>
    <s v="ORD00587"/>
    <s v="PRD020"/>
    <n v="1"/>
    <n v="179000"/>
    <x v="1"/>
    <n v="179000"/>
  </r>
  <r>
    <s v="ITM01000"/>
    <s v="ORD00587"/>
    <s v="PRD017"/>
    <n v="3"/>
    <n v="329000"/>
    <x v="7"/>
    <n v="987000"/>
  </r>
  <r>
    <s v="ITM01001"/>
    <s v="ORD00587"/>
    <s v="PRD021"/>
    <n v="1"/>
    <n v="69000"/>
    <x v="0"/>
    <n v="69000"/>
  </r>
  <r>
    <s v="ITM01002"/>
    <s v="ORD00588"/>
    <s v="PRD020"/>
    <n v="2"/>
    <n v="179000"/>
    <x v="1"/>
    <n v="358000"/>
  </r>
  <r>
    <s v="ITM01003"/>
    <s v="ORD00588"/>
    <s v="PRD017"/>
    <n v="2"/>
    <n v="329000"/>
    <x v="7"/>
    <n v="658000"/>
  </r>
  <r>
    <s v="ITM01004"/>
    <s v="ORD00588"/>
    <s v="PRD014"/>
    <n v="1"/>
    <n v="349000"/>
    <x v="9"/>
    <n v="349000"/>
  </r>
  <r>
    <s v="ITM01005"/>
    <s v="ORD00589"/>
    <s v="PRD022"/>
    <n v="2"/>
    <n v="55000"/>
    <x v="4"/>
    <n v="110000"/>
  </r>
  <r>
    <s v="ITM01006"/>
    <s v="ORD00590"/>
    <s v="PRD022"/>
    <n v="1"/>
    <n v="55000"/>
    <x v="4"/>
    <n v="55000"/>
  </r>
  <r>
    <s v="ITM01007"/>
    <s v="ORD00591"/>
    <s v="PRD005"/>
    <n v="2"/>
    <n v="39000"/>
    <x v="2"/>
    <n v="78000"/>
  </r>
  <r>
    <s v="ITM01008"/>
    <s v="ORD00591"/>
    <s v="PRD020"/>
    <n v="2"/>
    <n v="179000"/>
    <x v="1"/>
    <n v="358000"/>
  </r>
  <r>
    <s v="ITM01009"/>
    <s v="ORD00591"/>
    <s v="PRD012"/>
    <n v="2"/>
    <n v="229000"/>
    <x v="5"/>
    <n v="458000"/>
  </r>
  <r>
    <s v="ITM01010"/>
    <s v="ORD00592"/>
    <s v="PRD008"/>
    <n v="2"/>
    <n v="399000"/>
    <x v="12"/>
    <n v="798000"/>
  </r>
  <r>
    <s v="ITM01011"/>
    <s v="ORD00592"/>
    <s v="PRD006"/>
    <n v="2"/>
    <n v="129000"/>
    <x v="10"/>
    <n v="258000"/>
  </r>
  <r>
    <s v="ITM01012"/>
    <s v="ORD00593"/>
    <s v="PRD005"/>
    <n v="1"/>
    <n v="39000"/>
    <x v="2"/>
    <n v="39000"/>
  </r>
  <r>
    <s v="ITM01013"/>
    <s v="ORD00593"/>
    <s v="PRD021"/>
    <n v="1"/>
    <n v="69000"/>
    <x v="0"/>
    <n v="69000"/>
  </r>
  <r>
    <s v="ITM01014"/>
    <s v="ORD00593"/>
    <s v="PRD009"/>
    <n v="2"/>
    <n v="79000"/>
    <x v="3"/>
    <n v="158000"/>
  </r>
  <r>
    <s v="ITM01015"/>
    <s v="ORD00594"/>
    <s v="PRD021"/>
    <n v="1"/>
    <n v="69000"/>
    <x v="0"/>
    <n v="69000"/>
  </r>
  <r>
    <s v="ITM01016"/>
    <s v="ORD00594"/>
    <s v="PRD002"/>
    <n v="3"/>
    <n v="159000"/>
    <x v="14"/>
    <n v="477000"/>
  </r>
  <r>
    <s v="ITM01017"/>
    <s v="ORD00595"/>
    <s v="PRD008"/>
    <n v="1"/>
    <n v="399000"/>
    <x v="12"/>
    <n v="399000"/>
  </r>
  <r>
    <s v="ITM01018"/>
    <s v="ORD00595"/>
    <s v="PRD021"/>
    <n v="2"/>
    <n v="69000"/>
    <x v="0"/>
    <n v="138000"/>
  </r>
  <r>
    <s v="ITM01019"/>
    <s v="ORD00596"/>
    <s v="PRD002"/>
    <n v="1"/>
    <n v="159000"/>
    <x v="14"/>
    <n v="159000"/>
  </r>
  <r>
    <s v="ITM01020"/>
    <s v="ORD00597"/>
    <s v="PRD001"/>
    <n v="1"/>
    <n v="299000"/>
    <x v="20"/>
    <n v="299000"/>
  </r>
  <r>
    <s v="ITM01021"/>
    <s v="ORD00597"/>
    <s v="PRD008"/>
    <n v="1"/>
    <n v="399000"/>
    <x v="12"/>
    <n v="399000"/>
  </r>
  <r>
    <s v="ITM01022"/>
    <s v="ORD00597"/>
    <s v="PRD006"/>
    <n v="1"/>
    <n v="129000"/>
    <x v="10"/>
    <n v="129000"/>
  </r>
  <r>
    <s v="ITM01023"/>
    <s v="ORD00598"/>
    <s v="PRD014"/>
    <n v="2"/>
    <n v="349000"/>
    <x v="9"/>
    <n v="698000"/>
  </r>
  <r>
    <s v="ITM01024"/>
    <s v="ORD00599"/>
    <s v="PRD022"/>
    <n v="1"/>
    <n v="55000"/>
    <x v="4"/>
    <n v="55000"/>
  </r>
  <r>
    <s v="ITM01025"/>
    <s v="ORD00600"/>
    <s v="PRD021"/>
    <n v="1"/>
    <n v="69000"/>
    <x v="0"/>
    <n v="69000"/>
  </r>
  <r>
    <s v="ITM01026"/>
    <s v="ORD00600"/>
    <s v="PRD017"/>
    <n v="1"/>
    <n v="329000"/>
    <x v="7"/>
    <n v="329000"/>
  </r>
  <r>
    <s v="ITM01027"/>
    <s v="ORD00601"/>
    <s v="PRD020"/>
    <n v="2"/>
    <n v="179000"/>
    <x v="1"/>
    <n v="358000"/>
  </r>
  <r>
    <s v="ITM01028"/>
    <s v="ORD00601"/>
    <s v="PRD005"/>
    <n v="1"/>
    <n v="39000"/>
    <x v="2"/>
    <n v="39000"/>
  </r>
  <r>
    <s v="ITM01029"/>
    <s v="ORD00601"/>
    <s v="PRD022"/>
    <n v="2"/>
    <n v="55000"/>
    <x v="4"/>
    <n v="110000"/>
  </r>
  <r>
    <s v="ITM01030"/>
    <s v="ORD00602"/>
    <s v="PRD022"/>
    <n v="2"/>
    <n v="55000"/>
    <x v="4"/>
    <n v="110000"/>
  </r>
  <r>
    <s v="ITM01031"/>
    <s v="ORD00602"/>
    <s v="PRD021"/>
    <n v="1"/>
    <n v="69000"/>
    <x v="0"/>
    <n v="69000"/>
  </r>
  <r>
    <s v="ITM01032"/>
    <s v="ORD00603"/>
    <s v="PRD012"/>
    <n v="1"/>
    <n v="229000"/>
    <x v="5"/>
    <n v="229000"/>
  </r>
  <r>
    <s v="ITM01033"/>
    <s v="ORD00604"/>
    <s v="PRD017"/>
    <n v="1"/>
    <n v="329000"/>
    <x v="7"/>
    <n v="329000"/>
  </r>
  <r>
    <s v="ITM01034"/>
    <s v="ORD00605"/>
    <s v="PRD020"/>
    <n v="1"/>
    <n v="179000"/>
    <x v="1"/>
    <n v="179000"/>
  </r>
  <r>
    <s v="ITM01035"/>
    <s v="ORD00606"/>
    <s v="PRD006"/>
    <n v="2"/>
    <n v="129000"/>
    <x v="10"/>
    <n v="258000"/>
  </r>
  <r>
    <s v="ITM01036"/>
    <s v="ORD00607"/>
    <s v="PRD005"/>
    <n v="2"/>
    <n v="39000"/>
    <x v="2"/>
    <n v="78000"/>
  </r>
  <r>
    <s v="ITM01037"/>
    <s v="ORD00607"/>
    <s v="PRD021"/>
    <n v="1"/>
    <n v="69000"/>
    <x v="0"/>
    <n v="69000"/>
  </r>
  <r>
    <s v="ITM01038"/>
    <s v="ORD00607"/>
    <s v="PRD023"/>
    <n v="1"/>
    <n v="139000"/>
    <x v="8"/>
    <n v="139000"/>
  </r>
  <r>
    <s v="ITM01039"/>
    <s v="ORD00608"/>
    <s v="PRD020"/>
    <n v="2"/>
    <n v="179000"/>
    <x v="1"/>
    <n v="358000"/>
  </r>
  <r>
    <s v="ITM01040"/>
    <s v="ORD00609"/>
    <s v="PRD009"/>
    <n v="1"/>
    <n v="79000"/>
    <x v="3"/>
    <n v="79000"/>
  </r>
  <r>
    <s v="ITM01041"/>
    <s v="ORD00610"/>
    <s v="PRD021"/>
    <n v="1"/>
    <n v="69000"/>
    <x v="0"/>
    <n v="69000"/>
  </r>
  <r>
    <s v="ITM01042"/>
    <s v="ORD00610"/>
    <s v="PRD009"/>
    <n v="1"/>
    <n v="79000"/>
    <x v="3"/>
    <n v="79000"/>
  </r>
  <r>
    <s v="ITM01043"/>
    <s v="ORD00611"/>
    <s v="PRD021"/>
    <n v="1"/>
    <n v="69000"/>
    <x v="0"/>
    <n v="69000"/>
  </r>
  <r>
    <s v="ITM01044"/>
    <s v="ORD00611"/>
    <s v="PRD009"/>
    <n v="1"/>
    <n v="79000"/>
    <x v="3"/>
    <n v="79000"/>
  </r>
  <r>
    <s v="ITM01045"/>
    <s v="ORD00612"/>
    <s v="PRD020"/>
    <n v="1"/>
    <n v="179000"/>
    <x v="1"/>
    <n v="179000"/>
  </r>
  <r>
    <s v="ITM01046"/>
    <s v="ORD00613"/>
    <s v="PRD005"/>
    <n v="1"/>
    <n v="39000"/>
    <x v="2"/>
    <n v="39000"/>
  </r>
  <r>
    <s v="ITM01047"/>
    <s v="ORD00614"/>
    <s v="PRD005"/>
    <n v="2"/>
    <n v="39000"/>
    <x v="2"/>
    <n v="78000"/>
  </r>
  <r>
    <s v="ITM01048"/>
    <s v="ORD00614"/>
    <s v="PRD020"/>
    <n v="1"/>
    <n v="179000"/>
    <x v="1"/>
    <n v="179000"/>
  </r>
  <r>
    <s v="ITM01049"/>
    <s v="ORD00615"/>
    <s v="PRD005"/>
    <n v="1"/>
    <n v="39000"/>
    <x v="2"/>
    <n v="39000"/>
  </r>
  <r>
    <s v="ITM01050"/>
    <s v="ORD00616"/>
    <s v="PRD021"/>
    <n v="1"/>
    <n v="69000"/>
    <x v="0"/>
    <n v="69000"/>
  </r>
  <r>
    <s v="ITM01051"/>
    <s v="ORD00616"/>
    <s v="PRD020"/>
    <n v="1"/>
    <n v="179000"/>
    <x v="1"/>
    <n v="179000"/>
  </r>
  <r>
    <s v="ITM01052"/>
    <s v="ORD00617"/>
    <s v="PRD021"/>
    <n v="1"/>
    <n v="69000"/>
    <x v="0"/>
    <n v="69000"/>
  </r>
  <r>
    <s v="ITM01053"/>
    <s v="ORD00618"/>
    <s v="PRD008"/>
    <n v="1"/>
    <n v="399000"/>
    <x v="12"/>
    <n v="399000"/>
  </r>
  <r>
    <s v="ITM01054"/>
    <s v="ORD00619"/>
    <s v="PRD014"/>
    <n v="1"/>
    <n v="349000"/>
    <x v="9"/>
    <n v="349000"/>
  </r>
  <r>
    <s v="ITM01055"/>
    <s v="ORD00619"/>
    <s v="PRD009"/>
    <n v="1"/>
    <n v="79000"/>
    <x v="3"/>
    <n v="79000"/>
  </r>
  <r>
    <s v="ITM01056"/>
    <s v="ORD00619"/>
    <s v="PRD022"/>
    <n v="3"/>
    <n v="55000"/>
    <x v="4"/>
    <n v="165000"/>
  </r>
  <r>
    <s v="ITM01057"/>
    <s v="ORD00620"/>
    <s v="PRD008"/>
    <n v="2"/>
    <n v="399000"/>
    <x v="12"/>
    <n v="798000"/>
  </r>
  <r>
    <s v="ITM01058"/>
    <s v="ORD00621"/>
    <s v="PRD021"/>
    <n v="1"/>
    <n v="69000"/>
    <x v="0"/>
    <n v="69000"/>
  </r>
  <r>
    <s v="ITM01059"/>
    <s v="ORD00621"/>
    <s v="PRD009"/>
    <n v="2"/>
    <n v="79000"/>
    <x v="3"/>
    <n v="158000"/>
  </r>
  <r>
    <s v="ITM01060"/>
    <s v="ORD00622"/>
    <s v="PRD021"/>
    <n v="2"/>
    <n v="69000"/>
    <x v="0"/>
    <n v="138000"/>
  </r>
  <r>
    <s v="ITM01061"/>
    <s v="ORD00623"/>
    <s v="PRD021"/>
    <n v="1"/>
    <n v="69000"/>
    <x v="0"/>
    <n v="69000"/>
  </r>
  <r>
    <s v="ITM01062"/>
    <s v="ORD00624"/>
    <s v="PRD009"/>
    <n v="1"/>
    <n v="79000"/>
    <x v="3"/>
    <n v="79000"/>
  </r>
  <r>
    <s v="ITM01063"/>
    <s v="ORD00625"/>
    <s v="PRD017"/>
    <n v="1"/>
    <n v="329000"/>
    <x v="7"/>
    <n v="329000"/>
  </r>
  <r>
    <s v="ITM01064"/>
    <s v="ORD00626"/>
    <s v="PRD005"/>
    <n v="1"/>
    <n v="39000"/>
    <x v="2"/>
    <n v="39000"/>
  </r>
  <r>
    <s v="ITM01065"/>
    <s v="ORD00627"/>
    <s v="PRD009"/>
    <n v="1"/>
    <n v="79000"/>
    <x v="3"/>
    <n v="79000"/>
  </r>
  <r>
    <s v="ITM01066"/>
    <s v="ORD00628"/>
    <s v="PRD021"/>
    <n v="1"/>
    <n v="69000"/>
    <x v="0"/>
    <n v="69000"/>
  </r>
  <r>
    <s v="ITM01067"/>
    <s v="ORD00628"/>
    <s v="PRD020"/>
    <n v="1"/>
    <n v="179000"/>
    <x v="1"/>
    <n v="179000"/>
  </r>
  <r>
    <s v="ITM01068"/>
    <s v="ORD00629"/>
    <s v="PRD005"/>
    <n v="2"/>
    <n v="39000"/>
    <x v="2"/>
    <n v="78000"/>
  </r>
  <r>
    <s v="ITM01069"/>
    <s v="ORD00630"/>
    <s v="PRD017"/>
    <n v="1"/>
    <n v="329000"/>
    <x v="7"/>
    <n v="329000"/>
  </r>
  <r>
    <s v="ITM01070"/>
    <s v="ORD00631"/>
    <s v="PRD009"/>
    <n v="1"/>
    <n v="79000"/>
    <x v="3"/>
    <n v="79000"/>
  </r>
  <r>
    <s v="ITM01071"/>
    <s v="ORD00632"/>
    <s v="PRD020"/>
    <n v="1"/>
    <n v="179000"/>
    <x v="1"/>
    <n v="179000"/>
  </r>
  <r>
    <s v="ITM01072"/>
    <s v="ORD00632"/>
    <s v="PRD021"/>
    <n v="1"/>
    <n v="69000"/>
    <x v="0"/>
    <n v="69000"/>
  </r>
  <r>
    <s v="ITM01073"/>
    <s v="ORD00633"/>
    <s v="PRD022"/>
    <n v="1"/>
    <n v="55000"/>
    <x v="4"/>
    <n v="55000"/>
  </r>
  <r>
    <s v="ITM01074"/>
    <s v="ORD00633"/>
    <s v="PRD021"/>
    <n v="1"/>
    <n v="69000"/>
    <x v="0"/>
    <n v="69000"/>
  </r>
  <r>
    <s v="ITM01075"/>
    <s v="ORD00634"/>
    <s v="PRD021"/>
    <n v="2"/>
    <n v="69000"/>
    <x v="0"/>
    <n v="138000"/>
  </r>
  <r>
    <s v="ITM01076"/>
    <s v="ORD00634"/>
    <s v="PRD005"/>
    <n v="1"/>
    <n v="39000"/>
    <x v="2"/>
    <n v="39000"/>
  </r>
  <r>
    <s v="ITM01077"/>
    <s v="ORD00635"/>
    <s v="PRD009"/>
    <n v="3"/>
    <n v="79000"/>
    <x v="3"/>
    <n v="237000"/>
  </r>
  <r>
    <s v="ITM01078"/>
    <s v="ORD00636"/>
    <s v="PRD021"/>
    <n v="1"/>
    <n v="69000"/>
    <x v="0"/>
    <n v="69000"/>
  </r>
  <r>
    <s v="ITM01079"/>
    <s v="ORD00637"/>
    <s v="PRD017"/>
    <n v="1"/>
    <n v="329000"/>
    <x v="7"/>
    <n v="329000"/>
  </r>
  <r>
    <s v="ITM01080"/>
    <s v="ORD00637"/>
    <s v="PRD020"/>
    <n v="1"/>
    <n v="179000"/>
    <x v="1"/>
    <n v="179000"/>
  </r>
  <r>
    <s v="ITM01081"/>
    <s v="ORD00638"/>
    <s v="PRD014"/>
    <n v="1"/>
    <n v="349000"/>
    <x v="9"/>
    <n v="349000"/>
  </r>
  <r>
    <s v="ITM01082"/>
    <s v="ORD00639"/>
    <s v="PRD005"/>
    <n v="1"/>
    <n v="39000"/>
    <x v="2"/>
    <n v="39000"/>
  </r>
  <r>
    <s v="ITM01083"/>
    <s v="ORD00640"/>
    <s v="PRD004"/>
    <n v="3"/>
    <n v="199000"/>
    <x v="19"/>
    <n v="597000"/>
  </r>
  <r>
    <s v="ITM01084"/>
    <s v="ORD00640"/>
    <s v="PRD017"/>
    <n v="1"/>
    <n v="329000"/>
    <x v="7"/>
    <n v="329000"/>
  </r>
  <r>
    <s v="ITM01085"/>
    <s v="ORD00641"/>
    <s v="PRD009"/>
    <n v="1"/>
    <n v="79000"/>
    <x v="3"/>
    <n v="79000"/>
  </r>
  <r>
    <s v="ITM01086"/>
    <s v="ORD00642"/>
    <s v="PRD017"/>
    <n v="1"/>
    <n v="329000"/>
    <x v="7"/>
    <n v="329000"/>
  </r>
  <r>
    <s v="ITM01087"/>
    <s v="ORD00643"/>
    <s v="PRD005"/>
    <n v="2"/>
    <n v="39000"/>
    <x v="2"/>
    <n v="78000"/>
  </r>
  <r>
    <s v="ITM01088"/>
    <s v="ORD00644"/>
    <s v="PRD021"/>
    <n v="1"/>
    <n v="69000"/>
    <x v="0"/>
    <n v="69000"/>
  </r>
  <r>
    <s v="ITM01089"/>
    <s v="ORD00645"/>
    <s v="PRD006"/>
    <n v="1"/>
    <n v="129000"/>
    <x v="10"/>
    <n v="129000"/>
  </r>
  <r>
    <s v="ITM01090"/>
    <s v="ORD00645"/>
    <s v="PRD014"/>
    <n v="1"/>
    <n v="349000"/>
    <x v="9"/>
    <n v="349000"/>
  </r>
  <r>
    <s v="ITM01091"/>
    <s v="ORD00645"/>
    <s v="PRD004"/>
    <n v="1"/>
    <n v="199000"/>
    <x v="19"/>
    <n v="199000"/>
  </r>
  <r>
    <s v="ITM01092"/>
    <s v="ORD00646"/>
    <s v="PRD005"/>
    <n v="1"/>
    <n v="39000"/>
    <x v="2"/>
    <n v="39000"/>
  </r>
  <r>
    <s v="ITM01093"/>
    <s v="ORD00646"/>
    <s v="PRD012"/>
    <n v="1"/>
    <n v="229000"/>
    <x v="5"/>
    <n v="229000"/>
  </r>
  <r>
    <s v="ITM01094"/>
    <s v="ORD00646"/>
    <s v="PRD023"/>
    <n v="1"/>
    <n v="139000"/>
    <x v="8"/>
    <n v="139000"/>
  </r>
  <r>
    <s v="ITM01095"/>
    <s v="ORD00647"/>
    <s v="PRD017"/>
    <n v="1"/>
    <n v="329000"/>
    <x v="7"/>
    <n v="329000"/>
  </r>
  <r>
    <s v="ITM01096"/>
    <s v="ORD00647"/>
    <s v="PRD021"/>
    <n v="3"/>
    <n v="69000"/>
    <x v="0"/>
    <n v="207000"/>
  </r>
  <r>
    <s v="ITM01097"/>
    <s v="ORD00648"/>
    <s v="PRD021"/>
    <n v="2"/>
    <n v="69000"/>
    <x v="0"/>
    <n v="138000"/>
  </r>
  <r>
    <s v="ITM01098"/>
    <s v="ORD00648"/>
    <s v="PRD020"/>
    <n v="1"/>
    <n v="179000"/>
    <x v="1"/>
    <n v="179000"/>
  </r>
  <r>
    <s v="ITM01099"/>
    <s v="ORD00648"/>
    <s v="PRD006"/>
    <n v="1"/>
    <n v="129000"/>
    <x v="10"/>
    <n v="129000"/>
  </r>
  <r>
    <s v="ITM01100"/>
    <s v="ORD00649"/>
    <s v="PRD020"/>
    <n v="1"/>
    <n v="179000"/>
    <x v="1"/>
    <n v="179000"/>
  </r>
  <r>
    <s v="ITM01101"/>
    <s v="ORD00649"/>
    <s v="PRD021"/>
    <n v="1"/>
    <n v="69000"/>
    <x v="0"/>
    <n v="69000"/>
  </r>
  <r>
    <s v="ITM01102"/>
    <s v="ORD00650"/>
    <s v="PRD020"/>
    <n v="1"/>
    <n v="179000"/>
    <x v="1"/>
    <n v="179000"/>
  </r>
  <r>
    <s v="ITM01103"/>
    <s v="ORD00651"/>
    <s v="PRD021"/>
    <n v="1"/>
    <n v="69000"/>
    <x v="0"/>
    <n v="69000"/>
  </r>
  <r>
    <s v="ITM01104"/>
    <s v="ORD00652"/>
    <s v="PRD008"/>
    <n v="1"/>
    <n v="399000"/>
    <x v="12"/>
    <n v="399000"/>
  </r>
  <r>
    <s v="ITM01105"/>
    <s v="ORD00652"/>
    <s v="PRD005"/>
    <n v="1"/>
    <n v="39000"/>
    <x v="2"/>
    <n v="39000"/>
  </r>
  <r>
    <s v="ITM01106"/>
    <s v="ORD00653"/>
    <s v="PRD017"/>
    <n v="3"/>
    <n v="329000"/>
    <x v="7"/>
    <n v="987000"/>
  </r>
  <r>
    <s v="ITM01107"/>
    <s v="ORD00653"/>
    <s v="PRD006"/>
    <n v="1"/>
    <n v="129000"/>
    <x v="10"/>
    <n v="129000"/>
  </r>
  <r>
    <s v="ITM01108"/>
    <s v="ORD00653"/>
    <s v="PRD014"/>
    <n v="3"/>
    <n v="349000"/>
    <x v="9"/>
    <n v="1047000"/>
  </r>
  <r>
    <s v="ITM01109"/>
    <s v="ORD00653"/>
    <s v="PRD021"/>
    <n v="2"/>
    <n v="69000"/>
    <x v="0"/>
    <n v="138000"/>
  </r>
  <r>
    <s v="ITM01110"/>
    <s v="ORD00654"/>
    <s v="PRD017"/>
    <n v="2"/>
    <n v="329000"/>
    <x v="7"/>
    <n v="658000"/>
  </r>
  <r>
    <s v="ITM01111"/>
    <s v="ORD00655"/>
    <s v="PRD021"/>
    <n v="1"/>
    <n v="69000"/>
    <x v="0"/>
    <n v="69000"/>
  </r>
  <r>
    <s v="ITM01112"/>
    <s v="ORD00656"/>
    <s v="PRD022"/>
    <n v="3"/>
    <n v="55000"/>
    <x v="4"/>
    <n v="165000"/>
  </r>
  <r>
    <s v="ITM01113"/>
    <s v="ORD00656"/>
    <s v="PRD021"/>
    <n v="1"/>
    <n v="69000"/>
    <x v="0"/>
    <n v="69000"/>
  </r>
  <r>
    <s v="ITM01114"/>
    <s v="ORD00657"/>
    <s v="PRD022"/>
    <n v="2"/>
    <n v="55000"/>
    <x v="4"/>
    <n v="110000"/>
  </r>
  <r>
    <s v="ITM01115"/>
    <s v="ORD00657"/>
    <s v="PRD005"/>
    <n v="1"/>
    <n v="39000"/>
    <x v="2"/>
    <n v="39000"/>
  </r>
  <r>
    <s v="ITM01116"/>
    <s v="ORD00658"/>
    <s v="PRD022"/>
    <n v="1"/>
    <n v="55000"/>
    <x v="4"/>
    <n v="55000"/>
  </r>
  <r>
    <s v="ITM01117"/>
    <s v="ORD00659"/>
    <s v="PRD021"/>
    <n v="2"/>
    <n v="69000"/>
    <x v="0"/>
    <n v="138000"/>
  </r>
  <r>
    <s v="ITM01118"/>
    <s v="ORD00660"/>
    <s v="PRD009"/>
    <n v="1"/>
    <n v="79000"/>
    <x v="3"/>
    <n v="79000"/>
  </r>
  <r>
    <s v="ITM01119"/>
    <s v="ORD00661"/>
    <s v="PRD008"/>
    <n v="1"/>
    <n v="399000"/>
    <x v="12"/>
    <n v="399000"/>
  </r>
  <r>
    <s v="ITM01120"/>
    <s v="ORD00662"/>
    <s v="PRD009"/>
    <n v="1"/>
    <n v="79000"/>
    <x v="3"/>
    <n v="79000"/>
  </r>
  <r>
    <s v="ITM01121"/>
    <s v="ORD00663"/>
    <s v="PRD002"/>
    <n v="1"/>
    <n v="159000"/>
    <x v="14"/>
    <n v="159000"/>
  </r>
  <r>
    <s v="ITM01122"/>
    <s v="ORD00663"/>
    <s v="PRD009"/>
    <n v="1"/>
    <n v="79000"/>
    <x v="3"/>
    <n v="79000"/>
  </r>
  <r>
    <s v="ITM01123"/>
    <s v="ORD00664"/>
    <s v="PRD005"/>
    <n v="1"/>
    <n v="39000"/>
    <x v="2"/>
    <n v="39000"/>
  </r>
  <r>
    <s v="ITM01124"/>
    <s v="ORD00664"/>
    <s v="PRD021"/>
    <n v="1"/>
    <n v="69000"/>
    <x v="0"/>
    <n v="69000"/>
  </r>
  <r>
    <s v="ITM01125"/>
    <s v="ORD00664"/>
    <s v="PRD020"/>
    <n v="2"/>
    <n v="179000"/>
    <x v="1"/>
    <n v="358000"/>
  </r>
  <r>
    <s v="ITM01126"/>
    <s v="ORD00665"/>
    <s v="PRD021"/>
    <n v="1"/>
    <n v="69000"/>
    <x v="0"/>
    <n v="69000"/>
  </r>
  <r>
    <s v="ITM01127"/>
    <s v="ORD00665"/>
    <s v="PRD008"/>
    <n v="3"/>
    <n v="399000"/>
    <x v="12"/>
    <n v="1197000"/>
  </r>
  <r>
    <s v="ITM01128"/>
    <s v="ORD00666"/>
    <s v="PRD023"/>
    <n v="2"/>
    <n v="139000"/>
    <x v="8"/>
    <n v="278000"/>
  </r>
  <r>
    <s v="ITM01129"/>
    <s v="ORD00666"/>
    <s v="PRD014"/>
    <n v="2"/>
    <n v="349000"/>
    <x v="9"/>
    <n v="698000"/>
  </r>
  <r>
    <s v="ITM01130"/>
    <s v="ORD00666"/>
    <s v="PRD005"/>
    <n v="1"/>
    <n v="39000"/>
    <x v="2"/>
    <n v="39000"/>
  </r>
  <r>
    <s v="ITM01131"/>
    <s v="ORD00667"/>
    <s v="PRD022"/>
    <n v="1"/>
    <n v="55000"/>
    <x v="4"/>
    <n v="55000"/>
  </r>
  <r>
    <s v="ITM01132"/>
    <s v="ORD00668"/>
    <s v="PRD021"/>
    <n v="2"/>
    <n v="69000"/>
    <x v="0"/>
    <n v="138000"/>
  </r>
  <r>
    <s v="ITM01133"/>
    <s v="ORD00668"/>
    <s v="PRD005"/>
    <n v="3"/>
    <n v="39000"/>
    <x v="2"/>
    <n v="117000"/>
  </r>
  <r>
    <s v="ITM01134"/>
    <s v="ORD00669"/>
    <s v="PRD009"/>
    <n v="1"/>
    <n v="79000"/>
    <x v="3"/>
    <n v="79000"/>
  </r>
  <r>
    <s v="ITM01135"/>
    <s v="ORD00670"/>
    <s v="PRD005"/>
    <n v="1"/>
    <n v="39000"/>
    <x v="2"/>
    <n v="39000"/>
  </r>
  <r>
    <s v="ITM01136"/>
    <s v="ORD00671"/>
    <s v="PRD005"/>
    <n v="2"/>
    <n v="39000"/>
    <x v="2"/>
    <n v="78000"/>
  </r>
  <r>
    <s v="ITM01137"/>
    <s v="ORD00671"/>
    <s v="PRD022"/>
    <n v="1"/>
    <n v="55000"/>
    <x v="4"/>
    <n v="55000"/>
  </r>
  <r>
    <s v="ITM01138"/>
    <s v="ORD00672"/>
    <s v="PRD017"/>
    <n v="1"/>
    <n v="329000"/>
    <x v="7"/>
    <n v="329000"/>
  </r>
  <r>
    <s v="ITM01139"/>
    <s v="ORD00673"/>
    <s v="PRD005"/>
    <n v="2"/>
    <n v="39000"/>
    <x v="2"/>
    <n v="78000"/>
  </r>
  <r>
    <s v="ITM01140"/>
    <s v="ORD00673"/>
    <s v="PRD021"/>
    <n v="3"/>
    <n v="69000"/>
    <x v="0"/>
    <n v="207000"/>
  </r>
  <r>
    <s v="ITM01141"/>
    <s v="ORD00674"/>
    <s v="PRD021"/>
    <n v="3"/>
    <n v="69000"/>
    <x v="0"/>
    <n v="207000"/>
  </r>
  <r>
    <s v="ITM01142"/>
    <s v="ORD00674"/>
    <s v="PRD017"/>
    <n v="1"/>
    <n v="329000"/>
    <x v="7"/>
    <n v="329000"/>
  </r>
  <r>
    <s v="ITM01143"/>
    <s v="ORD00674"/>
    <s v="PRD022"/>
    <n v="1"/>
    <n v="55000"/>
    <x v="4"/>
    <n v="55000"/>
  </r>
  <r>
    <s v="ITM01144"/>
    <s v="ORD00675"/>
    <s v="PRD020"/>
    <n v="1"/>
    <n v="179000"/>
    <x v="1"/>
    <n v="179000"/>
  </r>
  <r>
    <s v="ITM01145"/>
    <s v="ORD00676"/>
    <s v="PRD021"/>
    <n v="2"/>
    <n v="69000"/>
    <x v="0"/>
    <n v="138000"/>
  </r>
  <r>
    <s v="ITM01146"/>
    <s v="ORD00676"/>
    <s v="PRD012"/>
    <n v="1"/>
    <n v="229000"/>
    <x v="5"/>
    <n v="229000"/>
  </r>
  <r>
    <s v="ITM01147"/>
    <s v="ORD00677"/>
    <s v="PRD005"/>
    <n v="3"/>
    <n v="39000"/>
    <x v="2"/>
    <n v="117000"/>
  </r>
  <r>
    <s v="ITM01148"/>
    <s v="ORD00678"/>
    <s v="PRD009"/>
    <n v="1"/>
    <n v="79000"/>
    <x v="3"/>
    <n v="79000"/>
  </r>
  <r>
    <s v="ITM01149"/>
    <s v="ORD00679"/>
    <s v="PRD022"/>
    <n v="1"/>
    <n v="55000"/>
    <x v="4"/>
    <n v="55000"/>
  </r>
  <r>
    <s v="ITM01150"/>
    <s v="ORD00680"/>
    <s v="PRD021"/>
    <n v="1"/>
    <n v="69000"/>
    <x v="0"/>
    <n v="69000"/>
  </r>
  <r>
    <s v="ITM01151"/>
    <s v="ORD00680"/>
    <s v="PRD023"/>
    <n v="1"/>
    <n v="139000"/>
    <x v="8"/>
    <n v="139000"/>
  </r>
  <r>
    <s v="ITM01152"/>
    <s v="ORD00681"/>
    <s v="PRD005"/>
    <n v="2"/>
    <n v="39000"/>
    <x v="2"/>
    <n v="78000"/>
  </r>
  <r>
    <s v="ITM01153"/>
    <s v="ORD00682"/>
    <s v="PRD021"/>
    <n v="1"/>
    <n v="69000"/>
    <x v="0"/>
    <n v="69000"/>
  </r>
  <r>
    <s v="ITM01154"/>
    <s v="ORD00682"/>
    <s v="PRD020"/>
    <n v="1"/>
    <n v="179000"/>
    <x v="1"/>
    <n v="179000"/>
  </r>
  <r>
    <s v="ITM01155"/>
    <s v="ORD00683"/>
    <s v="PRD021"/>
    <n v="1"/>
    <n v="69000"/>
    <x v="0"/>
    <n v="69000"/>
  </r>
  <r>
    <s v="ITM01156"/>
    <s v="ORD00684"/>
    <s v="PRD020"/>
    <n v="1"/>
    <n v="179000"/>
    <x v="1"/>
    <n v="179000"/>
  </r>
  <r>
    <s v="ITM01157"/>
    <s v="ORD00684"/>
    <s v="PRD009"/>
    <n v="1"/>
    <n v="79000"/>
    <x v="3"/>
    <n v="79000"/>
  </r>
  <r>
    <s v="ITM01158"/>
    <s v="ORD00685"/>
    <s v="PRD021"/>
    <n v="1"/>
    <n v="69000"/>
    <x v="0"/>
    <n v="69000"/>
  </r>
  <r>
    <s v="ITM01159"/>
    <s v="ORD00686"/>
    <s v="PRD021"/>
    <n v="3"/>
    <n v="69000"/>
    <x v="0"/>
    <n v="207000"/>
  </r>
  <r>
    <s v="ITM01160"/>
    <s v="ORD00686"/>
    <s v="PRD005"/>
    <n v="1"/>
    <n v="39000"/>
    <x v="2"/>
    <n v="39000"/>
  </r>
  <r>
    <s v="ITM01161"/>
    <s v="ORD00687"/>
    <s v="PRD012"/>
    <n v="1"/>
    <n v="229000"/>
    <x v="5"/>
    <n v="229000"/>
  </r>
  <r>
    <s v="ITM01162"/>
    <s v="ORD00688"/>
    <s v="PRD020"/>
    <n v="1"/>
    <n v="179000"/>
    <x v="1"/>
    <n v="179000"/>
  </r>
  <r>
    <s v="ITM01163"/>
    <s v="ORD00688"/>
    <s v="PRD021"/>
    <n v="2"/>
    <n v="69000"/>
    <x v="0"/>
    <n v="138000"/>
  </r>
  <r>
    <s v="ITM01164"/>
    <s v="ORD00689"/>
    <s v="PRD007"/>
    <n v="1"/>
    <n v="99000"/>
    <x v="6"/>
    <n v="99000"/>
  </r>
  <r>
    <s v="ITM01165"/>
    <s v="ORD00689"/>
    <s v="PRD021"/>
    <n v="1"/>
    <n v="69000"/>
    <x v="0"/>
    <n v="69000"/>
  </r>
  <r>
    <s v="ITM01166"/>
    <s v="ORD00690"/>
    <s v="PRD022"/>
    <n v="1"/>
    <n v="55000"/>
    <x v="4"/>
    <n v="55000"/>
  </r>
  <r>
    <s v="ITM01167"/>
    <s v="ORD00691"/>
    <s v="PRD020"/>
    <n v="1"/>
    <n v="179000"/>
    <x v="1"/>
    <n v="179000"/>
  </r>
  <r>
    <s v="ITM01168"/>
    <s v="ORD00691"/>
    <s v="PRD021"/>
    <n v="1"/>
    <n v="69000"/>
    <x v="0"/>
    <n v="69000"/>
  </r>
  <r>
    <s v="ITM01169"/>
    <s v="ORD00692"/>
    <s v="PRD021"/>
    <n v="1"/>
    <n v="69000"/>
    <x v="0"/>
    <n v="69000"/>
  </r>
  <r>
    <s v="ITM01170"/>
    <s v="ORD00693"/>
    <s v="PRD021"/>
    <n v="1"/>
    <n v="69000"/>
    <x v="0"/>
    <n v="69000"/>
  </r>
  <r>
    <s v="ITM01171"/>
    <s v="ORD00694"/>
    <s v="PRD022"/>
    <n v="1"/>
    <n v="55000"/>
    <x v="4"/>
    <n v="55000"/>
  </r>
  <r>
    <s v="ITM01172"/>
    <s v="ORD00695"/>
    <s v="PRD005"/>
    <n v="1"/>
    <n v="39000"/>
    <x v="2"/>
    <n v="39000"/>
  </r>
  <r>
    <s v="ITM01173"/>
    <s v="ORD00695"/>
    <s v="PRD008"/>
    <n v="1"/>
    <n v="399000"/>
    <x v="12"/>
    <n v="399000"/>
  </r>
  <r>
    <s v="ITM01174"/>
    <s v="ORD00696"/>
    <s v="PRD005"/>
    <n v="1"/>
    <n v="39000"/>
    <x v="2"/>
    <n v="39000"/>
  </r>
  <r>
    <s v="ITM01175"/>
    <s v="ORD00696"/>
    <s v="PRD021"/>
    <n v="1"/>
    <n v="69000"/>
    <x v="0"/>
    <n v="69000"/>
  </r>
  <r>
    <s v="ITM01176"/>
    <s v="ORD00697"/>
    <s v="PRD006"/>
    <n v="1"/>
    <n v="129000"/>
    <x v="10"/>
    <n v="129000"/>
  </r>
  <r>
    <s v="ITM01177"/>
    <s v="ORD00698"/>
    <s v="PRD021"/>
    <n v="1"/>
    <n v="69000"/>
    <x v="0"/>
    <n v="69000"/>
  </r>
  <r>
    <s v="ITM01178"/>
    <s v="ORD00699"/>
    <s v="PRD005"/>
    <n v="1"/>
    <n v="39000"/>
    <x v="2"/>
    <n v="39000"/>
  </r>
  <r>
    <s v="ITM01179"/>
    <s v="ORD00699"/>
    <s v="PRD021"/>
    <n v="2"/>
    <n v="69000"/>
    <x v="0"/>
    <n v="138000"/>
  </r>
  <r>
    <s v="ITM01180"/>
    <s v="ORD00700"/>
    <s v="PRD021"/>
    <n v="1"/>
    <n v="69000"/>
    <x v="0"/>
    <n v="69000"/>
  </r>
  <r>
    <s v="ITM01181"/>
    <s v="ORD00700"/>
    <s v="PRD023"/>
    <n v="1"/>
    <n v="139000"/>
    <x v="8"/>
    <n v="139000"/>
  </r>
  <r>
    <s v="ITM01182"/>
    <s v="ORD00701"/>
    <s v="PRD014"/>
    <n v="1"/>
    <n v="349000"/>
    <x v="9"/>
    <n v="349000"/>
  </r>
  <r>
    <s v="ITM01183"/>
    <s v="ORD00702"/>
    <s v="PRD021"/>
    <n v="1"/>
    <n v="69000"/>
    <x v="0"/>
    <n v="69000"/>
  </r>
  <r>
    <s v="ITM01184"/>
    <s v="ORD00702"/>
    <s v="PRD020"/>
    <n v="1"/>
    <n v="179000"/>
    <x v="1"/>
    <n v="179000"/>
  </r>
  <r>
    <s v="ITM01185"/>
    <s v="ORD00703"/>
    <s v="PRD005"/>
    <n v="1"/>
    <n v="39000"/>
    <x v="2"/>
    <n v="39000"/>
  </r>
  <r>
    <s v="ITM01186"/>
    <s v="ORD00704"/>
    <s v="PRD008"/>
    <n v="1"/>
    <n v="399000"/>
    <x v="12"/>
    <n v="399000"/>
  </r>
  <r>
    <s v="ITM01187"/>
    <s v="ORD00704"/>
    <s v="PRD017"/>
    <n v="1"/>
    <n v="329000"/>
    <x v="7"/>
    <n v="329000"/>
  </r>
  <r>
    <s v="ITM01188"/>
    <s v="ORD00705"/>
    <s v="PRD014"/>
    <n v="2"/>
    <n v="349000"/>
    <x v="9"/>
    <n v="698000"/>
  </r>
  <r>
    <s v="ITM01189"/>
    <s v="ORD00705"/>
    <s v="PRD004"/>
    <n v="1"/>
    <n v="199000"/>
    <x v="19"/>
    <n v="199000"/>
  </r>
  <r>
    <s v="ITM01190"/>
    <s v="ORD00706"/>
    <s v="PRD021"/>
    <n v="1"/>
    <n v="69000"/>
    <x v="0"/>
    <n v="69000"/>
  </r>
  <r>
    <s v="ITM01191"/>
    <s v="ORD00707"/>
    <s v="PRD014"/>
    <n v="1"/>
    <n v="349000"/>
    <x v="9"/>
    <n v="349000"/>
  </r>
  <r>
    <s v="ITM01192"/>
    <s v="ORD00708"/>
    <s v="PRD021"/>
    <n v="1"/>
    <n v="69000"/>
    <x v="0"/>
    <n v="69000"/>
  </r>
  <r>
    <s v="ITM01193"/>
    <s v="ORD00709"/>
    <s v="PRD021"/>
    <n v="1"/>
    <n v="69000"/>
    <x v="0"/>
    <n v="69000"/>
  </r>
  <r>
    <s v="ITM01194"/>
    <s v="ORD00709"/>
    <s v="PRD005"/>
    <n v="1"/>
    <n v="39000"/>
    <x v="2"/>
    <n v="39000"/>
  </r>
  <r>
    <s v="ITM01195"/>
    <s v="ORD00709"/>
    <s v="PRD006"/>
    <n v="1"/>
    <n v="129000"/>
    <x v="10"/>
    <n v="129000"/>
  </r>
  <r>
    <s v="ITM01196"/>
    <s v="ORD00710"/>
    <s v="PRD021"/>
    <n v="1"/>
    <n v="69000"/>
    <x v="0"/>
    <n v="69000"/>
  </r>
  <r>
    <s v="ITM01197"/>
    <s v="ORD00710"/>
    <s v="PRD005"/>
    <n v="1"/>
    <n v="39000"/>
    <x v="2"/>
    <n v="39000"/>
  </r>
  <r>
    <s v="ITM01198"/>
    <s v="ORD00711"/>
    <s v="PRD021"/>
    <n v="1"/>
    <n v="69000"/>
    <x v="0"/>
    <n v="69000"/>
  </r>
  <r>
    <s v="ITM01199"/>
    <s v="ORD00712"/>
    <s v="PRD021"/>
    <n v="1"/>
    <n v="69000"/>
    <x v="0"/>
    <n v="69000"/>
  </r>
  <r>
    <s v="ITM01200"/>
    <s v="ORD00712"/>
    <s v="PRD022"/>
    <n v="2"/>
    <n v="55000"/>
    <x v="4"/>
    <n v="110000"/>
  </r>
  <r>
    <s v="ITM01201"/>
    <s v="ORD00713"/>
    <s v="PRD020"/>
    <n v="2"/>
    <n v="179000"/>
    <x v="1"/>
    <n v="358000"/>
  </r>
  <r>
    <s v="ITM01202"/>
    <s v="ORD00713"/>
    <s v="PRD006"/>
    <n v="1"/>
    <n v="129000"/>
    <x v="10"/>
    <n v="129000"/>
  </r>
  <r>
    <s v="ITM01203"/>
    <s v="ORD00714"/>
    <s v="PRD021"/>
    <n v="1"/>
    <n v="69000"/>
    <x v="0"/>
    <n v="69000"/>
  </r>
  <r>
    <s v="ITM01204"/>
    <s v="ORD00714"/>
    <s v="PRD017"/>
    <n v="3"/>
    <n v="329000"/>
    <x v="7"/>
    <n v="987000"/>
  </r>
  <r>
    <s v="ITM01205"/>
    <s v="ORD00714"/>
    <s v="PRD005"/>
    <n v="1"/>
    <n v="39000"/>
    <x v="2"/>
    <n v="39000"/>
  </r>
  <r>
    <s v="ITM01206"/>
    <s v="ORD00715"/>
    <s v="PRD009"/>
    <n v="2"/>
    <n v="79000"/>
    <x v="3"/>
    <n v="158000"/>
  </r>
  <r>
    <s v="ITM01207"/>
    <s v="ORD00715"/>
    <s v="PRD021"/>
    <n v="2"/>
    <n v="69000"/>
    <x v="0"/>
    <n v="138000"/>
  </r>
  <r>
    <s v="ITM01208"/>
    <s v="ORD00715"/>
    <s v="PRD022"/>
    <n v="1"/>
    <n v="55000"/>
    <x v="4"/>
    <n v="55000"/>
  </r>
  <r>
    <s v="ITM01209"/>
    <s v="ORD00716"/>
    <s v="PRD005"/>
    <n v="1"/>
    <n v="39000"/>
    <x v="2"/>
    <n v="39000"/>
  </r>
  <r>
    <s v="ITM01210"/>
    <s v="ORD00717"/>
    <s v="PRD022"/>
    <n v="2"/>
    <n v="55000"/>
    <x v="4"/>
    <n v="110000"/>
  </r>
  <r>
    <s v="ITM01211"/>
    <s v="ORD00717"/>
    <s v="PRD023"/>
    <n v="2"/>
    <n v="139000"/>
    <x v="8"/>
    <n v="278000"/>
  </r>
  <r>
    <s v="ITM01212"/>
    <s v="ORD00718"/>
    <s v="PRD021"/>
    <n v="1"/>
    <n v="69000"/>
    <x v="0"/>
    <n v="69000"/>
  </r>
  <r>
    <s v="ITM01213"/>
    <s v="ORD00719"/>
    <s v="PRD021"/>
    <n v="2"/>
    <n v="69000"/>
    <x v="0"/>
    <n v="138000"/>
  </r>
  <r>
    <s v="ITM01214"/>
    <s v="ORD00720"/>
    <s v="PRD021"/>
    <n v="1"/>
    <n v="69000"/>
    <x v="0"/>
    <n v="69000"/>
  </r>
  <r>
    <s v="ITM01215"/>
    <s v="ORD00720"/>
    <s v="PRD020"/>
    <n v="2"/>
    <n v="179000"/>
    <x v="1"/>
    <n v="358000"/>
  </r>
  <r>
    <s v="ITM01216"/>
    <s v="ORD00721"/>
    <s v="PRD005"/>
    <n v="1"/>
    <n v="39000"/>
    <x v="2"/>
    <n v="39000"/>
  </r>
  <r>
    <s v="ITM01217"/>
    <s v="ORD00722"/>
    <s v="PRD020"/>
    <n v="1"/>
    <n v="179000"/>
    <x v="1"/>
    <n v="179000"/>
  </r>
  <r>
    <s v="ITM01218"/>
    <s v="ORD00723"/>
    <s v="PRD003"/>
    <n v="1"/>
    <n v="499000"/>
    <x v="11"/>
    <n v="499000"/>
  </r>
  <r>
    <s v="ITM01219"/>
    <s v="ORD00724"/>
    <s v="PRD005"/>
    <n v="1"/>
    <n v="39000"/>
    <x v="2"/>
    <n v="39000"/>
  </r>
  <r>
    <s v="ITM01220"/>
    <s v="ORD00724"/>
    <s v="PRD009"/>
    <n v="1"/>
    <n v="79000"/>
    <x v="3"/>
    <n v="79000"/>
  </r>
  <r>
    <s v="ITM01221"/>
    <s v="ORD00725"/>
    <s v="PRD020"/>
    <n v="1"/>
    <n v="179000"/>
    <x v="1"/>
    <n v="179000"/>
  </r>
  <r>
    <s v="ITM01222"/>
    <s v="ORD00726"/>
    <s v="PRD021"/>
    <n v="2"/>
    <n v="69000"/>
    <x v="0"/>
    <n v="138000"/>
  </r>
  <r>
    <s v="ITM01223"/>
    <s v="ORD00726"/>
    <s v="PRD020"/>
    <n v="2"/>
    <n v="179000"/>
    <x v="1"/>
    <n v="358000"/>
  </r>
  <r>
    <s v="ITM01224"/>
    <s v="ORD00727"/>
    <s v="PRD014"/>
    <n v="3"/>
    <n v="349000"/>
    <x v="9"/>
    <n v="1047000"/>
  </r>
  <r>
    <s v="ITM01225"/>
    <s v="ORD00728"/>
    <s v="PRD005"/>
    <n v="3"/>
    <n v="39000"/>
    <x v="2"/>
    <n v="117000"/>
  </r>
  <r>
    <s v="ITM01226"/>
    <s v="ORD00728"/>
    <s v="PRD006"/>
    <n v="1"/>
    <n v="129000"/>
    <x v="10"/>
    <n v="129000"/>
  </r>
  <r>
    <s v="ITM01227"/>
    <s v="ORD00729"/>
    <s v="PRD005"/>
    <n v="1"/>
    <n v="39000"/>
    <x v="2"/>
    <n v="39000"/>
  </r>
  <r>
    <s v="ITM01228"/>
    <s v="ORD00729"/>
    <s v="PRD021"/>
    <n v="2"/>
    <n v="69000"/>
    <x v="0"/>
    <n v="138000"/>
  </r>
  <r>
    <s v="ITM01229"/>
    <s v="ORD00729"/>
    <s v="PRD006"/>
    <n v="1"/>
    <n v="129000"/>
    <x v="10"/>
    <n v="129000"/>
  </r>
  <r>
    <s v="ITM01230"/>
    <s v="ORD00729"/>
    <s v="PRD022"/>
    <n v="3"/>
    <n v="55000"/>
    <x v="4"/>
    <n v="165000"/>
  </r>
  <r>
    <s v="ITM01231"/>
    <s v="ORD00730"/>
    <s v="PRD008"/>
    <n v="1"/>
    <n v="399000"/>
    <x v="12"/>
    <n v="399000"/>
  </r>
  <r>
    <s v="ITM01232"/>
    <s v="ORD00730"/>
    <s v="PRD009"/>
    <n v="2"/>
    <n v="79000"/>
    <x v="3"/>
    <n v="158000"/>
  </r>
  <r>
    <s v="ITM01233"/>
    <s v="ORD00730"/>
    <s v="PRD020"/>
    <n v="1"/>
    <n v="179000"/>
    <x v="1"/>
    <n v="179000"/>
  </r>
  <r>
    <s v="ITM01234"/>
    <s v="ORD00730"/>
    <s v="PRD005"/>
    <n v="1"/>
    <n v="39000"/>
    <x v="2"/>
    <n v="39000"/>
  </r>
  <r>
    <s v="ITM01235"/>
    <s v="ORD00731"/>
    <s v="PRD021"/>
    <n v="1"/>
    <n v="69000"/>
    <x v="0"/>
    <n v="69000"/>
  </r>
  <r>
    <s v="ITM01236"/>
    <s v="ORD00731"/>
    <s v="PRD005"/>
    <n v="1"/>
    <n v="39000"/>
    <x v="2"/>
    <n v="39000"/>
  </r>
  <r>
    <s v="ITM01237"/>
    <s v="ORD00732"/>
    <s v="PRD005"/>
    <n v="2"/>
    <n v="39000"/>
    <x v="2"/>
    <n v="78000"/>
  </r>
  <r>
    <s v="ITM01238"/>
    <s v="ORD00733"/>
    <s v="PRD021"/>
    <n v="1"/>
    <n v="69000"/>
    <x v="0"/>
    <n v="69000"/>
  </r>
  <r>
    <s v="ITM01239"/>
    <s v="ORD00734"/>
    <s v="PRD009"/>
    <n v="1"/>
    <n v="79000"/>
    <x v="3"/>
    <n v="79000"/>
  </r>
  <r>
    <s v="ITM01240"/>
    <s v="ORD00734"/>
    <s v="PRD021"/>
    <n v="1"/>
    <n v="69000"/>
    <x v="0"/>
    <n v="69000"/>
  </r>
  <r>
    <s v="ITM01241"/>
    <s v="ORD00734"/>
    <s v="PRD020"/>
    <n v="1"/>
    <n v="179000"/>
    <x v="1"/>
    <n v="179000"/>
  </r>
  <r>
    <s v="ITM01242"/>
    <s v="ORD00735"/>
    <s v="PRD020"/>
    <n v="1"/>
    <n v="179000"/>
    <x v="1"/>
    <n v="179000"/>
  </r>
  <r>
    <s v="ITM01243"/>
    <s v="ORD00736"/>
    <s v="PRD021"/>
    <n v="1"/>
    <n v="69000"/>
    <x v="0"/>
    <n v="69000"/>
  </r>
  <r>
    <s v="ITM01244"/>
    <s v="ORD00736"/>
    <s v="PRD022"/>
    <n v="1"/>
    <n v="55000"/>
    <x v="4"/>
    <n v="55000"/>
  </r>
  <r>
    <s v="ITM01245"/>
    <s v="ORD00737"/>
    <s v="PRD021"/>
    <n v="1"/>
    <n v="69000"/>
    <x v="0"/>
    <n v="69000"/>
  </r>
  <r>
    <s v="ITM01246"/>
    <s v="ORD00738"/>
    <s v="PRD008"/>
    <n v="3"/>
    <n v="399000"/>
    <x v="12"/>
    <n v="1197000"/>
  </r>
  <r>
    <s v="ITM01247"/>
    <s v="ORD00739"/>
    <s v="PRD006"/>
    <n v="1"/>
    <n v="129000"/>
    <x v="10"/>
    <n v="129000"/>
  </r>
  <r>
    <s v="ITM01248"/>
    <s v="ORD00739"/>
    <s v="PRD021"/>
    <n v="1"/>
    <n v="69000"/>
    <x v="0"/>
    <n v="69000"/>
  </r>
  <r>
    <s v="ITM01249"/>
    <s v="ORD00739"/>
    <s v="PRD017"/>
    <n v="1"/>
    <n v="329000"/>
    <x v="7"/>
    <n v="329000"/>
  </r>
  <r>
    <s v="ITM01250"/>
    <s v="ORD00739"/>
    <s v="PRD005"/>
    <n v="2"/>
    <n v="39000"/>
    <x v="2"/>
    <n v="78000"/>
  </r>
  <r>
    <s v="ITM01251"/>
    <s v="ORD00740"/>
    <s v="PRD005"/>
    <n v="1"/>
    <n v="39000"/>
    <x v="2"/>
    <n v="39000"/>
  </r>
  <r>
    <s v="ITM01252"/>
    <s v="ORD00740"/>
    <s v="PRD021"/>
    <n v="1"/>
    <n v="69000"/>
    <x v="0"/>
    <n v="69000"/>
  </r>
  <r>
    <s v="ITM01253"/>
    <s v="ORD00741"/>
    <s v="PRD021"/>
    <n v="2"/>
    <n v="69000"/>
    <x v="0"/>
    <n v="138000"/>
  </r>
  <r>
    <s v="ITM01254"/>
    <s v="ORD00742"/>
    <s v="PRD014"/>
    <n v="1"/>
    <n v="349000"/>
    <x v="9"/>
    <n v="349000"/>
  </r>
  <r>
    <s v="ITM01255"/>
    <s v="ORD00743"/>
    <s v="PRD005"/>
    <n v="1"/>
    <n v="39000"/>
    <x v="2"/>
    <n v="39000"/>
  </r>
  <r>
    <s v="ITM01256"/>
    <s v="ORD00743"/>
    <s v="PRD022"/>
    <n v="1"/>
    <n v="55000"/>
    <x v="4"/>
    <n v="55000"/>
  </r>
  <r>
    <s v="ITM01257"/>
    <s v="ORD00744"/>
    <s v="PRD005"/>
    <n v="1"/>
    <n v="39000"/>
    <x v="2"/>
    <n v="39000"/>
  </r>
  <r>
    <s v="ITM01258"/>
    <s v="ORD00744"/>
    <s v="PRD006"/>
    <n v="1"/>
    <n v="129000"/>
    <x v="10"/>
    <n v="129000"/>
  </r>
  <r>
    <s v="ITM01259"/>
    <s v="ORD00745"/>
    <s v="PRD023"/>
    <n v="1"/>
    <n v="139000"/>
    <x v="8"/>
    <n v="139000"/>
  </r>
  <r>
    <s v="ITM01260"/>
    <s v="ORD00746"/>
    <s v="PRD021"/>
    <n v="1"/>
    <n v="69000"/>
    <x v="0"/>
    <n v="69000"/>
  </r>
  <r>
    <s v="ITM01261"/>
    <s v="ORD00746"/>
    <s v="PRD005"/>
    <n v="1"/>
    <n v="39000"/>
    <x v="2"/>
    <n v="39000"/>
  </r>
  <r>
    <s v="ITM01262"/>
    <s v="ORD00747"/>
    <s v="PRD021"/>
    <n v="1"/>
    <n v="69000"/>
    <x v="0"/>
    <n v="69000"/>
  </r>
  <r>
    <s v="ITM01263"/>
    <s v="ORD00748"/>
    <s v="PRD017"/>
    <n v="1"/>
    <n v="329000"/>
    <x v="7"/>
    <n v="329000"/>
  </r>
  <r>
    <s v="ITM01264"/>
    <s v="ORD00748"/>
    <s v="PRD021"/>
    <n v="1"/>
    <n v="69000"/>
    <x v="0"/>
    <n v="69000"/>
  </r>
  <r>
    <s v="ITM01265"/>
    <s v="ORD00748"/>
    <s v="PRD014"/>
    <n v="1"/>
    <n v="349000"/>
    <x v="9"/>
    <n v="349000"/>
  </r>
  <r>
    <s v="ITM01266"/>
    <s v="ORD00748"/>
    <s v="PRD009"/>
    <n v="1"/>
    <n v="79000"/>
    <x v="3"/>
    <n v="79000"/>
  </r>
  <r>
    <s v="ITM01267"/>
    <s v="ORD00749"/>
    <s v="PRD021"/>
    <n v="1"/>
    <n v="69000"/>
    <x v="0"/>
    <n v="69000"/>
  </r>
  <r>
    <s v="ITM01268"/>
    <s v="ORD00750"/>
    <s v="PRD021"/>
    <n v="2"/>
    <n v="69000"/>
    <x v="0"/>
    <n v="138000"/>
  </r>
  <r>
    <s v="ITM01269"/>
    <s v="ORD00750"/>
    <s v="PRD022"/>
    <n v="1"/>
    <n v="55000"/>
    <x v="4"/>
    <n v="55000"/>
  </r>
  <r>
    <s v="ITM01270"/>
    <s v="ORD00751"/>
    <s v="PRD002"/>
    <n v="1"/>
    <n v="159000"/>
    <x v="14"/>
    <n v="159000"/>
  </r>
  <r>
    <s v="ITM01271"/>
    <s v="ORD00752"/>
    <s v="PRD021"/>
    <n v="1"/>
    <n v="69000"/>
    <x v="0"/>
    <n v="69000"/>
  </r>
  <r>
    <s v="ITM01272"/>
    <s v="ORD00752"/>
    <s v="PRD005"/>
    <n v="3"/>
    <n v="39000"/>
    <x v="2"/>
    <n v="117000"/>
  </r>
  <r>
    <s v="ITM01273"/>
    <s v="ORD00753"/>
    <s v="PRD014"/>
    <n v="1"/>
    <n v="349000"/>
    <x v="9"/>
    <n v="349000"/>
  </r>
  <r>
    <s v="ITM01274"/>
    <s v="ORD00754"/>
    <s v="PRD020"/>
    <n v="2"/>
    <n v="179000"/>
    <x v="1"/>
    <n v="358000"/>
  </r>
  <r>
    <s v="ITM01275"/>
    <s v="ORD00755"/>
    <s v="PRD023"/>
    <n v="1"/>
    <n v="139000"/>
    <x v="8"/>
    <n v="139000"/>
  </r>
  <r>
    <s v="ITM01276"/>
    <s v="ORD00756"/>
    <s v="PRD021"/>
    <n v="1"/>
    <n v="69000"/>
    <x v="0"/>
    <n v="69000"/>
  </r>
  <r>
    <s v="ITM01277"/>
    <s v="ORD00756"/>
    <s v="PRD001"/>
    <n v="1"/>
    <n v="299000"/>
    <x v="20"/>
    <n v="299000"/>
  </r>
  <r>
    <s v="ITM01278"/>
    <s v="ORD00756"/>
    <s v="PRD017"/>
    <n v="1"/>
    <n v="329000"/>
    <x v="7"/>
    <n v="329000"/>
  </r>
  <r>
    <s v="ITM01279"/>
    <s v="ORD00757"/>
    <s v="PRD020"/>
    <n v="1"/>
    <n v="179000"/>
    <x v="1"/>
    <n v="179000"/>
  </r>
  <r>
    <s v="ITM01280"/>
    <s v="ORD00757"/>
    <s v="PRD021"/>
    <n v="1"/>
    <n v="69000"/>
    <x v="0"/>
    <n v="69000"/>
  </r>
  <r>
    <s v="ITM01281"/>
    <s v="ORD00757"/>
    <s v="PRD005"/>
    <n v="2"/>
    <n v="39000"/>
    <x v="2"/>
    <n v="78000"/>
  </r>
  <r>
    <s v="ITM01282"/>
    <s v="ORD00757"/>
    <s v="PRD009"/>
    <n v="1"/>
    <n v="79000"/>
    <x v="3"/>
    <n v="79000"/>
  </r>
  <r>
    <s v="ITM01283"/>
    <s v="ORD00758"/>
    <s v="PRD022"/>
    <n v="2"/>
    <n v="55000"/>
    <x v="4"/>
    <n v="110000"/>
  </r>
  <r>
    <s v="ITM01284"/>
    <s v="ORD00758"/>
    <s v="PRD005"/>
    <n v="1"/>
    <n v="39000"/>
    <x v="2"/>
    <n v="39000"/>
  </r>
  <r>
    <s v="ITM01285"/>
    <s v="ORD00758"/>
    <s v="PRD017"/>
    <n v="1"/>
    <n v="329000"/>
    <x v="7"/>
    <n v="329000"/>
  </r>
  <r>
    <s v="ITM01286"/>
    <s v="ORD00759"/>
    <s v="PRD005"/>
    <n v="1"/>
    <n v="39000"/>
    <x v="2"/>
    <n v="39000"/>
  </r>
  <r>
    <s v="ITM01287"/>
    <s v="ORD00759"/>
    <s v="PRD021"/>
    <n v="2"/>
    <n v="69000"/>
    <x v="0"/>
    <n v="138000"/>
  </r>
  <r>
    <s v="ITM01288"/>
    <s v="ORD00759"/>
    <s v="PRD006"/>
    <n v="1"/>
    <n v="129000"/>
    <x v="10"/>
    <n v="129000"/>
  </r>
  <r>
    <s v="ITM01289"/>
    <s v="ORD00759"/>
    <s v="PRD020"/>
    <n v="1"/>
    <n v="179000"/>
    <x v="1"/>
    <n v="179000"/>
  </r>
  <r>
    <s v="ITM01290"/>
    <s v="ORD00760"/>
    <s v="PRD023"/>
    <n v="1"/>
    <n v="139000"/>
    <x v="8"/>
    <n v="139000"/>
  </r>
  <r>
    <s v="ITM01291"/>
    <s v="ORD00760"/>
    <s v="PRD021"/>
    <n v="1"/>
    <n v="69000"/>
    <x v="0"/>
    <n v="69000"/>
  </r>
  <r>
    <s v="ITM01292"/>
    <s v="ORD00761"/>
    <s v="PRD021"/>
    <n v="1"/>
    <n v="69000"/>
    <x v="0"/>
    <n v="69000"/>
  </r>
  <r>
    <s v="ITM01293"/>
    <s v="ORD00762"/>
    <s v="PRD021"/>
    <n v="2"/>
    <n v="69000"/>
    <x v="0"/>
    <n v="138000"/>
  </r>
  <r>
    <s v="ITM01294"/>
    <s v="ORD00762"/>
    <s v="PRD005"/>
    <n v="1"/>
    <n v="39000"/>
    <x v="2"/>
    <n v="39000"/>
  </r>
  <r>
    <s v="ITM01295"/>
    <s v="ORD00763"/>
    <s v="PRD021"/>
    <n v="2"/>
    <n v="69000"/>
    <x v="0"/>
    <n v="138000"/>
  </r>
  <r>
    <s v="ITM01296"/>
    <s v="ORD00763"/>
    <s v="PRD005"/>
    <n v="1"/>
    <n v="39000"/>
    <x v="2"/>
    <n v="39000"/>
  </r>
  <r>
    <s v="ITM01297"/>
    <s v="ORD00764"/>
    <s v="PRD021"/>
    <n v="1"/>
    <n v="69000"/>
    <x v="0"/>
    <n v="69000"/>
  </r>
  <r>
    <s v="ITM01298"/>
    <s v="ORD00765"/>
    <s v="PRD005"/>
    <n v="3"/>
    <n v="39000"/>
    <x v="2"/>
    <n v="117000"/>
  </r>
  <r>
    <s v="ITM01299"/>
    <s v="ORD00765"/>
    <s v="PRD020"/>
    <n v="1"/>
    <n v="179000"/>
    <x v="1"/>
    <n v="179000"/>
  </r>
  <r>
    <s v="ITM01300"/>
    <s v="ORD00765"/>
    <s v="PRD022"/>
    <n v="1"/>
    <n v="55000"/>
    <x v="4"/>
    <n v="55000"/>
  </r>
  <r>
    <s v="ITM01301"/>
    <s v="ORD00766"/>
    <s v="PRD012"/>
    <n v="1"/>
    <n v="229000"/>
    <x v="5"/>
    <n v="229000"/>
  </r>
  <r>
    <s v="ITM01302"/>
    <s v="ORD00767"/>
    <s v="PRD020"/>
    <n v="1"/>
    <n v="179000"/>
    <x v="1"/>
    <n v="179000"/>
  </r>
  <r>
    <s v="ITM01303"/>
    <s v="ORD00768"/>
    <s v="PRD021"/>
    <n v="1"/>
    <n v="69000"/>
    <x v="0"/>
    <n v="69000"/>
  </r>
  <r>
    <s v="ITM01304"/>
    <s v="ORD00768"/>
    <s v="PRD005"/>
    <n v="2"/>
    <n v="39000"/>
    <x v="2"/>
    <n v="78000"/>
  </r>
  <r>
    <s v="ITM01305"/>
    <s v="ORD00768"/>
    <s v="PRD020"/>
    <n v="1"/>
    <n v="179000"/>
    <x v="1"/>
    <n v="179000"/>
  </r>
  <r>
    <s v="ITM01306"/>
    <s v="ORD00768"/>
    <s v="PRD009"/>
    <n v="1"/>
    <n v="79000"/>
    <x v="3"/>
    <n v="79000"/>
  </r>
  <r>
    <s v="ITM01307"/>
    <s v="ORD00769"/>
    <s v="PRD005"/>
    <n v="2"/>
    <n v="39000"/>
    <x v="2"/>
    <n v="78000"/>
  </r>
  <r>
    <s v="ITM01308"/>
    <s v="ORD00769"/>
    <s v="PRD021"/>
    <n v="2"/>
    <n v="69000"/>
    <x v="0"/>
    <n v="138000"/>
  </r>
  <r>
    <s v="ITM01309"/>
    <s v="ORD00770"/>
    <s v="PRD021"/>
    <n v="1"/>
    <n v="69000"/>
    <x v="0"/>
    <n v="69000"/>
  </r>
  <r>
    <s v="ITM01310"/>
    <s v="ORD00771"/>
    <s v="PRD008"/>
    <n v="3"/>
    <n v="399000"/>
    <x v="12"/>
    <n v="1197000"/>
  </r>
  <r>
    <s v="ITM01311"/>
    <s v="ORD00772"/>
    <s v="PRD021"/>
    <n v="2"/>
    <n v="69000"/>
    <x v="0"/>
    <n v="138000"/>
  </r>
  <r>
    <s v="ITM01312"/>
    <s v="ORD00773"/>
    <s v="PRD021"/>
    <n v="2"/>
    <n v="69000"/>
    <x v="0"/>
    <n v="138000"/>
  </r>
  <r>
    <s v="ITM01313"/>
    <s v="ORD00773"/>
    <s v="PRD005"/>
    <n v="1"/>
    <n v="39000"/>
    <x v="2"/>
    <n v="39000"/>
  </r>
  <r>
    <s v="ITM01314"/>
    <s v="ORD00773"/>
    <s v="PRD007"/>
    <n v="1"/>
    <n v="99000"/>
    <x v="6"/>
    <n v="99000"/>
  </r>
  <r>
    <s v="ITM01315"/>
    <s v="ORD00773"/>
    <s v="PRD009"/>
    <n v="1"/>
    <n v="79000"/>
    <x v="3"/>
    <n v="79000"/>
  </r>
  <r>
    <s v="ITM01316"/>
    <s v="ORD00774"/>
    <s v="PRD021"/>
    <n v="1"/>
    <n v="69000"/>
    <x v="0"/>
    <n v="69000"/>
  </r>
  <r>
    <s v="ITM01317"/>
    <s v="ORD00775"/>
    <s v="PRD017"/>
    <n v="1"/>
    <n v="329000"/>
    <x v="7"/>
    <n v="329000"/>
  </r>
  <r>
    <s v="ITM01318"/>
    <s v="ORD00776"/>
    <s v="PRD017"/>
    <n v="1"/>
    <n v="329000"/>
    <x v="7"/>
    <n v="329000"/>
  </r>
  <r>
    <s v="ITM01319"/>
    <s v="ORD00776"/>
    <s v="PRD021"/>
    <n v="1"/>
    <n v="69000"/>
    <x v="0"/>
    <n v="69000"/>
  </r>
  <r>
    <s v="ITM01320"/>
    <s v="ORD00776"/>
    <s v="PRD006"/>
    <n v="1"/>
    <n v="129000"/>
    <x v="10"/>
    <n v="129000"/>
  </r>
  <r>
    <s v="ITM01321"/>
    <s v="ORD00777"/>
    <s v="PRD020"/>
    <n v="1"/>
    <n v="179000"/>
    <x v="1"/>
    <n v="179000"/>
  </r>
  <r>
    <s v="ITM01322"/>
    <s v="ORD00777"/>
    <s v="PRD022"/>
    <n v="2"/>
    <n v="55000"/>
    <x v="4"/>
    <n v="110000"/>
  </r>
  <r>
    <s v="ITM01323"/>
    <s v="ORD00778"/>
    <s v="PRD004"/>
    <n v="1"/>
    <n v="199000"/>
    <x v="19"/>
    <n v="199000"/>
  </r>
  <r>
    <s v="ITM01324"/>
    <s v="ORD00779"/>
    <s v="PRD021"/>
    <n v="1"/>
    <n v="69000"/>
    <x v="0"/>
    <n v="69000"/>
  </r>
  <r>
    <s v="ITM01325"/>
    <s v="ORD00780"/>
    <s v="PRD021"/>
    <n v="2"/>
    <n v="69000"/>
    <x v="0"/>
    <n v="138000"/>
  </r>
  <r>
    <s v="ITM01326"/>
    <s v="ORD00781"/>
    <s v="PRD008"/>
    <n v="3"/>
    <n v="399000"/>
    <x v="12"/>
    <n v="1197000"/>
  </r>
  <r>
    <s v="ITM01327"/>
    <s v="ORD00782"/>
    <s v="PRD005"/>
    <n v="1"/>
    <n v="39000"/>
    <x v="2"/>
    <n v="39000"/>
  </r>
  <r>
    <s v="ITM01328"/>
    <s v="ORD00782"/>
    <s v="PRD021"/>
    <n v="3"/>
    <n v="69000"/>
    <x v="0"/>
    <n v="207000"/>
  </r>
  <r>
    <s v="ITM01329"/>
    <s v="ORD00782"/>
    <s v="PRD009"/>
    <n v="1"/>
    <n v="79000"/>
    <x v="3"/>
    <n v="79000"/>
  </r>
  <r>
    <s v="ITM01330"/>
    <s v="ORD00783"/>
    <s v="PRD005"/>
    <n v="3"/>
    <n v="39000"/>
    <x v="2"/>
    <n v="117000"/>
  </r>
  <r>
    <s v="ITM01331"/>
    <s v="ORD00784"/>
    <s v="PRD007"/>
    <n v="3"/>
    <n v="99000"/>
    <x v="6"/>
    <n v="297000"/>
  </r>
  <r>
    <s v="ITM01332"/>
    <s v="ORD00784"/>
    <s v="PRD021"/>
    <n v="1"/>
    <n v="69000"/>
    <x v="0"/>
    <n v="69000"/>
  </r>
  <r>
    <s v="ITM01333"/>
    <s v="ORD00785"/>
    <s v="PRD005"/>
    <n v="2"/>
    <n v="39000"/>
    <x v="2"/>
    <n v="78000"/>
  </r>
  <r>
    <s v="ITM01334"/>
    <s v="ORD00786"/>
    <s v="PRD005"/>
    <n v="1"/>
    <n v="39000"/>
    <x v="2"/>
    <n v="39000"/>
  </r>
  <r>
    <s v="ITM01335"/>
    <s v="ORD00786"/>
    <s v="PRD021"/>
    <n v="2"/>
    <n v="69000"/>
    <x v="0"/>
    <n v="138000"/>
  </r>
  <r>
    <s v="ITM01336"/>
    <s v="ORD00787"/>
    <s v="PRD005"/>
    <n v="3"/>
    <n v="39000"/>
    <x v="2"/>
    <n v="117000"/>
  </r>
  <r>
    <s v="ITM01337"/>
    <s v="ORD00788"/>
    <s v="PRD017"/>
    <n v="1"/>
    <n v="329000"/>
    <x v="7"/>
    <n v="329000"/>
  </r>
  <r>
    <s v="ITM01338"/>
    <s v="ORD00788"/>
    <s v="PRD022"/>
    <n v="2"/>
    <n v="55000"/>
    <x v="4"/>
    <n v="110000"/>
  </r>
  <r>
    <s v="ITM01339"/>
    <s v="ORD00789"/>
    <s v="PRD021"/>
    <n v="1"/>
    <n v="69000"/>
    <x v="0"/>
    <n v="69000"/>
  </r>
  <r>
    <s v="ITM01340"/>
    <s v="ORD00790"/>
    <s v="PRD019"/>
    <n v="2"/>
    <n v="79000"/>
    <x v="13"/>
    <n v="158000"/>
  </r>
  <r>
    <s v="ITM01341"/>
    <s v="ORD00790"/>
    <s v="PRD021"/>
    <n v="3"/>
    <n v="69000"/>
    <x v="0"/>
    <n v="207000"/>
  </r>
  <r>
    <s v="ITM01342"/>
    <s v="ORD00791"/>
    <s v="PRD008"/>
    <n v="1"/>
    <n v="399000"/>
    <x v="12"/>
    <n v="399000"/>
  </r>
  <r>
    <s v="ITM01343"/>
    <s v="ORD00792"/>
    <s v="PRD005"/>
    <n v="1"/>
    <n v="39000"/>
    <x v="2"/>
    <n v="39000"/>
  </r>
  <r>
    <s v="ITM01344"/>
    <s v="ORD00793"/>
    <s v="PRD009"/>
    <n v="2"/>
    <n v="79000"/>
    <x v="3"/>
    <n v="158000"/>
  </r>
  <r>
    <s v="ITM01345"/>
    <s v="ORD00794"/>
    <s v="PRD005"/>
    <n v="1"/>
    <n v="39000"/>
    <x v="2"/>
    <n v="39000"/>
  </r>
  <r>
    <s v="ITM01346"/>
    <s v="ORD00795"/>
    <s v="PRD002"/>
    <n v="1"/>
    <n v="159000"/>
    <x v="14"/>
    <n v="159000"/>
  </r>
  <r>
    <s v="ITM01347"/>
    <s v="ORD00795"/>
    <s v="PRD021"/>
    <n v="1"/>
    <n v="69000"/>
    <x v="0"/>
    <n v="69000"/>
  </r>
  <r>
    <s v="ITM01348"/>
    <s v="ORD00795"/>
    <s v="PRD008"/>
    <n v="2"/>
    <n v="399000"/>
    <x v="12"/>
    <n v="798000"/>
  </r>
  <r>
    <s v="ITM01349"/>
    <s v="ORD00795"/>
    <s v="PRD005"/>
    <n v="3"/>
    <n v="39000"/>
    <x v="2"/>
    <n v="117000"/>
  </r>
  <r>
    <s v="ITM01350"/>
    <s v="ORD00796"/>
    <s v="PRD022"/>
    <n v="3"/>
    <n v="55000"/>
    <x v="4"/>
    <n v="165000"/>
  </r>
  <r>
    <s v="ITM01351"/>
    <s v="ORD00797"/>
    <s v="PRD021"/>
    <n v="1"/>
    <n v="69000"/>
    <x v="0"/>
    <n v="69000"/>
  </r>
  <r>
    <s v="ITM01352"/>
    <s v="ORD00797"/>
    <s v="PRD005"/>
    <n v="1"/>
    <n v="39000"/>
    <x v="2"/>
    <n v="39000"/>
  </r>
  <r>
    <s v="ITM01353"/>
    <s v="ORD00797"/>
    <s v="PRD022"/>
    <n v="1"/>
    <n v="55000"/>
    <x v="4"/>
    <n v="55000"/>
  </r>
  <r>
    <s v="ITM01354"/>
    <s v="ORD00798"/>
    <s v="PRD006"/>
    <n v="1"/>
    <n v="129000"/>
    <x v="10"/>
    <n v="129000"/>
  </r>
  <r>
    <s v="ITM01355"/>
    <s v="ORD00798"/>
    <s v="PRD022"/>
    <n v="1"/>
    <n v="55000"/>
    <x v="4"/>
    <n v="55000"/>
  </r>
  <r>
    <s v="ITM01356"/>
    <s v="ORD00799"/>
    <s v="PRD021"/>
    <n v="1"/>
    <n v="69000"/>
    <x v="0"/>
    <n v="69000"/>
  </r>
  <r>
    <s v="ITM01357"/>
    <s v="ORD00800"/>
    <s v="PRD005"/>
    <n v="1"/>
    <n v="39000"/>
    <x v="2"/>
    <n v="39000"/>
  </r>
  <r>
    <s v="ITM00824"/>
    <s v="ORD00478"/>
    <s v="PRD017"/>
    <n v="1"/>
    <n v="329000"/>
    <x v="7"/>
    <n v="329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s v="ITM00001"/>
    <s v="ORD00001"/>
    <s v="PRD021"/>
    <n v="1"/>
    <n v="69000"/>
    <x v="0"/>
    <n v="69000"/>
    <n v="30000"/>
    <n v="39000"/>
  </r>
  <r>
    <s v="ITM00002"/>
    <s v="ORD00001"/>
    <s v="PRD020"/>
    <n v="1"/>
    <n v="179000"/>
    <x v="1"/>
    <n v="179000"/>
    <n v="90000"/>
    <n v="89000"/>
  </r>
  <r>
    <s v="ITM00003"/>
    <s v="ORD00002"/>
    <s v="PRD021"/>
    <n v="3"/>
    <n v="69000"/>
    <x v="0"/>
    <n v="207000"/>
    <n v="30000"/>
    <n v="117000"/>
  </r>
  <r>
    <s v="ITM00004"/>
    <s v="ORD00003"/>
    <s v="PRD021"/>
    <n v="3"/>
    <n v="69000"/>
    <x v="0"/>
    <n v="207000"/>
    <n v="30000"/>
    <n v="117000"/>
  </r>
  <r>
    <s v="ITM00005"/>
    <s v="ORD00004"/>
    <s v="PRD005"/>
    <n v="3"/>
    <n v="39000"/>
    <x v="2"/>
    <n v="117000"/>
    <n v="15000"/>
    <n v="72000"/>
  </r>
  <r>
    <s v="ITM00006"/>
    <s v="ORD00004"/>
    <s v="PRD009"/>
    <n v="1"/>
    <n v="79000"/>
    <x v="3"/>
    <n v="79000"/>
    <n v="35000"/>
    <n v="44000"/>
  </r>
  <r>
    <s v="ITM00007"/>
    <s v="ORD00005"/>
    <s v="PRD022"/>
    <n v="1"/>
    <n v="55000"/>
    <x v="4"/>
    <n v="55000"/>
    <n v="25000"/>
    <n v="30000"/>
  </r>
  <r>
    <s v="ITM00008"/>
    <s v="ORD00005"/>
    <s v="PRD005"/>
    <n v="1"/>
    <n v="39000"/>
    <x v="2"/>
    <n v="39000"/>
    <n v="15000"/>
    <n v="24000"/>
  </r>
  <r>
    <s v="ITM00009"/>
    <s v="ORD00005"/>
    <s v="PRD012"/>
    <n v="1"/>
    <n v="229000"/>
    <x v="5"/>
    <n v="229000"/>
    <n v="110000"/>
    <n v="119000"/>
  </r>
  <r>
    <s v="ITM00010"/>
    <s v="ORD00006"/>
    <s v="PRD005"/>
    <n v="1"/>
    <n v="39000"/>
    <x v="2"/>
    <n v="39000"/>
    <n v="15000"/>
    <n v="24000"/>
  </r>
  <r>
    <s v="ITM00011"/>
    <s v="ORD00006"/>
    <s v="PRD022"/>
    <n v="1"/>
    <n v="55000"/>
    <x v="4"/>
    <n v="55000"/>
    <n v="25000"/>
    <n v="30000"/>
  </r>
  <r>
    <s v="ITM00012"/>
    <s v="ORD00007"/>
    <s v="PRD007"/>
    <n v="3"/>
    <n v="99000"/>
    <x v="6"/>
    <n v="297000"/>
    <n v="45000"/>
    <n v="162000"/>
  </r>
  <r>
    <s v="ITM00013"/>
    <s v="ORD00007"/>
    <s v="PRD005"/>
    <n v="1"/>
    <n v="39000"/>
    <x v="2"/>
    <n v="39000"/>
    <n v="15000"/>
    <n v="24000"/>
  </r>
  <r>
    <s v="ITM00014"/>
    <s v="ORD00008"/>
    <s v="PRD022"/>
    <n v="1"/>
    <n v="55000"/>
    <x v="4"/>
    <n v="55000"/>
    <n v="25000"/>
    <n v="30000"/>
  </r>
  <r>
    <s v="ITM00015"/>
    <s v="ORD00009"/>
    <s v="PRD017"/>
    <n v="2"/>
    <n v="329000"/>
    <x v="7"/>
    <n v="658000"/>
    <n v="180000"/>
    <n v="298000"/>
  </r>
  <r>
    <s v="ITM00016"/>
    <s v="ORD00009"/>
    <s v="PRD023"/>
    <n v="1"/>
    <n v="139000"/>
    <x v="8"/>
    <n v="139000"/>
    <n v="65000"/>
    <n v="74000"/>
  </r>
  <r>
    <s v="ITM00017"/>
    <s v="ORD00010"/>
    <s v="PRD017"/>
    <n v="2"/>
    <n v="329000"/>
    <x v="7"/>
    <n v="658000"/>
    <n v="180000"/>
    <n v="298000"/>
  </r>
  <r>
    <s v="ITM00018"/>
    <s v="ORD00010"/>
    <s v="PRD014"/>
    <n v="2"/>
    <n v="349000"/>
    <x v="9"/>
    <n v="698000"/>
    <n v="180000"/>
    <n v="338000"/>
  </r>
  <r>
    <s v="ITM00019"/>
    <s v="ORD00010"/>
    <s v="PRD007"/>
    <n v="3"/>
    <n v="99000"/>
    <x v="6"/>
    <n v="297000"/>
    <n v="45000"/>
    <n v="162000"/>
  </r>
  <r>
    <s v="ITM00020"/>
    <s v="ORD00011"/>
    <s v="PRD021"/>
    <n v="1"/>
    <n v="69000"/>
    <x v="0"/>
    <n v="69000"/>
    <n v="30000"/>
    <n v="39000"/>
  </r>
  <r>
    <s v="ITM00021"/>
    <s v="ORD00011"/>
    <s v="PRD006"/>
    <n v="1"/>
    <n v="129000"/>
    <x v="10"/>
    <n v="129000"/>
    <n v="60000"/>
    <n v="69000"/>
  </r>
  <r>
    <s v="ITM00022"/>
    <s v="ORD00012"/>
    <s v="PRD021"/>
    <n v="1"/>
    <n v="69000"/>
    <x v="0"/>
    <n v="69000"/>
    <n v="30000"/>
    <n v="39000"/>
  </r>
  <r>
    <s v="ITM00023"/>
    <s v="ORD00013"/>
    <s v="PRD017"/>
    <n v="1"/>
    <n v="329000"/>
    <x v="7"/>
    <n v="329000"/>
    <n v="180000"/>
    <n v="149000"/>
  </r>
  <r>
    <s v="ITM00024"/>
    <s v="ORD00014"/>
    <s v="PRD021"/>
    <n v="1"/>
    <n v="69000"/>
    <x v="0"/>
    <n v="69000"/>
    <n v="30000"/>
    <n v="39000"/>
  </r>
  <r>
    <s v="ITM00025"/>
    <s v="ORD00014"/>
    <s v="PRD012"/>
    <n v="2"/>
    <n v="229000"/>
    <x v="5"/>
    <n v="458000"/>
    <n v="110000"/>
    <n v="238000"/>
  </r>
  <r>
    <s v="ITM00026"/>
    <s v="ORD00015"/>
    <s v="PRD021"/>
    <n v="1"/>
    <n v="69000"/>
    <x v="0"/>
    <n v="69000"/>
    <n v="30000"/>
    <n v="39000"/>
  </r>
  <r>
    <s v="ITM00027"/>
    <s v="ORD00015"/>
    <s v="PRD022"/>
    <n v="1"/>
    <n v="55000"/>
    <x v="4"/>
    <n v="55000"/>
    <n v="25000"/>
    <n v="30000"/>
  </r>
  <r>
    <s v="ITM00028"/>
    <s v="ORD00015"/>
    <s v="PRD009"/>
    <n v="2"/>
    <n v="79000"/>
    <x v="3"/>
    <n v="158000"/>
    <n v="35000"/>
    <n v="88000"/>
  </r>
  <r>
    <s v="ITM00029"/>
    <s v="ORD00016"/>
    <s v="PRD012"/>
    <n v="3"/>
    <n v="229000"/>
    <x v="5"/>
    <n v="687000"/>
    <n v="110000"/>
    <n v="357000"/>
  </r>
  <r>
    <s v="ITM00030"/>
    <s v="ORD00016"/>
    <s v="PRD021"/>
    <n v="1"/>
    <n v="69000"/>
    <x v="0"/>
    <n v="69000"/>
    <n v="30000"/>
    <n v="39000"/>
  </r>
  <r>
    <s v="ITM00031"/>
    <s v="ORD00017"/>
    <s v="PRD005"/>
    <n v="1"/>
    <n v="39000"/>
    <x v="2"/>
    <n v="39000"/>
    <n v="15000"/>
    <n v="24000"/>
  </r>
  <r>
    <s v="ITM00032"/>
    <s v="ORD00017"/>
    <s v="PRD021"/>
    <n v="1"/>
    <n v="69000"/>
    <x v="0"/>
    <n v="69000"/>
    <n v="30000"/>
    <n v="39000"/>
  </r>
  <r>
    <s v="ITM00033"/>
    <s v="ORD00018"/>
    <s v="PRD021"/>
    <n v="1"/>
    <n v="69000"/>
    <x v="0"/>
    <n v="69000"/>
    <n v="30000"/>
    <n v="39000"/>
  </r>
  <r>
    <s v="ITM00034"/>
    <s v="ORD00019"/>
    <s v="PRD021"/>
    <n v="1"/>
    <n v="69000"/>
    <x v="0"/>
    <n v="69000"/>
    <n v="30000"/>
    <n v="39000"/>
  </r>
  <r>
    <s v="ITM00035"/>
    <s v="ORD00020"/>
    <s v="PRD021"/>
    <n v="1"/>
    <n v="69000"/>
    <x v="0"/>
    <n v="69000"/>
    <n v="30000"/>
    <n v="39000"/>
  </r>
  <r>
    <s v="ITM00036"/>
    <s v="ORD00021"/>
    <s v="PRD017"/>
    <n v="1"/>
    <n v="329000"/>
    <x v="7"/>
    <n v="329000"/>
    <n v="180000"/>
    <n v="149000"/>
  </r>
  <r>
    <s v="ITM00037"/>
    <s v="ORD00022"/>
    <s v="PRD005"/>
    <n v="1"/>
    <n v="39000"/>
    <x v="2"/>
    <n v="39000"/>
    <n v="15000"/>
    <n v="24000"/>
  </r>
  <r>
    <s v="ITM00038"/>
    <s v="ORD00023"/>
    <s v="PRD005"/>
    <n v="1"/>
    <n v="39000"/>
    <x v="2"/>
    <n v="39000"/>
    <n v="15000"/>
    <n v="24000"/>
  </r>
  <r>
    <s v="ITM00039"/>
    <s v="ORD00023"/>
    <s v="PRD007"/>
    <n v="1"/>
    <n v="99000"/>
    <x v="6"/>
    <n v="99000"/>
    <n v="45000"/>
    <n v="54000"/>
  </r>
  <r>
    <s v="ITM00040"/>
    <s v="ORD00023"/>
    <s v="PRD021"/>
    <n v="1"/>
    <n v="69000"/>
    <x v="0"/>
    <n v="69000"/>
    <n v="30000"/>
    <n v="39000"/>
  </r>
  <r>
    <s v="ITM00041"/>
    <s v="ORD00024"/>
    <s v="PRD020"/>
    <n v="1"/>
    <n v="179000"/>
    <x v="1"/>
    <n v="179000"/>
    <n v="90000"/>
    <n v="89000"/>
  </r>
  <r>
    <s v="ITM00042"/>
    <s v="ORD00024"/>
    <s v="PRD021"/>
    <n v="1"/>
    <n v="69000"/>
    <x v="0"/>
    <n v="69000"/>
    <n v="30000"/>
    <n v="39000"/>
  </r>
  <r>
    <s v="ITM00043"/>
    <s v="ORD00025"/>
    <s v="PRD003"/>
    <n v="1"/>
    <n v="499000"/>
    <x v="11"/>
    <n v="499000"/>
    <n v="250000"/>
    <n v="249000"/>
  </r>
  <r>
    <s v="ITM00044"/>
    <s v="ORD00025"/>
    <s v="PRD021"/>
    <n v="1"/>
    <n v="69000"/>
    <x v="0"/>
    <n v="69000"/>
    <n v="30000"/>
    <n v="39000"/>
  </r>
  <r>
    <s v="ITM00045"/>
    <s v="ORD00026"/>
    <s v="PRD009"/>
    <n v="1"/>
    <n v="79000"/>
    <x v="3"/>
    <n v="79000"/>
    <n v="35000"/>
    <n v="44000"/>
  </r>
  <r>
    <s v="ITM00046"/>
    <s v="ORD00027"/>
    <s v="PRD017"/>
    <n v="1"/>
    <n v="329000"/>
    <x v="7"/>
    <n v="329000"/>
    <n v="180000"/>
    <n v="149000"/>
  </r>
  <r>
    <s v="ITM00047"/>
    <s v="ORD00028"/>
    <s v="PRD021"/>
    <n v="1"/>
    <n v="69000"/>
    <x v="0"/>
    <n v="69000"/>
    <n v="30000"/>
    <n v="39000"/>
  </r>
  <r>
    <s v="ITM00048"/>
    <s v="ORD00028"/>
    <s v="PRD008"/>
    <n v="1"/>
    <n v="399000"/>
    <x v="12"/>
    <n v="399000"/>
    <n v="200000"/>
    <n v="199000"/>
  </r>
  <r>
    <s v="ITM00049"/>
    <s v="ORD00029"/>
    <s v="PRD019"/>
    <n v="3"/>
    <n v="79000"/>
    <x v="13"/>
    <n v="237000"/>
    <n v="35000"/>
    <n v="132000"/>
  </r>
  <r>
    <s v="ITM00050"/>
    <s v="ORD00030"/>
    <s v="PRD006"/>
    <n v="1"/>
    <n v="129000"/>
    <x v="10"/>
    <n v="129000"/>
    <n v="60000"/>
    <n v="69000"/>
  </r>
  <r>
    <s v="ITM00051"/>
    <s v="ORD00031"/>
    <s v="PRD020"/>
    <n v="3"/>
    <n v="179000"/>
    <x v="1"/>
    <n v="537000"/>
    <n v="90000"/>
    <n v="267000"/>
  </r>
  <r>
    <s v="ITM00052"/>
    <s v="ORD00032"/>
    <s v="PRD021"/>
    <n v="1"/>
    <n v="69000"/>
    <x v="0"/>
    <n v="69000"/>
    <n v="30000"/>
    <n v="39000"/>
  </r>
  <r>
    <s v="ITM00053"/>
    <s v="ORD00032"/>
    <s v="PRD002"/>
    <n v="2"/>
    <n v="159000"/>
    <x v="14"/>
    <n v="318000"/>
    <n v="80000"/>
    <n v="158000"/>
  </r>
  <r>
    <s v="ITM00054"/>
    <s v="ORD00033"/>
    <s v="PRD020"/>
    <n v="1"/>
    <n v="179000"/>
    <x v="1"/>
    <n v="179000"/>
    <n v="90000"/>
    <n v="89000"/>
  </r>
  <r>
    <s v="ITM00055"/>
    <s v="ORD00033"/>
    <s v="PRD008"/>
    <n v="1"/>
    <n v="399000"/>
    <x v="12"/>
    <n v="399000"/>
    <n v="200000"/>
    <n v="199000"/>
  </r>
  <r>
    <s v="ITM00056"/>
    <s v="ORD00034"/>
    <s v="PRD020"/>
    <n v="1"/>
    <n v="179000"/>
    <x v="1"/>
    <n v="179000"/>
    <n v="90000"/>
    <n v="89000"/>
  </r>
  <r>
    <s v="ITM00057"/>
    <s v="ORD00034"/>
    <s v="PRD021"/>
    <n v="1"/>
    <n v="69000"/>
    <x v="0"/>
    <n v="69000"/>
    <n v="30000"/>
    <n v="39000"/>
  </r>
  <r>
    <s v="ITM00058"/>
    <s v="ORD00035"/>
    <s v="PRD005"/>
    <n v="1"/>
    <n v="39000"/>
    <x v="2"/>
    <n v="39000"/>
    <n v="15000"/>
    <n v="24000"/>
  </r>
  <r>
    <s v="ITM00059"/>
    <s v="ORD00035"/>
    <s v="PRD009"/>
    <n v="3"/>
    <n v="79000"/>
    <x v="3"/>
    <n v="237000"/>
    <n v="35000"/>
    <n v="132000"/>
  </r>
  <r>
    <s v="ITM00060"/>
    <s v="ORD00036"/>
    <s v="PRD005"/>
    <n v="1"/>
    <n v="39000"/>
    <x v="2"/>
    <n v="39000"/>
    <n v="15000"/>
    <n v="24000"/>
  </r>
  <r>
    <s v="ITM00061"/>
    <s v="ORD00037"/>
    <s v="PRD009"/>
    <n v="2"/>
    <n v="79000"/>
    <x v="3"/>
    <n v="158000"/>
    <n v="35000"/>
    <n v="88000"/>
  </r>
  <r>
    <s v="ITM00062"/>
    <s v="ORD00038"/>
    <s v="PRD023"/>
    <n v="2"/>
    <n v="139000"/>
    <x v="8"/>
    <n v="278000"/>
    <n v="65000"/>
    <n v="148000"/>
  </r>
  <r>
    <s v="ITM00063"/>
    <s v="ORD00038"/>
    <s v="PRD005"/>
    <n v="1"/>
    <n v="39000"/>
    <x v="2"/>
    <n v="39000"/>
    <n v="15000"/>
    <n v="24000"/>
  </r>
  <r>
    <s v="ITM00064"/>
    <s v="ORD00038"/>
    <s v="PRD009"/>
    <n v="2"/>
    <n v="79000"/>
    <x v="3"/>
    <n v="158000"/>
    <n v="35000"/>
    <n v="88000"/>
  </r>
  <r>
    <s v="ITM00065"/>
    <s v="ORD00039"/>
    <s v="PRD005"/>
    <n v="2"/>
    <n v="39000"/>
    <x v="2"/>
    <n v="78000"/>
    <n v="15000"/>
    <n v="48000"/>
  </r>
  <r>
    <s v="ITM00066"/>
    <s v="ORD00040"/>
    <s v="PRD008"/>
    <n v="2"/>
    <n v="399000"/>
    <x v="12"/>
    <n v="798000"/>
    <n v="200000"/>
    <n v="398000"/>
  </r>
  <r>
    <s v="ITM00067"/>
    <s v="ORD00040"/>
    <s v="PRD021"/>
    <n v="1"/>
    <n v="69000"/>
    <x v="0"/>
    <n v="69000"/>
    <n v="30000"/>
    <n v="39000"/>
  </r>
  <r>
    <s v="ITM00068"/>
    <s v="ORD00040"/>
    <s v="PRD009"/>
    <n v="1"/>
    <n v="79000"/>
    <x v="3"/>
    <n v="79000"/>
    <n v="35000"/>
    <n v="44000"/>
  </r>
  <r>
    <s v="ITM00069"/>
    <s v="ORD00041"/>
    <s v="PRD021"/>
    <n v="1"/>
    <n v="69000"/>
    <x v="0"/>
    <n v="69000"/>
    <n v="30000"/>
    <n v="39000"/>
  </r>
  <r>
    <s v="ITM00070"/>
    <s v="ORD00042"/>
    <s v="PRD014"/>
    <n v="1"/>
    <n v="349000"/>
    <x v="9"/>
    <n v="349000"/>
    <n v="180000"/>
    <n v="169000"/>
  </r>
  <r>
    <s v="ITM00071"/>
    <s v="ORD00042"/>
    <s v="PRD009"/>
    <n v="1"/>
    <n v="79000"/>
    <x v="3"/>
    <n v="79000"/>
    <n v="35000"/>
    <n v="44000"/>
  </r>
  <r>
    <s v="ITM00072"/>
    <s v="ORD00043"/>
    <s v="PRD021"/>
    <n v="1"/>
    <n v="69000"/>
    <x v="0"/>
    <n v="69000"/>
    <n v="30000"/>
    <n v="39000"/>
  </r>
  <r>
    <s v="ITM00073"/>
    <s v="ORD00043"/>
    <s v="PRD005"/>
    <n v="2"/>
    <n v="39000"/>
    <x v="2"/>
    <n v="78000"/>
    <n v="15000"/>
    <n v="48000"/>
  </r>
  <r>
    <s v="ITM00074"/>
    <s v="ORD00044"/>
    <s v="PRD018"/>
    <n v="1"/>
    <n v="149000"/>
    <x v="15"/>
    <n v="149000"/>
    <n v="70000"/>
    <n v="79000"/>
  </r>
  <r>
    <s v="ITM00075"/>
    <s v="ORD00044"/>
    <s v="PRD021"/>
    <n v="1"/>
    <n v="69000"/>
    <x v="0"/>
    <n v="69000"/>
    <n v="30000"/>
    <n v="39000"/>
  </r>
  <r>
    <s v="ITM00076"/>
    <s v="ORD00045"/>
    <s v="PRD021"/>
    <n v="1"/>
    <n v="69000"/>
    <x v="0"/>
    <n v="69000"/>
    <n v="30000"/>
    <n v="39000"/>
  </r>
  <r>
    <s v="ITM00077"/>
    <s v="ORD00046"/>
    <s v="PRD021"/>
    <n v="2"/>
    <n v="69000"/>
    <x v="0"/>
    <n v="138000"/>
    <n v="30000"/>
    <n v="78000"/>
  </r>
  <r>
    <s v="ITM00078"/>
    <s v="ORD00047"/>
    <s v="PRD021"/>
    <n v="1"/>
    <n v="69000"/>
    <x v="0"/>
    <n v="69000"/>
    <n v="30000"/>
    <n v="39000"/>
  </r>
  <r>
    <s v="ITM00079"/>
    <s v="ORD00048"/>
    <s v="PRD021"/>
    <n v="1"/>
    <n v="69000"/>
    <x v="0"/>
    <n v="69000"/>
    <n v="30000"/>
    <n v="39000"/>
  </r>
  <r>
    <s v="ITM00080"/>
    <s v="ORD00048"/>
    <s v="PRD005"/>
    <n v="2"/>
    <n v="39000"/>
    <x v="2"/>
    <n v="78000"/>
    <n v="15000"/>
    <n v="48000"/>
  </r>
  <r>
    <s v="ITM00081"/>
    <s v="ORD00049"/>
    <s v="PRD021"/>
    <n v="1"/>
    <n v="69000"/>
    <x v="0"/>
    <n v="69000"/>
    <n v="30000"/>
    <n v="39000"/>
  </r>
  <r>
    <s v="ITM00082"/>
    <s v="ORD00049"/>
    <s v="PRD022"/>
    <n v="1"/>
    <n v="55000"/>
    <x v="4"/>
    <n v="55000"/>
    <n v="25000"/>
    <n v="30000"/>
  </r>
  <r>
    <s v="ITM00083"/>
    <s v="ORD00050"/>
    <s v="PRD005"/>
    <n v="3"/>
    <n v="39000"/>
    <x v="2"/>
    <n v="117000"/>
    <n v="15000"/>
    <n v="72000"/>
  </r>
  <r>
    <s v="ITM00084"/>
    <s v="ORD00051"/>
    <s v="PRD021"/>
    <n v="1"/>
    <n v="69000"/>
    <x v="0"/>
    <n v="69000"/>
    <n v="30000"/>
    <n v="39000"/>
  </r>
  <r>
    <s v="ITM00085"/>
    <s v="ORD00051"/>
    <s v="PRD005"/>
    <n v="1"/>
    <n v="39000"/>
    <x v="2"/>
    <n v="39000"/>
    <n v="15000"/>
    <n v="24000"/>
  </r>
  <r>
    <s v="ITM00086"/>
    <s v="ORD00051"/>
    <s v="PRD022"/>
    <n v="1"/>
    <n v="55000"/>
    <x v="4"/>
    <n v="55000"/>
    <n v="25000"/>
    <n v="30000"/>
  </r>
  <r>
    <s v="ITM00087"/>
    <s v="ORD00051"/>
    <s v="PRD012"/>
    <n v="2"/>
    <n v="229000"/>
    <x v="5"/>
    <n v="458000"/>
    <n v="110000"/>
    <n v="238000"/>
  </r>
  <r>
    <s v="ITM00088"/>
    <s v="ORD00052"/>
    <s v="PRD014"/>
    <n v="3"/>
    <n v="349000"/>
    <x v="9"/>
    <n v="1047000"/>
    <n v="180000"/>
    <n v="507000"/>
  </r>
  <r>
    <s v="ITM00089"/>
    <s v="ORD00053"/>
    <s v="PRD017"/>
    <n v="1"/>
    <n v="329000"/>
    <x v="7"/>
    <n v="329000"/>
    <n v="180000"/>
    <n v="149000"/>
  </r>
  <r>
    <s v="ITM00090"/>
    <s v="ORD00053"/>
    <s v="PRD005"/>
    <n v="1"/>
    <n v="39000"/>
    <x v="2"/>
    <n v="39000"/>
    <n v="15000"/>
    <n v="24000"/>
  </r>
  <r>
    <s v="ITM00091"/>
    <s v="ORD00054"/>
    <s v="PRD008"/>
    <n v="1"/>
    <n v="399000"/>
    <x v="12"/>
    <n v="399000"/>
    <n v="200000"/>
    <n v="199000"/>
  </r>
  <r>
    <s v="ITM00092"/>
    <s v="ORD00055"/>
    <s v="PRD005"/>
    <n v="1"/>
    <n v="39000"/>
    <x v="2"/>
    <n v="39000"/>
    <n v="15000"/>
    <n v="24000"/>
  </r>
  <r>
    <s v="ITM00093"/>
    <s v="ORD00055"/>
    <s v="PRD022"/>
    <n v="1"/>
    <n v="55000"/>
    <x v="4"/>
    <n v="55000"/>
    <n v="25000"/>
    <n v="30000"/>
  </r>
  <r>
    <s v="ITM00094"/>
    <s v="ORD00056"/>
    <s v="PRD008"/>
    <n v="1"/>
    <n v="399000"/>
    <x v="12"/>
    <n v="399000"/>
    <n v="200000"/>
    <n v="199000"/>
  </r>
  <r>
    <s v="ITM00095"/>
    <s v="ORD00057"/>
    <s v="PRD005"/>
    <n v="1"/>
    <n v="39000"/>
    <x v="2"/>
    <n v="39000"/>
    <n v="15000"/>
    <n v="24000"/>
  </r>
  <r>
    <s v="ITM00096"/>
    <s v="ORD00058"/>
    <s v="PRD021"/>
    <n v="1"/>
    <n v="69000"/>
    <x v="0"/>
    <n v="69000"/>
    <n v="30000"/>
    <n v="39000"/>
  </r>
  <r>
    <s v="ITM00097"/>
    <s v="ORD00059"/>
    <s v="PRD005"/>
    <n v="1"/>
    <n v="39000"/>
    <x v="2"/>
    <n v="39000"/>
    <n v="15000"/>
    <n v="24000"/>
  </r>
  <r>
    <s v="ITM00098"/>
    <s v="ORD00059"/>
    <s v="PRD021"/>
    <n v="1"/>
    <n v="69000"/>
    <x v="0"/>
    <n v="69000"/>
    <n v="30000"/>
    <n v="39000"/>
  </r>
  <r>
    <s v="ITM00099"/>
    <s v="ORD00060"/>
    <s v="PRD022"/>
    <n v="1"/>
    <n v="55000"/>
    <x v="4"/>
    <n v="55000"/>
    <n v="25000"/>
    <n v="30000"/>
  </r>
  <r>
    <s v="ITM00100"/>
    <s v="ORD00060"/>
    <s v="PRD021"/>
    <n v="1"/>
    <n v="69000"/>
    <x v="0"/>
    <n v="69000"/>
    <n v="30000"/>
    <n v="39000"/>
  </r>
  <r>
    <s v="ITM00101"/>
    <s v="ORD00060"/>
    <s v="PRD006"/>
    <n v="1"/>
    <n v="129000"/>
    <x v="10"/>
    <n v="129000"/>
    <n v="60000"/>
    <n v="69000"/>
  </r>
  <r>
    <s v="ITM00102"/>
    <s v="ORD00061"/>
    <s v="PRD005"/>
    <n v="1"/>
    <n v="39000"/>
    <x v="2"/>
    <n v="39000"/>
    <n v="15000"/>
    <n v="24000"/>
  </r>
  <r>
    <s v="ITM00103"/>
    <s v="ORD00061"/>
    <s v="PRD021"/>
    <n v="1"/>
    <n v="69000"/>
    <x v="0"/>
    <n v="69000"/>
    <n v="30000"/>
    <n v="39000"/>
  </r>
  <r>
    <s v="ITM00104"/>
    <s v="ORD00062"/>
    <s v="PRD012"/>
    <n v="2"/>
    <n v="229000"/>
    <x v="5"/>
    <n v="458000"/>
    <n v="110000"/>
    <n v="238000"/>
  </r>
  <r>
    <s v="ITM00105"/>
    <s v="ORD00062"/>
    <s v="PRD021"/>
    <n v="1"/>
    <n v="69000"/>
    <x v="0"/>
    <n v="69000"/>
    <n v="30000"/>
    <n v="39000"/>
  </r>
  <r>
    <s v="ITM00106"/>
    <s v="ORD00062"/>
    <s v="PRD005"/>
    <n v="1"/>
    <n v="39000"/>
    <x v="2"/>
    <n v="39000"/>
    <n v="15000"/>
    <n v="24000"/>
  </r>
  <r>
    <s v="ITM00107"/>
    <s v="ORD00063"/>
    <s v="PRD021"/>
    <n v="2"/>
    <n v="69000"/>
    <x v="0"/>
    <n v="138000"/>
    <n v="30000"/>
    <n v="78000"/>
  </r>
  <r>
    <s v="ITM00108"/>
    <s v="ORD00064"/>
    <s v="PRD006"/>
    <n v="1"/>
    <n v="129000"/>
    <x v="10"/>
    <n v="129000"/>
    <n v="60000"/>
    <n v="69000"/>
  </r>
  <r>
    <s v="ITM00109"/>
    <s v="ORD00065"/>
    <s v="PRD021"/>
    <n v="2"/>
    <n v="69000"/>
    <x v="0"/>
    <n v="138000"/>
    <n v="30000"/>
    <n v="78000"/>
  </r>
  <r>
    <s v="ITM00110"/>
    <s v="ORD00066"/>
    <s v="PRD005"/>
    <n v="2"/>
    <n v="39000"/>
    <x v="2"/>
    <n v="78000"/>
    <n v="15000"/>
    <n v="48000"/>
  </r>
  <r>
    <s v="ITM00111"/>
    <s v="ORD00066"/>
    <s v="PRD021"/>
    <n v="2"/>
    <n v="69000"/>
    <x v="0"/>
    <n v="138000"/>
    <n v="30000"/>
    <n v="78000"/>
  </r>
  <r>
    <s v="ITM00112"/>
    <s v="ORD00067"/>
    <s v="PRD021"/>
    <n v="1"/>
    <n v="69000"/>
    <x v="0"/>
    <n v="69000"/>
    <n v="30000"/>
    <n v="39000"/>
  </r>
  <r>
    <s v="ITM00113"/>
    <s v="ORD00067"/>
    <s v="PRD006"/>
    <n v="1"/>
    <n v="129000"/>
    <x v="10"/>
    <n v="129000"/>
    <n v="60000"/>
    <n v="69000"/>
  </r>
  <r>
    <s v="ITM00114"/>
    <s v="ORD00068"/>
    <s v="PRD007"/>
    <n v="3"/>
    <n v="99000"/>
    <x v="6"/>
    <n v="297000"/>
    <n v="45000"/>
    <n v="162000"/>
  </r>
  <r>
    <s v="ITM00115"/>
    <s v="ORD00069"/>
    <s v="PRD005"/>
    <n v="1"/>
    <n v="39000"/>
    <x v="2"/>
    <n v="39000"/>
    <n v="15000"/>
    <n v="24000"/>
  </r>
  <r>
    <s v="ITM00116"/>
    <s v="ORD00070"/>
    <s v="PRD005"/>
    <n v="2"/>
    <n v="39000"/>
    <x v="2"/>
    <n v="78000"/>
    <n v="15000"/>
    <n v="48000"/>
  </r>
  <r>
    <s v="ITM00117"/>
    <s v="ORD00071"/>
    <s v="PRD018"/>
    <n v="1"/>
    <n v="149000"/>
    <x v="15"/>
    <n v="149000"/>
    <n v="70000"/>
    <n v="79000"/>
  </r>
  <r>
    <s v="ITM00118"/>
    <s v="ORD00071"/>
    <s v="PRD020"/>
    <n v="2"/>
    <n v="179000"/>
    <x v="1"/>
    <n v="358000"/>
    <n v="90000"/>
    <n v="178000"/>
  </r>
  <r>
    <s v="ITM00119"/>
    <s v="ORD00072"/>
    <s v="PRD021"/>
    <n v="1"/>
    <n v="69000"/>
    <x v="0"/>
    <n v="69000"/>
    <n v="30000"/>
    <n v="39000"/>
  </r>
  <r>
    <s v="ITM00120"/>
    <s v="ORD00073"/>
    <s v="PRD014"/>
    <n v="1"/>
    <n v="349000"/>
    <x v="9"/>
    <n v="349000"/>
    <n v="180000"/>
    <n v="169000"/>
  </r>
  <r>
    <s v="ITM00121"/>
    <s v="ORD00073"/>
    <s v="PRD021"/>
    <n v="3"/>
    <n v="69000"/>
    <x v="0"/>
    <n v="207000"/>
    <n v="30000"/>
    <n v="117000"/>
  </r>
  <r>
    <s v="ITM00122"/>
    <s v="ORD00073"/>
    <s v="PRD009"/>
    <n v="1"/>
    <n v="79000"/>
    <x v="3"/>
    <n v="79000"/>
    <n v="35000"/>
    <n v="44000"/>
  </r>
  <r>
    <s v="ITM00123"/>
    <s v="ORD00074"/>
    <s v="PRD006"/>
    <n v="1"/>
    <n v="129000"/>
    <x v="10"/>
    <n v="129000"/>
    <n v="60000"/>
    <n v="69000"/>
  </r>
  <r>
    <s v="ITM00124"/>
    <s v="ORD00075"/>
    <s v="PRD021"/>
    <n v="1"/>
    <n v="69000"/>
    <x v="0"/>
    <n v="69000"/>
    <n v="30000"/>
    <n v="39000"/>
  </r>
  <r>
    <s v="ITM00125"/>
    <s v="ORD00076"/>
    <s v="PRD021"/>
    <n v="1"/>
    <n v="69000"/>
    <x v="0"/>
    <n v="69000"/>
    <n v="30000"/>
    <n v="39000"/>
  </r>
  <r>
    <s v="ITM00126"/>
    <s v="ORD00077"/>
    <s v="PRD022"/>
    <n v="1"/>
    <n v="55000"/>
    <x v="4"/>
    <n v="55000"/>
    <n v="25000"/>
    <n v="30000"/>
  </r>
  <r>
    <s v="ITM00127"/>
    <s v="ORD00078"/>
    <s v="PRD005"/>
    <n v="1"/>
    <n v="39000"/>
    <x v="2"/>
    <n v="39000"/>
    <n v="15000"/>
    <n v="24000"/>
  </r>
  <r>
    <s v="ITM00128"/>
    <s v="ORD00078"/>
    <s v="PRD022"/>
    <n v="2"/>
    <n v="55000"/>
    <x v="4"/>
    <n v="110000"/>
    <n v="25000"/>
    <n v="60000"/>
  </r>
  <r>
    <s v="ITM00129"/>
    <s v="ORD00078"/>
    <s v="PRD017"/>
    <n v="2"/>
    <n v="329000"/>
    <x v="7"/>
    <n v="658000"/>
    <n v="180000"/>
    <n v="298000"/>
  </r>
  <r>
    <s v="ITM00130"/>
    <s v="ORD00079"/>
    <s v="PRD021"/>
    <n v="1"/>
    <n v="69000"/>
    <x v="0"/>
    <n v="69000"/>
    <n v="30000"/>
    <n v="39000"/>
  </r>
  <r>
    <s v="ITM00131"/>
    <s v="ORD00079"/>
    <s v="PRD006"/>
    <n v="3"/>
    <n v="129000"/>
    <x v="10"/>
    <n v="387000"/>
    <n v="60000"/>
    <n v="207000"/>
  </r>
  <r>
    <s v="ITM00132"/>
    <s v="ORD00080"/>
    <s v="PRD024"/>
    <n v="1"/>
    <n v="89000"/>
    <x v="16"/>
    <n v="89000"/>
    <n v="40000"/>
    <n v="49000"/>
  </r>
  <r>
    <s v="ITM00133"/>
    <s v="ORD00080"/>
    <s v="PRD020"/>
    <n v="1"/>
    <n v="179000"/>
    <x v="1"/>
    <n v="179000"/>
    <n v="90000"/>
    <n v="89000"/>
  </r>
  <r>
    <s v="ITM00134"/>
    <s v="ORD00081"/>
    <s v="PRD022"/>
    <n v="1"/>
    <n v="55000"/>
    <x v="4"/>
    <n v="55000"/>
    <n v="25000"/>
    <n v="30000"/>
  </r>
  <r>
    <s v="ITM00135"/>
    <s v="ORD00081"/>
    <s v="PRD017"/>
    <n v="2"/>
    <n v="329000"/>
    <x v="7"/>
    <n v="658000"/>
    <n v="180000"/>
    <n v="298000"/>
  </r>
  <r>
    <s v="ITM00136"/>
    <s v="ORD00081"/>
    <s v="PRD021"/>
    <n v="1"/>
    <n v="69000"/>
    <x v="0"/>
    <n v="69000"/>
    <n v="30000"/>
    <n v="39000"/>
  </r>
  <r>
    <s v="ITM00137"/>
    <s v="ORD00082"/>
    <s v="PRD017"/>
    <n v="1"/>
    <n v="329000"/>
    <x v="7"/>
    <n v="329000"/>
    <n v="180000"/>
    <n v="149000"/>
  </r>
  <r>
    <s v="ITM00138"/>
    <s v="ORD00082"/>
    <s v="PRD021"/>
    <n v="1"/>
    <n v="69000"/>
    <x v="0"/>
    <n v="69000"/>
    <n v="30000"/>
    <n v="39000"/>
  </r>
  <r>
    <s v="ITM00139"/>
    <s v="ORD00083"/>
    <s v="PRD021"/>
    <n v="2"/>
    <n v="69000"/>
    <x v="0"/>
    <n v="138000"/>
    <n v="30000"/>
    <n v="78000"/>
  </r>
  <r>
    <s v="ITM00140"/>
    <s v="ORD00083"/>
    <s v="PRD009"/>
    <n v="1"/>
    <n v="79000"/>
    <x v="3"/>
    <n v="79000"/>
    <n v="35000"/>
    <n v="44000"/>
  </r>
  <r>
    <s v="ITM00141"/>
    <s v="ORD00084"/>
    <s v="PRD021"/>
    <n v="3"/>
    <n v="69000"/>
    <x v="0"/>
    <n v="207000"/>
    <n v="30000"/>
    <n v="117000"/>
  </r>
  <r>
    <s v="ITM00142"/>
    <s v="ORD00085"/>
    <s v="PRD021"/>
    <n v="1"/>
    <n v="69000"/>
    <x v="0"/>
    <n v="69000"/>
    <n v="30000"/>
    <n v="39000"/>
  </r>
  <r>
    <s v="ITM00143"/>
    <s v="ORD00086"/>
    <s v="PRD021"/>
    <n v="1"/>
    <n v="69000"/>
    <x v="0"/>
    <n v="69000"/>
    <n v="30000"/>
    <n v="39000"/>
  </r>
  <r>
    <s v="ITM00144"/>
    <s v="ORD00086"/>
    <s v="PRD014"/>
    <n v="1"/>
    <n v="349000"/>
    <x v="9"/>
    <n v="349000"/>
    <n v="180000"/>
    <n v="169000"/>
  </r>
  <r>
    <s v="ITM00145"/>
    <s v="ORD00086"/>
    <s v="PRD005"/>
    <n v="1"/>
    <n v="39000"/>
    <x v="2"/>
    <n v="39000"/>
    <n v="15000"/>
    <n v="24000"/>
  </r>
  <r>
    <s v="ITM00146"/>
    <s v="ORD00086"/>
    <s v="PRD009"/>
    <n v="1"/>
    <n v="79000"/>
    <x v="3"/>
    <n v="79000"/>
    <n v="35000"/>
    <n v="44000"/>
  </r>
  <r>
    <s v="ITM00147"/>
    <s v="ORD00087"/>
    <s v="PRD012"/>
    <n v="3"/>
    <n v="229000"/>
    <x v="5"/>
    <n v="687000"/>
    <n v="110000"/>
    <n v="357000"/>
  </r>
  <r>
    <s v="ITM00148"/>
    <s v="ORD00088"/>
    <s v="PRD014"/>
    <n v="3"/>
    <n v="349000"/>
    <x v="9"/>
    <n v="1047000"/>
    <n v="180000"/>
    <n v="507000"/>
  </r>
  <r>
    <s v="ITM00149"/>
    <s v="ORD00089"/>
    <s v="PRD021"/>
    <n v="1"/>
    <n v="69000"/>
    <x v="0"/>
    <n v="69000"/>
    <n v="30000"/>
    <n v="39000"/>
  </r>
  <r>
    <s v="ITM00150"/>
    <s v="ORD00089"/>
    <s v="PRD005"/>
    <n v="1"/>
    <n v="39000"/>
    <x v="2"/>
    <n v="39000"/>
    <n v="15000"/>
    <n v="24000"/>
  </r>
  <r>
    <s v="ITM00151"/>
    <s v="ORD00089"/>
    <s v="PRD012"/>
    <n v="1"/>
    <n v="229000"/>
    <x v="5"/>
    <n v="229000"/>
    <n v="110000"/>
    <n v="119000"/>
  </r>
  <r>
    <s v="ITM00152"/>
    <s v="ORD00089"/>
    <s v="PRD008"/>
    <n v="1"/>
    <n v="399000"/>
    <x v="12"/>
    <n v="399000"/>
    <n v="200000"/>
    <n v="199000"/>
  </r>
  <r>
    <s v="ITM00153"/>
    <s v="ORD00090"/>
    <s v="PRD021"/>
    <n v="1"/>
    <n v="69000"/>
    <x v="0"/>
    <n v="69000"/>
    <n v="30000"/>
    <n v="39000"/>
  </r>
  <r>
    <s v="ITM00154"/>
    <s v="ORD00090"/>
    <s v="PRD005"/>
    <n v="1"/>
    <n v="39000"/>
    <x v="2"/>
    <n v="39000"/>
    <n v="15000"/>
    <n v="24000"/>
  </r>
  <r>
    <s v="ITM00155"/>
    <s v="ORD00090"/>
    <s v="PRD020"/>
    <n v="1"/>
    <n v="179000"/>
    <x v="1"/>
    <n v="179000"/>
    <n v="90000"/>
    <n v="89000"/>
  </r>
  <r>
    <s v="ITM00156"/>
    <s v="ORD00091"/>
    <s v="PRD021"/>
    <n v="1"/>
    <n v="69000"/>
    <x v="0"/>
    <n v="69000"/>
    <n v="30000"/>
    <n v="39000"/>
  </r>
  <r>
    <s v="ITM00157"/>
    <s v="ORD00092"/>
    <s v="PRD021"/>
    <n v="1"/>
    <n v="69000"/>
    <x v="0"/>
    <n v="69000"/>
    <n v="30000"/>
    <n v="39000"/>
  </r>
  <r>
    <s v="ITM00158"/>
    <s v="ORD00092"/>
    <s v="PRD017"/>
    <n v="1"/>
    <n v="329000"/>
    <x v="7"/>
    <n v="329000"/>
    <n v="180000"/>
    <n v="149000"/>
  </r>
  <r>
    <s v="ITM00159"/>
    <s v="ORD00092"/>
    <s v="PRD012"/>
    <n v="2"/>
    <n v="229000"/>
    <x v="5"/>
    <n v="458000"/>
    <n v="110000"/>
    <n v="238000"/>
  </r>
  <r>
    <s v="ITM00160"/>
    <s v="ORD00093"/>
    <s v="PRD005"/>
    <n v="1"/>
    <n v="39000"/>
    <x v="2"/>
    <n v="39000"/>
    <n v="15000"/>
    <n v="24000"/>
  </r>
  <r>
    <s v="ITM00161"/>
    <s v="ORD00093"/>
    <s v="PRD013"/>
    <n v="2"/>
    <n v="209000"/>
    <x v="17"/>
    <n v="418000"/>
    <n v="95000"/>
    <n v="228000"/>
  </r>
  <r>
    <s v="ITM00162"/>
    <s v="ORD00094"/>
    <s v="PRD005"/>
    <n v="3"/>
    <n v="39000"/>
    <x v="2"/>
    <n v="117000"/>
    <n v="15000"/>
    <n v="72000"/>
  </r>
  <r>
    <s v="ITM00163"/>
    <s v="ORD00094"/>
    <s v="PRD021"/>
    <n v="1"/>
    <n v="69000"/>
    <x v="0"/>
    <n v="69000"/>
    <n v="30000"/>
    <n v="39000"/>
  </r>
  <r>
    <s v="ITM00164"/>
    <s v="ORD00094"/>
    <s v="PRD023"/>
    <n v="1"/>
    <n v="139000"/>
    <x v="8"/>
    <n v="139000"/>
    <n v="65000"/>
    <n v="74000"/>
  </r>
  <r>
    <s v="ITM00165"/>
    <s v="ORD00094"/>
    <s v="PRD022"/>
    <n v="1"/>
    <n v="55000"/>
    <x v="4"/>
    <n v="55000"/>
    <n v="25000"/>
    <n v="30000"/>
  </r>
  <r>
    <s v="ITM00166"/>
    <s v="ORD00095"/>
    <s v="PRD021"/>
    <n v="1"/>
    <n v="69000"/>
    <x v="0"/>
    <n v="69000"/>
    <n v="30000"/>
    <n v="39000"/>
  </r>
  <r>
    <s v="ITM00167"/>
    <s v="ORD00095"/>
    <s v="PRD020"/>
    <n v="1"/>
    <n v="179000"/>
    <x v="1"/>
    <n v="179000"/>
    <n v="90000"/>
    <n v="89000"/>
  </r>
  <r>
    <s v="ITM00168"/>
    <s v="ORD00095"/>
    <s v="PRD017"/>
    <n v="1"/>
    <n v="329000"/>
    <x v="7"/>
    <n v="329000"/>
    <n v="180000"/>
    <n v="149000"/>
  </r>
  <r>
    <s v="ITM00169"/>
    <s v="ORD00096"/>
    <s v="PRD021"/>
    <n v="2"/>
    <n v="69000"/>
    <x v="0"/>
    <n v="138000"/>
    <n v="30000"/>
    <n v="78000"/>
  </r>
  <r>
    <s v="ITM00170"/>
    <s v="ORD00096"/>
    <s v="PRD003"/>
    <n v="1"/>
    <n v="499000"/>
    <x v="11"/>
    <n v="499000"/>
    <n v="250000"/>
    <n v="249000"/>
  </r>
  <r>
    <s v="ITM00171"/>
    <s v="ORD00096"/>
    <s v="PRD005"/>
    <n v="2"/>
    <n v="39000"/>
    <x v="2"/>
    <n v="78000"/>
    <n v="15000"/>
    <n v="48000"/>
  </r>
  <r>
    <s v="ITM00172"/>
    <s v="ORD00097"/>
    <s v="PRD005"/>
    <n v="1"/>
    <n v="39000"/>
    <x v="2"/>
    <n v="39000"/>
    <n v="15000"/>
    <n v="24000"/>
  </r>
  <r>
    <s v="ITM00173"/>
    <s v="ORD00098"/>
    <s v="PRD020"/>
    <n v="2"/>
    <n v="179000"/>
    <x v="1"/>
    <n v="358000"/>
    <n v="90000"/>
    <n v="178000"/>
  </r>
  <r>
    <s v="ITM00174"/>
    <s v="ORD00098"/>
    <s v="PRD021"/>
    <n v="1"/>
    <n v="69000"/>
    <x v="0"/>
    <n v="69000"/>
    <n v="30000"/>
    <n v="39000"/>
  </r>
  <r>
    <s v="ITM00175"/>
    <s v="ORD00099"/>
    <s v="PRD022"/>
    <n v="1"/>
    <n v="55000"/>
    <x v="4"/>
    <n v="55000"/>
    <n v="25000"/>
    <n v="30000"/>
  </r>
  <r>
    <s v="ITM00176"/>
    <s v="ORD00099"/>
    <s v="PRD005"/>
    <n v="1"/>
    <n v="39000"/>
    <x v="2"/>
    <n v="39000"/>
    <n v="15000"/>
    <n v="24000"/>
  </r>
  <r>
    <s v="ITM00177"/>
    <s v="ORD00100"/>
    <s v="PRD021"/>
    <n v="1"/>
    <n v="69000"/>
    <x v="0"/>
    <n v="69000"/>
    <n v="30000"/>
    <n v="39000"/>
  </r>
  <r>
    <s v="ITM00178"/>
    <s v="ORD00100"/>
    <s v="PRD017"/>
    <n v="2"/>
    <n v="329000"/>
    <x v="7"/>
    <n v="658000"/>
    <n v="180000"/>
    <n v="298000"/>
  </r>
  <r>
    <s v="ITM00179"/>
    <s v="ORD00101"/>
    <s v="PRD021"/>
    <n v="1"/>
    <n v="69000"/>
    <x v="0"/>
    <n v="69000"/>
    <n v="30000"/>
    <n v="39000"/>
  </r>
  <r>
    <s v="ITM00180"/>
    <s v="ORD00102"/>
    <s v="PRD017"/>
    <n v="1"/>
    <n v="329000"/>
    <x v="7"/>
    <n v="329000"/>
    <n v="180000"/>
    <n v="149000"/>
  </r>
  <r>
    <s v="ITM00181"/>
    <s v="ORD00103"/>
    <s v="PRD022"/>
    <n v="2"/>
    <n v="55000"/>
    <x v="4"/>
    <n v="110000"/>
    <n v="25000"/>
    <n v="60000"/>
  </r>
  <r>
    <s v="ITM00182"/>
    <s v="ORD00104"/>
    <s v="PRD005"/>
    <n v="1"/>
    <n v="39000"/>
    <x v="2"/>
    <n v="39000"/>
    <n v="15000"/>
    <n v="24000"/>
  </r>
  <r>
    <s v="ITM00183"/>
    <s v="ORD00104"/>
    <s v="PRD021"/>
    <n v="3"/>
    <n v="69000"/>
    <x v="0"/>
    <n v="207000"/>
    <n v="30000"/>
    <n v="117000"/>
  </r>
  <r>
    <s v="ITM00184"/>
    <s v="ORD00105"/>
    <s v="PRD021"/>
    <n v="1"/>
    <n v="69000"/>
    <x v="0"/>
    <n v="69000"/>
    <n v="30000"/>
    <n v="39000"/>
  </r>
  <r>
    <s v="ITM00185"/>
    <s v="ORD00105"/>
    <s v="PRD022"/>
    <n v="1"/>
    <n v="55000"/>
    <x v="4"/>
    <n v="55000"/>
    <n v="25000"/>
    <n v="30000"/>
  </r>
  <r>
    <s v="ITM00186"/>
    <s v="ORD00106"/>
    <s v="PRD005"/>
    <n v="1"/>
    <n v="39000"/>
    <x v="2"/>
    <n v="39000"/>
    <n v="15000"/>
    <n v="24000"/>
  </r>
  <r>
    <s v="ITM00187"/>
    <s v="ORD00107"/>
    <s v="PRD022"/>
    <n v="2"/>
    <n v="55000"/>
    <x v="4"/>
    <n v="110000"/>
    <n v="25000"/>
    <n v="60000"/>
  </r>
  <r>
    <s v="ITM00188"/>
    <s v="ORD00108"/>
    <s v="PRD021"/>
    <n v="1"/>
    <n v="69000"/>
    <x v="0"/>
    <n v="69000"/>
    <n v="30000"/>
    <n v="39000"/>
  </r>
  <r>
    <s v="ITM00189"/>
    <s v="ORD00108"/>
    <s v="PRD005"/>
    <n v="2"/>
    <n v="39000"/>
    <x v="2"/>
    <n v="78000"/>
    <n v="15000"/>
    <n v="48000"/>
  </r>
  <r>
    <s v="ITM00190"/>
    <s v="ORD00108"/>
    <s v="PRD002"/>
    <n v="1"/>
    <n v="159000"/>
    <x v="14"/>
    <n v="159000"/>
    <n v="80000"/>
    <n v="79000"/>
  </r>
  <r>
    <s v="ITM00191"/>
    <s v="ORD00109"/>
    <s v="PRD006"/>
    <n v="1"/>
    <n v="129000"/>
    <x v="10"/>
    <n v="129000"/>
    <n v="60000"/>
    <n v="69000"/>
  </r>
  <r>
    <s v="ITM00192"/>
    <s v="ORD00109"/>
    <s v="PRD020"/>
    <n v="1"/>
    <n v="179000"/>
    <x v="1"/>
    <n v="179000"/>
    <n v="90000"/>
    <n v="89000"/>
  </r>
  <r>
    <s v="ITM00193"/>
    <s v="ORD00110"/>
    <s v="PRD008"/>
    <n v="1"/>
    <n v="399000"/>
    <x v="12"/>
    <n v="399000"/>
    <n v="200000"/>
    <n v="199000"/>
  </r>
  <r>
    <s v="ITM00194"/>
    <s v="ORD00110"/>
    <s v="PRD017"/>
    <n v="1"/>
    <n v="329000"/>
    <x v="7"/>
    <n v="329000"/>
    <n v="180000"/>
    <n v="149000"/>
  </r>
  <r>
    <s v="ITM00195"/>
    <s v="ORD00111"/>
    <s v="PRD021"/>
    <n v="2"/>
    <n v="69000"/>
    <x v="0"/>
    <n v="138000"/>
    <n v="30000"/>
    <n v="78000"/>
  </r>
  <r>
    <s v="ITM00196"/>
    <s v="ORD00112"/>
    <s v="PRD005"/>
    <n v="1"/>
    <n v="39000"/>
    <x v="2"/>
    <n v="39000"/>
    <n v="15000"/>
    <n v="24000"/>
  </r>
  <r>
    <s v="ITM00197"/>
    <s v="ORD00112"/>
    <s v="PRD021"/>
    <n v="1"/>
    <n v="69000"/>
    <x v="0"/>
    <n v="69000"/>
    <n v="30000"/>
    <n v="39000"/>
  </r>
  <r>
    <s v="ITM00198"/>
    <s v="ORD00113"/>
    <s v="PRD020"/>
    <n v="1"/>
    <n v="179000"/>
    <x v="1"/>
    <n v="179000"/>
    <n v="90000"/>
    <n v="89000"/>
  </r>
  <r>
    <s v="ITM00199"/>
    <s v="ORD00114"/>
    <s v="PRD009"/>
    <n v="1"/>
    <n v="79000"/>
    <x v="3"/>
    <n v="79000"/>
    <n v="35000"/>
    <n v="44000"/>
  </r>
  <r>
    <s v="ITM00200"/>
    <s v="ORD00115"/>
    <s v="PRD021"/>
    <n v="1"/>
    <n v="69000"/>
    <x v="0"/>
    <n v="69000"/>
    <n v="30000"/>
    <n v="39000"/>
  </r>
  <r>
    <s v="ITM00201"/>
    <s v="ORD00116"/>
    <s v="PRD005"/>
    <n v="2"/>
    <n v="39000"/>
    <x v="2"/>
    <n v="78000"/>
    <n v="15000"/>
    <n v="48000"/>
  </r>
  <r>
    <s v="ITM00202"/>
    <s v="ORD00116"/>
    <s v="PRD020"/>
    <n v="2"/>
    <n v="179000"/>
    <x v="1"/>
    <n v="358000"/>
    <n v="90000"/>
    <n v="178000"/>
  </r>
  <r>
    <s v="ITM00203"/>
    <s v="ORD00116"/>
    <s v="PRD021"/>
    <n v="1"/>
    <n v="69000"/>
    <x v="0"/>
    <n v="69000"/>
    <n v="30000"/>
    <n v="39000"/>
  </r>
  <r>
    <s v="ITM00204"/>
    <s v="ORD00117"/>
    <s v="PRD020"/>
    <n v="1"/>
    <n v="179000"/>
    <x v="1"/>
    <n v="179000"/>
    <n v="90000"/>
    <n v="89000"/>
  </r>
  <r>
    <s v="ITM00205"/>
    <s v="ORD00117"/>
    <s v="PRD021"/>
    <n v="2"/>
    <n v="69000"/>
    <x v="0"/>
    <n v="138000"/>
    <n v="30000"/>
    <n v="78000"/>
  </r>
  <r>
    <s v="ITM00206"/>
    <s v="ORD00117"/>
    <s v="PRD017"/>
    <n v="1"/>
    <n v="329000"/>
    <x v="7"/>
    <n v="329000"/>
    <n v="180000"/>
    <n v="149000"/>
  </r>
  <r>
    <s v="ITM00207"/>
    <s v="ORD00118"/>
    <s v="PRD021"/>
    <n v="3"/>
    <n v="69000"/>
    <x v="0"/>
    <n v="207000"/>
    <n v="30000"/>
    <n v="117000"/>
  </r>
  <r>
    <s v="ITM00208"/>
    <s v="ORD00119"/>
    <s v="PRD021"/>
    <n v="2"/>
    <n v="69000"/>
    <x v="0"/>
    <n v="138000"/>
    <n v="30000"/>
    <n v="78000"/>
  </r>
  <r>
    <s v="ITM00209"/>
    <s v="ORD00119"/>
    <s v="PRD019"/>
    <n v="1"/>
    <n v="79000"/>
    <x v="13"/>
    <n v="79000"/>
    <n v="35000"/>
    <n v="44000"/>
  </r>
  <r>
    <s v="ITM00210"/>
    <s v="ORD00120"/>
    <s v="PRD005"/>
    <n v="1"/>
    <n v="39000"/>
    <x v="2"/>
    <n v="39000"/>
    <n v="15000"/>
    <n v="24000"/>
  </r>
  <r>
    <s v="ITM00211"/>
    <s v="ORD00121"/>
    <s v="PRD005"/>
    <n v="1"/>
    <n v="39000"/>
    <x v="2"/>
    <n v="39000"/>
    <n v="15000"/>
    <n v="24000"/>
  </r>
  <r>
    <s v="ITM00212"/>
    <s v="ORD00121"/>
    <s v="PRD022"/>
    <n v="2"/>
    <n v="55000"/>
    <x v="4"/>
    <n v="110000"/>
    <n v="25000"/>
    <n v="60000"/>
  </r>
  <r>
    <s v="ITM00213"/>
    <s v="ORD00121"/>
    <s v="PRD014"/>
    <n v="2"/>
    <n v="349000"/>
    <x v="9"/>
    <n v="698000"/>
    <n v="180000"/>
    <n v="338000"/>
  </r>
  <r>
    <s v="ITM00214"/>
    <s v="ORD00122"/>
    <s v="PRD020"/>
    <n v="2"/>
    <n v="179000"/>
    <x v="1"/>
    <n v="358000"/>
    <n v="90000"/>
    <n v="178000"/>
  </r>
  <r>
    <s v="ITM00215"/>
    <s v="ORD00122"/>
    <s v="PRD014"/>
    <n v="3"/>
    <n v="349000"/>
    <x v="9"/>
    <n v="1047000"/>
    <n v="180000"/>
    <n v="507000"/>
  </r>
  <r>
    <s v="ITM00216"/>
    <s v="ORD00122"/>
    <s v="PRD021"/>
    <n v="1"/>
    <n v="69000"/>
    <x v="0"/>
    <n v="69000"/>
    <n v="30000"/>
    <n v="39000"/>
  </r>
  <r>
    <s v="ITM00217"/>
    <s v="ORD00123"/>
    <s v="PRD009"/>
    <n v="1"/>
    <n v="79000"/>
    <x v="3"/>
    <n v="79000"/>
    <n v="35000"/>
    <n v="44000"/>
  </r>
  <r>
    <s v="ITM00218"/>
    <s v="ORD00124"/>
    <s v="PRD021"/>
    <n v="1"/>
    <n v="69000"/>
    <x v="0"/>
    <n v="69000"/>
    <n v="30000"/>
    <n v="39000"/>
  </r>
  <r>
    <s v="ITM00219"/>
    <s v="ORD00125"/>
    <s v="PRD014"/>
    <n v="1"/>
    <n v="349000"/>
    <x v="9"/>
    <n v="349000"/>
    <n v="180000"/>
    <n v="169000"/>
  </r>
  <r>
    <s v="ITM00220"/>
    <s v="ORD00125"/>
    <s v="PRD005"/>
    <n v="1"/>
    <n v="39000"/>
    <x v="2"/>
    <n v="39000"/>
    <n v="15000"/>
    <n v="24000"/>
  </r>
  <r>
    <s v="ITM00221"/>
    <s v="ORD00126"/>
    <s v="PRD005"/>
    <n v="1"/>
    <n v="39000"/>
    <x v="2"/>
    <n v="39000"/>
    <n v="15000"/>
    <n v="24000"/>
  </r>
  <r>
    <s v="ITM00222"/>
    <s v="ORD00126"/>
    <s v="PRD021"/>
    <n v="2"/>
    <n v="69000"/>
    <x v="0"/>
    <n v="138000"/>
    <n v="30000"/>
    <n v="78000"/>
  </r>
  <r>
    <s v="ITM00223"/>
    <s v="ORD00127"/>
    <s v="PRD005"/>
    <n v="1"/>
    <n v="39000"/>
    <x v="2"/>
    <n v="39000"/>
    <n v="15000"/>
    <n v="24000"/>
  </r>
  <r>
    <s v="ITM00224"/>
    <s v="ORD00127"/>
    <s v="PRD022"/>
    <n v="1"/>
    <n v="55000"/>
    <x v="4"/>
    <n v="55000"/>
    <n v="25000"/>
    <n v="30000"/>
  </r>
  <r>
    <s v="ITM00225"/>
    <s v="ORD00128"/>
    <s v="PRD021"/>
    <n v="1"/>
    <n v="69000"/>
    <x v="0"/>
    <n v="69000"/>
    <n v="30000"/>
    <n v="39000"/>
  </r>
  <r>
    <s v="ITM00226"/>
    <s v="ORD00129"/>
    <s v="PRD005"/>
    <n v="1"/>
    <n v="39000"/>
    <x v="2"/>
    <n v="39000"/>
    <n v="15000"/>
    <n v="24000"/>
  </r>
  <r>
    <s v="ITM00227"/>
    <s v="ORD00129"/>
    <s v="PRD003"/>
    <n v="1"/>
    <n v="499000"/>
    <x v="11"/>
    <n v="499000"/>
    <n v="250000"/>
    <n v="249000"/>
  </r>
  <r>
    <s v="ITM00228"/>
    <s v="ORD00130"/>
    <s v="PRD021"/>
    <n v="1"/>
    <n v="69000"/>
    <x v="0"/>
    <n v="69000"/>
    <n v="30000"/>
    <n v="39000"/>
  </r>
  <r>
    <s v="ITM00229"/>
    <s v="ORD00131"/>
    <s v="PRD020"/>
    <n v="1"/>
    <n v="179000"/>
    <x v="1"/>
    <n v="179000"/>
    <n v="90000"/>
    <n v="89000"/>
  </r>
  <r>
    <s v="ITM00230"/>
    <s v="ORD00132"/>
    <s v="PRD005"/>
    <n v="1"/>
    <n v="39000"/>
    <x v="2"/>
    <n v="39000"/>
    <n v="15000"/>
    <n v="24000"/>
  </r>
  <r>
    <s v="ITM00231"/>
    <s v="ORD00133"/>
    <s v="PRD022"/>
    <n v="1"/>
    <n v="55000"/>
    <x v="4"/>
    <n v="55000"/>
    <n v="25000"/>
    <n v="30000"/>
  </r>
  <r>
    <s v="ITM00232"/>
    <s v="ORD00133"/>
    <s v="PRD002"/>
    <n v="1"/>
    <n v="159000"/>
    <x v="14"/>
    <n v="159000"/>
    <n v="80000"/>
    <n v="79000"/>
  </r>
  <r>
    <s v="ITM00233"/>
    <s v="ORD00133"/>
    <s v="PRD021"/>
    <n v="1"/>
    <n v="69000"/>
    <x v="0"/>
    <n v="69000"/>
    <n v="30000"/>
    <n v="39000"/>
  </r>
  <r>
    <s v="ITM00234"/>
    <s v="ORD00133"/>
    <s v="PRD020"/>
    <n v="1"/>
    <n v="179000"/>
    <x v="1"/>
    <n v="179000"/>
    <n v="90000"/>
    <n v="89000"/>
  </r>
  <r>
    <s v="ITM00235"/>
    <s v="ORD00134"/>
    <s v="PRD022"/>
    <n v="1"/>
    <n v="55000"/>
    <x v="4"/>
    <n v="55000"/>
    <n v="25000"/>
    <n v="30000"/>
  </r>
  <r>
    <s v="ITM00236"/>
    <s v="ORD00135"/>
    <s v="PRD021"/>
    <n v="1"/>
    <n v="69000"/>
    <x v="0"/>
    <n v="69000"/>
    <n v="30000"/>
    <n v="39000"/>
  </r>
  <r>
    <s v="ITM00237"/>
    <s v="ORD00136"/>
    <s v="PRD002"/>
    <n v="2"/>
    <n v="159000"/>
    <x v="14"/>
    <n v="318000"/>
    <n v="80000"/>
    <n v="158000"/>
  </r>
  <r>
    <s v="ITM00238"/>
    <s v="ORD00137"/>
    <s v="PRD022"/>
    <n v="1"/>
    <n v="55000"/>
    <x v="4"/>
    <n v="55000"/>
    <n v="25000"/>
    <n v="30000"/>
  </r>
  <r>
    <s v="ITM00239"/>
    <s v="ORD00138"/>
    <s v="PRD021"/>
    <n v="1"/>
    <n v="69000"/>
    <x v="0"/>
    <n v="69000"/>
    <n v="30000"/>
    <n v="39000"/>
  </r>
  <r>
    <s v="ITM00240"/>
    <s v="ORD00139"/>
    <s v="PRD021"/>
    <n v="2"/>
    <n v="69000"/>
    <x v="0"/>
    <n v="138000"/>
    <n v="30000"/>
    <n v="78000"/>
  </r>
  <r>
    <s v="ITM00241"/>
    <s v="ORD00140"/>
    <s v="PRD021"/>
    <n v="3"/>
    <n v="69000"/>
    <x v="0"/>
    <n v="207000"/>
    <n v="30000"/>
    <n v="117000"/>
  </r>
  <r>
    <s v="ITM00242"/>
    <s v="ORD00141"/>
    <s v="PRD021"/>
    <n v="1"/>
    <n v="69000"/>
    <x v="0"/>
    <n v="69000"/>
    <n v="30000"/>
    <n v="39000"/>
  </r>
  <r>
    <s v="ITM00243"/>
    <s v="ORD00141"/>
    <s v="PRD014"/>
    <n v="1"/>
    <n v="349000"/>
    <x v="9"/>
    <n v="349000"/>
    <n v="180000"/>
    <n v="169000"/>
  </r>
  <r>
    <s v="ITM00244"/>
    <s v="ORD00142"/>
    <s v="PRD012"/>
    <n v="1"/>
    <n v="229000"/>
    <x v="5"/>
    <n v="229000"/>
    <n v="110000"/>
    <n v="119000"/>
  </r>
  <r>
    <s v="ITM00245"/>
    <s v="ORD00143"/>
    <s v="PRD015"/>
    <n v="1"/>
    <n v="139000"/>
    <x v="18"/>
    <n v="139000"/>
    <n v="60000"/>
    <n v="79000"/>
  </r>
  <r>
    <s v="ITM00246"/>
    <s v="ORD00143"/>
    <s v="PRD002"/>
    <n v="1"/>
    <n v="159000"/>
    <x v="14"/>
    <n v="159000"/>
    <n v="80000"/>
    <n v="79000"/>
  </r>
  <r>
    <s v="ITM00247"/>
    <s v="ORD00144"/>
    <s v="PRD021"/>
    <n v="1"/>
    <n v="69000"/>
    <x v="0"/>
    <n v="69000"/>
    <n v="30000"/>
    <n v="39000"/>
  </r>
  <r>
    <s v="ITM00248"/>
    <s v="ORD00145"/>
    <s v="PRD005"/>
    <n v="1"/>
    <n v="39000"/>
    <x v="2"/>
    <n v="39000"/>
    <n v="15000"/>
    <n v="24000"/>
  </r>
  <r>
    <s v="ITM00249"/>
    <s v="ORD00146"/>
    <s v="PRD021"/>
    <n v="1"/>
    <n v="69000"/>
    <x v="0"/>
    <n v="69000"/>
    <n v="30000"/>
    <n v="39000"/>
  </r>
  <r>
    <s v="ITM00250"/>
    <s v="ORD00146"/>
    <s v="PRD022"/>
    <n v="1"/>
    <n v="55000"/>
    <x v="4"/>
    <n v="55000"/>
    <n v="25000"/>
    <n v="30000"/>
  </r>
  <r>
    <s v="ITM00251"/>
    <s v="ORD00147"/>
    <s v="PRD021"/>
    <n v="1"/>
    <n v="69000"/>
    <x v="0"/>
    <n v="69000"/>
    <n v="30000"/>
    <n v="39000"/>
  </r>
  <r>
    <s v="ITM00252"/>
    <s v="ORD00147"/>
    <s v="PRD009"/>
    <n v="1"/>
    <n v="79000"/>
    <x v="3"/>
    <n v="79000"/>
    <n v="35000"/>
    <n v="44000"/>
  </r>
  <r>
    <s v="ITM00253"/>
    <s v="ORD00147"/>
    <s v="PRD005"/>
    <n v="1"/>
    <n v="39000"/>
    <x v="2"/>
    <n v="39000"/>
    <n v="15000"/>
    <n v="24000"/>
  </r>
  <r>
    <s v="ITM00254"/>
    <s v="ORD00147"/>
    <s v="PRD017"/>
    <n v="1"/>
    <n v="329000"/>
    <x v="7"/>
    <n v="329000"/>
    <n v="180000"/>
    <n v="149000"/>
  </r>
  <r>
    <s v="ITM00255"/>
    <s v="ORD00148"/>
    <s v="PRD008"/>
    <n v="1"/>
    <n v="399000"/>
    <x v="12"/>
    <n v="399000"/>
    <n v="200000"/>
    <n v="199000"/>
  </r>
  <r>
    <s v="ITM00256"/>
    <s v="ORD00148"/>
    <s v="PRD021"/>
    <n v="1"/>
    <n v="69000"/>
    <x v="0"/>
    <n v="69000"/>
    <n v="30000"/>
    <n v="39000"/>
  </r>
  <r>
    <s v="ITM00257"/>
    <s v="ORD00149"/>
    <s v="PRD021"/>
    <n v="1"/>
    <n v="69000"/>
    <x v="0"/>
    <n v="69000"/>
    <n v="30000"/>
    <n v="39000"/>
  </r>
  <r>
    <s v="ITM00258"/>
    <s v="ORD00150"/>
    <s v="PRD006"/>
    <n v="2"/>
    <n v="129000"/>
    <x v="10"/>
    <n v="258000"/>
    <n v="60000"/>
    <n v="138000"/>
  </r>
  <r>
    <s v="ITM00259"/>
    <s v="ORD00150"/>
    <s v="PRD022"/>
    <n v="1"/>
    <n v="55000"/>
    <x v="4"/>
    <n v="55000"/>
    <n v="25000"/>
    <n v="30000"/>
  </r>
  <r>
    <s v="ITM00260"/>
    <s v="ORD00151"/>
    <s v="PRD002"/>
    <n v="1"/>
    <n v="159000"/>
    <x v="14"/>
    <n v="159000"/>
    <n v="80000"/>
    <n v="79000"/>
  </r>
  <r>
    <s v="ITM00261"/>
    <s v="ORD00152"/>
    <s v="PRD021"/>
    <n v="2"/>
    <n v="69000"/>
    <x v="0"/>
    <n v="138000"/>
    <n v="30000"/>
    <n v="78000"/>
  </r>
  <r>
    <s v="ITM00262"/>
    <s v="ORD00153"/>
    <s v="PRD021"/>
    <n v="2"/>
    <n v="69000"/>
    <x v="0"/>
    <n v="138000"/>
    <n v="30000"/>
    <n v="78000"/>
  </r>
  <r>
    <s v="ITM00263"/>
    <s v="ORD00154"/>
    <s v="PRD021"/>
    <n v="1"/>
    <n v="69000"/>
    <x v="0"/>
    <n v="69000"/>
    <n v="30000"/>
    <n v="39000"/>
  </r>
  <r>
    <s v="ITM00264"/>
    <s v="ORD00154"/>
    <s v="PRD005"/>
    <n v="2"/>
    <n v="39000"/>
    <x v="2"/>
    <n v="78000"/>
    <n v="15000"/>
    <n v="48000"/>
  </r>
  <r>
    <s v="ITM00265"/>
    <s v="ORD00154"/>
    <s v="PRD014"/>
    <n v="1"/>
    <n v="349000"/>
    <x v="9"/>
    <n v="349000"/>
    <n v="180000"/>
    <n v="169000"/>
  </r>
  <r>
    <s v="ITM00266"/>
    <s v="ORD00155"/>
    <s v="PRD021"/>
    <n v="1"/>
    <n v="69000"/>
    <x v="0"/>
    <n v="69000"/>
    <n v="30000"/>
    <n v="39000"/>
  </r>
  <r>
    <s v="ITM00267"/>
    <s v="ORD00156"/>
    <s v="PRD005"/>
    <n v="1"/>
    <n v="39000"/>
    <x v="2"/>
    <n v="39000"/>
    <n v="15000"/>
    <n v="24000"/>
  </r>
  <r>
    <s v="ITM00268"/>
    <s v="ORD00156"/>
    <s v="PRD014"/>
    <n v="1"/>
    <n v="349000"/>
    <x v="9"/>
    <n v="349000"/>
    <n v="180000"/>
    <n v="169000"/>
  </r>
  <r>
    <s v="ITM00269"/>
    <s v="ORD00157"/>
    <s v="PRD023"/>
    <n v="2"/>
    <n v="139000"/>
    <x v="8"/>
    <n v="278000"/>
    <n v="65000"/>
    <n v="148000"/>
  </r>
  <r>
    <s v="ITM00270"/>
    <s v="ORD00157"/>
    <s v="PRD005"/>
    <n v="1"/>
    <n v="39000"/>
    <x v="2"/>
    <n v="39000"/>
    <n v="15000"/>
    <n v="24000"/>
  </r>
  <r>
    <s v="ITM00271"/>
    <s v="ORD00158"/>
    <s v="PRD021"/>
    <n v="1"/>
    <n v="69000"/>
    <x v="0"/>
    <n v="69000"/>
    <n v="30000"/>
    <n v="39000"/>
  </r>
  <r>
    <s v="ITM00272"/>
    <s v="ORD00159"/>
    <s v="PRD005"/>
    <n v="1"/>
    <n v="39000"/>
    <x v="2"/>
    <n v="39000"/>
    <n v="15000"/>
    <n v="24000"/>
  </r>
  <r>
    <s v="ITM00273"/>
    <s v="ORD00160"/>
    <s v="PRD007"/>
    <n v="1"/>
    <n v="99000"/>
    <x v="6"/>
    <n v="99000"/>
    <n v="45000"/>
    <n v="54000"/>
  </r>
  <r>
    <s v="ITM00274"/>
    <s v="ORD00160"/>
    <s v="PRD021"/>
    <n v="1"/>
    <n v="69000"/>
    <x v="0"/>
    <n v="69000"/>
    <n v="30000"/>
    <n v="39000"/>
  </r>
  <r>
    <s v="ITM00275"/>
    <s v="ORD00161"/>
    <s v="PRD021"/>
    <n v="3"/>
    <n v="69000"/>
    <x v="0"/>
    <n v="207000"/>
    <n v="30000"/>
    <n v="117000"/>
  </r>
  <r>
    <s v="ITM00276"/>
    <s v="ORD00161"/>
    <s v="PRD020"/>
    <n v="1"/>
    <n v="179000"/>
    <x v="1"/>
    <n v="179000"/>
    <n v="90000"/>
    <n v="89000"/>
  </r>
  <r>
    <s v="ITM00277"/>
    <s v="ORD00161"/>
    <s v="PRD017"/>
    <n v="1"/>
    <n v="329000"/>
    <x v="7"/>
    <n v="329000"/>
    <n v="180000"/>
    <n v="149000"/>
  </r>
  <r>
    <s v="ITM00278"/>
    <s v="ORD00161"/>
    <s v="PRD003"/>
    <n v="1"/>
    <n v="499000"/>
    <x v="11"/>
    <n v="499000"/>
    <n v="250000"/>
    <n v="249000"/>
  </r>
  <r>
    <s v="ITM00279"/>
    <s v="ORD00162"/>
    <s v="PRD021"/>
    <n v="1"/>
    <n v="69000"/>
    <x v="0"/>
    <n v="69000"/>
    <n v="30000"/>
    <n v="39000"/>
  </r>
  <r>
    <s v="ITM00280"/>
    <s v="ORD00163"/>
    <s v="PRD006"/>
    <n v="3"/>
    <n v="129000"/>
    <x v="10"/>
    <n v="387000"/>
    <n v="60000"/>
    <n v="207000"/>
  </r>
  <r>
    <s v="ITM00281"/>
    <s v="ORD00163"/>
    <s v="PRD012"/>
    <n v="1"/>
    <n v="229000"/>
    <x v="5"/>
    <n v="229000"/>
    <n v="110000"/>
    <n v="119000"/>
  </r>
  <r>
    <s v="ITM00282"/>
    <s v="ORD00163"/>
    <s v="PRD005"/>
    <n v="2"/>
    <n v="39000"/>
    <x v="2"/>
    <n v="78000"/>
    <n v="15000"/>
    <n v="48000"/>
  </r>
  <r>
    <s v="ITM00283"/>
    <s v="ORD00164"/>
    <s v="PRD021"/>
    <n v="1"/>
    <n v="69000"/>
    <x v="0"/>
    <n v="69000"/>
    <n v="30000"/>
    <n v="39000"/>
  </r>
  <r>
    <s v="ITM00284"/>
    <s v="ORD00165"/>
    <s v="PRD004"/>
    <n v="1"/>
    <n v="199000"/>
    <x v="19"/>
    <n v="199000"/>
    <n v="100000"/>
    <n v="99000"/>
  </r>
  <r>
    <s v="ITM00285"/>
    <s v="ORD00165"/>
    <s v="PRD008"/>
    <n v="1"/>
    <n v="399000"/>
    <x v="12"/>
    <n v="399000"/>
    <n v="200000"/>
    <n v="199000"/>
  </r>
  <r>
    <s v="ITM00286"/>
    <s v="ORD00166"/>
    <s v="PRD021"/>
    <n v="2"/>
    <n v="69000"/>
    <x v="0"/>
    <n v="138000"/>
    <n v="30000"/>
    <n v="78000"/>
  </r>
  <r>
    <s v="ITM00287"/>
    <s v="ORD00166"/>
    <s v="PRD008"/>
    <n v="1"/>
    <n v="399000"/>
    <x v="12"/>
    <n v="399000"/>
    <n v="200000"/>
    <n v="199000"/>
  </r>
  <r>
    <s v="ITM00288"/>
    <s v="ORD00167"/>
    <s v="PRD012"/>
    <n v="1"/>
    <n v="229000"/>
    <x v="5"/>
    <n v="229000"/>
    <n v="110000"/>
    <n v="119000"/>
  </r>
  <r>
    <s v="ITM00289"/>
    <s v="ORD00167"/>
    <s v="PRD019"/>
    <n v="1"/>
    <n v="79000"/>
    <x v="13"/>
    <n v="79000"/>
    <n v="35000"/>
    <n v="44000"/>
  </r>
  <r>
    <s v="ITM00290"/>
    <s v="ORD00168"/>
    <s v="PRD021"/>
    <n v="1"/>
    <n v="69000"/>
    <x v="0"/>
    <n v="69000"/>
    <n v="30000"/>
    <n v="39000"/>
  </r>
  <r>
    <s v="ITM00291"/>
    <s v="ORD00168"/>
    <s v="PRD008"/>
    <n v="1"/>
    <n v="399000"/>
    <x v="12"/>
    <n v="399000"/>
    <n v="200000"/>
    <n v="199000"/>
  </r>
  <r>
    <s v="ITM00292"/>
    <s v="ORD00168"/>
    <s v="PRD005"/>
    <n v="1"/>
    <n v="39000"/>
    <x v="2"/>
    <n v="39000"/>
    <n v="15000"/>
    <n v="24000"/>
  </r>
  <r>
    <s v="ITM00293"/>
    <s v="ORD00169"/>
    <s v="PRD005"/>
    <n v="1"/>
    <n v="39000"/>
    <x v="2"/>
    <n v="39000"/>
    <n v="15000"/>
    <n v="24000"/>
  </r>
  <r>
    <s v="ITM00294"/>
    <s v="ORD00169"/>
    <s v="PRD021"/>
    <n v="2"/>
    <n v="69000"/>
    <x v="0"/>
    <n v="138000"/>
    <n v="30000"/>
    <n v="78000"/>
  </r>
  <r>
    <s v="ITM00295"/>
    <s v="ORD00169"/>
    <s v="PRD022"/>
    <n v="1"/>
    <n v="55000"/>
    <x v="4"/>
    <n v="55000"/>
    <n v="25000"/>
    <n v="30000"/>
  </r>
  <r>
    <s v="ITM00296"/>
    <s v="ORD00170"/>
    <s v="PRD021"/>
    <n v="1"/>
    <n v="69000"/>
    <x v="0"/>
    <n v="69000"/>
    <n v="30000"/>
    <n v="39000"/>
  </r>
  <r>
    <s v="ITM00297"/>
    <s v="ORD00170"/>
    <s v="PRD005"/>
    <n v="1"/>
    <n v="39000"/>
    <x v="2"/>
    <n v="39000"/>
    <n v="15000"/>
    <n v="24000"/>
  </r>
  <r>
    <s v="ITM00298"/>
    <s v="ORD00170"/>
    <s v="PRD017"/>
    <n v="2"/>
    <n v="329000"/>
    <x v="7"/>
    <n v="658000"/>
    <n v="180000"/>
    <n v="298000"/>
  </r>
  <r>
    <s v="ITM00299"/>
    <s v="ORD00171"/>
    <s v="PRD019"/>
    <n v="1"/>
    <n v="79000"/>
    <x v="13"/>
    <n v="79000"/>
    <n v="35000"/>
    <n v="44000"/>
  </r>
  <r>
    <s v="ITM00300"/>
    <s v="ORD00172"/>
    <s v="PRD021"/>
    <n v="1"/>
    <n v="69000"/>
    <x v="0"/>
    <n v="69000"/>
    <n v="30000"/>
    <n v="39000"/>
  </r>
  <r>
    <s v="ITM00301"/>
    <s v="ORD00173"/>
    <s v="PRD005"/>
    <n v="1"/>
    <n v="39000"/>
    <x v="2"/>
    <n v="39000"/>
    <n v="15000"/>
    <n v="24000"/>
  </r>
  <r>
    <s v="ITM00302"/>
    <s v="ORD00174"/>
    <s v="PRD005"/>
    <n v="2"/>
    <n v="39000"/>
    <x v="2"/>
    <n v="78000"/>
    <n v="15000"/>
    <n v="48000"/>
  </r>
  <r>
    <s v="ITM00303"/>
    <s v="ORD00175"/>
    <s v="PRD021"/>
    <n v="1"/>
    <n v="69000"/>
    <x v="0"/>
    <n v="69000"/>
    <n v="30000"/>
    <n v="39000"/>
  </r>
  <r>
    <s v="ITM00304"/>
    <s v="ORD00175"/>
    <s v="PRD005"/>
    <n v="1"/>
    <n v="39000"/>
    <x v="2"/>
    <n v="39000"/>
    <n v="15000"/>
    <n v="24000"/>
  </r>
  <r>
    <s v="ITM00305"/>
    <s v="ORD00176"/>
    <s v="PRD005"/>
    <n v="1"/>
    <n v="39000"/>
    <x v="2"/>
    <n v="39000"/>
    <n v="15000"/>
    <n v="24000"/>
  </r>
  <r>
    <s v="ITM00306"/>
    <s v="ORD00177"/>
    <s v="PRD021"/>
    <n v="2"/>
    <n v="69000"/>
    <x v="0"/>
    <n v="138000"/>
    <n v="30000"/>
    <n v="78000"/>
  </r>
  <r>
    <s v="ITM00307"/>
    <s v="ORD00178"/>
    <s v="PRD014"/>
    <n v="1"/>
    <n v="349000"/>
    <x v="9"/>
    <n v="349000"/>
    <n v="180000"/>
    <n v="169000"/>
  </r>
  <r>
    <s v="ITM00308"/>
    <s v="ORD00179"/>
    <s v="PRD002"/>
    <n v="3"/>
    <n v="159000"/>
    <x v="14"/>
    <n v="477000"/>
    <n v="80000"/>
    <n v="237000"/>
  </r>
  <r>
    <s v="ITM00309"/>
    <s v="ORD00180"/>
    <s v="PRD009"/>
    <n v="1"/>
    <n v="79000"/>
    <x v="3"/>
    <n v="79000"/>
    <n v="35000"/>
    <n v="44000"/>
  </r>
  <r>
    <s v="ITM00310"/>
    <s v="ORD00181"/>
    <s v="PRD005"/>
    <n v="2"/>
    <n v="39000"/>
    <x v="2"/>
    <n v="78000"/>
    <n v="15000"/>
    <n v="48000"/>
  </r>
  <r>
    <s v="ITM00311"/>
    <s v="ORD00182"/>
    <s v="PRD021"/>
    <n v="1"/>
    <n v="69000"/>
    <x v="0"/>
    <n v="69000"/>
    <n v="30000"/>
    <n v="39000"/>
  </r>
  <r>
    <s v="ITM00312"/>
    <s v="ORD00182"/>
    <s v="PRD012"/>
    <n v="1"/>
    <n v="229000"/>
    <x v="5"/>
    <n v="229000"/>
    <n v="110000"/>
    <n v="119000"/>
  </r>
  <r>
    <s v="ITM00313"/>
    <s v="ORD00183"/>
    <s v="PRD014"/>
    <n v="1"/>
    <n v="349000"/>
    <x v="9"/>
    <n v="349000"/>
    <n v="180000"/>
    <n v="169000"/>
  </r>
  <r>
    <s v="ITM00314"/>
    <s v="ORD00183"/>
    <s v="PRD006"/>
    <n v="3"/>
    <n v="129000"/>
    <x v="10"/>
    <n v="387000"/>
    <n v="60000"/>
    <n v="207000"/>
  </r>
  <r>
    <s v="ITM00315"/>
    <s v="ORD00184"/>
    <s v="PRD009"/>
    <n v="1"/>
    <n v="79000"/>
    <x v="3"/>
    <n v="79000"/>
    <n v="35000"/>
    <n v="44000"/>
  </r>
  <r>
    <s v="ITM00316"/>
    <s v="ORD00185"/>
    <s v="PRD021"/>
    <n v="1"/>
    <n v="69000"/>
    <x v="0"/>
    <n v="69000"/>
    <n v="30000"/>
    <n v="39000"/>
  </r>
  <r>
    <s v="ITM00317"/>
    <s v="ORD00186"/>
    <s v="PRD021"/>
    <n v="1"/>
    <n v="69000"/>
    <x v="0"/>
    <n v="69000"/>
    <n v="30000"/>
    <n v="39000"/>
  </r>
  <r>
    <s v="ITM00318"/>
    <s v="ORD00186"/>
    <s v="PRD005"/>
    <n v="1"/>
    <n v="39000"/>
    <x v="2"/>
    <n v="39000"/>
    <n v="15000"/>
    <n v="24000"/>
  </r>
  <r>
    <s v="ITM00319"/>
    <s v="ORD00187"/>
    <s v="PRD021"/>
    <n v="1"/>
    <n v="69000"/>
    <x v="0"/>
    <n v="69000"/>
    <n v="30000"/>
    <n v="39000"/>
  </r>
  <r>
    <s v="ITM00320"/>
    <s v="ORD00188"/>
    <s v="PRD021"/>
    <n v="1"/>
    <n v="69000"/>
    <x v="0"/>
    <n v="69000"/>
    <n v="30000"/>
    <n v="39000"/>
  </r>
  <r>
    <s v="ITM00321"/>
    <s v="ORD00188"/>
    <s v="PRD005"/>
    <n v="1"/>
    <n v="39000"/>
    <x v="2"/>
    <n v="39000"/>
    <n v="15000"/>
    <n v="24000"/>
  </r>
  <r>
    <s v="ITM00322"/>
    <s v="ORD00189"/>
    <s v="PRD021"/>
    <n v="1"/>
    <n v="69000"/>
    <x v="0"/>
    <n v="69000"/>
    <n v="30000"/>
    <n v="39000"/>
  </r>
  <r>
    <s v="ITM00323"/>
    <s v="ORD00189"/>
    <s v="PRD002"/>
    <n v="2"/>
    <n v="159000"/>
    <x v="14"/>
    <n v="318000"/>
    <n v="80000"/>
    <n v="158000"/>
  </r>
  <r>
    <s v="ITM00324"/>
    <s v="ORD00189"/>
    <s v="PRD006"/>
    <n v="1"/>
    <n v="129000"/>
    <x v="10"/>
    <n v="129000"/>
    <n v="60000"/>
    <n v="69000"/>
  </r>
  <r>
    <s v="ITM00325"/>
    <s v="ORD00189"/>
    <s v="PRD005"/>
    <n v="1"/>
    <n v="39000"/>
    <x v="2"/>
    <n v="39000"/>
    <n v="15000"/>
    <n v="24000"/>
  </r>
  <r>
    <s v="ITM00326"/>
    <s v="ORD00190"/>
    <s v="PRD020"/>
    <n v="1"/>
    <n v="179000"/>
    <x v="1"/>
    <n v="179000"/>
    <n v="90000"/>
    <n v="89000"/>
  </r>
  <r>
    <s v="ITM00327"/>
    <s v="ORD00190"/>
    <s v="PRD021"/>
    <n v="1"/>
    <n v="69000"/>
    <x v="0"/>
    <n v="69000"/>
    <n v="30000"/>
    <n v="39000"/>
  </r>
  <r>
    <s v="ITM00328"/>
    <s v="ORD00191"/>
    <s v="PRD009"/>
    <n v="1"/>
    <n v="79000"/>
    <x v="3"/>
    <n v="79000"/>
    <n v="35000"/>
    <n v="44000"/>
  </r>
  <r>
    <s v="ITM00329"/>
    <s v="ORD00192"/>
    <s v="PRD022"/>
    <n v="1"/>
    <n v="55000"/>
    <x v="4"/>
    <n v="55000"/>
    <n v="25000"/>
    <n v="30000"/>
  </r>
  <r>
    <s v="ITM00330"/>
    <s v="ORD00193"/>
    <s v="PRD021"/>
    <n v="2"/>
    <n v="69000"/>
    <x v="0"/>
    <n v="138000"/>
    <n v="30000"/>
    <n v="78000"/>
  </r>
  <r>
    <s v="ITM00331"/>
    <s v="ORD00194"/>
    <s v="PRD005"/>
    <n v="1"/>
    <n v="39000"/>
    <x v="2"/>
    <n v="39000"/>
    <n v="15000"/>
    <n v="24000"/>
  </r>
  <r>
    <s v="ITM00332"/>
    <s v="ORD00194"/>
    <s v="PRD022"/>
    <n v="1"/>
    <n v="55000"/>
    <x v="4"/>
    <n v="55000"/>
    <n v="25000"/>
    <n v="30000"/>
  </r>
  <r>
    <s v="ITM00333"/>
    <s v="ORD00195"/>
    <s v="PRD007"/>
    <n v="1"/>
    <n v="99000"/>
    <x v="6"/>
    <n v="99000"/>
    <n v="45000"/>
    <n v="54000"/>
  </r>
  <r>
    <s v="ITM00334"/>
    <s v="ORD00195"/>
    <s v="PRD020"/>
    <n v="1"/>
    <n v="179000"/>
    <x v="1"/>
    <n v="179000"/>
    <n v="90000"/>
    <n v="89000"/>
  </r>
  <r>
    <s v="ITM00335"/>
    <s v="ORD00196"/>
    <s v="PRD019"/>
    <n v="2"/>
    <n v="79000"/>
    <x v="13"/>
    <n v="158000"/>
    <n v="35000"/>
    <n v="88000"/>
  </r>
  <r>
    <s v="ITM00336"/>
    <s v="ORD00197"/>
    <s v="PRD021"/>
    <n v="1"/>
    <n v="69000"/>
    <x v="0"/>
    <n v="69000"/>
    <n v="30000"/>
    <n v="39000"/>
  </r>
  <r>
    <s v="ITM00337"/>
    <s v="ORD00197"/>
    <s v="PRD005"/>
    <n v="1"/>
    <n v="39000"/>
    <x v="2"/>
    <n v="39000"/>
    <n v="15000"/>
    <n v="24000"/>
  </r>
  <r>
    <s v="ITM00338"/>
    <s v="ORD00198"/>
    <s v="PRD017"/>
    <n v="1"/>
    <n v="329000"/>
    <x v="7"/>
    <n v="329000"/>
    <n v="180000"/>
    <n v="149000"/>
  </r>
  <r>
    <s v="ITM00339"/>
    <s v="ORD00199"/>
    <s v="PRD005"/>
    <n v="1"/>
    <n v="39000"/>
    <x v="2"/>
    <n v="39000"/>
    <n v="15000"/>
    <n v="24000"/>
  </r>
  <r>
    <s v="ITM00340"/>
    <s v="ORD00200"/>
    <s v="PRD021"/>
    <n v="2"/>
    <n v="69000"/>
    <x v="0"/>
    <n v="138000"/>
    <n v="30000"/>
    <n v="78000"/>
  </r>
  <r>
    <s v="ITM00341"/>
    <s v="ORD00200"/>
    <s v="PRD005"/>
    <n v="1"/>
    <n v="39000"/>
    <x v="2"/>
    <n v="39000"/>
    <n v="15000"/>
    <n v="24000"/>
  </r>
  <r>
    <s v="ITM00342"/>
    <s v="ORD00201"/>
    <s v="PRD021"/>
    <n v="2"/>
    <n v="69000"/>
    <x v="0"/>
    <n v="138000"/>
    <n v="30000"/>
    <n v="78000"/>
  </r>
  <r>
    <s v="ITM00343"/>
    <s v="ORD00201"/>
    <s v="PRD002"/>
    <n v="2"/>
    <n v="159000"/>
    <x v="14"/>
    <n v="318000"/>
    <n v="80000"/>
    <n v="158000"/>
  </r>
  <r>
    <s v="ITM00344"/>
    <s v="ORD00201"/>
    <s v="PRD020"/>
    <n v="1"/>
    <n v="179000"/>
    <x v="1"/>
    <n v="179000"/>
    <n v="90000"/>
    <n v="89000"/>
  </r>
  <r>
    <s v="ITM00345"/>
    <s v="ORD00202"/>
    <s v="PRD017"/>
    <n v="2"/>
    <n v="329000"/>
    <x v="7"/>
    <n v="658000"/>
    <n v="180000"/>
    <n v="298000"/>
  </r>
  <r>
    <s v="ITM00346"/>
    <s v="ORD00203"/>
    <s v="PRD002"/>
    <n v="1"/>
    <n v="159000"/>
    <x v="14"/>
    <n v="159000"/>
    <n v="80000"/>
    <n v="79000"/>
  </r>
  <r>
    <s v="ITM00347"/>
    <s v="ORD00203"/>
    <s v="PRD005"/>
    <n v="1"/>
    <n v="39000"/>
    <x v="2"/>
    <n v="39000"/>
    <n v="15000"/>
    <n v="24000"/>
  </r>
  <r>
    <s v="ITM00348"/>
    <s v="ORD00204"/>
    <s v="PRD017"/>
    <n v="1"/>
    <n v="329000"/>
    <x v="7"/>
    <n v="329000"/>
    <n v="180000"/>
    <n v="149000"/>
  </r>
  <r>
    <s v="ITM00349"/>
    <s v="ORD00204"/>
    <s v="PRD021"/>
    <n v="1"/>
    <n v="69000"/>
    <x v="0"/>
    <n v="69000"/>
    <n v="30000"/>
    <n v="39000"/>
  </r>
  <r>
    <s v="ITM00350"/>
    <s v="ORD00205"/>
    <s v="PRD021"/>
    <n v="1"/>
    <n v="69000"/>
    <x v="0"/>
    <n v="69000"/>
    <n v="30000"/>
    <n v="39000"/>
  </r>
  <r>
    <s v="ITM00351"/>
    <s v="ORD00206"/>
    <s v="PRD021"/>
    <n v="3"/>
    <n v="69000"/>
    <x v="0"/>
    <n v="207000"/>
    <n v="30000"/>
    <n v="117000"/>
  </r>
  <r>
    <s v="ITM00352"/>
    <s v="ORD00207"/>
    <s v="PRD014"/>
    <n v="1"/>
    <n v="349000"/>
    <x v="9"/>
    <n v="349000"/>
    <n v="180000"/>
    <n v="169000"/>
  </r>
  <r>
    <s v="ITM00353"/>
    <s v="ORD00207"/>
    <s v="PRD005"/>
    <n v="1"/>
    <n v="39000"/>
    <x v="2"/>
    <n v="39000"/>
    <n v="15000"/>
    <n v="24000"/>
  </r>
  <r>
    <s v="ITM00354"/>
    <s v="ORD00208"/>
    <s v="PRD021"/>
    <n v="1"/>
    <n v="69000"/>
    <x v="0"/>
    <n v="69000"/>
    <n v="30000"/>
    <n v="39000"/>
  </r>
  <r>
    <s v="ITM00355"/>
    <s v="ORD00208"/>
    <s v="PRD008"/>
    <n v="1"/>
    <n v="399000"/>
    <x v="12"/>
    <n v="399000"/>
    <n v="200000"/>
    <n v="199000"/>
  </r>
  <r>
    <s v="ITM00356"/>
    <s v="ORD00208"/>
    <s v="PRD005"/>
    <n v="1"/>
    <n v="39000"/>
    <x v="2"/>
    <n v="39000"/>
    <n v="15000"/>
    <n v="24000"/>
  </r>
  <r>
    <s v="ITM00357"/>
    <s v="ORD00209"/>
    <s v="PRD020"/>
    <n v="1"/>
    <n v="179000"/>
    <x v="1"/>
    <n v="179000"/>
    <n v="90000"/>
    <n v="89000"/>
  </r>
  <r>
    <s v="ITM00358"/>
    <s v="ORD00210"/>
    <s v="PRD021"/>
    <n v="1"/>
    <n v="69000"/>
    <x v="0"/>
    <n v="69000"/>
    <n v="30000"/>
    <n v="39000"/>
  </r>
  <r>
    <s v="ITM00359"/>
    <s v="ORD00211"/>
    <s v="PRD022"/>
    <n v="1"/>
    <n v="55000"/>
    <x v="4"/>
    <n v="55000"/>
    <n v="25000"/>
    <n v="30000"/>
  </r>
  <r>
    <s v="ITM00360"/>
    <s v="ORD00212"/>
    <s v="PRD017"/>
    <n v="3"/>
    <n v="329000"/>
    <x v="7"/>
    <n v="987000"/>
    <n v="180000"/>
    <n v="447000"/>
  </r>
  <r>
    <s v="ITM00361"/>
    <s v="ORD00213"/>
    <s v="PRD021"/>
    <n v="1"/>
    <n v="69000"/>
    <x v="0"/>
    <n v="69000"/>
    <n v="30000"/>
    <n v="39000"/>
  </r>
  <r>
    <s v="ITM00362"/>
    <s v="ORD00214"/>
    <s v="PRD005"/>
    <n v="1"/>
    <n v="39000"/>
    <x v="2"/>
    <n v="39000"/>
    <n v="15000"/>
    <n v="24000"/>
  </r>
  <r>
    <s v="ITM00363"/>
    <s v="ORD00215"/>
    <s v="PRD005"/>
    <n v="1"/>
    <n v="39000"/>
    <x v="2"/>
    <n v="39000"/>
    <n v="15000"/>
    <n v="24000"/>
  </r>
  <r>
    <s v="ITM00364"/>
    <s v="ORD00215"/>
    <s v="PRD008"/>
    <n v="1"/>
    <n v="399000"/>
    <x v="12"/>
    <n v="399000"/>
    <n v="200000"/>
    <n v="199000"/>
  </r>
  <r>
    <s v="ITM00365"/>
    <s v="ORD00215"/>
    <s v="PRD006"/>
    <n v="2"/>
    <n v="129000"/>
    <x v="10"/>
    <n v="258000"/>
    <n v="60000"/>
    <n v="138000"/>
  </r>
  <r>
    <s v="ITM00366"/>
    <s v="ORD00215"/>
    <s v="PRD017"/>
    <n v="1"/>
    <n v="329000"/>
    <x v="7"/>
    <n v="329000"/>
    <n v="180000"/>
    <n v="149000"/>
  </r>
  <r>
    <s v="ITM00367"/>
    <s v="ORD00216"/>
    <s v="PRD021"/>
    <n v="1"/>
    <n v="69000"/>
    <x v="0"/>
    <n v="69000"/>
    <n v="30000"/>
    <n v="39000"/>
  </r>
  <r>
    <s v="ITM00368"/>
    <s v="ORD00217"/>
    <s v="PRD014"/>
    <n v="1"/>
    <n v="349000"/>
    <x v="9"/>
    <n v="349000"/>
    <n v="180000"/>
    <n v="169000"/>
  </r>
  <r>
    <s v="ITM00369"/>
    <s v="ORD00217"/>
    <s v="PRD009"/>
    <n v="1"/>
    <n v="79000"/>
    <x v="3"/>
    <n v="79000"/>
    <n v="35000"/>
    <n v="44000"/>
  </r>
  <r>
    <s v="ITM00370"/>
    <s v="ORD00218"/>
    <s v="PRD014"/>
    <n v="2"/>
    <n v="349000"/>
    <x v="9"/>
    <n v="698000"/>
    <n v="180000"/>
    <n v="338000"/>
  </r>
  <r>
    <s v="ITM00371"/>
    <s v="ORD00219"/>
    <s v="PRD021"/>
    <n v="1"/>
    <n v="69000"/>
    <x v="0"/>
    <n v="69000"/>
    <n v="30000"/>
    <n v="39000"/>
  </r>
  <r>
    <s v="ITM00372"/>
    <s v="ORD00220"/>
    <s v="PRD009"/>
    <n v="1"/>
    <n v="79000"/>
    <x v="3"/>
    <n v="79000"/>
    <n v="35000"/>
    <n v="44000"/>
  </r>
  <r>
    <s v="ITM00373"/>
    <s v="ORD00220"/>
    <s v="PRD005"/>
    <n v="1"/>
    <n v="39000"/>
    <x v="2"/>
    <n v="39000"/>
    <n v="15000"/>
    <n v="24000"/>
  </r>
  <r>
    <s v="ITM00374"/>
    <s v="ORD00221"/>
    <s v="PRD005"/>
    <n v="1"/>
    <n v="39000"/>
    <x v="2"/>
    <n v="39000"/>
    <n v="15000"/>
    <n v="24000"/>
  </r>
  <r>
    <s v="ITM00375"/>
    <s v="ORD00221"/>
    <s v="PRD021"/>
    <n v="2"/>
    <n v="69000"/>
    <x v="0"/>
    <n v="138000"/>
    <n v="30000"/>
    <n v="78000"/>
  </r>
  <r>
    <s v="ITM00376"/>
    <s v="ORD00222"/>
    <s v="PRD021"/>
    <n v="1"/>
    <n v="69000"/>
    <x v="0"/>
    <n v="69000"/>
    <n v="30000"/>
    <n v="39000"/>
  </r>
  <r>
    <s v="ITM00377"/>
    <s v="ORD00223"/>
    <s v="PRD017"/>
    <n v="1"/>
    <n v="329000"/>
    <x v="7"/>
    <n v="329000"/>
    <n v="180000"/>
    <n v="149000"/>
  </r>
  <r>
    <s v="ITM00378"/>
    <s v="ORD00223"/>
    <s v="PRD014"/>
    <n v="1"/>
    <n v="349000"/>
    <x v="9"/>
    <n v="349000"/>
    <n v="180000"/>
    <n v="169000"/>
  </r>
  <r>
    <s v="ITM00379"/>
    <s v="ORD00224"/>
    <s v="PRD022"/>
    <n v="1"/>
    <n v="55000"/>
    <x v="4"/>
    <n v="55000"/>
    <n v="25000"/>
    <n v="30000"/>
  </r>
  <r>
    <s v="ITM00380"/>
    <s v="ORD00225"/>
    <s v="PRD009"/>
    <n v="1"/>
    <n v="79000"/>
    <x v="3"/>
    <n v="79000"/>
    <n v="35000"/>
    <n v="44000"/>
  </r>
  <r>
    <s v="ITM00381"/>
    <s v="ORD00226"/>
    <s v="PRD005"/>
    <n v="1"/>
    <n v="39000"/>
    <x v="2"/>
    <n v="39000"/>
    <n v="15000"/>
    <n v="24000"/>
  </r>
  <r>
    <s v="ITM00382"/>
    <s v="ORD00226"/>
    <s v="PRD006"/>
    <n v="2"/>
    <n v="129000"/>
    <x v="10"/>
    <n v="258000"/>
    <n v="60000"/>
    <n v="138000"/>
  </r>
  <r>
    <s v="ITM00383"/>
    <s v="ORD00227"/>
    <s v="PRD017"/>
    <n v="1"/>
    <n v="329000"/>
    <x v="7"/>
    <n v="329000"/>
    <n v="180000"/>
    <n v="149000"/>
  </r>
  <r>
    <s v="ITM00384"/>
    <s v="ORD00228"/>
    <s v="PRD017"/>
    <n v="1"/>
    <n v="329000"/>
    <x v="7"/>
    <n v="329000"/>
    <n v="180000"/>
    <n v="149000"/>
  </r>
  <r>
    <s v="ITM00385"/>
    <s v="ORD00229"/>
    <s v="PRD020"/>
    <n v="2"/>
    <n v="179000"/>
    <x v="1"/>
    <n v="358000"/>
    <n v="90000"/>
    <n v="178000"/>
  </r>
  <r>
    <s v="ITM00386"/>
    <s v="ORD00230"/>
    <s v="PRD021"/>
    <n v="2"/>
    <n v="69000"/>
    <x v="0"/>
    <n v="138000"/>
    <n v="30000"/>
    <n v="78000"/>
  </r>
  <r>
    <s v="ITM00387"/>
    <s v="ORD00231"/>
    <s v="PRD021"/>
    <n v="3"/>
    <n v="69000"/>
    <x v="0"/>
    <n v="207000"/>
    <n v="30000"/>
    <n v="117000"/>
  </r>
  <r>
    <s v="ITM00388"/>
    <s v="ORD00231"/>
    <s v="PRD008"/>
    <n v="1"/>
    <n v="399000"/>
    <x v="12"/>
    <n v="399000"/>
    <n v="200000"/>
    <n v="199000"/>
  </r>
  <r>
    <s v="ITM00389"/>
    <s v="ORD00232"/>
    <s v="PRD004"/>
    <n v="2"/>
    <n v="199000"/>
    <x v="19"/>
    <n v="398000"/>
    <n v="100000"/>
    <n v="198000"/>
  </r>
  <r>
    <s v="ITM00390"/>
    <s v="ORD00232"/>
    <s v="PRD009"/>
    <n v="1"/>
    <n v="79000"/>
    <x v="3"/>
    <n v="79000"/>
    <n v="35000"/>
    <n v="44000"/>
  </r>
  <r>
    <s v="ITM00391"/>
    <s v="ORD00233"/>
    <s v="PRD021"/>
    <n v="1"/>
    <n v="69000"/>
    <x v="0"/>
    <n v="69000"/>
    <n v="30000"/>
    <n v="39000"/>
  </r>
  <r>
    <s v="ITM00392"/>
    <s v="ORD00234"/>
    <s v="PRD021"/>
    <n v="1"/>
    <n v="69000"/>
    <x v="0"/>
    <n v="69000"/>
    <n v="30000"/>
    <n v="39000"/>
  </r>
  <r>
    <s v="ITM00393"/>
    <s v="ORD00234"/>
    <s v="PRD005"/>
    <n v="1"/>
    <n v="39000"/>
    <x v="2"/>
    <n v="39000"/>
    <n v="15000"/>
    <n v="24000"/>
  </r>
  <r>
    <s v="ITM00394"/>
    <s v="ORD00234"/>
    <s v="PRD012"/>
    <n v="2"/>
    <n v="229000"/>
    <x v="5"/>
    <n v="458000"/>
    <n v="110000"/>
    <n v="238000"/>
  </r>
  <r>
    <s v="ITM00395"/>
    <s v="ORD00234"/>
    <s v="PRD006"/>
    <n v="2"/>
    <n v="129000"/>
    <x v="10"/>
    <n v="258000"/>
    <n v="60000"/>
    <n v="138000"/>
  </r>
  <r>
    <s v="ITM00396"/>
    <s v="ORD00235"/>
    <s v="PRD009"/>
    <n v="3"/>
    <n v="79000"/>
    <x v="3"/>
    <n v="237000"/>
    <n v="35000"/>
    <n v="132000"/>
  </r>
  <r>
    <s v="ITM00397"/>
    <s v="ORD00235"/>
    <s v="PRD008"/>
    <n v="3"/>
    <n v="399000"/>
    <x v="12"/>
    <n v="1197000"/>
    <n v="200000"/>
    <n v="597000"/>
  </r>
  <r>
    <s v="ITM00398"/>
    <s v="ORD00235"/>
    <s v="PRD022"/>
    <n v="1"/>
    <n v="55000"/>
    <x v="4"/>
    <n v="55000"/>
    <n v="25000"/>
    <n v="30000"/>
  </r>
  <r>
    <s v="ITM00399"/>
    <s v="ORD00235"/>
    <s v="PRD005"/>
    <n v="1"/>
    <n v="39000"/>
    <x v="2"/>
    <n v="39000"/>
    <n v="15000"/>
    <n v="24000"/>
  </r>
  <r>
    <s v="ITM00400"/>
    <s v="ORD00236"/>
    <s v="PRD009"/>
    <n v="1"/>
    <n v="79000"/>
    <x v="3"/>
    <n v="79000"/>
    <n v="35000"/>
    <n v="44000"/>
  </r>
  <r>
    <s v="ITM00401"/>
    <s v="ORD00236"/>
    <s v="PRD005"/>
    <n v="1"/>
    <n v="39000"/>
    <x v="2"/>
    <n v="39000"/>
    <n v="15000"/>
    <n v="24000"/>
  </r>
  <r>
    <s v="ITM00402"/>
    <s v="ORD00236"/>
    <s v="PRD021"/>
    <n v="1"/>
    <n v="69000"/>
    <x v="0"/>
    <n v="69000"/>
    <n v="30000"/>
    <n v="39000"/>
  </r>
  <r>
    <s v="ITM00403"/>
    <s v="ORD00237"/>
    <s v="PRD021"/>
    <n v="1"/>
    <n v="69000"/>
    <x v="0"/>
    <n v="69000"/>
    <n v="30000"/>
    <n v="39000"/>
  </r>
  <r>
    <s v="ITM00404"/>
    <s v="ORD00237"/>
    <s v="PRD006"/>
    <n v="3"/>
    <n v="129000"/>
    <x v="10"/>
    <n v="387000"/>
    <n v="60000"/>
    <n v="207000"/>
  </r>
  <r>
    <s v="ITM00405"/>
    <s v="ORD00238"/>
    <s v="PRD005"/>
    <n v="1"/>
    <n v="39000"/>
    <x v="2"/>
    <n v="39000"/>
    <n v="15000"/>
    <n v="24000"/>
  </r>
  <r>
    <s v="ITM00406"/>
    <s v="ORD00238"/>
    <s v="PRD008"/>
    <n v="1"/>
    <n v="399000"/>
    <x v="12"/>
    <n v="399000"/>
    <n v="200000"/>
    <n v="199000"/>
  </r>
  <r>
    <s v="ITM00407"/>
    <s v="ORD00239"/>
    <s v="PRD008"/>
    <n v="1"/>
    <n v="399000"/>
    <x v="12"/>
    <n v="399000"/>
    <n v="200000"/>
    <n v="199000"/>
  </r>
  <r>
    <s v="ITM00408"/>
    <s v="ORD00239"/>
    <s v="PRD021"/>
    <n v="1"/>
    <n v="69000"/>
    <x v="0"/>
    <n v="69000"/>
    <n v="30000"/>
    <n v="39000"/>
  </r>
  <r>
    <s v="ITM00409"/>
    <s v="ORD00239"/>
    <s v="PRD009"/>
    <n v="1"/>
    <n v="79000"/>
    <x v="3"/>
    <n v="79000"/>
    <n v="35000"/>
    <n v="44000"/>
  </r>
  <r>
    <s v="ITM00410"/>
    <s v="ORD00240"/>
    <s v="PRD005"/>
    <n v="2"/>
    <n v="39000"/>
    <x v="2"/>
    <n v="78000"/>
    <n v="15000"/>
    <n v="48000"/>
  </r>
  <r>
    <s v="ITM00411"/>
    <s v="ORD00240"/>
    <s v="PRD021"/>
    <n v="1"/>
    <n v="69000"/>
    <x v="0"/>
    <n v="69000"/>
    <n v="30000"/>
    <n v="39000"/>
  </r>
  <r>
    <s v="ITM00412"/>
    <s v="ORD00240"/>
    <s v="PRD022"/>
    <n v="1"/>
    <n v="55000"/>
    <x v="4"/>
    <n v="55000"/>
    <n v="25000"/>
    <n v="30000"/>
  </r>
  <r>
    <s v="ITM00413"/>
    <s v="ORD00241"/>
    <s v="PRD021"/>
    <n v="1"/>
    <n v="69000"/>
    <x v="0"/>
    <n v="69000"/>
    <n v="30000"/>
    <n v="39000"/>
  </r>
  <r>
    <s v="ITM00414"/>
    <s v="ORD00242"/>
    <s v="PRD002"/>
    <n v="1"/>
    <n v="159000"/>
    <x v="14"/>
    <n v="159000"/>
    <n v="80000"/>
    <n v="79000"/>
  </r>
  <r>
    <s v="ITM00415"/>
    <s v="ORD00243"/>
    <s v="PRD008"/>
    <n v="3"/>
    <n v="399000"/>
    <x v="12"/>
    <n v="1197000"/>
    <n v="200000"/>
    <n v="597000"/>
  </r>
  <r>
    <s v="ITM00416"/>
    <s v="ORD00243"/>
    <s v="PRD021"/>
    <n v="2"/>
    <n v="69000"/>
    <x v="0"/>
    <n v="138000"/>
    <n v="30000"/>
    <n v="78000"/>
  </r>
  <r>
    <s v="ITM00417"/>
    <s v="ORD00243"/>
    <s v="PRD020"/>
    <n v="1"/>
    <n v="179000"/>
    <x v="1"/>
    <n v="179000"/>
    <n v="90000"/>
    <n v="89000"/>
  </r>
  <r>
    <s v="ITM00418"/>
    <s v="ORD00244"/>
    <s v="PRD017"/>
    <n v="1"/>
    <n v="329000"/>
    <x v="7"/>
    <n v="329000"/>
    <n v="180000"/>
    <n v="149000"/>
  </r>
  <r>
    <s v="ITM00419"/>
    <s v="ORD00244"/>
    <s v="PRD005"/>
    <n v="1"/>
    <n v="39000"/>
    <x v="2"/>
    <n v="39000"/>
    <n v="15000"/>
    <n v="24000"/>
  </r>
  <r>
    <s v="ITM00420"/>
    <s v="ORD00245"/>
    <s v="PRD008"/>
    <n v="1"/>
    <n v="399000"/>
    <x v="12"/>
    <n v="399000"/>
    <n v="200000"/>
    <n v="199000"/>
  </r>
  <r>
    <s v="ITM00421"/>
    <s v="ORD00246"/>
    <s v="PRD005"/>
    <n v="1"/>
    <n v="39000"/>
    <x v="2"/>
    <n v="39000"/>
    <n v="15000"/>
    <n v="24000"/>
  </r>
  <r>
    <s v="ITM00422"/>
    <s v="ORD00246"/>
    <s v="PRD021"/>
    <n v="1"/>
    <n v="69000"/>
    <x v="0"/>
    <n v="69000"/>
    <n v="30000"/>
    <n v="39000"/>
  </r>
  <r>
    <s v="ITM00423"/>
    <s v="ORD00247"/>
    <s v="PRD008"/>
    <n v="1"/>
    <n v="399000"/>
    <x v="12"/>
    <n v="399000"/>
    <n v="200000"/>
    <n v="199000"/>
  </r>
  <r>
    <s v="ITM00424"/>
    <s v="ORD00247"/>
    <s v="PRD014"/>
    <n v="1"/>
    <n v="349000"/>
    <x v="9"/>
    <n v="349000"/>
    <n v="180000"/>
    <n v="169000"/>
  </r>
  <r>
    <s v="ITM00425"/>
    <s v="ORD00247"/>
    <s v="PRD006"/>
    <n v="1"/>
    <n v="129000"/>
    <x v="10"/>
    <n v="129000"/>
    <n v="60000"/>
    <n v="69000"/>
  </r>
  <r>
    <s v="ITM00426"/>
    <s v="ORD00248"/>
    <s v="PRD005"/>
    <n v="1"/>
    <n v="39000"/>
    <x v="2"/>
    <n v="39000"/>
    <n v="15000"/>
    <n v="24000"/>
  </r>
  <r>
    <s v="ITM00427"/>
    <s v="ORD00249"/>
    <s v="PRD021"/>
    <n v="3"/>
    <n v="69000"/>
    <x v="0"/>
    <n v="207000"/>
    <n v="30000"/>
    <n v="117000"/>
  </r>
  <r>
    <s v="ITM00428"/>
    <s v="ORD00250"/>
    <s v="PRD005"/>
    <n v="3"/>
    <n v="39000"/>
    <x v="2"/>
    <n v="117000"/>
    <n v="15000"/>
    <n v="72000"/>
  </r>
  <r>
    <s v="ITM00429"/>
    <s v="ORD00251"/>
    <s v="PRD006"/>
    <n v="1"/>
    <n v="129000"/>
    <x v="10"/>
    <n v="129000"/>
    <n v="60000"/>
    <n v="69000"/>
  </r>
  <r>
    <s v="ITM00430"/>
    <s v="ORD00251"/>
    <s v="PRD020"/>
    <n v="1"/>
    <n v="179000"/>
    <x v="1"/>
    <n v="179000"/>
    <n v="90000"/>
    <n v="89000"/>
  </r>
  <r>
    <s v="ITM00431"/>
    <s v="ORD00252"/>
    <s v="PRD017"/>
    <n v="1"/>
    <n v="329000"/>
    <x v="7"/>
    <n v="329000"/>
    <n v="180000"/>
    <n v="149000"/>
  </r>
  <r>
    <s v="ITM00432"/>
    <s v="ORD00253"/>
    <s v="PRD009"/>
    <n v="1"/>
    <n v="79000"/>
    <x v="3"/>
    <n v="79000"/>
    <n v="35000"/>
    <n v="44000"/>
  </r>
  <r>
    <s v="ITM00433"/>
    <s v="ORD00254"/>
    <s v="PRD017"/>
    <n v="1"/>
    <n v="329000"/>
    <x v="7"/>
    <n v="329000"/>
    <n v="180000"/>
    <n v="149000"/>
  </r>
  <r>
    <s v="ITM00434"/>
    <s v="ORD00255"/>
    <s v="PRD021"/>
    <n v="2"/>
    <n v="69000"/>
    <x v="0"/>
    <n v="138000"/>
    <n v="30000"/>
    <n v="78000"/>
  </r>
  <r>
    <s v="ITM00435"/>
    <s v="ORD00256"/>
    <s v="PRD008"/>
    <n v="1"/>
    <n v="399000"/>
    <x v="12"/>
    <n v="399000"/>
    <n v="200000"/>
    <n v="199000"/>
  </r>
  <r>
    <s v="ITM00436"/>
    <s v="ORD00256"/>
    <s v="PRD017"/>
    <n v="1"/>
    <n v="329000"/>
    <x v="7"/>
    <n v="329000"/>
    <n v="180000"/>
    <n v="149000"/>
  </r>
  <r>
    <s v="ITM00437"/>
    <s v="ORD00256"/>
    <s v="PRD014"/>
    <n v="1"/>
    <n v="349000"/>
    <x v="9"/>
    <n v="349000"/>
    <n v="180000"/>
    <n v="169000"/>
  </r>
  <r>
    <s v="ITM00438"/>
    <s v="ORD00257"/>
    <s v="PRD005"/>
    <n v="2"/>
    <n v="39000"/>
    <x v="2"/>
    <n v="78000"/>
    <n v="15000"/>
    <n v="48000"/>
  </r>
  <r>
    <s v="ITM00439"/>
    <s v="ORD00257"/>
    <s v="PRD009"/>
    <n v="1"/>
    <n v="79000"/>
    <x v="3"/>
    <n v="79000"/>
    <n v="35000"/>
    <n v="44000"/>
  </r>
  <r>
    <s v="ITM00440"/>
    <s v="ORD00258"/>
    <s v="PRD022"/>
    <n v="1"/>
    <n v="55000"/>
    <x v="4"/>
    <n v="55000"/>
    <n v="25000"/>
    <n v="30000"/>
  </r>
  <r>
    <s v="ITM00441"/>
    <s v="ORD00259"/>
    <s v="PRD021"/>
    <n v="3"/>
    <n v="69000"/>
    <x v="0"/>
    <n v="207000"/>
    <n v="30000"/>
    <n v="117000"/>
  </r>
  <r>
    <s v="ITM00442"/>
    <s v="ORD00259"/>
    <s v="PRD008"/>
    <n v="2"/>
    <n v="399000"/>
    <x v="12"/>
    <n v="798000"/>
    <n v="200000"/>
    <n v="398000"/>
  </r>
  <r>
    <s v="ITM00443"/>
    <s v="ORD00260"/>
    <s v="PRD021"/>
    <n v="1"/>
    <n v="69000"/>
    <x v="0"/>
    <n v="69000"/>
    <n v="30000"/>
    <n v="39000"/>
  </r>
  <r>
    <s v="ITM00444"/>
    <s v="ORD00261"/>
    <s v="PRD009"/>
    <n v="1"/>
    <n v="79000"/>
    <x v="3"/>
    <n v="79000"/>
    <n v="35000"/>
    <n v="44000"/>
  </r>
  <r>
    <s v="ITM00445"/>
    <s v="ORD00262"/>
    <s v="PRD021"/>
    <n v="2"/>
    <n v="69000"/>
    <x v="0"/>
    <n v="138000"/>
    <n v="30000"/>
    <n v="78000"/>
  </r>
  <r>
    <s v="ITM00446"/>
    <s v="ORD00262"/>
    <s v="PRD012"/>
    <n v="1"/>
    <n v="229000"/>
    <x v="5"/>
    <n v="229000"/>
    <n v="110000"/>
    <n v="119000"/>
  </r>
  <r>
    <s v="ITM00447"/>
    <s v="ORD00263"/>
    <s v="PRD021"/>
    <n v="1"/>
    <n v="69000"/>
    <x v="0"/>
    <n v="69000"/>
    <n v="30000"/>
    <n v="39000"/>
  </r>
  <r>
    <s v="ITM00448"/>
    <s v="ORD00264"/>
    <s v="PRD005"/>
    <n v="2"/>
    <n v="39000"/>
    <x v="2"/>
    <n v="78000"/>
    <n v="15000"/>
    <n v="48000"/>
  </r>
  <r>
    <s v="ITM00449"/>
    <s v="ORD00265"/>
    <s v="PRD005"/>
    <n v="1"/>
    <n v="39000"/>
    <x v="2"/>
    <n v="39000"/>
    <n v="15000"/>
    <n v="24000"/>
  </r>
  <r>
    <s v="ITM00450"/>
    <s v="ORD00265"/>
    <s v="PRD002"/>
    <n v="1"/>
    <n v="159000"/>
    <x v="14"/>
    <n v="159000"/>
    <n v="80000"/>
    <n v="79000"/>
  </r>
  <r>
    <s v="ITM00451"/>
    <s v="ORD00266"/>
    <s v="PRD021"/>
    <n v="1"/>
    <n v="69000"/>
    <x v="0"/>
    <n v="69000"/>
    <n v="30000"/>
    <n v="39000"/>
  </r>
  <r>
    <s v="ITM00452"/>
    <s v="ORD00266"/>
    <s v="PRD005"/>
    <n v="1"/>
    <n v="39000"/>
    <x v="2"/>
    <n v="39000"/>
    <n v="15000"/>
    <n v="24000"/>
  </r>
  <r>
    <s v="ITM00453"/>
    <s v="ORD00266"/>
    <s v="PRD017"/>
    <n v="2"/>
    <n v="329000"/>
    <x v="7"/>
    <n v="658000"/>
    <n v="180000"/>
    <n v="298000"/>
  </r>
  <r>
    <s v="ITM00454"/>
    <s v="ORD00267"/>
    <s v="PRD008"/>
    <n v="1"/>
    <n v="399000"/>
    <x v="12"/>
    <n v="399000"/>
    <n v="200000"/>
    <n v="199000"/>
  </r>
  <r>
    <s v="ITM00455"/>
    <s v="ORD00268"/>
    <s v="PRD020"/>
    <n v="1"/>
    <n v="179000"/>
    <x v="1"/>
    <n v="179000"/>
    <n v="90000"/>
    <n v="89000"/>
  </r>
  <r>
    <s v="ITM00456"/>
    <s v="ORD00269"/>
    <s v="PRD003"/>
    <n v="1"/>
    <n v="499000"/>
    <x v="11"/>
    <n v="499000"/>
    <n v="250000"/>
    <n v="249000"/>
  </r>
  <r>
    <s v="ITM00457"/>
    <s v="ORD00270"/>
    <s v="PRD005"/>
    <n v="1"/>
    <n v="39000"/>
    <x v="2"/>
    <n v="39000"/>
    <n v="15000"/>
    <n v="24000"/>
  </r>
  <r>
    <s v="ITM00458"/>
    <s v="ORD00271"/>
    <s v="PRD009"/>
    <n v="2"/>
    <n v="79000"/>
    <x v="3"/>
    <n v="158000"/>
    <n v="35000"/>
    <n v="88000"/>
  </r>
  <r>
    <s v="ITM00459"/>
    <s v="ORD00271"/>
    <s v="PRD002"/>
    <n v="1"/>
    <n v="159000"/>
    <x v="14"/>
    <n v="159000"/>
    <n v="80000"/>
    <n v="79000"/>
  </r>
  <r>
    <s v="ITM00460"/>
    <s v="ORD00272"/>
    <s v="PRD021"/>
    <n v="1"/>
    <n v="69000"/>
    <x v="0"/>
    <n v="69000"/>
    <n v="30000"/>
    <n v="39000"/>
  </r>
  <r>
    <s v="ITM00461"/>
    <s v="ORD00272"/>
    <s v="PRD020"/>
    <n v="1"/>
    <n v="179000"/>
    <x v="1"/>
    <n v="179000"/>
    <n v="90000"/>
    <n v="89000"/>
  </r>
  <r>
    <s v="ITM00462"/>
    <s v="ORD00273"/>
    <s v="PRD019"/>
    <n v="1"/>
    <n v="79000"/>
    <x v="13"/>
    <n v="79000"/>
    <n v="35000"/>
    <n v="44000"/>
  </r>
  <r>
    <s v="ITM00463"/>
    <s v="ORD00274"/>
    <s v="PRD014"/>
    <n v="1"/>
    <n v="349000"/>
    <x v="9"/>
    <n v="349000"/>
    <n v="180000"/>
    <n v="169000"/>
  </r>
  <r>
    <s v="ITM00464"/>
    <s v="ORD00274"/>
    <s v="PRD012"/>
    <n v="1"/>
    <n v="229000"/>
    <x v="5"/>
    <n v="229000"/>
    <n v="110000"/>
    <n v="119000"/>
  </r>
  <r>
    <s v="ITM00465"/>
    <s v="ORD00274"/>
    <s v="PRD008"/>
    <n v="2"/>
    <n v="399000"/>
    <x v="12"/>
    <n v="798000"/>
    <n v="200000"/>
    <n v="398000"/>
  </r>
  <r>
    <s v="ITM00466"/>
    <s v="ORD00275"/>
    <s v="PRD021"/>
    <n v="2"/>
    <n v="69000"/>
    <x v="0"/>
    <n v="138000"/>
    <n v="30000"/>
    <n v="78000"/>
  </r>
  <r>
    <s v="ITM00467"/>
    <s v="ORD00276"/>
    <s v="PRD005"/>
    <n v="2"/>
    <n v="39000"/>
    <x v="2"/>
    <n v="78000"/>
    <n v="15000"/>
    <n v="48000"/>
  </r>
  <r>
    <s v="ITM00468"/>
    <s v="ORD00276"/>
    <s v="PRD003"/>
    <n v="3"/>
    <n v="499000"/>
    <x v="11"/>
    <n v="1497000"/>
    <n v="250000"/>
    <n v="747000"/>
  </r>
  <r>
    <s v="ITM00469"/>
    <s v="ORD00277"/>
    <s v="PRD021"/>
    <n v="1"/>
    <n v="69000"/>
    <x v="0"/>
    <n v="69000"/>
    <n v="30000"/>
    <n v="39000"/>
  </r>
  <r>
    <s v="ITM00470"/>
    <s v="ORD00277"/>
    <s v="PRD008"/>
    <n v="1"/>
    <n v="399000"/>
    <x v="12"/>
    <n v="399000"/>
    <n v="200000"/>
    <n v="199000"/>
  </r>
  <r>
    <s v="ITM00471"/>
    <s v="ORD00278"/>
    <s v="PRD006"/>
    <n v="1"/>
    <n v="129000"/>
    <x v="10"/>
    <n v="129000"/>
    <n v="60000"/>
    <n v="69000"/>
  </r>
  <r>
    <s v="ITM00472"/>
    <s v="ORD00278"/>
    <s v="PRD021"/>
    <n v="1"/>
    <n v="69000"/>
    <x v="0"/>
    <n v="69000"/>
    <n v="30000"/>
    <n v="39000"/>
  </r>
  <r>
    <s v="ITM00473"/>
    <s v="ORD00279"/>
    <s v="PRD017"/>
    <n v="2"/>
    <n v="329000"/>
    <x v="7"/>
    <n v="658000"/>
    <n v="180000"/>
    <n v="298000"/>
  </r>
  <r>
    <s v="ITM00474"/>
    <s v="ORD00279"/>
    <s v="PRD012"/>
    <n v="1"/>
    <n v="229000"/>
    <x v="5"/>
    <n v="229000"/>
    <n v="110000"/>
    <n v="119000"/>
  </r>
  <r>
    <s v="ITM00475"/>
    <s v="ORD00280"/>
    <s v="PRD021"/>
    <n v="2"/>
    <n v="69000"/>
    <x v="0"/>
    <n v="138000"/>
    <n v="30000"/>
    <n v="78000"/>
  </r>
  <r>
    <s v="ITM00476"/>
    <s v="ORD00281"/>
    <s v="PRD022"/>
    <n v="2"/>
    <n v="55000"/>
    <x v="4"/>
    <n v="110000"/>
    <n v="25000"/>
    <n v="60000"/>
  </r>
  <r>
    <s v="ITM00477"/>
    <s v="ORD00282"/>
    <s v="PRD021"/>
    <n v="1"/>
    <n v="69000"/>
    <x v="0"/>
    <n v="69000"/>
    <n v="30000"/>
    <n v="39000"/>
  </r>
  <r>
    <s v="ITM00478"/>
    <s v="ORD00283"/>
    <s v="PRD022"/>
    <n v="1"/>
    <n v="55000"/>
    <x v="4"/>
    <n v="55000"/>
    <n v="25000"/>
    <n v="30000"/>
  </r>
  <r>
    <s v="ITM00479"/>
    <s v="ORD00283"/>
    <s v="PRD005"/>
    <n v="2"/>
    <n v="39000"/>
    <x v="2"/>
    <n v="78000"/>
    <n v="15000"/>
    <n v="48000"/>
  </r>
  <r>
    <s v="ITM00480"/>
    <s v="ORD00283"/>
    <s v="PRD017"/>
    <n v="1"/>
    <n v="329000"/>
    <x v="7"/>
    <n v="329000"/>
    <n v="180000"/>
    <n v="149000"/>
  </r>
  <r>
    <s v="ITM00481"/>
    <s v="ORD00284"/>
    <s v="PRD020"/>
    <n v="3"/>
    <n v="179000"/>
    <x v="1"/>
    <n v="537000"/>
    <n v="90000"/>
    <n v="267000"/>
  </r>
  <r>
    <s v="ITM00482"/>
    <s v="ORD00284"/>
    <s v="PRD014"/>
    <n v="1"/>
    <n v="349000"/>
    <x v="9"/>
    <n v="349000"/>
    <n v="180000"/>
    <n v="169000"/>
  </r>
  <r>
    <s v="ITM00483"/>
    <s v="ORD00285"/>
    <s v="PRD013"/>
    <n v="1"/>
    <n v="209000"/>
    <x v="17"/>
    <n v="209000"/>
    <n v="95000"/>
    <n v="114000"/>
  </r>
  <r>
    <s v="ITM00484"/>
    <s v="ORD00285"/>
    <s v="PRD021"/>
    <n v="2"/>
    <n v="69000"/>
    <x v="0"/>
    <n v="138000"/>
    <n v="30000"/>
    <n v="78000"/>
  </r>
  <r>
    <s v="ITM00485"/>
    <s v="ORD00285"/>
    <s v="PRD020"/>
    <n v="1"/>
    <n v="179000"/>
    <x v="1"/>
    <n v="179000"/>
    <n v="90000"/>
    <n v="89000"/>
  </r>
  <r>
    <s v="ITM00486"/>
    <s v="ORD00285"/>
    <s v="PRD022"/>
    <n v="2"/>
    <n v="55000"/>
    <x v="4"/>
    <n v="110000"/>
    <n v="25000"/>
    <n v="60000"/>
  </r>
  <r>
    <s v="ITM00487"/>
    <s v="ORD00286"/>
    <s v="PRD006"/>
    <n v="3"/>
    <n v="129000"/>
    <x v="10"/>
    <n v="387000"/>
    <n v="60000"/>
    <n v="207000"/>
  </r>
  <r>
    <s v="ITM00488"/>
    <s v="ORD00287"/>
    <s v="PRD021"/>
    <n v="1"/>
    <n v="69000"/>
    <x v="0"/>
    <n v="69000"/>
    <n v="30000"/>
    <n v="39000"/>
  </r>
  <r>
    <s v="ITM00489"/>
    <s v="ORD00288"/>
    <s v="PRD021"/>
    <n v="1"/>
    <n v="69000"/>
    <x v="0"/>
    <n v="69000"/>
    <n v="30000"/>
    <n v="39000"/>
  </r>
  <r>
    <s v="ITM00490"/>
    <s v="ORD00288"/>
    <s v="PRD009"/>
    <n v="2"/>
    <n v="79000"/>
    <x v="3"/>
    <n v="158000"/>
    <n v="35000"/>
    <n v="88000"/>
  </r>
  <r>
    <s v="ITM00491"/>
    <s v="ORD00289"/>
    <s v="PRD021"/>
    <n v="2"/>
    <n v="69000"/>
    <x v="0"/>
    <n v="138000"/>
    <n v="30000"/>
    <n v="78000"/>
  </r>
  <r>
    <s v="ITM00492"/>
    <s v="ORD00289"/>
    <s v="PRD008"/>
    <n v="2"/>
    <n v="399000"/>
    <x v="12"/>
    <n v="798000"/>
    <n v="200000"/>
    <n v="398000"/>
  </r>
  <r>
    <s v="ITM00493"/>
    <s v="ORD00290"/>
    <s v="PRD022"/>
    <n v="2"/>
    <n v="55000"/>
    <x v="4"/>
    <n v="110000"/>
    <n v="25000"/>
    <n v="60000"/>
  </r>
  <r>
    <s v="ITM00494"/>
    <s v="ORD00291"/>
    <s v="PRD005"/>
    <n v="1"/>
    <n v="39000"/>
    <x v="2"/>
    <n v="39000"/>
    <n v="15000"/>
    <n v="24000"/>
  </r>
  <r>
    <s v="ITM00495"/>
    <s v="ORD00291"/>
    <s v="PRD017"/>
    <n v="1"/>
    <n v="329000"/>
    <x v="7"/>
    <n v="329000"/>
    <n v="180000"/>
    <n v="149000"/>
  </r>
  <r>
    <s v="ITM00496"/>
    <s v="ORD00292"/>
    <s v="PRD021"/>
    <n v="1"/>
    <n v="69000"/>
    <x v="0"/>
    <n v="69000"/>
    <n v="30000"/>
    <n v="39000"/>
  </r>
  <r>
    <s v="ITM00497"/>
    <s v="ORD00292"/>
    <s v="PRD020"/>
    <n v="1"/>
    <n v="179000"/>
    <x v="1"/>
    <n v="179000"/>
    <n v="90000"/>
    <n v="89000"/>
  </r>
  <r>
    <s v="ITM00498"/>
    <s v="ORD00293"/>
    <s v="PRD019"/>
    <n v="2"/>
    <n v="79000"/>
    <x v="13"/>
    <n v="158000"/>
    <n v="35000"/>
    <n v="88000"/>
  </r>
  <r>
    <s v="ITM00499"/>
    <s v="ORD00294"/>
    <s v="PRD021"/>
    <n v="1"/>
    <n v="69000"/>
    <x v="0"/>
    <n v="69000"/>
    <n v="30000"/>
    <n v="39000"/>
  </r>
  <r>
    <s v="ITM00500"/>
    <s v="ORD00294"/>
    <s v="PRD005"/>
    <n v="1"/>
    <n v="39000"/>
    <x v="2"/>
    <n v="39000"/>
    <n v="15000"/>
    <n v="24000"/>
  </r>
  <r>
    <s v="ITM00501"/>
    <s v="ORD00295"/>
    <s v="PRD020"/>
    <n v="1"/>
    <n v="179000"/>
    <x v="1"/>
    <n v="179000"/>
    <n v="90000"/>
    <n v="89000"/>
  </r>
  <r>
    <s v="ITM00502"/>
    <s v="ORD00296"/>
    <s v="PRD009"/>
    <n v="2"/>
    <n v="79000"/>
    <x v="3"/>
    <n v="158000"/>
    <n v="35000"/>
    <n v="88000"/>
  </r>
  <r>
    <s v="ITM00503"/>
    <s v="ORD00296"/>
    <s v="PRD021"/>
    <n v="1"/>
    <n v="69000"/>
    <x v="0"/>
    <n v="69000"/>
    <n v="30000"/>
    <n v="39000"/>
  </r>
  <r>
    <s v="ITM00504"/>
    <s v="ORD00297"/>
    <s v="PRD020"/>
    <n v="1"/>
    <n v="179000"/>
    <x v="1"/>
    <n v="179000"/>
    <n v="90000"/>
    <n v="89000"/>
  </r>
  <r>
    <s v="ITM00505"/>
    <s v="ORD00297"/>
    <s v="PRD021"/>
    <n v="1"/>
    <n v="69000"/>
    <x v="0"/>
    <n v="69000"/>
    <n v="30000"/>
    <n v="39000"/>
  </r>
  <r>
    <s v="ITM00506"/>
    <s v="ORD00297"/>
    <s v="PRD007"/>
    <n v="1"/>
    <n v="99000"/>
    <x v="6"/>
    <n v="99000"/>
    <n v="45000"/>
    <n v="54000"/>
  </r>
  <r>
    <s v="ITM00507"/>
    <s v="ORD00298"/>
    <s v="PRD007"/>
    <n v="1"/>
    <n v="99000"/>
    <x v="6"/>
    <n v="99000"/>
    <n v="45000"/>
    <n v="54000"/>
  </r>
  <r>
    <s v="ITM00508"/>
    <s v="ORD00298"/>
    <s v="PRD019"/>
    <n v="1"/>
    <n v="79000"/>
    <x v="13"/>
    <n v="79000"/>
    <n v="35000"/>
    <n v="44000"/>
  </r>
  <r>
    <s v="ITM00509"/>
    <s v="ORD00299"/>
    <s v="PRD005"/>
    <n v="2"/>
    <n v="39000"/>
    <x v="2"/>
    <n v="78000"/>
    <n v="15000"/>
    <n v="48000"/>
  </r>
  <r>
    <s v="ITM00510"/>
    <s v="ORD00300"/>
    <s v="PRD005"/>
    <n v="1"/>
    <n v="39000"/>
    <x v="2"/>
    <n v="39000"/>
    <n v="15000"/>
    <n v="24000"/>
  </r>
  <r>
    <s v="ITM00511"/>
    <s v="ORD00300"/>
    <s v="PRD021"/>
    <n v="2"/>
    <n v="69000"/>
    <x v="0"/>
    <n v="138000"/>
    <n v="30000"/>
    <n v="78000"/>
  </r>
  <r>
    <s v="ITM00512"/>
    <s v="ORD00301"/>
    <s v="PRD005"/>
    <n v="3"/>
    <n v="39000"/>
    <x v="2"/>
    <n v="117000"/>
    <n v="15000"/>
    <n v="72000"/>
  </r>
  <r>
    <s v="ITM00513"/>
    <s v="ORD00301"/>
    <s v="PRD020"/>
    <n v="3"/>
    <n v="179000"/>
    <x v="1"/>
    <n v="537000"/>
    <n v="90000"/>
    <n v="267000"/>
  </r>
  <r>
    <s v="ITM00514"/>
    <s v="ORD00301"/>
    <s v="PRD021"/>
    <n v="1"/>
    <n v="69000"/>
    <x v="0"/>
    <n v="69000"/>
    <n v="30000"/>
    <n v="39000"/>
  </r>
  <r>
    <s v="ITM00515"/>
    <s v="ORD00302"/>
    <s v="PRD005"/>
    <n v="3"/>
    <n v="39000"/>
    <x v="2"/>
    <n v="117000"/>
    <n v="15000"/>
    <n v="72000"/>
  </r>
  <r>
    <s v="ITM00516"/>
    <s v="ORD00302"/>
    <s v="PRD004"/>
    <n v="2"/>
    <n v="199000"/>
    <x v="19"/>
    <n v="398000"/>
    <n v="100000"/>
    <n v="198000"/>
  </r>
  <r>
    <s v="ITM00517"/>
    <s v="ORD00303"/>
    <s v="PRD021"/>
    <n v="3"/>
    <n v="69000"/>
    <x v="0"/>
    <n v="207000"/>
    <n v="30000"/>
    <n v="117000"/>
  </r>
  <r>
    <s v="ITM00518"/>
    <s v="ORD00303"/>
    <s v="PRD022"/>
    <n v="2"/>
    <n v="55000"/>
    <x v="4"/>
    <n v="110000"/>
    <n v="25000"/>
    <n v="60000"/>
  </r>
  <r>
    <s v="ITM00519"/>
    <s v="ORD00304"/>
    <s v="PRD021"/>
    <n v="1"/>
    <n v="69000"/>
    <x v="0"/>
    <n v="69000"/>
    <n v="30000"/>
    <n v="39000"/>
  </r>
  <r>
    <s v="ITM00520"/>
    <s v="ORD00305"/>
    <s v="PRD017"/>
    <n v="1"/>
    <n v="329000"/>
    <x v="7"/>
    <n v="329000"/>
    <n v="180000"/>
    <n v="149000"/>
  </r>
  <r>
    <s v="ITM00521"/>
    <s v="ORD00305"/>
    <s v="PRD005"/>
    <n v="2"/>
    <n v="39000"/>
    <x v="2"/>
    <n v="78000"/>
    <n v="15000"/>
    <n v="48000"/>
  </r>
  <r>
    <s v="ITM00522"/>
    <s v="ORD00305"/>
    <s v="PRD021"/>
    <n v="1"/>
    <n v="69000"/>
    <x v="0"/>
    <n v="69000"/>
    <n v="30000"/>
    <n v="39000"/>
  </r>
  <r>
    <s v="ITM00523"/>
    <s v="ORD00306"/>
    <s v="PRD005"/>
    <n v="1"/>
    <n v="39000"/>
    <x v="2"/>
    <n v="39000"/>
    <n v="15000"/>
    <n v="24000"/>
  </r>
  <r>
    <s v="ITM00524"/>
    <s v="ORD00306"/>
    <s v="PRD021"/>
    <n v="1"/>
    <n v="69000"/>
    <x v="0"/>
    <n v="69000"/>
    <n v="30000"/>
    <n v="39000"/>
  </r>
  <r>
    <s v="ITM00525"/>
    <s v="ORD00306"/>
    <s v="PRD017"/>
    <n v="1"/>
    <n v="329000"/>
    <x v="7"/>
    <n v="329000"/>
    <n v="180000"/>
    <n v="149000"/>
  </r>
  <r>
    <s v="ITM00526"/>
    <s v="ORD00307"/>
    <s v="PRD008"/>
    <n v="2"/>
    <n v="399000"/>
    <x v="12"/>
    <n v="798000"/>
    <n v="200000"/>
    <n v="398000"/>
  </r>
  <r>
    <s v="ITM00527"/>
    <s v="ORD00307"/>
    <s v="PRD021"/>
    <n v="1"/>
    <n v="69000"/>
    <x v="0"/>
    <n v="69000"/>
    <n v="30000"/>
    <n v="39000"/>
  </r>
  <r>
    <s v="ITM00528"/>
    <s v="ORD00308"/>
    <s v="PRD021"/>
    <n v="2"/>
    <n v="69000"/>
    <x v="0"/>
    <n v="138000"/>
    <n v="30000"/>
    <n v="78000"/>
  </r>
  <r>
    <s v="ITM00529"/>
    <s v="ORD00309"/>
    <s v="PRD006"/>
    <n v="2"/>
    <n v="129000"/>
    <x v="10"/>
    <n v="258000"/>
    <n v="60000"/>
    <n v="138000"/>
  </r>
  <r>
    <s v="ITM00530"/>
    <s v="ORD00309"/>
    <s v="PRD021"/>
    <n v="3"/>
    <n v="69000"/>
    <x v="0"/>
    <n v="207000"/>
    <n v="30000"/>
    <n v="117000"/>
  </r>
  <r>
    <s v="ITM00531"/>
    <s v="ORD00310"/>
    <s v="PRD020"/>
    <n v="1"/>
    <n v="179000"/>
    <x v="1"/>
    <n v="179000"/>
    <n v="90000"/>
    <n v="89000"/>
  </r>
  <r>
    <s v="ITM00532"/>
    <s v="ORD00311"/>
    <s v="PRD012"/>
    <n v="1"/>
    <n v="229000"/>
    <x v="5"/>
    <n v="229000"/>
    <n v="110000"/>
    <n v="119000"/>
  </r>
  <r>
    <s v="ITM00533"/>
    <s v="ORD00312"/>
    <s v="PRD022"/>
    <n v="2"/>
    <n v="55000"/>
    <x v="4"/>
    <n v="110000"/>
    <n v="25000"/>
    <n v="60000"/>
  </r>
  <r>
    <s v="ITM00534"/>
    <s v="ORD00312"/>
    <s v="PRD005"/>
    <n v="2"/>
    <n v="39000"/>
    <x v="2"/>
    <n v="78000"/>
    <n v="15000"/>
    <n v="48000"/>
  </r>
  <r>
    <s v="ITM00535"/>
    <s v="ORD00313"/>
    <s v="PRD009"/>
    <n v="2"/>
    <n v="79000"/>
    <x v="3"/>
    <n v="158000"/>
    <n v="35000"/>
    <n v="88000"/>
  </r>
  <r>
    <s v="ITM00536"/>
    <s v="ORD00314"/>
    <s v="PRD001"/>
    <n v="1"/>
    <n v="299000"/>
    <x v="20"/>
    <n v="299000"/>
    <n v="150000"/>
    <n v="149000"/>
  </r>
  <r>
    <s v="ITM00537"/>
    <s v="ORD00315"/>
    <s v="PRD021"/>
    <n v="2"/>
    <n v="69000"/>
    <x v="0"/>
    <n v="138000"/>
    <n v="30000"/>
    <n v="78000"/>
  </r>
  <r>
    <s v="ITM00538"/>
    <s v="ORD00316"/>
    <s v="PRD021"/>
    <n v="3"/>
    <n v="69000"/>
    <x v="0"/>
    <n v="207000"/>
    <n v="30000"/>
    <n v="117000"/>
  </r>
  <r>
    <s v="ITM00539"/>
    <s v="ORD00317"/>
    <s v="PRD017"/>
    <n v="3"/>
    <n v="329000"/>
    <x v="7"/>
    <n v="987000"/>
    <n v="180000"/>
    <n v="447000"/>
  </r>
  <r>
    <s v="ITM00540"/>
    <s v="ORD00317"/>
    <s v="PRD005"/>
    <n v="2"/>
    <n v="39000"/>
    <x v="2"/>
    <n v="78000"/>
    <n v="15000"/>
    <n v="48000"/>
  </r>
  <r>
    <s v="ITM00541"/>
    <s v="ORD00318"/>
    <s v="PRD020"/>
    <n v="2"/>
    <n v="179000"/>
    <x v="1"/>
    <n v="358000"/>
    <n v="90000"/>
    <n v="178000"/>
  </r>
  <r>
    <s v="ITM00542"/>
    <s v="ORD00318"/>
    <s v="PRD021"/>
    <n v="1"/>
    <n v="69000"/>
    <x v="0"/>
    <n v="69000"/>
    <n v="30000"/>
    <n v="39000"/>
  </r>
  <r>
    <s v="ITM00543"/>
    <s v="ORD00319"/>
    <s v="PRD020"/>
    <n v="1"/>
    <n v="179000"/>
    <x v="1"/>
    <n v="179000"/>
    <n v="90000"/>
    <n v="89000"/>
  </r>
  <r>
    <s v="ITM00544"/>
    <s v="ORD00319"/>
    <s v="PRD005"/>
    <n v="1"/>
    <n v="39000"/>
    <x v="2"/>
    <n v="39000"/>
    <n v="15000"/>
    <n v="24000"/>
  </r>
  <r>
    <s v="ITM00545"/>
    <s v="ORD00320"/>
    <s v="PRD022"/>
    <n v="1"/>
    <n v="55000"/>
    <x v="4"/>
    <n v="55000"/>
    <n v="25000"/>
    <n v="30000"/>
  </r>
  <r>
    <s v="ITM00546"/>
    <s v="ORD00320"/>
    <s v="PRD009"/>
    <n v="1"/>
    <n v="79000"/>
    <x v="3"/>
    <n v="79000"/>
    <n v="35000"/>
    <n v="44000"/>
  </r>
  <r>
    <s v="ITM00547"/>
    <s v="ORD00320"/>
    <s v="PRD021"/>
    <n v="1"/>
    <n v="69000"/>
    <x v="0"/>
    <n v="69000"/>
    <n v="30000"/>
    <n v="39000"/>
  </r>
  <r>
    <s v="ITM00548"/>
    <s v="ORD00321"/>
    <s v="PRD017"/>
    <n v="1"/>
    <n v="329000"/>
    <x v="7"/>
    <n v="329000"/>
    <n v="180000"/>
    <n v="149000"/>
  </r>
  <r>
    <s v="ITM00549"/>
    <s v="ORD00321"/>
    <s v="PRD005"/>
    <n v="1"/>
    <n v="39000"/>
    <x v="2"/>
    <n v="39000"/>
    <n v="15000"/>
    <n v="24000"/>
  </r>
  <r>
    <s v="ITM00550"/>
    <s v="ORD00322"/>
    <s v="PRD021"/>
    <n v="1"/>
    <n v="69000"/>
    <x v="0"/>
    <n v="69000"/>
    <n v="30000"/>
    <n v="39000"/>
  </r>
  <r>
    <s v="ITM00551"/>
    <s v="ORD00322"/>
    <s v="PRD022"/>
    <n v="2"/>
    <n v="55000"/>
    <x v="4"/>
    <n v="110000"/>
    <n v="25000"/>
    <n v="60000"/>
  </r>
  <r>
    <s v="ITM00552"/>
    <s v="ORD00322"/>
    <s v="PRD020"/>
    <n v="1"/>
    <n v="179000"/>
    <x v="1"/>
    <n v="179000"/>
    <n v="90000"/>
    <n v="89000"/>
  </r>
  <r>
    <s v="ITM00553"/>
    <s v="ORD00322"/>
    <s v="PRD005"/>
    <n v="2"/>
    <n v="39000"/>
    <x v="2"/>
    <n v="78000"/>
    <n v="15000"/>
    <n v="48000"/>
  </r>
  <r>
    <s v="ITM00554"/>
    <s v="ORD00323"/>
    <s v="PRD021"/>
    <n v="3"/>
    <n v="69000"/>
    <x v="0"/>
    <n v="207000"/>
    <n v="30000"/>
    <n v="117000"/>
  </r>
  <r>
    <s v="ITM00555"/>
    <s v="ORD00323"/>
    <s v="PRD006"/>
    <n v="2"/>
    <n v="129000"/>
    <x v="10"/>
    <n v="258000"/>
    <n v="60000"/>
    <n v="138000"/>
  </r>
  <r>
    <s v="ITM00556"/>
    <s v="ORD00323"/>
    <s v="PRD022"/>
    <n v="3"/>
    <n v="55000"/>
    <x v="4"/>
    <n v="165000"/>
    <n v="25000"/>
    <n v="90000"/>
  </r>
  <r>
    <s v="ITM00557"/>
    <s v="ORD00323"/>
    <s v="PRD005"/>
    <n v="1"/>
    <n v="39000"/>
    <x v="2"/>
    <n v="39000"/>
    <n v="15000"/>
    <n v="24000"/>
  </r>
  <r>
    <s v="ITM00558"/>
    <s v="ORD00324"/>
    <s v="PRD005"/>
    <n v="2"/>
    <n v="39000"/>
    <x v="2"/>
    <n v="78000"/>
    <n v="15000"/>
    <n v="48000"/>
  </r>
  <r>
    <s v="ITM00559"/>
    <s v="ORD00324"/>
    <s v="PRD002"/>
    <n v="1"/>
    <n v="159000"/>
    <x v="14"/>
    <n v="159000"/>
    <n v="80000"/>
    <n v="79000"/>
  </r>
  <r>
    <s v="ITM00560"/>
    <s v="ORD00324"/>
    <s v="PRD003"/>
    <n v="1"/>
    <n v="499000"/>
    <x v="11"/>
    <n v="499000"/>
    <n v="250000"/>
    <n v="249000"/>
  </r>
  <r>
    <s v="ITM00561"/>
    <s v="ORD00325"/>
    <s v="PRD012"/>
    <n v="2"/>
    <n v="229000"/>
    <x v="5"/>
    <n v="458000"/>
    <n v="110000"/>
    <n v="238000"/>
  </r>
  <r>
    <s v="ITM00562"/>
    <s v="ORD00325"/>
    <s v="PRD021"/>
    <n v="3"/>
    <n v="69000"/>
    <x v="0"/>
    <n v="207000"/>
    <n v="30000"/>
    <n v="117000"/>
  </r>
  <r>
    <s v="ITM00563"/>
    <s v="ORD00325"/>
    <s v="PRD008"/>
    <n v="2"/>
    <n v="399000"/>
    <x v="12"/>
    <n v="798000"/>
    <n v="200000"/>
    <n v="398000"/>
  </r>
  <r>
    <s v="ITM00564"/>
    <s v="ORD00325"/>
    <s v="PRD005"/>
    <n v="2"/>
    <n v="39000"/>
    <x v="2"/>
    <n v="78000"/>
    <n v="15000"/>
    <n v="48000"/>
  </r>
  <r>
    <s v="ITM00565"/>
    <s v="ORD00326"/>
    <s v="PRD009"/>
    <n v="1"/>
    <n v="79000"/>
    <x v="3"/>
    <n v="79000"/>
    <n v="35000"/>
    <n v="44000"/>
  </r>
  <r>
    <s v="ITM00566"/>
    <s v="ORD00327"/>
    <s v="PRD021"/>
    <n v="1"/>
    <n v="69000"/>
    <x v="0"/>
    <n v="69000"/>
    <n v="30000"/>
    <n v="39000"/>
  </r>
  <r>
    <s v="ITM00567"/>
    <s v="ORD00328"/>
    <s v="PRD021"/>
    <n v="3"/>
    <n v="69000"/>
    <x v="0"/>
    <n v="207000"/>
    <n v="30000"/>
    <n v="117000"/>
  </r>
  <r>
    <s v="ITM00568"/>
    <s v="ORD00329"/>
    <s v="PRD019"/>
    <n v="1"/>
    <n v="79000"/>
    <x v="13"/>
    <n v="79000"/>
    <n v="35000"/>
    <n v="44000"/>
  </r>
  <r>
    <s v="ITM00569"/>
    <s v="ORD00329"/>
    <s v="PRD020"/>
    <n v="1"/>
    <n v="179000"/>
    <x v="1"/>
    <n v="179000"/>
    <n v="90000"/>
    <n v="89000"/>
  </r>
  <r>
    <s v="ITM00570"/>
    <s v="ORD00329"/>
    <s v="PRD017"/>
    <n v="1"/>
    <n v="329000"/>
    <x v="7"/>
    <n v="329000"/>
    <n v="180000"/>
    <n v="149000"/>
  </r>
  <r>
    <s v="ITM00571"/>
    <s v="ORD00329"/>
    <s v="PRD021"/>
    <n v="1"/>
    <n v="69000"/>
    <x v="0"/>
    <n v="69000"/>
    <n v="30000"/>
    <n v="39000"/>
  </r>
  <r>
    <s v="ITM00572"/>
    <s v="ORD00330"/>
    <s v="PRD020"/>
    <n v="1"/>
    <n v="179000"/>
    <x v="1"/>
    <n v="179000"/>
    <n v="90000"/>
    <n v="89000"/>
  </r>
  <r>
    <s v="ITM00573"/>
    <s v="ORD00331"/>
    <s v="PRD022"/>
    <n v="1"/>
    <n v="55000"/>
    <x v="4"/>
    <n v="55000"/>
    <n v="25000"/>
    <n v="30000"/>
  </r>
  <r>
    <s v="ITM00574"/>
    <s v="ORD00331"/>
    <s v="PRD003"/>
    <n v="3"/>
    <n v="499000"/>
    <x v="11"/>
    <n v="1497000"/>
    <n v="250000"/>
    <n v="747000"/>
  </r>
  <r>
    <s v="ITM00575"/>
    <s v="ORD00331"/>
    <s v="PRD021"/>
    <n v="1"/>
    <n v="69000"/>
    <x v="0"/>
    <n v="69000"/>
    <n v="30000"/>
    <n v="39000"/>
  </r>
  <r>
    <s v="ITM00576"/>
    <s v="ORD00332"/>
    <s v="PRD020"/>
    <n v="2"/>
    <n v="179000"/>
    <x v="1"/>
    <n v="358000"/>
    <n v="90000"/>
    <n v="178000"/>
  </r>
  <r>
    <s v="ITM00577"/>
    <s v="ORD00332"/>
    <s v="PRD014"/>
    <n v="3"/>
    <n v="349000"/>
    <x v="9"/>
    <n v="1047000"/>
    <n v="180000"/>
    <n v="507000"/>
  </r>
  <r>
    <s v="ITM00578"/>
    <s v="ORD00332"/>
    <s v="PRD021"/>
    <n v="2"/>
    <n v="69000"/>
    <x v="0"/>
    <n v="138000"/>
    <n v="30000"/>
    <n v="78000"/>
  </r>
  <r>
    <s v="ITM00579"/>
    <s v="ORD00332"/>
    <s v="PRD006"/>
    <n v="1"/>
    <n v="129000"/>
    <x v="10"/>
    <n v="129000"/>
    <n v="60000"/>
    <n v="69000"/>
  </r>
  <r>
    <s v="ITM00580"/>
    <s v="ORD00333"/>
    <s v="PRD020"/>
    <n v="1"/>
    <n v="179000"/>
    <x v="1"/>
    <n v="179000"/>
    <n v="90000"/>
    <n v="89000"/>
  </r>
  <r>
    <s v="ITM00581"/>
    <s v="ORD00333"/>
    <s v="PRD005"/>
    <n v="1"/>
    <n v="39000"/>
    <x v="2"/>
    <n v="39000"/>
    <n v="15000"/>
    <n v="24000"/>
  </r>
  <r>
    <s v="ITM00582"/>
    <s v="ORD00333"/>
    <s v="PRD006"/>
    <n v="1"/>
    <n v="129000"/>
    <x v="10"/>
    <n v="129000"/>
    <n v="60000"/>
    <n v="69000"/>
  </r>
  <r>
    <s v="ITM00583"/>
    <s v="ORD00334"/>
    <s v="PRD019"/>
    <n v="1"/>
    <n v="79000"/>
    <x v="13"/>
    <n v="79000"/>
    <n v="35000"/>
    <n v="44000"/>
  </r>
  <r>
    <s v="ITM00584"/>
    <s v="ORD00334"/>
    <s v="PRD013"/>
    <n v="1"/>
    <n v="209000"/>
    <x v="17"/>
    <n v="209000"/>
    <n v="95000"/>
    <n v="114000"/>
  </r>
  <r>
    <s v="ITM00585"/>
    <s v="ORD00334"/>
    <s v="PRD021"/>
    <n v="2"/>
    <n v="69000"/>
    <x v="0"/>
    <n v="138000"/>
    <n v="30000"/>
    <n v="78000"/>
  </r>
  <r>
    <s v="ITM00586"/>
    <s v="ORD00335"/>
    <s v="PRD017"/>
    <n v="3"/>
    <n v="329000"/>
    <x v="7"/>
    <n v="987000"/>
    <n v="180000"/>
    <n v="447000"/>
  </r>
  <r>
    <s v="ITM00587"/>
    <s v="ORD00335"/>
    <s v="PRD005"/>
    <n v="1"/>
    <n v="39000"/>
    <x v="2"/>
    <n v="39000"/>
    <n v="15000"/>
    <n v="24000"/>
  </r>
  <r>
    <s v="ITM00588"/>
    <s v="ORD00336"/>
    <s v="PRD014"/>
    <n v="1"/>
    <n v="349000"/>
    <x v="9"/>
    <n v="349000"/>
    <n v="180000"/>
    <n v="169000"/>
  </r>
  <r>
    <s v="ITM00589"/>
    <s v="ORD00337"/>
    <s v="PRD014"/>
    <n v="1"/>
    <n v="349000"/>
    <x v="9"/>
    <n v="349000"/>
    <n v="180000"/>
    <n v="169000"/>
  </r>
  <r>
    <s v="ITM00590"/>
    <s v="ORD00338"/>
    <s v="PRD021"/>
    <n v="2"/>
    <n v="69000"/>
    <x v="0"/>
    <n v="138000"/>
    <n v="30000"/>
    <n v="78000"/>
  </r>
  <r>
    <s v="ITM00591"/>
    <s v="ORD00339"/>
    <s v="PRD021"/>
    <n v="1"/>
    <n v="69000"/>
    <x v="0"/>
    <n v="69000"/>
    <n v="30000"/>
    <n v="39000"/>
  </r>
  <r>
    <s v="ITM00592"/>
    <s v="ORD00339"/>
    <s v="PRD006"/>
    <n v="3"/>
    <n v="129000"/>
    <x v="10"/>
    <n v="387000"/>
    <n v="60000"/>
    <n v="207000"/>
  </r>
  <r>
    <s v="ITM00593"/>
    <s v="ORD00339"/>
    <s v="PRD007"/>
    <n v="1"/>
    <n v="99000"/>
    <x v="6"/>
    <n v="99000"/>
    <n v="45000"/>
    <n v="54000"/>
  </r>
  <r>
    <s v="ITM00594"/>
    <s v="ORD00340"/>
    <s v="PRD021"/>
    <n v="1"/>
    <n v="69000"/>
    <x v="0"/>
    <n v="69000"/>
    <n v="30000"/>
    <n v="39000"/>
  </r>
  <r>
    <s v="ITM00595"/>
    <s v="ORD00341"/>
    <s v="PRD006"/>
    <n v="1"/>
    <n v="129000"/>
    <x v="10"/>
    <n v="129000"/>
    <n v="60000"/>
    <n v="69000"/>
  </r>
  <r>
    <s v="ITM00596"/>
    <s v="ORD00342"/>
    <s v="PRD021"/>
    <n v="2"/>
    <n v="69000"/>
    <x v="0"/>
    <n v="138000"/>
    <n v="30000"/>
    <n v="78000"/>
  </r>
  <r>
    <s v="ITM00597"/>
    <s v="ORD00343"/>
    <s v="PRD021"/>
    <n v="1"/>
    <n v="69000"/>
    <x v="0"/>
    <n v="69000"/>
    <n v="30000"/>
    <n v="39000"/>
  </r>
  <r>
    <s v="ITM00598"/>
    <s v="ORD00343"/>
    <s v="PRD005"/>
    <n v="1"/>
    <n v="39000"/>
    <x v="2"/>
    <n v="39000"/>
    <n v="15000"/>
    <n v="24000"/>
  </r>
  <r>
    <s v="ITM00599"/>
    <s v="ORD00344"/>
    <s v="PRD005"/>
    <n v="1"/>
    <n v="39000"/>
    <x v="2"/>
    <n v="39000"/>
    <n v="15000"/>
    <n v="24000"/>
  </r>
  <r>
    <s v="ITM00600"/>
    <s v="ORD00344"/>
    <s v="PRD021"/>
    <n v="1"/>
    <n v="69000"/>
    <x v="0"/>
    <n v="69000"/>
    <n v="30000"/>
    <n v="39000"/>
  </r>
  <r>
    <s v="ITM00601"/>
    <s v="ORD00344"/>
    <s v="PRD009"/>
    <n v="1"/>
    <n v="79000"/>
    <x v="3"/>
    <n v="79000"/>
    <n v="35000"/>
    <n v="44000"/>
  </r>
  <r>
    <s v="ITM00602"/>
    <s v="ORD00345"/>
    <s v="PRD021"/>
    <n v="1"/>
    <n v="69000"/>
    <x v="0"/>
    <n v="69000"/>
    <n v="30000"/>
    <n v="39000"/>
  </r>
  <r>
    <s v="ITM00603"/>
    <s v="ORD00345"/>
    <s v="PRD020"/>
    <n v="1"/>
    <n v="179000"/>
    <x v="1"/>
    <n v="179000"/>
    <n v="90000"/>
    <n v="89000"/>
  </r>
  <r>
    <s v="ITM00604"/>
    <s v="ORD00345"/>
    <s v="PRD022"/>
    <n v="2"/>
    <n v="55000"/>
    <x v="4"/>
    <n v="110000"/>
    <n v="25000"/>
    <n v="60000"/>
  </r>
  <r>
    <s v="ITM00605"/>
    <s v="ORD00346"/>
    <s v="PRD021"/>
    <n v="2"/>
    <n v="69000"/>
    <x v="0"/>
    <n v="138000"/>
    <n v="30000"/>
    <n v="78000"/>
  </r>
  <r>
    <s v="ITM00606"/>
    <s v="ORD00347"/>
    <s v="PRD006"/>
    <n v="2"/>
    <n v="129000"/>
    <x v="10"/>
    <n v="258000"/>
    <n v="60000"/>
    <n v="138000"/>
  </r>
  <r>
    <s v="ITM00607"/>
    <s v="ORD00348"/>
    <s v="PRD014"/>
    <n v="1"/>
    <n v="349000"/>
    <x v="9"/>
    <n v="349000"/>
    <n v="180000"/>
    <n v="169000"/>
  </r>
  <r>
    <s v="ITM00608"/>
    <s v="ORD00348"/>
    <s v="PRD008"/>
    <n v="3"/>
    <n v="399000"/>
    <x v="12"/>
    <n v="1197000"/>
    <n v="200000"/>
    <n v="597000"/>
  </r>
  <r>
    <s v="ITM00609"/>
    <s v="ORD00349"/>
    <s v="PRD005"/>
    <n v="1"/>
    <n v="39000"/>
    <x v="2"/>
    <n v="39000"/>
    <n v="15000"/>
    <n v="24000"/>
  </r>
  <r>
    <s v="ITM00610"/>
    <s v="ORD00350"/>
    <s v="PRD021"/>
    <n v="2"/>
    <n v="69000"/>
    <x v="0"/>
    <n v="138000"/>
    <n v="30000"/>
    <n v="78000"/>
  </r>
  <r>
    <s v="ITM00611"/>
    <s v="ORD00350"/>
    <s v="PRD006"/>
    <n v="3"/>
    <n v="129000"/>
    <x v="10"/>
    <n v="387000"/>
    <n v="60000"/>
    <n v="207000"/>
  </r>
  <r>
    <s v="ITM00612"/>
    <s v="ORD00350"/>
    <s v="PRD014"/>
    <n v="1"/>
    <n v="349000"/>
    <x v="9"/>
    <n v="349000"/>
    <n v="180000"/>
    <n v="169000"/>
  </r>
  <r>
    <s v="ITM00613"/>
    <s v="ORD00351"/>
    <s v="PRD002"/>
    <n v="1"/>
    <n v="159000"/>
    <x v="14"/>
    <n v="159000"/>
    <n v="80000"/>
    <n v="79000"/>
  </r>
  <r>
    <s v="ITM00614"/>
    <s v="ORD00352"/>
    <s v="PRD021"/>
    <n v="1"/>
    <n v="69000"/>
    <x v="0"/>
    <n v="69000"/>
    <n v="30000"/>
    <n v="39000"/>
  </r>
  <r>
    <s v="ITM00615"/>
    <s v="ORD00353"/>
    <s v="PRD009"/>
    <n v="1"/>
    <n v="79000"/>
    <x v="3"/>
    <n v="79000"/>
    <n v="35000"/>
    <n v="44000"/>
  </r>
  <r>
    <s v="ITM00616"/>
    <s v="ORD00354"/>
    <s v="PRD021"/>
    <n v="1"/>
    <n v="69000"/>
    <x v="0"/>
    <n v="69000"/>
    <n v="30000"/>
    <n v="39000"/>
  </r>
  <r>
    <s v="ITM00617"/>
    <s v="ORD00354"/>
    <s v="PRD005"/>
    <n v="3"/>
    <n v="39000"/>
    <x v="2"/>
    <n v="117000"/>
    <n v="15000"/>
    <n v="72000"/>
  </r>
  <r>
    <s v="ITM00618"/>
    <s v="ORD00354"/>
    <s v="PRD020"/>
    <n v="3"/>
    <n v="179000"/>
    <x v="1"/>
    <n v="537000"/>
    <n v="90000"/>
    <n v="267000"/>
  </r>
  <r>
    <s v="ITM00619"/>
    <s v="ORD00354"/>
    <s v="PRD017"/>
    <n v="1"/>
    <n v="329000"/>
    <x v="7"/>
    <n v="329000"/>
    <n v="180000"/>
    <n v="149000"/>
  </r>
  <r>
    <s v="ITM00620"/>
    <s v="ORD00355"/>
    <s v="PRD022"/>
    <n v="1"/>
    <n v="55000"/>
    <x v="4"/>
    <n v="55000"/>
    <n v="25000"/>
    <n v="30000"/>
  </r>
  <r>
    <s v="ITM00621"/>
    <s v="ORD00356"/>
    <s v="PRD005"/>
    <n v="1"/>
    <n v="39000"/>
    <x v="2"/>
    <n v="39000"/>
    <n v="15000"/>
    <n v="24000"/>
  </r>
  <r>
    <s v="ITM00622"/>
    <s v="ORD00356"/>
    <s v="PRD020"/>
    <n v="1"/>
    <n v="179000"/>
    <x v="1"/>
    <n v="179000"/>
    <n v="90000"/>
    <n v="89000"/>
  </r>
  <r>
    <s v="ITM00623"/>
    <s v="ORD00357"/>
    <s v="PRD021"/>
    <n v="1"/>
    <n v="69000"/>
    <x v="0"/>
    <n v="69000"/>
    <n v="30000"/>
    <n v="39000"/>
  </r>
  <r>
    <s v="ITM00624"/>
    <s v="ORD00358"/>
    <s v="PRD005"/>
    <n v="1"/>
    <n v="39000"/>
    <x v="2"/>
    <n v="39000"/>
    <n v="15000"/>
    <n v="24000"/>
  </r>
  <r>
    <s v="ITM00625"/>
    <s v="ORD00358"/>
    <s v="PRD014"/>
    <n v="1"/>
    <n v="349000"/>
    <x v="9"/>
    <n v="349000"/>
    <n v="180000"/>
    <n v="169000"/>
  </r>
  <r>
    <s v="ITM00626"/>
    <s v="ORD00358"/>
    <s v="PRD021"/>
    <n v="1"/>
    <n v="69000"/>
    <x v="0"/>
    <n v="69000"/>
    <n v="30000"/>
    <n v="39000"/>
  </r>
  <r>
    <s v="ITM00627"/>
    <s v="ORD00359"/>
    <s v="PRD021"/>
    <n v="1"/>
    <n v="69000"/>
    <x v="0"/>
    <n v="69000"/>
    <n v="30000"/>
    <n v="39000"/>
  </r>
  <r>
    <s v="ITM00628"/>
    <s v="ORD00360"/>
    <s v="PRD002"/>
    <n v="1"/>
    <n v="159000"/>
    <x v="14"/>
    <n v="159000"/>
    <n v="80000"/>
    <n v="79000"/>
  </r>
  <r>
    <s v="ITM00629"/>
    <s v="ORD00361"/>
    <s v="PRD021"/>
    <n v="1"/>
    <n v="69000"/>
    <x v="0"/>
    <n v="69000"/>
    <n v="30000"/>
    <n v="39000"/>
  </r>
  <r>
    <s v="ITM00630"/>
    <s v="ORD00361"/>
    <s v="PRD005"/>
    <n v="1"/>
    <n v="39000"/>
    <x v="2"/>
    <n v="39000"/>
    <n v="15000"/>
    <n v="24000"/>
  </r>
  <r>
    <s v="ITM00631"/>
    <s v="ORD00361"/>
    <s v="PRD017"/>
    <n v="1"/>
    <n v="329000"/>
    <x v="7"/>
    <n v="329000"/>
    <n v="180000"/>
    <n v="149000"/>
  </r>
  <r>
    <s v="ITM00632"/>
    <s v="ORD00362"/>
    <s v="PRD022"/>
    <n v="1"/>
    <n v="55000"/>
    <x v="4"/>
    <n v="55000"/>
    <n v="25000"/>
    <n v="30000"/>
  </r>
  <r>
    <s v="ITM00633"/>
    <s v="ORD00362"/>
    <s v="PRD005"/>
    <n v="2"/>
    <n v="39000"/>
    <x v="2"/>
    <n v="78000"/>
    <n v="15000"/>
    <n v="48000"/>
  </r>
  <r>
    <s v="ITM00634"/>
    <s v="ORD00363"/>
    <s v="PRD002"/>
    <n v="1"/>
    <n v="159000"/>
    <x v="14"/>
    <n v="159000"/>
    <n v="80000"/>
    <n v="79000"/>
  </r>
  <r>
    <s v="ITM00635"/>
    <s v="ORD00364"/>
    <s v="PRD006"/>
    <n v="2"/>
    <n v="129000"/>
    <x v="10"/>
    <n v="258000"/>
    <n v="60000"/>
    <n v="138000"/>
  </r>
  <r>
    <s v="ITM00636"/>
    <s v="ORD00365"/>
    <s v="PRD021"/>
    <n v="1"/>
    <n v="69000"/>
    <x v="0"/>
    <n v="69000"/>
    <n v="30000"/>
    <n v="39000"/>
  </r>
  <r>
    <s v="ITM00637"/>
    <s v="ORD00365"/>
    <s v="PRD006"/>
    <n v="1"/>
    <n v="129000"/>
    <x v="10"/>
    <n v="129000"/>
    <n v="60000"/>
    <n v="69000"/>
  </r>
  <r>
    <s v="ITM00638"/>
    <s v="ORD00366"/>
    <s v="PRD006"/>
    <n v="1"/>
    <n v="129000"/>
    <x v="10"/>
    <n v="129000"/>
    <n v="60000"/>
    <n v="69000"/>
  </r>
  <r>
    <s v="ITM00639"/>
    <s v="ORD00367"/>
    <s v="PRD021"/>
    <n v="1"/>
    <n v="69000"/>
    <x v="0"/>
    <n v="69000"/>
    <n v="30000"/>
    <n v="39000"/>
  </r>
  <r>
    <s v="ITM00640"/>
    <s v="ORD00368"/>
    <s v="PRD009"/>
    <n v="1"/>
    <n v="79000"/>
    <x v="3"/>
    <n v="79000"/>
    <n v="35000"/>
    <n v="44000"/>
  </r>
  <r>
    <s v="ITM00641"/>
    <s v="ORD00368"/>
    <s v="PRD017"/>
    <n v="1"/>
    <n v="329000"/>
    <x v="7"/>
    <n v="329000"/>
    <n v="180000"/>
    <n v="149000"/>
  </r>
  <r>
    <s v="ITM00642"/>
    <s v="ORD00368"/>
    <s v="PRD008"/>
    <n v="1"/>
    <n v="399000"/>
    <x v="12"/>
    <n v="399000"/>
    <n v="200000"/>
    <n v="199000"/>
  </r>
  <r>
    <s v="ITM00643"/>
    <s v="ORD00369"/>
    <s v="PRD014"/>
    <n v="1"/>
    <n v="349000"/>
    <x v="9"/>
    <n v="349000"/>
    <n v="180000"/>
    <n v="169000"/>
  </r>
  <r>
    <s v="ITM00644"/>
    <s v="ORD00369"/>
    <s v="PRD005"/>
    <n v="2"/>
    <n v="39000"/>
    <x v="2"/>
    <n v="78000"/>
    <n v="15000"/>
    <n v="48000"/>
  </r>
  <r>
    <s v="ITM00645"/>
    <s v="ORD00370"/>
    <s v="PRD021"/>
    <n v="1"/>
    <n v="69000"/>
    <x v="0"/>
    <n v="69000"/>
    <n v="30000"/>
    <n v="39000"/>
  </r>
  <r>
    <s v="ITM00646"/>
    <s v="ORD00370"/>
    <s v="PRD017"/>
    <n v="2"/>
    <n v="329000"/>
    <x v="7"/>
    <n v="658000"/>
    <n v="180000"/>
    <n v="298000"/>
  </r>
  <r>
    <s v="ITM00647"/>
    <s v="ORD00371"/>
    <s v="PRD005"/>
    <n v="1"/>
    <n v="39000"/>
    <x v="2"/>
    <n v="39000"/>
    <n v="15000"/>
    <n v="24000"/>
  </r>
  <r>
    <s v="ITM00648"/>
    <s v="ORD00371"/>
    <s v="PRD021"/>
    <n v="2"/>
    <n v="69000"/>
    <x v="0"/>
    <n v="138000"/>
    <n v="30000"/>
    <n v="78000"/>
  </r>
  <r>
    <s v="ITM00649"/>
    <s v="ORD00372"/>
    <s v="PRD019"/>
    <n v="1"/>
    <n v="79000"/>
    <x v="13"/>
    <n v="79000"/>
    <n v="35000"/>
    <n v="44000"/>
  </r>
  <r>
    <s v="ITM00650"/>
    <s v="ORD00373"/>
    <s v="PRD013"/>
    <n v="1"/>
    <n v="209000"/>
    <x v="17"/>
    <n v="209000"/>
    <n v="95000"/>
    <n v="114000"/>
  </r>
  <r>
    <s v="ITM00651"/>
    <s v="ORD00373"/>
    <s v="PRD021"/>
    <n v="1"/>
    <n v="69000"/>
    <x v="0"/>
    <n v="69000"/>
    <n v="30000"/>
    <n v="39000"/>
  </r>
  <r>
    <s v="ITM00652"/>
    <s v="ORD00374"/>
    <s v="PRD021"/>
    <n v="3"/>
    <n v="69000"/>
    <x v="0"/>
    <n v="207000"/>
    <n v="30000"/>
    <n v="117000"/>
  </r>
  <r>
    <s v="ITM00653"/>
    <s v="ORD00374"/>
    <s v="PRD008"/>
    <n v="1"/>
    <n v="399000"/>
    <x v="12"/>
    <n v="399000"/>
    <n v="200000"/>
    <n v="199000"/>
  </r>
  <r>
    <s v="ITM00654"/>
    <s v="ORD00374"/>
    <s v="PRD020"/>
    <n v="1"/>
    <n v="179000"/>
    <x v="1"/>
    <n v="179000"/>
    <n v="90000"/>
    <n v="89000"/>
  </r>
  <r>
    <s v="ITM00655"/>
    <s v="ORD00375"/>
    <s v="PRD021"/>
    <n v="1"/>
    <n v="69000"/>
    <x v="0"/>
    <n v="69000"/>
    <n v="30000"/>
    <n v="39000"/>
  </r>
  <r>
    <s v="ITM00656"/>
    <s v="ORD00376"/>
    <s v="PRD009"/>
    <n v="3"/>
    <n v="79000"/>
    <x v="3"/>
    <n v="237000"/>
    <n v="35000"/>
    <n v="132000"/>
  </r>
  <r>
    <s v="ITM00657"/>
    <s v="ORD00377"/>
    <s v="PRD005"/>
    <n v="2"/>
    <n v="39000"/>
    <x v="2"/>
    <n v="78000"/>
    <n v="15000"/>
    <n v="48000"/>
  </r>
  <r>
    <s v="ITM00658"/>
    <s v="ORD00377"/>
    <s v="PRD021"/>
    <n v="2"/>
    <n v="69000"/>
    <x v="0"/>
    <n v="138000"/>
    <n v="30000"/>
    <n v="78000"/>
  </r>
  <r>
    <s v="ITM00659"/>
    <s v="ORD00377"/>
    <s v="PRD009"/>
    <n v="1"/>
    <n v="79000"/>
    <x v="3"/>
    <n v="79000"/>
    <n v="35000"/>
    <n v="44000"/>
  </r>
  <r>
    <s v="ITM00660"/>
    <s v="ORD00378"/>
    <s v="PRD021"/>
    <n v="1"/>
    <n v="69000"/>
    <x v="0"/>
    <n v="69000"/>
    <n v="30000"/>
    <n v="39000"/>
  </r>
  <r>
    <s v="ITM00661"/>
    <s v="ORD00379"/>
    <s v="PRD017"/>
    <n v="2"/>
    <n v="329000"/>
    <x v="7"/>
    <n v="658000"/>
    <n v="180000"/>
    <n v="298000"/>
  </r>
  <r>
    <s v="ITM00662"/>
    <s v="ORD00380"/>
    <s v="PRD020"/>
    <n v="1"/>
    <n v="179000"/>
    <x v="1"/>
    <n v="179000"/>
    <n v="90000"/>
    <n v="89000"/>
  </r>
  <r>
    <s v="ITM00663"/>
    <s v="ORD00380"/>
    <s v="PRD005"/>
    <n v="1"/>
    <n v="39000"/>
    <x v="2"/>
    <n v="39000"/>
    <n v="15000"/>
    <n v="24000"/>
  </r>
  <r>
    <s v="ITM00664"/>
    <s v="ORD00381"/>
    <s v="PRD021"/>
    <n v="1"/>
    <n v="69000"/>
    <x v="0"/>
    <n v="69000"/>
    <n v="30000"/>
    <n v="39000"/>
  </r>
  <r>
    <s v="ITM00665"/>
    <s v="ORD00382"/>
    <s v="PRD005"/>
    <n v="1"/>
    <n v="39000"/>
    <x v="2"/>
    <n v="39000"/>
    <n v="15000"/>
    <n v="24000"/>
  </r>
  <r>
    <s v="ITM00666"/>
    <s v="ORD00383"/>
    <s v="PRD023"/>
    <n v="2"/>
    <n v="139000"/>
    <x v="8"/>
    <n v="278000"/>
    <n v="65000"/>
    <n v="148000"/>
  </r>
  <r>
    <s v="ITM00667"/>
    <s v="ORD00383"/>
    <s v="PRD014"/>
    <n v="1"/>
    <n v="349000"/>
    <x v="9"/>
    <n v="349000"/>
    <n v="180000"/>
    <n v="169000"/>
  </r>
  <r>
    <s v="ITM00668"/>
    <s v="ORD00384"/>
    <s v="PRD019"/>
    <n v="2"/>
    <n v="79000"/>
    <x v="13"/>
    <n v="158000"/>
    <n v="35000"/>
    <n v="88000"/>
  </r>
  <r>
    <s v="ITM00669"/>
    <s v="ORD00385"/>
    <s v="PRD019"/>
    <n v="3"/>
    <n v="79000"/>
    <x v="13"/>
    <n v="237000"/>
    <n v="35000"/>
    <n v="132000"/>
  </r>
  <r>
    <s v="ITM00670"/>
    <s v="ORD00385"/>
    <s v="PRD022"/>
    <n v="1"/>
    <n v="55000"/>
    <x v="4"/>
    <n v="55000"/>
    <n v="25000"/>
    <n v="30000"/>
  </r>
  <r>
    <s v="ITM00671"/>
    <s v="ORD00386"/>
    <s v="PRD005"/>
    <n v="2"/>
    <n v="39000"/>
    <x v="2"/>
    <n v="78000"/>
    <n v="15000"/>
    <n v="48000"/>
  </r>
  <r>
    <s v="ITM00672"/>
    <s v="ORD00386"/>
    <s v="PRD020"/>
    <n v="1"/>
    <n v="179000"/>
    <x v="1"/>
    <n v="179000"/>
    <n v="90000"/>
    <n v="89000"/>
  </r>
  <r>
    <s v="ITM00673"/>
    <s v="ORD00386"/>
    <s v="PRD014"/>
    <n v="1"/>
    <n v="349000"/>
    <x v="9"/>
    <n v="349000"/>
    <n v="180000"/>
    <n v="169000"/>
  </r>
  <r>
    <s v="ITM00674"/>
    <s v="ORD00387"/>
    <s v="PRD021"/>
    <n v="2"/>
    <n v="69000"/>
    <x v="0"/>
    <n v="138000"/>
    <n v="30000"/>
    <n v="78000"/>
  </r>
  <r>
    <s v="ITM00675"/>
    <s v="ORD00388"/>
    <s v="PRD021"/>
    <n v="1"/>
    <n v="69000"/>
    <x v="0"/>
    <n v="69000"/>
    <n v="30000"/>
    <n v="39000"/>
  </r>
  <r>
    <s v="ITM00676"/>
    <s v="ORD00389"/>
    <s v="PRD021"/>
    <n v="1"/>
    <n v="69000"/>
    <x v="0"/>
    <n v="69000"/>
    <n v="30000"/>
    <n v="39000"/>
  </r>
  <r>
    <s v="ITM00677"/>
    <s v="ORD00389"/>
    <s v="PRD012"/>
    <n v="1"/>
    <n v="229000"/>
    <x v="5"/>
    <n v="229000"/>
    <n v="110000"/>
    <n v="119000"/>
  </r>
  <r>
    <s v="ITM00678"/>
    <s v="ORD00390"/>
    <s v="PRD005"/>
    <n v="3"/>
    <n v="39000"/>
    <x v="2"/>
    <n v="117000"/>
    <n v="15000"/>
    <n v="72000"/>
  </r>
  <r>
    <s v="ITM00679"/>
    <s v="ORD00390"/>
    <s v="PRD021"/>
    <n v="1"/>
    <n v="69000"/>
    <x v="0"/>
    <n v="69000"/>
    <n v="30000"/>
    <n v="39000"/>
  </r>
  <r>
    <s v="ITM00680"/>
    <s v="ORD00390"/>
    <s v="PRD009"/>
    <n v="1"/>
    <n v="79000"/>
    <x v="3"/>
    <n v="79000"/>
    <n v="35000"/>
    <n v="44000"/>
  </r>
  <r>
    <s v="ITM00681"/>
    <s v="ORD00391"/>
    <s v="PRD023"/>
    <n v="1"/>
    <n v="139000"/>
    <x v="8"/>
    <n v="139000"/>
    <n v="65000"/>
    <n v="74000"/>
  </r>
  <r>
    <s v="ITM00682"/>
    <s v="ORD00391"/>
    <s v="PRD005"/>
    <n v="1"/>
    <n v="39000"/>
    <x v="2"/>
    <n v="39000"/>
    <n v="15000"/>
    <n v="24000"/>
  </r>
  <r>
    <s v="ITM00683"/>
    <s v="ORD00392"/>
    <s v="PRD005"/>
    <n v="1"/>
    <n v="39000"/>
    <x v="2"/>
    <n v="39000"/>
    <n v="15000"/>
    <n v="24000"/>
  </r>
  <r>
    <s v="ITM00684"/>
    <s v="ORD00393"/>
    <s v="PRD022"/>
    <n v="2"/>
    <n v="55000"/>
    <x v="4"/>
    <n v="110000"/>
    <n v="25000"/>
    <n v="60000"/>
  </r>
  <r>
    <s v="ITM00685"/>
    <s v="ORD00394"/>
    <s v="PRD021"/>
    <n v="1"/>
    <n v="69000"/>
    <x v="0"/>
    <n v="69000"/>
    <n v="30000"/>
    <n v="39000"/>
  </r>
  <r>
    <s v="ITM00686"/>
    <s v="ORD00395"/>
    <s v="PRD021"/>
    <n v="1"/>
    <n v="69000"/>
    <x v="0"/>
    <n v="69000"/>
    <n v="30000"/>
    <n v="39000"/>
  </r>
  <r>
    <s v="ITM00687"/>
    <s v="ORD00395"/>
    <s v="PRD020"/>
    <n v="1"/>
    <n v="179000"/>
    <x v="1"/>
    <n v="179000"/>
    <n v="90000"/>
    <n v="89000"/>
  </r>
  <r>
    <s v="ITM00688"/>
    <s v="ORD00396"/>
    <s v="PRD021"/>
    <n v="1"/>
    <n v="69000"/>
    <x v="0"/>
    <n v="69000"/>
    <n v="30000"/>
    <n v="39000"/>
  </r>
  <r>
    <s v="ITM00689"/>
    <s v="ORD00397"/>
    <s v="PRD021"/>
    <n v="1"/>
    <n v="69000"/>
    <x v="0"/>
    <n v="69000"/>
    <n v="30000"/>
    <n v="39000"/>
  </r>
  <r>
    <s v="ITM00690"/>
    <s v="ORD00398"/>
    <s v="PRD021"/>
    <n v="1"/>
    <n v="69000"/>
    <x v="0"/>
    <n v="69000"/>
    <n v="30000"/>
    <n v="39000"/>
  </r>
  <r>
    <s v="ITM00691"/>
    <s v="ORD00399"/>
    <s v="PRD014"/>
    <n v="1"/>
    <n v="349000"/>
    <x v="9"/>
    <n v="349000"/>
    <n v="180000"/>
    <n v="169000"/>
  </r>
  <r>
    <s v="ITM00692"/>
    <s v="ORD00400"/>
    <s v="PRD005"/>
    <n v="3"/>
    <n v="39000"/>
    <x v="2"/>
    <n v="117000"/>
    <n v="15000"/>
    <n v="72000"/>
  </r>
  <r>
    <s v="ITM00693"/>
    <s v="ORD00400"/>
    <s v="PRD015"/>
    <n v="1"/>
    <n v="139000"/>
    <x v="18"/>
    <n v="139000"/>
    <n v="60000"/>
    <n v="79000"/>
  </r>
  <r>
    <s v="ITM00694"/>
    <s v="ORD00401"/>
    <s v="PRD022"/>
    <n v="1"/>
    <n v="55000"/>
    <x v="4"/>
    <n v="55000"/>
    <n v="25000"/>
    <n v="30000"/>
  </r>
  <r>
    <s v="ITM00695"/>
    <s v="ORD00402"/>
    <s v="PRD008"/>
    <n v="2"/>
    <n v="399000"/>
    <x v="12"/>
    <n v="798000"/>
    <n v="200000"/>
    <n v="398000"/>
  </r>
  <r>
    <s v="ITM00696"/>
    <s v="ORD00403"/>
    <s v="PRD021"/>
    <n v="1"/>
    <n v="69000"/>
    <x v="0"/>
    <n v="69000"/>
    <n v="30000"/>
    <n v="39000"/>
  </r>
  <r>
    <s v="ITM00697"/>
    <s v="ORD00403"/>
    <s v="PRD005"/>
    <n v="1"/>
    <n v="39000"/>
    <x v="2"/>
    <n v="39000"/>
    <n v="15000"/>
    <n v="24000"/>
  </r>
  <r>
    <s v="ITM00698"/>
    <s v="ORD00403"/>
    <s v="PRD004"/>
    <n v="1"/>
    <n v="199000"/>
    <x v="19"/>
    <n v="199000"/>
    <n v="100000"/>
    <n v="99000"/>
  </r>
  <r>
    <s v="ITM00699"/>
    <s v="ORD00404"/>
    <s v="PRD021"/>
    <n v="1"/>
    <n v="69000"/>
    <x v="0"/>
    <n v="69000"/>
    <n v="30000"/>
    <n v="39000"/>
  </r>
  <r>
    <s v="ITM00700"/>
    <s v="ORD00405"/>
    <s v="PRD005"/>
    <n v="2"/>
    <n v="39000"/>
    <x v="2"/>
    <n v="78000"/>
    <n v="15000"/>
    <n v="48000"/>
  </r>
  <r>
    <s v="ITM00701"/>
    <s v="ORD00406"/>
    <s v="PRD021"/>
    <n v="1"/>
    <n v="69000"/>
    <x v="0"/>
    <n v="69000"/>
    <n v="30000"/>
    <n v="39000"/>
  </r>
  <r>
    <s v="ITM00702"/>
    <s v="ORD00406"/>
    <s v="PRD006"/>
    <n v="3"/>
    <n v="129000"/>
    <x v="10"/>
    <n v="387000"/>
    <n v="60000"/>
    <n v="207000"/>
  </r>
  <r>
    <s v="ITM00703"/>
    <s v="ORD00406"/>
    <s v="PRD020"/>
    <n v="1"/>
    <n v="179000"/>
    <x v="1"/>
    <n v="179000"/>
    <n v="90000"/>
    <n v="89000"/>
  </r>
  <r>
    <s v="ITM00704"/>
    <s v="ORD00407"/>
    <s v="PRD023"/>
    <n v="1"/>
    <n v="139000"/>
    <x v="8"/>
    <n v="139000"/>
    <n v="65000"/>
    <n v="74000"/>
  </r>
  <r>
    <s v="ITM00705"/>
    <s v="ORD00407"/>
    <s v="PRD006"/>
    <n v="1"/>
    <n v="129000"/>
    <x v="10"/>
    <n v="129000"/>
    <n v="60000"/>
    <n v="69000"/>
  </r>
  <r>
    <s v="ITM00706"/>
    <s v="ORD00407"/>
    <s v="PRD004"/>
    <n v="1"/>
    <n v="199000"/>
    <x v="19"/>
    <n v="199000"/>
    <n v="100000"/>
    <n v="99000"/>
  </r>
  <r>
    <s v="ITM00707"/>
    <s v="ORD00408"/>
    <s v="PRD005"/>
    <n v="1"/>
    <n v="39000"/>
    <x v="2"/>
    <n v="39000"/>
    <n v="15000"/>
    <n v="24000"/>
  </r>
  <r>
    <s v="ITM00708"/>
    <s v="ORD00409"/>
    <s v="PRD008"/>
    <n v="1"/>
    <n v="399000"/>
    <x v="12"/>
    <n v="399000"/>
    <n v="200000"/>
    <n v="199000"/>
  </r>
  <r>
    <s v="ITM00709"/>
    <s v="ORD00409"/>
    <s v="PRD005"/>
    <n v="3"/>
    <n v="39000"/>
    <x v="2"/>
    <n v="117000"/>
    <n v="15000"/>
    <n v="72000"/>
  </r>
  <r>
    <s v="ITM00710"/>
    <s v="ORD00410"/>
    <s v="PRD020"/>
    <n v="1"/>
    <n v="179000"/>
    <x v="1"/>
    <n v="179000"/>
    <n v="90000"/>
    <n v="89000"/>
  </r>
  <r>
    <s v="ITM00711"/>
    <s v="ORD00410"/>
    <s v="PRD023"/>
    <n v="2"/>
    <n v="139000"/>
    <x v="8"/>
    <n v="278000"/>
    <n v="65000"/>
    <n v="148000"/>
  </r>
  <r>
    <s v="ITM00712"/>
    <s v="ORD00411"/>
    <s v="PRD021"/>
    <n v="1"/>
    <n v="69000"/>
    <x v="0"/>
    <n v="69000"/>
    <n v="30000"/>
    <n v="39000"/>
  </r>
  <r>
    <s v="ITM00713"/>
    <s v="ORD00411"/>
    <s v="PRD009"/>
    <n v="1"/>
    <n v="79000"/>
    <x v="3"/>
    <n v="79000"/>
    <n v="35000"/>
    <n v="44000"/>
  </r>
  <r>
    <s v="ITM00714"/>
    <s v="ORD00412"/>
    <s v="PRD021"/>
    <n v="1"/>
    <n v="69000"/>
    <x v="0"/>
    <n v="69000"/>
    <n v="30000"/>
    <n v="39000"/>
  </r>
  <r>
    <s v="ITM00715"/>
    <s v="ORD00412"/>
    <s v="PRD004"/>
    <n v="3"/>
    <n v="199000"/>
    <x v="19"/>
    <n v="597000"/>
    <n v="100000"/>
    <n v="297000"/>
  </r>
  <r>
    <s v="ITM00716"/>
    <s v="ORD00412"/>
    <s v="PRD008"/>
    <n v="1"/>
    <n v="399000"/>
    <x v="12"/>
    <n v="399000"/>
    <n v="200000"/>
    <n v="199000"/>
  </r>
  <r>
    <s v="ITM00717"/>
    <s v="ORD00412"/>
    <s v="PRD017"/>
    <n v="1"/>
    <n v="329000"/>
    <x v="7"/>
    <n v="329000"/>
    <n v="180000"/>
    <n v="149000"/>
  </r>
  <r>
    <s v="ITM00718"/>
    <s v="ORD00413"/>
    <s v="PRD007"/>
    <n v="1"/>
    <n v="99000"/>
    <x v="6"/>
    <n v="99000"/>
    <n v="45000"/>
    <n v="54000"/>
  </r>
  <r>
    <s v="ITM00719"/>
    <s v="ORD00413"/>
    <s v="PRD005"/>
    <n v="1"/>
    <n v="39000"/>
    <x v="2"/>
    <n v="39000"/>
    <n v="15000"/>
    <n v="24000"/>
  </r>
  <r>
    <s v="ITM00720"/>
    <s v="ORD00414"/>
    <s v="PRD017"/>
    <n v="1"/>
    <n v="329000"/>
    <x v="7"/>
    <n v="329000"/>
    <n v="180000"/>
    <n v="149000"/>
  </r>
  <r>
    <s v="ITM00721"/>
    <s v="ORD00414"/>
    <s v="PRD022"/>
    <n v="1"/>
    <n v="55000"/>
    <x v="4"/>
    <n v="55000"/>
    <n v="25000"/>
    <n v="30000"/>
  </r>
  <r>
    <s v="ITM00722"/>
    <s v="ORD00415"/>
    <s v="PRD021"/>
    <n v="1"/>
    <n v="69000"/>
    <x v="0"/>
    <n v="69000"/>
    <n v="30000"/>
    <n v="39000"/>
  </r>
  <r>
    <s v="ITM00723"/>
    <s v="ORD00416"/>
    <s v="PRD020"/>
    <n v="3"/>
    <n v="179000"/>
    <x v="1"/>
    <n v="537000"/>
    <n v="90000"/>
    <n v="267000"/>
  </r>
  <r>
    <s v="ITM00724"/>
    <s v="ORD00417"/>
    <s v="PRD005"/>
    <n v="1"/>
    <n v="39000"/>
    <x v="2"/>
    <n v="39000"/>
    <n v="15000"/>
    <n v="24000"/>
  </r>
  <r>
    <s v="ITM00725"/>
    <s v="ORD00418"/>
    <s v="PRD021"/>
    <n v="1"/>
    <n v="69000"/>
    <x v="0"/>
    <n v="69000"/>
    <n v="30000"/>
    <n v="39000"/>
  </r>
  <r>
    <s v="ITM00726"/>
    <s v="ORD00418"/>
    <s v="PRD005"/>
    <n v="2"/>
    <n v="39000"/>
    <x v="2"/>
    <n v="78000"/>
    <n v="15000"/>
    <n v="48000"/>
  </r>
  <r>
    <s v="ITM00727"/>
    <s v="ORD00418"/>
    <s v="PRD022"/>
    <n v="1"/>
    <n v="55000"/>
    <x v="4"/>
    <n v="55000"/>
    <n v="25000"/>
    <n v="30000"/>
  </r>
  <r>
    <s v="ITM00728"/>
    <s v="ORD00419"/>
    <s v="PRD005"/>
    <n v="1"/>
    <n v="39000"/>
    <x v="2"/>
    <n v="39000"/>
    <n v="15000"/>
    <n v="24000"/>
  </r>
  <r>
    <s v="ITM00729"/>
    <s v="ORD00420"/>
    <s v="PRD009"/>
    <n v="3"/>
    <n v="79000"/>
    <x v="3"/>
    <n v="237000"/>
    <n v="35000"/>
    <n v="132000"/>
  </r>
  <r>
    <s v="ITM00730"/>
    <s v="ORD00421"/>
    <s v="PRD005"/>
    <n v="1"/>
    <n v="39000"/>
    <x v="2"/>
    <n v="39000"/>
    <n v="15000"/>
    <n v="24000"/>
  </r>
  <r>
    <s v="ITM00731"/>
    <s v="ORD00421"/>
    <s v="PRD009"/>
    <n v="1"/>
    <n v="79000"/>
    <x v="3"/>
    <n v="79000"/>
    <n v="35000"/>
    <n v="44000"/>
  </r>
  <r>
    <s v="ITM00732"/>
    <s v="ORD00421"/>
    <s v="PRD014"/>
    <n v="1"/>
    <n v="349000"/>
    <x v="9"/>
    <n v="349000"/>
    <n v="180000"/>
    <n v="169000"/>
  </r>
  <r>
    <s v="ITM00733"/>
    <s v="ORD00422"/>
    <s v="PRD023"/>
    <n v="1"/>
    <n v="139000"/>
    <x v="8"/>
    <n v="139000"/>
    <n v="65000"/>
    <n v="74000"/>
  </r>
  <r>
    <s v="ITM00734"/>
    <s v="ORD00422"/>
    <s v="PRD005"/>
    <n v="1"/>
    <n v="39000"/>
    <x v="2"/>
    <n v="39000"/>
    <n v="15000"/>
    <n v="24000"/>
  </r>
  <r>
    <s v="ITM00735"/>
    <s v="ORD00423"/>
    <s v="PRD005"/>
    <n v="1"/>
    <n v="39000"/>
    <x v="2"/>
    <n v="39000"/>
    <n v="15000"/>
    <n v="24000"/>
  </r>
  <r>
    <s v="ITM00736"/>
    <s v="ORD00424"/>
    <s v="PRD021"/>
    <n v="1"/>
    <n v="69000"/>
    <x v="0"/>
    <n v="69000"/>
    <n v="30000"/>
    <n v="39000"/>
  </r>
  <r>
    <s v="ITM00737"/>
    <s v="ORD00425"/>
    <s v="PRD008"/>
    <n v="2"/>
    <n v="399000"/>
    <x v="12"/>
    <n v="798000"/>
    <n v="200000"/>
    <n v="398000"/>
  </r>
  <r>
    <s v="ITM00738"/>
    <s v="ORD00426"/>
    <s v="PRD008"/>
    <n v="2"/>
    <n v="399000"/>
    <x v="12"/>
    <n v="798000"/>
    <n v="200000"/>
    <n v="398000"/>
  </r>
  <r>
    <s v="ITM00739"/>
    <s v="ORD00426"/>
    <s v="PRD002"/>
    <n v="1"/>
    <n v="159000"/>
    <x v="14"/>
    <n v="159000"/>
    <n v="80000"/>
    <n v="79000"/>
  </r>
  <r>
    <s v="ITM00740"/>
    <s v="ORD00427"/>
    <s v="PRD005"/>
    <n v="1"/>
    <n v="39000"/>
    <x v="2"/>
    <n v="39000"/>
    <n v="15000"/>
    <n v="24000"/>
  </r>
  <r>
    <s v="ITM00741"/>
    <s v="ORD00427"/>
    <s v="PRD014"/>
    <n v="1"/>
    <n v="349000"/>
    <x v="9"/>
    <n v="349000"/>
    <n v="180000"/>
    <n v="169000"/>
  </r>
  <r>
    <s v="ITM00742"/>
    <s v="ORD00427"/>
    <s v="PRD017"/>
    <n v="2"/>
    <n v="329000"/>
    <x v="7"/>
    <n v="658000"/>
    <n v="180000"/>
    <n v="298000"/>
  </r>
  <r>
    <s v="ITM00743"/>
    <s v="ORD00428"/>
    <s v="PRD021"/>
    <n v="1"/>
    <n v="69000"/>
    <x v="0"/>
    <n v="69000"/>
    <n v="30000"/>
    <n v="39000"/>
  </r>
  <r>
    <s v="ITM00744"/>
    <s v="ORD00428"/>
    <s v="PRD009"/>
    <n v="1"/>
    <n v="79000"/>
    <x v="3"/>
    <n v="79000"/>
    <n v="35000"/>
    <n v="44000"/>
  </r>
  <r>
    <s v="ITM00745"/>
    <s v="ORD00428"/>
    <s v="PRD005"/>
    <n v="2"/>
    <n v="39000"/>
    <x v="2"/>
    <n v="78000"/>
    <n v="15000"/>
    <n v="48000"/>
  </r>
  <r>
    <s v="ITM00746"/>
    <s v="ORD00428"/>
    <s v="PRD017"/>
    <n v="1"/>
    <n v="329000"/>
    <x v="7"/>
    <n v="329000"/>
    <n v="180000"/>
    <n v="149000"/>
  </r>
  <r>
    <s v="ITM00747"/>
    <s v="ORD00429"/>
    <s v="PRD021"/>
    <n v="1"/>
    <n v="69000"/>
    <x v="0"/>
    <n v="69000"/>
    <n v="30000"/>
    <n v="39000"/>
  </r>
  <r>
    <s v="ITM00748"/>
    <s v="ORD00430"/>
    <s v="PRD005"/>
    <n v="1"/>
    <n v="39000"/>
    <x v="2"/>
    <n v="39000"/>
    <n v="15000"/>
    <n v="24000"/>
  </r>
  <r>
    <s v="ITM00749"/>
    <s v="ORD00430"/>
    <s v="PRD020"/>
    <n v="1"/>
    <n v="179000"/>
    <x v="1"/>
    <n v="179000"/>
    <n v="90000"/>
    <n v="89000"/>
  </r>
  <r>
    <s v="ITM00750"/>
    <s v="ORD00430"/>
    <s v="PRD017"/>
    <n v="1"/>
    <n v="329000"/>
    <x v="7"/>
    <n v="329000"/>
    <n v="180000"/>
    <n v="149000"/>
  </r>
  <r>
    <s v="ITM00751"/>
    <s v="ORD00430"/>
    <s v="PRD021"/>
    <n v="1"/>
    <n v="69000"/>
    <x v="0"/>
    <n v="69000"/>
    <n v="30000"/>
    <n v="39000"/>
  </r>
  <r>
    <s v="ITM00752"/>
    <s v="ORD00431"/>
    <s v="PRD021"/>
    <n v="1"/>
    <n v="69000"/>
    <x v="0"/>
    <n v="69000"/>
    <n v="30000"/>
    <n v="39000"/>
  </r>
  <r>
    <s v="ITM00753"/>
    <s v="ORD00432"/>
    <s v="PRD020"/>
    <n v="1"/>
    <n v="179000"/>
    <x v="1"/>
    <n v="179000"/>
    <n v="90000"/>
    <n v="89000"/>
  </r>
  <r>
    <s v="ITM00754"/>
    <s v="ORD00432"/>
    <s v="PRD009"/>
    <n v="3"/>
    <n v="79000"/>
    <x v="3"/>
    <n v="237000"/>
    <n v="35000"/>
    <n v="132000"/>
  </r>
  <r>
    <s v="ITM00755"/>
    <s v="ORD00433"/>
    <s v="PRD021"/>
    <n v="1"/>
    <n v="69000"/>
    <x v="0"/>
    <n v="69000"/>
    <n v="30000"/>
    <n v="39000"/>
  </r>
  <r>
    <s v="ITM00756"/>
    <s v="ORD00433"/>
    <s v="PRD005"/>
    <n v="1"/>
    <n v="39000"/>
    <x v="2"/>
    <n v="39000"/>
    <n v="15000"/>
    <n v="24000"/>
  </r>
  <r>
    <s v="ITM00757"/>
    <s v="ORD00434"/>
    <s v="PRD021"/>
    <n v="1"/>
    <n v="69000"/>
    <x v="0"/>
    <n v="69000"/>
    <n v="30000"/>
    <n v="39000"/>
  </r>
  <r>
    <s v="ITM00758"/>
    <s v="ORD00434"/>
    <s v="PRD004"/>
    <n v="1"/>
    <n v="199000"/>
    <x v="19"/>
    <n v="199000"/>
    <n v="100000"/>
    <n v="99000"/>
  </r>
  <r>
    <s v="ITM00759"/>
    <s v="ORD00435"/>
    <s v="PRD017"/>
    <n v="1"/>
    <n v="329000"/>
    <x v="7"/>
    <n v="329000"/>
    <n v="180000"/>
    <n v="149000"/>
  </r>
  <r>
    <s v="ITM00760"/>
    <s v="ORD00436"/>
    <s v="PRD021"/>
    <n v="1"/>
    <n v="69000"/>
    <x v="0"/>
    <n v="69000"/>
    <n v="30000"/>
    <n v="39000"/>
  </r>
  <r>
    <s v="ITM00761"/>
    <s v="ORD00437"/>
    <s v="PRD020"/>
    <n v="1"/>
    <n v="179000"/>
    <x v="1"/>
    <n v="179000"/>
    <n v="90000"/>
    <n v="89000"/>
  </r>
  <r>
    <s v="ITM00762"/>
    <s v="ORD00437"/>
    <s v="PRD021"/>
    <n v="2"/>
    <n v="69000"/>
    <x v="0"/>
    <n v="138000"/>
    <n v="30000"/>
    <n v="78000"/>
  </r>
  <r>
    <s v="ITM00763"/>
    <s v="ORD00438"/>
    <s v="PRD005"/>
    <n v="1"/>
    <n v="39000"/>
    <x v="2"/>
    <n v="39000"/>
    <n v="15000"/>
    <n v="24000"/>
  </r>
  <r>
    <s v="ITM00764"/>
    <s v="ORD00439"/>
    <s v="PRD021"/>
    <n v="1"/>
    <n v="69000"/>
    <x v="0"/>
    <n v="69000"/>
    <n v="30000"/>
    <n v="39000"/>
  </r>
  <r>
    <s v="ITM00765"/>
    <s v="ORD00440"/>
    <s v="PRD021"/>
    <n v="1"/>
    <n v="69000"/>
    <x v="0"/>
    <n v="69000"/>
    <n v="30000"/>
    <n v="39000"/>
  </r>
  <r>
    <s v="ITM00766"/>
    <s v="ORD00441"/>
    <s v="PRD017"/>
    <n v="3"/>
    <n v="329000"/>
    <x v="7"/>
    <n v="987000"/>
    <n v="180000"/>
    <n v="447000"/>
  </r>
  <r>
    <s v="ITM00767"/>
    <s v="ORD00442"/>
    <s v="PRD009"/>
    <n v="1"/>
    <n v="79000"/>
    <x v="3"/>
    <n v="79000"/>
    <n v="35000"/>
    <n v="44000"/>
  </r>
  <r>
    <s v="ITM00768"/>
    <s v="ORD00443"/>
    <s v="PRD005"/>
    <n v="2"/>
    <n v="39000"/>
    <x v="2"/>
    <n v="78000"/>
    <n v="15000"/>
    <n v="48000"/>
  </r>
  <r>
    <s v="ITM00769"/>
    <s v="ORD00443"/>
    <s v="PRD020"/>
    <n v="3"/>
    <n v="179000"/>
    <x v="1"/>
    <n v="537000"/>
    <n v="90000"/>
    <n v="267000"/>
  </r>
  <r>
    <s v="ITM00770"/>
    <s v="ORD00444"/>
    <s v="PRD021"/>
    <n v="2"/>
    <n v="69000"/>
    <x v="0"/>
    <n v="138000"/>
    <n v="30000"/>
    <n v="78000"/>
  </r>
  <r>
    <s v="ITM00771"/>
    <s v="ORD00445"/>
    <s v="PRD009"/>
    <n v="1"/>
    <n v="79000"/>
    <x v="3"/>
    <n v="79000"/>
    <n v="35000"/>
    <n v="44000"/>
  </r>
  <r>
    <s v="ITM00772"/>
    <s v="ORD00446"/>
    <s v="PRD021"/>
    <n v="3"/>
    <n v="69000"/>
    <x v="0"/>
    <n v="207000"/>
    <n v="30000"/>
    <n v="117000"/>
  </r>
  <r>
    <s v="ITM00773"/>
    <s v="ORD00446"/>
    <s v="PRD008"/>
    <n v="2"/>
    <n v="399000"/>
    <x v="12"/>
    <n v="798000"/>
    <n v="200000"/>
    <n v="398000"/>
  </r>
  <r>
    <s v="ITM00774"/>
    <s v="ORD00447"/>
    <s v="PRD009"/>
    <n v="1"/>
    <n v="79000"/>
    <x v="3"/>
    <n v="79000"/>
    <n v="35000"/>
    <n v="44000"/>
  </r>
  <r>
    <s v="ITM00775"/>
    <s v="ORD00447"/>
    <s v="PRD017"/>
    <n v="1"/>
    <n v="329000"/>
    <x v="7"/>
    <n v="329000"/>
    <n v="180000"/>
    <n v="149000"/>
  </r>
  <r>
    <s v="ITM00776"/>
    <s v="ORD00447"/>
    <s v="PRD021"/>
    <n v="2"/>
    <n v="69000"/>
    <x v="0"/>
    <n v="138000"/>
    <n v="30000"/>
    <n v="78000"/>
  </r>
  <r>
    <s v="ITM00777"/>
    <s v="ORD00448"/>
    <s v="PRD014"/>
    <n v="1"/>
    <n v="349000"/>
    <x v="9"/>
    <n v="349000"/>
    <n v="180000"/>
    <n v="169000"/>
  </r>
  <r>
    <s v="ITM00778"/>
    <s v="ORD00449"/>
    <s v="PRD009"/>
    <n v="1"/>
    <n v="79000"/>
    <x v="3"/>
    <n v="79000"/>
    <n v="35000"/>
    <n v="44000"/>
  </r>
  <r>
    <s v="ITM00779"/>
    <s v="ORD00450"/>
    <s v="PRD009"/>
    <n v="3"/>
    <n v="79000"/>
    <x v="3"/>
    <n v="237000"/>
    <n v="35000"/>
    <n v="132000"/>
  </r>
  <r>
    <s v="ITM00780"/>
    <s v="ORD00451"/>
    <s v="PRD021"/>
    <n v="1"/>
    <n v="69000"/>
    <x v="0"/>
    <n v="69000"/>
    <n v="30000"/>
    <n v="39000"/>
  </r>
  <r>
    <s v="ITM00781"/>
    <s v="ORD00452"/>
    <s v="PRD022"/>
    <n v="1"/>
    <n v="55000"/>
    <x v="4"/>
    <n v="55000"/>
    <n v="25000"/>
    <n v="30000"/>
  </r>
  <r>
    <s v="ITM00782"/>
    <s v="ORD00453"/>
    <s v="PRD012"/>
    <n v="2"/>
    <n v="229000"/>
    <x v="5"/>
    <n v="458000"/>
    <n v="110000"/>
    <n v="238000"/>
  </r>
  <r>
    <s v="ITM00783"/>
    <s v="ORD00454"/>
    <s v="PRD021"/>
    <n v="1"/>
    <n v="69000"/>
    <x v="0"/>
    <n v="69000"/>
    <n v="30000"/>
    <n v="39000"/>
  </r>
  <r>
    <s v="ITM00784"/>
    <s v="ORD00455"/>
    <s v="PRD021"/>
    <n v="1"/>
    <n v="69000"/>
    <x v="0"/>
    <n v="69000"/>
    <n v="30000"/>
    <n v="39000"/>
  </r>
  <r>
    <s v="ITM00785"/>
    <s v="ORD00456"/>
    <s v="PRD021"/>
    <n v="1"/>
    <n v="69000"/>
    <x v="0"/>
    <n v="69000"/>
    <n v="30000"/>
    <n v="39000"/>
  </r>
  <r>
    <s v="ITM00786"/>
    <s v="ORD00457"/>
    <s v="PRD009"/>
    <n v="1"/>
    <n v="79000"/>
    <x v="3"/>
    <n v="79000"/>
    <n v="35000"/>
    <n v="44000"/>
  </r>
  <r>
    <s v="ITM00787"/>
    <s v="ORD00457"/>
    <s v="PRD021"/>
    <n v="1"/>
    <n v="69000"/>
    <x v="0"/>
    <n v="69000"/>
    <n v="30000"/>
    <n v="39000"/>
  </r>
  <r>
    <s v="ITM00788"/>
    <s v="ORD00457"/>
    <s v="PRD022"/>
    <n v="2"/>
    <n v="55000"/>
    <x v="4"/>
    <n v="110000"/>
    <n v="25000"/>
    <n v="60000"/>
  </r>
  <r>
    <s v="ITM00789"/>
    <s v="ORD00458"/>
    <s v="PRD005"/>
    <n v="1"/>
    <n v="39000"/>
    <x v="2"/>
    <n v="39000"/>
    <n v="15000"/>
    <n v="24000"/>
  </r>
  <r>
    <s v="ITM00790"/>
    <s v="ORD00458"/>
    <s v="PRD006"/>
    <n v="1"/>
    <n v="129000"/>
    <x v="10"/>
    <n v="129000"/>
    <n v="60000"/>
    <n v="69000"/>
  </r>
  <r>
    <s v="ITM00791"/>
    <s v="ORD00458"/>
    <s v="PRD021"/>
    <n v="1"/>
    <n v="69000"/>
    <x v="0"/>
    <n v="69000"/>
    <n v="30000"/>
    <n v="39000"/>
  </r>
  <r>
    <s v="ITM00792"/>
    <s v="ORD00459"/>
    <s v="PRD021"/>
    <n v="1"/>
    <n v="69000"/>
    <x v="0"/>
    <n v="69000"/>
    <n v="30000"/>
    <n v="39000"/>
  </r>
  <r>
    <s v="ITM00793"/>
    <s v="ORD00460"/>
    <s v="PRD021"/>
    <n v="2"/>
    <n v="69000"/>
    <x v="0"/>
    <n v="138000"/>
    <n v="30000"/>
    <n v="78000"/>
  </r>
  <r>
    <s v="ITM00794"/>
    <s v="ORD00461"/>
    <s v="PRD023"/>
    <n v="1"/>
    <n v="139000"/>
    <x v="8"/>
    <n v="139000"/>
    <n v="65000"/>
    <n v="74000"/>
  </r>
  <r>
    <s v="ITM00795"/>
    <s v="ORD00461"/>
    <s v="PRD006"/>
    <n v="1"/>
    <n v="129000"/>
    <x v="10"/>
    <n v="129000"/>
    <n v="60000"/>
    <n v="69000"/>
  </r>
  <r>
    <s v="ITM00796"/>
    <s v="ORD00461"/>
    <s v="PRD022"/>
    <n v="1"/>
    <n v="55000"/>
    <x v="4"/>
    <n v="55000"/>
    <n v="25000"/>
    <n v="30000"/>
  </r>
  <r>
    <s v="ITM00797"/>
    <s v="ORD00462"/>
    <s v="PRD021"/>
    <n v="1"/>
    <n v="69000"/>
    <x v="0"/>
    <n v="69000"/>
    <n v="30000"/>
    <n v="39000"/>
  </r>
  <r>
    <s v="ITM00798"/>
    <s v="ORD00463"/>
    <s v="PRD005"/>
    <n v="1"/>
    <n v="39000"/>
    <x v="2"/>
    <n v="39000"/>
    <n v="15000"/>
    <n v="24000"/>
  </r>
  <r>
    <s v="ITM00799"/>
    <s v="ORD00463"/>
    <s v="PRD021"/>
    <n v="1"/>
    <n v="69000"/>
    <x v="0"/>
    <n v="69000"/>
    <n v="30000"/>
    <n v="39000"/>
  </r>
  <r>
    <s v="ITM00800"/>
    <s v="ORD00464"/>
    <s v="PRD017"/>
    <n v="2"/>
    <n v="329000"/>
    <x v="7"/>
    <n v="658000"/>
    <n v="180000"/>
    <n v="298000"/>
  </r>
  <r>
    <s v="ITM00801"/>
    <s v="ORD00465"/>
    <s v="PRD021"/>
    <n v="1"/>
    <n v="69000"/>
    <x v="0"/>
    <n v="69000"/>
    <n v="30000"/>
    <n v="39000"/>
  </r>
  <r>
    <s v="ITM00802"/>
    <s v="ORD00465"/>
    <s v="PRD005"/>
    <n v="1"/>
    <n v="39000"/>
    <x v="2"/>
    <n v="39000"/>
    <n v="15000"/>
    <n v="24000"/>
  </r>
  <r>
    <s v="ITM00803"/>
    <s v="ORD00466"/>
    <s v="PRD022"/>
    <n v="1"/>
    <n v="55000"/>
    <x v="4"/>
    <n v="55000"/>
    <n v="25000"/>
    <n v="30000"/>
  </r>
  <r>
    <s v="ITM00804"/>
    <s v="ORD00466"/>
    <s v="PRD008"/>
    <n v="1"/>
    <n v="399000"/>
    <x v="12"/>
    <n v="399000"/>
    <n v="200000"/>
    <n v="199000"/>
  </r>
  <r>
    <s v="ITM00805"/>
    <s v="ORD00467"/>
    <s v="PRD005"/>
    <n v="1"/>
    <n v="39000"/>
    <x v="2"/>
    <n v="39000"/>
    <n v="15000"/>
    <n v="24000"/>
  </r>
  <r>
    <s v="ITM00806"/>
    <s v="ORD00467"/>
    <s v="PRD014"/>
    <n v="3"/>
    <n v="349000"/>
    <x v="9"/>
    <n v="1047000"/>
    <n v="180000"/>
    <n v="507000"/>
  </r>
  <r>
    <s v="ITM00807"/>
    <s v="ORD00468"/>
    <s v="PRD005"/>
    <n v="1"/>
    <n v="39000"/>
    <x v="2"/>
    <n v="39000"/>
    <n v="15000"/>
    <n v="24000"/>
  </r>
  <r>
    <s v="ITM00808"/>
    <s v="ORD00468"/>
    <s v="PRD021"/>
    <n v="1"/>
    <n v="69000"/>
    <x v="0"/>
    <n v="69000"/>
    <n v="30000"/>
    <n v="39000"/>
  </r>
  <r>
    <s v="ITM00809"/>
    <s v="ORD00469"/>
    <s v="PRD015"/>
    <n v="1"/>
    <n v="139000"/>
    <x v="18"/>
    <n v="139000"/>
    <n v="60000"/>
    <n v="79000"/>
  </r>
  <r>
    <s v="ITM00810"/>
    <s v="ORD00469"/>
    <s v="PRD021"/>
    <n v="1"/>
    <n v="69000"/>
    <x v="0"/>
    <n v="69000"/>
    <n v="30000"/>
    <n v="39000"/>
  </r>
  <r>
    <s v="ITM00811"/>
    <s v="ORD00469"/>
    <s v="PRD020"/>
    <n v="1"/>
    <n v="179000"/>
    <x v="1"/>
    <n v="179000"/>
    <n v="90000"/>
    <n v="89000"/>
  </r>
  <r>
    <s v="ITM00812"/>
    <s v="ORD00469"/>
    <s v="PRD005"/>
    <n v="3"/>
    <n v="39000"/>
    <x v="2"/>
    <n v="117000"/>
    <n v="15000"/>
    <n v="72000"/>
  </r>
  <r>
    <s v="ITM00813"/>
    <s v="ORD00470"/>
    <s v="PRD021"/>
    <n v="1"/>
    <n v="69000"/>
    <x v="0"/>
    <n v="69000"/>
    <n v="30000"/>
    <n v="39000"/>
  </r>
  <r>
    <s v="ITM00814"/>
    <s v="ORD00471"/>
    <s v="PRD008"/>
    <n v="1"/>
    <n v="399000"/>
    <x v="12"/>
    <n v="399000"/>
    <n v="200000"/>
    <n v="199000"/>
  </r>
  <r>
    <s v="ITM00815"/>
    <s v="ORD00472"/>
    <s v="PRD008"/>
    <n v="1"/>
    <n v="399000"/>
    <x v="12"/>
    <n v="399000"/>
    <n v="200000"/>
    <n v="199000"/>
  </r>
  <r>
    <s v="ITM00816"/>
    <s v="ORD00473"/>
    <s v="PRD021"/>
    <n v="1"/>
    <n v="69000"/>
    <x v="0"/>
    <n v="69000"/>
    <n v="30000"/>
    <n v="39000"/>
  </r>
  <r>
    <s v="ITM00817"/>
    <s v="ORD00474"/>
    <s v="PRD006"/>
    <n v="1"/>
    <n v="129000"/>
    <x v="10"/>
    <n v="129000"/>
    <n v="60000"/>
    <n v="69000"/>
  </r>
  <r>
    <s v="ITM00818"/>
    <s v="ORD00474"/>
    <s v="PRD005"/>
    <n v="1"/>
    <n v="39000"/>
    <x v="2"/>
    <n v="39000"/>
    <n v="15000"/>
    <n v="24000"/>
  </r>
  <r>
    <s v="ITM00819"/>
    <s v="ORD00474"/>
    <s v="PRD021"/>
    <n v="1"/>
    <n v="69000"/>
    <x v="0"/>
    <n v="69000"/>
    <n v="30000"/>
    <n v="39000"/>
  </r>
  <r>
    <s v="ITM00820"/>
    <s v="ORD00475"/>
    <s v="PRD009"/>
    <n v="1"/>
    <n v="79000"/>
    <x v="3"/>
    <n v="79000"/>
    <n v="35000"/>
    <n v="44000"/>
  </r>
  <r>
    <s v="ITM00821"/>
    <s v="ORD00475"/>
    <s v="PRD004"/>
    <n v="3"/>
    <n v="199000"/>
    <x v="19"/>
    <n v="597000"/>
    <n v="100000"/>
    <n v="297000"/>
  </r>
  <r>
    <s v="ITM00822"/>
    <s v="ORD00476"/>
    <s v="PRD005"/>
    <n v="2"/>
    <n v="39000"/>
    <x v="2"/>
    <n v="78000"/>
    <n v="15000"/>
    <n v="48000"/>
  </r>
  <r>
    <s v="ITM00823"/>
    <s v="ORD00477"/>
    <s v="PRD021"/>
    <n v="3"/>
    <n v="69000"/>
    <x v="0"/>
    <n v="207000"/>
    <n v="30000"/>
    <n v="117000"/>
  </r>
  <r>
    <s v="ITM00824"/>
    <s v="ORD00478"/>
    <s v="PRD017"/>
    <n v="1"/>
    <n v="329000"/>
    <x v="7"/>
    <n v="329000"/>
    <n v="180000"/>
    <n v="149000"/>
  </r>
  <r>
    <s v="ITM00825"/>
    <s v="ORD00479"/>
    <s v="PRD005"/>
    <n v="1"/>
    <n v="39000"/>
    <x v="2"/>
    <n v="39000"/>
    <n v="15000"/>
    <n v="24000"/>
  </r>
  <r>
    <s v="ITM00826"/>
    <s v="ORD00479"/>
    <s v="PRD008"/>
    <n v="1"/>
    <n v="399000"/>
    <x v="12"/>
    <n v="399000"/>
    <n v="200000"/>
    <n v="199000"/>
  </r>
  <r>
    <s v="ITM00827"/>
    <s v="ORD00480"/>
    <s v="PRD021"/>
    <n v="1"/>
    <n v="69000"/>
    <x v="0"/>
    <n v="69000"/>
    <n v="30000"/>
    <n v="39000"/>
  </r>
  <r>
    <s v="ITM00828"/>
    <s v="ORD00480"/>
    <s v="PRD005"/>
    <n v="1"/>
    <n v="39000"/>
    <x v="2"/>
    <n v="39000"/>
    <n v="15000"/>
    <n v="24000"/>
  </r>
  <r>
    <s v="ITM00829"/>
    <s v="ORD00481"/>
    <s v="PRD003"/>
    <n v="3"/>
    <n v="499000"/>
    <x v="11"/>
    <n v="1497000"/>
    <n v="250000"/>
    <n v="747000"/>
  </r>
  <r>
    <s v="ITM00830"/>
    <s v="ORD00482"/>
    <s v="PRD022"/>
    <n v="1"/>
    <n v="55000"/>
    <x v="4"/>
    <n v="55000"/>
    <n v="25000"/>
    <n v="30000"/>
  </r>
  <r>
    <s v="ITM00831"/>
    <s v="ORD00482"/>
    <s v="PRD014"/>
    <n v="1"/>
    <n v="349000"/>
    <x v="9"/>
    <n v="349000"/>
    <n v="180000"/>
    <n v="169000"/>
  </r>
  <r>
    <s v="ITM00832"/>
    <s v="ORD00482"/>
    <s v="PRD005"/>
    <n v="1"/>
    <n v="39000"/>
    <x v="2"/>
    <n v="39000"/>
    <n v="15000"/>
    <n v="24000"/>
  </r>
  <r>
    <s v="ITM00833"/>
    <s v="ORD00483"/>
    <s v="PRD008"/>
    <n v="1"/>
    <n v="399000"/>
    <x v="12"/>
    <n v="399000"/>
    <n v="200000"/>
    <n v="199000"/>
  </r>
  <r>
    <s v="ITM00834"/>
    <s v="ORD00483"/>
    <s v="PRD006"/>
    <n v="1"/>
    <n v="129000"/>
    <x v="10"/>
    <n v="129000"/>
    <n v="60000"/>
    <n v="69000"/>
  </r>
  <r>
    <s v="ITM00835"/>
    <s v="ORD00484"/>
    <s v="PRD021"/>
    <n v="3"/>
    <n v="69000"/>
    <x v="0"/>
    <n v="207000"/>
    <n v="30000"/>
    <n v="117000"/>
  </r>
  <r>
    <s v="ITM00836"/>
    <s v="ORD00485"/>
    <s v="PRD005"/>
    <n v="1"/>
    <n v="39000"/>
    <x v="2"/>
    <n v="39000"/>
    <n v="15000"/>
    <n v="24000"/>
  </r>
  <r>
    <s v="ITM00837"/>
    <s v="ORD00486"/>
    <s v="PRD021"/>
    <n v="1"/>
    <n v="69000"/>
    <x v="0"/>
    <n v="69000"/>
    <n v="30000"/>
    <n v="39000"/>
  </r>
  <r>
    <s v="ITM00838"/>
    <s v="ORD00487"/>
    <s v="PRD008"/>
    <n v="2"/>
    <n v="399000"/>
    <x v="12"/>
    <n v="798000"/>
    <n v="200000"/>
    <n v="398000"/>
  </r>
  <r>
    <s v="ITM00839"/>
    <s v="ORD00487"/>
    <s v="PRD009"/>
    <n v="2"/>
    <n v="79000"/>
    <x v="3"/>
    <n v="158000"/>
    <n v="35000"/>
    <n v="88000"/>
  </r>
  <r>
    <s v="ITM00840"/>
    <s v="ORD00488"/>
    <s v="PRD020"/>
    <n v="1"/>
    <n v="179000"/>
    <x v="1"/>
    <n v="179000"/>
    <n v="90000"/>
    <n v="89000"/>
  </r>
  <r>
    <s v="ITM00841"/>
    <s v="ORD00488"/>
    <s v="PRD005"/>
    <n v="3"/>
    <n v="39000"/>
    <x v="2"/>
    <n v="117000"/>
    <n v="15000"/>
    <n v="72000"/>
  </r>
  <r>
    <s v="ITM00842"/>
    <s v="ORD00489"/>
    <s v="PRD009"/>
    <n v="1"/>
    <n v="79000"/>
    <x v="3"/>
    <n v="79000"/>
    <n v="35000"/>
    <n v="44000"/>
  </r>
  <r>
    <s v="ITM00843"/>
    <s v="ORD00490"/>
    <s v="PRD009"/>
    <n v="3"/>
    <n v="79000"/>
    <x v="3"/>
    <n v="237000"/>
    <n v="35000"/>
    <n v="132000"/>
  </r>
  <r>
    <s v="ITM00844"/>
    <s v="ORD00490"/>
    <s v="PRD021"/>
    <n v="1"/>
    <n v="69000"/>
    <x v="0"/>
    <n v="69000"/>
    <n v="30000"/>
    <n v="39000"/>
  </r>
  <r>
    <s v="ITM00845"/>
    <s v="ORD00491"/>
    <s v="PRD005"/>
    <n v="2"/>
    <n v="39000"/>
    <x v="2"/>
    <n v="78000"/>
    <n v="15000"/>
    <n v="48000"/>
  </r>
  <r>
    <s v="ITM00846"/>
    <s v="ORD00492"/>
    <s v="PRD021"/>
    <n v="2"/>
    <n v="69000"/>
    <x v="0"/>
    <n v="138000"/>
    <n v="30000"/>
    <n v="78000"/>
  </r>
  <r>
    <s v="ITM00847"/>
    <s v="ORD00492"/>
    <s v="PRD012"/>
    <n v="1"/>
    <n v="229000"/>
    <x v="5"/>
    <n v="229000"/>
    <n v="110000"/>
    <n v="119000"/>
  </r>
  <r>
    <s v="ITM00848"/>
    <s v="ORD00493"/>
    <s v="PRD003"/>
    <n v="1"/>
    <n v="499000"/>
    <x v="11"/>
    <n v="499000"/>
    <n v="250000"/>
    <n v="249000"/>
  </r>
  <r>
    <s v="ITM00849"/>
    <s v="ORD00493"/>
    <s v="PRD015"/>
    <n v="2"/>
    <n v="139000"/>
    <x v="18"/>
    <n v="278000"/>
    <n v="60000"/>
    <n v="158000"/>
  </r>
  <r>
    <s v="ITM00850"/>
    <s v="ORD00493"/>
    <s v="PRD019"/>
    <n v="1"/>
    <n v="79000"/>
    <x v="13"/>
    <n v="79000"/>
    <n v="35000"/>
    <n v="44000"/>
  </r>
  <r>
    <s v="ITM00851"/>
    <s v="ORD00493"/>
    <s v="PRD005"/>
    <n v="1"/>
    <n v="39000"/>
    <x v="2"/>
    <n v="39000"/>
    <n v="15000"/>
    <n v="24000"/>
  </r>
  <r>
    <s v="ITM00852"/>
    <s v="ORD00494"/>
    <s v="PRD017"/>
    <n v="1"/>
    <n v="329000"/>
    <x v="7"/>
    <n v="329000"/>
    <n v="180000"/>
    <n v="149000"/>
  </r>
  <r>
    <s v="ITM00853"/>
    <s v="ORD00495"/>
    <s v="PRD014"/>
    <n v="1"/>
    <n v="349000"/>
    <x v="9"/>
    <n v="349000"/>
    <n v="180000"/>
    <n v="169000"/>
  </r>
  <r>
    <s v="ITM00854"/>
    <s v="ORD00496"/>
    <s v="PRD006"/>
    <n v="1"/>
    <n v="129000"/>
    <x v="10"/>
    <n v="129000"/>
    <n v="60000"/>
    <n v="69000"/>
  </r>
  <r>
    <s v="ITM00855"/>
    <s v="ORD00496"/>
    <s v="PRD017"/>
    <n v="1"/>
    <n v="329000"/>
    <x v="7"/>
    <n v="329000"/>
    <n v="180000"/>
    <n v="149000"/>
  </r>
  <r>
    <s v="ITM00856"/>
    <s v="ORD00497"/>
    <s v="PRD020"/>
    <n v="1"/>
    <n v="179000"/>
    <x v="1"/>
    <n v="179000"/>
    <n v="90000"/>
    <n v="89000"/>
  </r>
  <r>
    <s v="ITM00857"/>
    <s v="ORD00497"/>
    <s v="PRD005"/>
    <n v="3"/>
    <n v="39000"/>
    <x v="2"/>
    <n v="117000"/>
    <n v="15000"/>
    <n v="72000"/>
  </r>
  <r>
    <s v="ITM00858"/>
    <s v="ORD00498"/>
    <s v="PRD021"/>
    <n v="1"/>
    <n v="69000"/>
    <x v="0"/>
    <n v="69000"/>
    <n v="30000"/>
    <n v="39000"/>
  </r>
  <r>
    <s v="ITM00859"/>
    <s v="ORD00498"/>
    <s v="PRD017"/>
    <n v="1"/>
    <n v="329000"/>
    <x v="7"/>
    <n v="329000"/>
    <n v="180000"/>
    <n v="149000"/>
  </r>
  <r>
    <s v="ITM00860"/>
    <s v="ORD00499"/>
    <s v="PRD022"/>
    <n v="1"/>
    <n v="55000"/>
    <x v="4"/>
    <n v="55000"/>
    <n v="25000"/>
    <n v="30000"/>
  </r>
  <r>
    <s v="ITM00861"/>
    <s v="ORD00500"/>
    <s v="PRD005"/>
    <n v="3"/>
    <n v="39000"/>
    <x v="2"/>
    <n v="117000"/>
    <n v="15000"/>
    <n v="72000"/>
  </r>
  <r>
    <s v="ITM00862"/>
    <s v="ORD00500"/>
    <s v="PRD021"/>
    <n v="1"/>
    <n v="69000"/>
    <x v="0"/>
    <n v="69000"/>
    <n v="30000"/>
    <n v="39000"/>
  </r>
  <r>
    <s v="ITM00863"/>
    <s v="ORD00501"/>
    <s v="PRD017"/>
    <n v="1"/>
    <n v="329000"/>
    <x v="7"/>
    <n v="329000"/>
    <n v="180000"/>
    <n v="149000"/>
  </r>
  <r>
    <s v="ITM00864"/>
    <s v="ORD00502"/>
    <s v="PRD021"/>
    <n v="2"/>
    <n v="69000"/>
    <x v="0"/>
    <n v="138000"/>
    <n v="30000"/>
    <n v="78000"/>
  </r>
  <r>
    <s v="ITM00865"/>
    <s v="ORD00503"/>
    <s v="PRD022"/>
    <n v="1"/>
    <n v="55000"/>
    <x v="4"/>
    <n v="55000"/>
    <n v="25000"/>
    <n v="30000"/>
  </r>
  <r>
    <s v="ITM00866"/>
    <s v="ORD00503"/>
    <s v="PRD005"/>
    <n v="1"/>
    <n v="39000"/>
    <x v="2"/>
    <n v="39000"/>
    <n v="15000"/>
    <n v="24000"/>
  </r>
  <r>
    <s v="ITM00867"/>
    <s v="ORD00504"/>
    <s v="PRD021"/>
    <n v="2"/>
    <n v="69000"/>
    <x v="0"/>
    <n v="138000"/>
    <n v="30000"/>
    <n v="78000"/>
  </r>
  <r>
    <s v="ITM00868"/>
    <s v="ORD00504"/>
    <s v="PRD005"/>
    <n v="1"/>
    <n v="39000"/>
    <x v="2"/>
    <n v="39000"/>
    <n v="15000"/>
    <n v="24000"/>
  </r>
  <r>
    <s v="ITM00869"/>
    <s v="ORD00505"/>
    <s v="PRD020"/>
    <n v="3"/>
    <n v="179000"/>
    <x v="1"/>
    <n v="537000"/>
    <n v="90000"/>
    <n v="267000"/>
  </r>
  <r>
    <s v="ITM00870"/>
    <s v="ORD00506"/>
    <s v="PRD021"/>
    <n v="1"/>
    <n v="69000"/>
    <x v="0"/>
    <n v="69000"/>
    <n v="30000"/>
    <n v="39000"/>
  </r>
  <r>
    <s v="ITM00871"/>
    <s v="ORD00506"/>
    <s v="PRD020"/>
    <n v="3"/>
    <n v="179000"/>
    <x v="1"/>
    <n v="537000"/>
    <n v="90000"/>
    <n v="267000"/>
  </r>
  <r>
    <s v="ITM00872"/>
    <s v="ORD00506"/>
    <s v="PRD006"/>
    <n v="1"/>
    <n v="129000"/>
    <x v="10"/>
    <n v="129000"/>
    <n v="60000"/>
    <n v="69000"/>
  </r>
  <r>
    <s v="ITM00873"/>
    <s v="ORD00507"/>
    <s v="PRD009"/>
    <n v="1"/>
    <n v="79000"/>
    <x v="3"/>
    <n v="79000"/>
    <n v="35000"/>
    <n v="44000"/>
  </r>
  <r>
    <s v="ITM00874"/>
    <s v="ORD00507"/>
    <s v="PRD021"/>
    <n v="1"/>
    <n v="69000"/>
    <x v="0"/>
    <n v="69000"/>
    <n v="30000"/>
    <n v="39000"/>
  </r>
  <r>
    <s v="ITM00875"/>
    <s v="ORD00508"/>
    <s v="PRD019"/>
    <n v="2"/>
    <n v="79000"/>
    <x v="13"/>
    <n v="158000"/>
    <n v="35000"/>
    <n v="88000"/>
  </r>
  <r>
    <s v="ITM00876"/>
    <s v="ORD00509"/>
    <s v="PRD021"/>
    <n v="1"/>
    <n v="69000"/>
    <x v="0"/>
    <n v="69000"/>
    <n v="30000"/>
    <n v="39000"/>
  </r>
  <r>
    <s v="ITM00877"/>
    <s v="ORD00510"/>
    <s v="PRD020"/>
    <n v="3"/>
    <n v="179000"/>
    <x v="1"/>
    <n v="537000"/>
    <n v="90000"/>
    <n v="267000"/>
  </r>
  <r>
    <s v="ITM00878"/>
    <s v="ORD00511"/>
    <s v="PRD021"/>
    <n v="3"/>
    <n v="69000"/>
    <x v="0"/>
    <n v="207000"/>
    <n v="30000"/>
    <n v="117000"/>
  </r>
  <r>
    <s v="ITM00879"/>
    <s v="ORD00511"/>
    <s v="PRD009"/>
    <n v="1"/>
    <n v="79000"/>
    <x v="3"/>
    <n v="79000"/>
    <n v="35000"/>
    <n v="44000"/>
  </r>
  <r>
    <s v="ITM00880"/>
    <s v="ORD00512"/>
    <s v="PRD005"/>
    <n v="3"/>
    <n v="39000"/>
    <x v="2"/>
    <n v="117000"/>
    <n v="15000"/>
    <n v="72000"/>
  </r>
  <r>
    <s v="ITM00881"/>
    <s v="ORD00513"/>
    <s v="PRD005"/>
    <n v="1"/>
    <n v="39000"/>
    <x v="2"/>
    <n v="39000"/>
    <n v="15000"/>
    <n v="24000"/>
  </r>
  <r>
    <s v="ITM00882"/>
    <s v="ORD00514"/>
    <s v="PRD012"/>
    <n v="1"/>
    <n v="229000"/>
    <x v="5"/>
    <n v="229000"/>
    <n v="110000"/>
    <n v="119000"/>
  </r>
  <r>
    <s v="ITM00883"/>
    <s v="ORD00515"/>
    <s v="PRD021"/>
    <n v="1"/>
    <n v="69000"/>
    <x v="0"/>
    <n v="69000"/>
    <n v="30000"/>
    <n v="39000"/>
  </r>
  <r>
    <s v="ITM00884"/>
    <s v="ORD00516"/>
    <s v="PRD021"/>
    <n v="1"/>
    <n v="69000"/>
    <x v="0"/>
    <n v="69000"/>
    <n v="30000"/>
    <n v="39000"/>
  </r>
  <r>
    <s v="ITM00885"/>
    <s v="ORD00516"/>
    <s v="PRD019"/>
    <n v="1"/>
    <n v="79000"/>
    <x v="13"/>
    <n v="79000"/>
    <n v="35000"/>
    <n v="44000"/>
  </r>
  <r>
    <s v="ITM00886"/>
    <s v="ORD00517"/>
    <s v="PRD017"/>
    <n v="1"/>
    <n v="329000"/>
    <x v="7"/>
    <n v="329000"/>
    <n v="180000"/>
    <n v="149000"/>
  </r>
  <r>
    <s v="ITM00887"/>
    <s v="ORD00518"/>
    <s v="PRD008"/>
    <n v="1"/>
    <n v="399000"/>
    <x v="12"/>
    <n v="399000"/>
    <n v="200000"/>
    <n v="199000"/>
  </r>
  <r>
    <s v="ITM00888"/>
    <s v="ORD00518"/>
    <s v="PRD006"/>
    <n v="2"/>
    <n v="129000"/>
    <x v="10"/>
    <n v="258000"/>
    <n v="60000"/>
    <n v="138000"/>
  </r>
  <r>
    <s v="ITM00889"/>
    <s v="ORD00519"/>
    <s v="PRD008"/>
    <n v="1"/>
    <n v="399000"/>
    <x v="12"/>
    <n v="399000"/>
    <n v="200000"/>
    <n v="199000"/>
  </r>
  <r>
    <s v="ITM00890"/>
    <s v="ORD00520"/>
    <s v="PRD008"/>
    <n v="2"/>
    <n v="399000"/>
    <x v="12"/>
    <n v="798000"/>
    <n v="200000"/>
    <n v="398000"/>
  </r>
  <r>
    <s v="ITM00891"/>
    <s v="ORD00521"/>
    <s v="PRD021"/>
    <n v="3"/>
    <n v="69000"/>
    <x v="0"/>
    <n v="207000"/>
    <n v="30000"/>
    <n v="117000"/>
  </r>
  <r>
    <s v="ITM00892"/>
    <s v="ORD00522"/>
    <s v="PRD020"/>
    <n v="1"/>
    <n v="179000"/>
    <x v="1"/>
    <n v="179000"/>
    <n v="90000"/>
    <n v="89000"/>
  </r>
  <r>
    <s v="ITM00893"/>
    <s v="ORD00522"/>
    <s v="PRD009"/>
    <n v="1"/>
    <n v="79000"/>
    <x v="3"/>
    <n v="79000"/>
    <n v="35000"/>
    <n v="44000"/>
  </r>
  <r>
    <s v="ITM00894"/>
    <s v="ORD00523"/>
    <s v="PRD008"/>
    <n v="1"/>
    <n v="399000"/>
    <x v="12"/>
    <n v="399000"/>
    <n v="200000"/>
    <n v="199000"/>
  </r>
  <r>
    <s v="ITM00895"/>
    <s v="ORD00523"/>
    <s v="PRD022"/>
    <n v="1"/>
    <n v="55000"/>
    <x v="4"/>
    <n v="55000"/>
    <n v="25000"/>
    <n v="30000"/>
  </r>
  <r>
    <s v="ITM00896"/>
    <s v="ORD00523"/>
    <s v="PRD021"/>
    <n v="1"/>
    <n v="69000"/>
    <x v="0"/>
    <n v="69000"/>
    <n v="30000"/>
    <n v="39000"/>
  </r>
  <r>
    <s v="ITM00897"/>
    <s v="ORD00524"/>
    <s v="PRD021"/>
    <n v="1"/>
    <n v="69000"/>
    <x v="0"/>
    <n v="69000"/>
    <n v="30000"/>
    <n v="39000"/>
  </r>
  <r>
    <s v="ITM00898"/>
    <s v="ORD00525"/>
    <s v="PRD005"/>
    <n v="1"/>
    <n v="39000"/>
    <x v="2"/>
    <n v="39000"/>
    <n v="15000"/>
    <n v="24000"/>
  </r>
  <r>
    <s v="ITM00899"/>
    <s v="ORD00526"/>
    <s v="PRD012"/>
    <n v="2"/>
    <n v="229000"/>
    <x v="5"/>
    <n v="458000"/>
    <n v="110000"/>
    <n v="238000"/>
  </r>
  <r>
    <s v="ITM00900"/>
    <s v="ORD00527"/>
    <s v="PRD021"/>
    <n v="1"/>
    <n v="69000"/>
    <x v="0"/>
    <n v="69000"/>
    <n v="30000"/>
    <n v="39000"/>
  </r>
  <r>
    <s v="ITM00901"/>
    <s v="ORD00527"/>
    <s v="PRD017"/>
    <n v="1"/>
    <n v="329000"/>
    <x v="7"/>
    <n v="329000"/>
    <n v="180000"/>
    <n v="149000"/>
  </r>
  <r>
    <s v="ITM00902"/>
    <s v="ORD00528"/>
    <s v="PRD005"/>
    <n v="1"/>
    <n v="39000"/>
    <x v="2"/>
    <n v="39000"/>
    <n v="15000"/>
    <n v="24000"/>
  </r>
  <r>
    <s v="ITM00903"/>
    <s v="ORD00528"/>
    <s v="PRD017"/>
    <n v="1"/>
    <n v="329000"/>
    <x v="7"/>
    <n v="329000"/>
    <n v="180000"/>
    <n v="149000"/>
  </r>
  <r>
    <s v="ITM00904"/>
    <s v="ORD00528"/>
    <s v="PRD021"/>
    <n v="1"/>
    <n v="69000"/>
    <x v="0"/>
    <n v="69000"/>
    <n v="30000"/>
    <n v="39000"/>
  </r>
  <r>
    <s v="ITM00905"/>
    <s v="ORD00528"/>
    <s v="PRD020"/>
    <n v="1"/>
    <n v="179000"/>
    <x v="1"/>
    <n v="179000"/>
    <n v="90000"/>
    <n v="89000"/>
  </r>
  <r>
    <s v="ITM00906"/>
    <s v="ORD00529"/>
    <s v="PRD005"/>
    <n v="1"/>
    <n v="39000"/>
    <x v="2"/>
    <n v="39000"/>
    <n v="15000"/>
    <n v="24000"/>
  </r>
  <r>
    <s v="ITM00907"/>
    <s v="ORD00529"/>
    <s v="PRD004"/>
    <n v="1"/>
    <n v="199000"/>
    <x v="19"/>
    <n v="199000"/>
    <n v="100000"/>
    <n v="99000"/>
  </r>
  <r>
    <s v="ITM00908"/>
    <s v="ORD00530"/>
    <s v="PRD005"/>
    <n v="1"/>
    <n v="39000"/>
    <x v="2"/>
    <n v="39000"/>
    <n v="15000"/>
    <n v="24000"/>
  </r>
  <r>
    <s v="ITM00909"/>
    <s v="ORD00530"/>
    <s v="PRD020"/>
    <n v="1"/>
    <n v="179000"/>
    <x v="1"/>
    <n v="179000"/>
    <n v="90000"/>
    <n v="89000"/>
  </r>
  <r>
    <s v="ITM00910"/>
    <s v="ORD00531"/>
    <s v="PRD021"/>
    <n v="3"/>
    <n v="69000"/>
    <x v="0"/>
    <n v="207000"/>
    <n v="30000"/>
    <n v="117000"/>
  </r>
  <r>
    <s v="ITM00911"/>
    <s v="ORD00532"/>
    <s v="PRD005"/>
    <n v="2"/>
    <n v="39000"/>
    <x v="2"/>
    <n v="78000"/>
    <n v="15000"/>
    <n v="48000"/>
  </r>
  <r>
    <s v="ITM00912"/>
    <s v="ORD00532"/>
    <s v="PRD017"/>
    <n v="1"/>
    <n v="329000"/>
    <x v="7"/>
    <n v="329000"/>
    <n v="180000"/>
    <n v="149000"/>
  </r>
  <r>
    <s v="ITM00913"/>
    <s v="ORD00532"/>
    <s v="PRD021"/>
    <n v="3"/>
    <n v="69000"/>
    <x v="0"/>
    <n v="207000"/>
    <n v="30000"/>
    <n v="117000"/>
  </r>
  <r>
    <s v="ITM00914"/>
    <s v="ORD00533"/>
    <s v="PRD009"/>
    <n v="3"/>
    <n v="79000"/>
    <x v="3"/>
    <n v="237000"/>
    <n v="35000"/>
    <n v="132000"/>
  </r>
  <r>
    <s v="ITM00915"/>
    <s v="ORD00533"/>
    <s v="PRD012"/>
    <n v="1"/>
    <n v="229000"/>
    <x v="5"/>
    <n v="229000"/>
    <n v="110000"/>
    <n v="119000"/>
  </r>
  <r>
    <s v="ITM00916"/>
    <s v="ORD00533"/>
    <s v="PRD021"/>
    <n v="2"/>
    <n v="69000"/>
    <x v="0"/>
    <n v="138000"/>
    <n v="30000"/>
    <n v="78000"/>
  </r>
  <r>
    <s v="ITM00917"/>
    <s v="ORD00533"/>
    <s v="PRD007"/>
    <n v="1"/>
    <n v="99000"/>
    <x v="6"/>
    <n v="99000"/>
    <n v="45000"/>
    <n v="54000"/>
  </r>
  <r>
    <s v="ITM00918"/>
    <s v="ORD00534"/>
    <s v="PRD022"/>
    <n v="2"/>
    <n v="55000"/>
    <x v="4"/>
    <n v="110000"/>
    <n v="25000"/>
    <n v="60000"/>
  </r>
  <r>
    <s v="ITM00919"/>
    <s v="ORD00535"/>
    <s v="PRD021"/>
    <n v="1"/>
    <n v="69000"/>
    <x v="0"/>
    <n v="69000"/>
    <n v="30000"/>
    <n v="39000"/>
  </r>
  <r>
    <s v="ITM00920"/>
    <s v="ORD00536"/>
    <s v="PRD021"/>
    <n v="2"/>
    <n v="69000"/>
    <x v="0"/>
    <n v="138000"/>
    <n v="30000"/>
    <n v="78000"/>
  </r>
  <r>
    <s v="ITM00921"/>
    <s v="ORD00537"/>
    <s v="PRD021"/>
    <n v="1"/>
    <n v="69000"/>
    <x v="0"/>
    <n v="69000"/>
    <n v="30000"/>
    <n v="39000"/>
  </r>
  <r>
    <s v="ITM00922"/>
    <s v="ORD00537"/>
    <s v="PRD009"/>
    <n v="2"/>
    <n v="79000"/>
    <x v="3"/>
    <n v="158000"/>
    <n v="35000"/>
    <n v="88000"/>
  </r>
  <r>
    <s v="ITM00923"/>
    <s v="ORD00537"/>
    <s v="PRD012"/>
    <n v="1"/>
    <n v="229000"/>
    <x v="5"/>
    <n v="229000"/>
    <n v="110000"/>
    <n v="119000"/>
  </r>
  <r>
    <s v="ITM00924"/>
    <s v="ORD00538"/>
    <s v="PRD014"/>
    <n v="1"/>
    <n v="349000"/>
    <x v="9"/>
    <n v="349000"/>
    <n v="180000"/>
    <n v="169000"/>
  </r>
  <r>
    <s v="ITM00925"/>
    <s v="ORD00539"/>
    <s v="PRD021"/>
    <n v="1"/>
    <n v="69000"/>
    <x v="0"/>
    <n v="69000"/>
    <n v="30000"/>
    <n v="39000"/>
  </r>
  <r>
    <s v="ITM00926"/>
    <s v="ORD00540"/>
    <s v="PRD014"/>
    <n v="1"/>
    <n v="349000"/>
    <x v="9"/>
    <n v="349000"/>
    <n v="180000"/>
    <n v="169000"/>
  </r>
  <r>
    <s v="ITM00927"/>
    <s v="ORD00541"/>
    <s v="PRD012"/>
    <n v="1"/>
    <n v="229000"/>
    <x v="5"/>
    <n v="229000"/>
    <n v="110000"/>
    <n v="119000"/>
  </r>
  <r>
    <s v="ITM00928"/>
    <s v="ORD00542"/>
    <s v="PRD019"/>
    <n v="1"/>
    <n v="79000"/>
    <x v="13"/>
    <n v="79000"/>
    <n v="35000"/>
    <n v="44000"/>
  </r>
  <r>
    <s v="ITM00929"/>
    <s v="ORD00543"/>
    <s v="PRD005"/>
    <n v="3"/>
    <n v="39000"/>
    <x v="2"/>
    <n v="117000"/>
    <n v="15000"/>
    <n v="72000"/>
  </r>
  <r>
    <s v="ITM00930"/>
    <s v="ORD00543"/>
    <s v="PRD006"/>
    <n v="1"/>
    <n v="129000"/>
    <x v="10"/>
    <n v="129000"/>
    <n v="60000"/>
    <n v="69000"/>
  </r>
  <r>
    <s v="ITM00931"/>
    <s v="ORD00543"/>
    <s v="PRD021"/>
    <n v="1"/>
    <n v="69000"/>
    <x v="0"/>
    <n v="69000"/>
    <n v="30000"/>
    <n v="39000"/>
  </r>
  <r>
    <s v="ITM00932"/>
    <s v="ORD00543"/>
    <s v="PRD020"/>
    <n v="1"/>
    <n v="179000"/>
    <x v="1"/>
    <n v="179000"/>
    <n v="90000"/>
    <n v="89000"/>
  </r>
  <r>
    <s v="ITM00933"/>
    <s v="ORD00544"/>
    <s v="PRD005"/>
    <n v="1"/>
    <n v="39000"/>
    <x v="2"/>
    <n v="39000"/>
    <n v="15000"/>
    <n v="24000"/>
  </r>
  <r>
    <s v="ITM00934"/>
    <s v="ORD00545"/>
    <s v="PRD005"/>
    <n v="2"/>
    <n v="39000"/>
    <x v="2"/>
    <n v="78000"/>
    <n v="15000"/>
    <n v="48000"/>
  </r>
  <r>
    <s v="ITM00935"/>
    <s v="ORD00546"/>
    <s v="PRD020"/>
    <n v="1"/>
    <n v="179000"/>
    <x v="1"/>
    <n v="179000"/>
    <n v="90000"/>
    <n v="89000"/>
  </r>
  <r>
    <s v="ITM00936"/>
    <s v="ORD00547"/>
    <s v="PRD021"/>
    <n v="1"/>
    <n v="69000"/>
    <x v="0"/>
    <n v="69000"/>
    <n v="30000"/>
    <n v="39000"/>
  </r>
  <r>
    <s v="ITM00937"/>
    <s v="ORD00548"/>
    <s v="PRD005"/>
    <n v="1"/>
    <n v="39000"/>
    <x v="2"/>
    <n v="39000"/>
    <n v="15000"/>
    <n v="24000"/>
  </r>
  <r>
    <s v="ITM00938"/>
    <s v="ORD00549"/>
    <s v="PRD005"/>
    <n v="1"/>
    <n v="39000"/>
    <x v="2"/>
    <n v="39000"/>
    <n v="15000"/>
    <n v="24000"/>
  </r>
  <r>
    <s v="ITM00939"/>
    <s v="ORD00550"/>
    <s v="PRD017"/>
    <n v="1"/>
    <n v="329000"/>
    <x v="7"/>
    <n v="329000"/>
    <n v="180000"/>
    <n v="149000"/>
  </r>
  <r>
    <s v="ITM00940"/>
    <s v="ORD00550"/>
    <s v="PRD022"/>
    <n v="1"/>
    <n v="55000"/>
    <x v="4"/>
    <n v="55000"/>
    <n v="25000"/>
    <n v="30000"/>
  </r>
  <r>
    <s v="ITM00941"/>
    <s v="ORD00551"/>
    <s v="PRD021"/>
    <n v="2"/>
    <n v="69000"/>
    <x v="0"/>
    <n v="138000"/>
    <n v="30000"/>
    <n v="78000"/>
  </r>
  <r>
    <s v="ITM00942"/>
    <s v="ORD00552"/>
    <s v="PRD022"/>
    <n v="2"/>
    <n v="55000"/>
    <x v="4"/>
    <n v="110000"/>
    <n v="25000"/>
    <n v="60000"/>
  </r>
  <r>
    <s v="ITM00943"/>
    <s v="ORD00553"/>
    <s v="PRD020"/>
    <n v="2"/>
    <n v="179000"/>
    <x v="1"/>
    <n v="358000"/>
    <n v="90000"/>
    <n v="178000"/>
  </r>
  <r>
    <s v="ITM00944"/>
    <s v="ORD00554"/>
    <s v="PRD021"/>
    <n v="2"/>
    <n v="69000"/>
    <x v="0"/>
    <n v="138000"/>
    <n v="30000"/>
    <n v="78000"/>
  </r>
  <r>
    <s v="ITM00945"/>
    <s v="ORD00554"/>
    <s v="PRD017"/>
    <n v="3"/>
    <n v="329000"/>
    <x v="7"/>
    <n v="987000"/>
    <n v="180000"/>
    <n v="447000"/>
  </r>
  <r>
    <s v="ITM00946"/>
    <s v="ORD00554"/>
    <s v="PRD009"/>
    <n v="1"/>
    <n v="79000"/>
    <x v="3"/>
    <n v="79000"/>
    <n v="35000"/>
    <n v="44000"/>
  </r>
  <r>
    <s v="ITM00947"/>
    <s v="ORD00554"/>
    <s v="PRD003"/>
    <n v="2"/>
    <n v="499000"/>
    <x v="11"/>
    <n v="998000"/>
    <n v="250000"/>
    <n v="498000"/>
  </r>
  <r>
    <s v="ITM00948"/>
    <s v="ORD00555"/>
    <s v="PRD023"/>
    <n v="1"/>
    <n v="139000"/>
    <x v="8"/>
    <n v="139000"/>
    <n v="65000"/>
    <n v="74000"/>
  </r>
  <r>
    <s v="ITM00949"/>
    <s v="ORD00555"/>
    <s v="PRD005"/>
    <n v="1"/>
    <n v="39000"/>
    <x v="2"/>
    <n v="39000"/>
    <n v="15000"/>
    <n v="24000"/>
  </r>
  <r>
    <s v="ITM00950"/>
    <s v="ORD00555"/>
    <s v="PRD009"/>
    <n v="1"/>
    <n v="79000"/>
    <x v="3"/>
    <n v="79000"/>
    <n v="35000"/>
    <n v="44000"/>
  </r>
  <r>
    <s v="ITM00951"/>
    <s v="ORD00556"/>
    <s v="PRD005"/>
    <n v="1"/>
    <n v="39000"/>
    <x v="2"/>
    <n v="39000"/>
    <n v="15000"/>
    <n v="24000"/>
  </r>
  <r>
    <s v="ITM00952"/>
    <s v="ORD00556"/>
    <s v="PRD008"/>
    <n v="2"/>
    <n v="399000"/>
    <x v="12"/>
    <n v="798000"/>
    <n v="200000"/>
    <n v="398000"/>
  </r>
  <r>
    <s v="ITM00953"/>
    <s v="ORD00557"/>
    <s v="PRD021"/>
    <n v="2"/>
    <n v="69000"/>
    <x v="0"/>
    <n v="138000"/>
    <n v="30000"/>
    <n v="78000"/>
  </r>
  <r>
    <s v="ITM00954"/>
    <s v="ORD00558"/>
    <s v="PRD021"/>
    <n v="1"/>
    <n v="69000"/>
    <x v="0"/>
    <n v="69000"/>
    <n v="30000"/>
    <n v="39000"/>
  </r>
  <r>
    <s v="ITM00955"/>
    <s v="ORD00558"/>
    <s v="PRD017"/>
    <n v="1"/>
    <n v="329000"/>
    <x v="7"/>
    <n v="329000"/>
    <n v="180000"/>
    <n v="149000"/>
  </r>
  <r>
    <s v="ITM00956"/>
    <s v="ORD00559"/>
    <s v="PRD008"/>
    <n v="3"/>
    <n v="399000"/>
    <x v="12"/>
    <n v="1197000"/>
    <n v="200000"/>
    <n v="597000"/>
  </r>
  <r>
    <s v="ITM00957"/>
    <s v="ORD00560"/>
    <s v="PRD021"/>
    <n v="1"/>
    <n v="69000"/>
    <x v="0"/>
    <n v="69000"/>
    <n v="30000"/>
    <n v="39000"/>
  </r>
  <r>
    <s v="ITM00958"/>
    <s v="ORD00561"/>
    <s v="PRD020"/>
    <n v="2"/>
    <n v="179000"/>
    <x v="1"/>
    <n v="358000"/>
    <n v="90000"/>
    <n v="178000"/>
  </r>
  <r>
    <s v="ITM00959"/>
    <s v="ORD00561"/>
    <s v="PRD012"/>
    <n v="1"/>
    <n v="229000"/>
    <x v="5"/>
    <n v="229000"/>
    <n v="110000"/>
    <n v="119000"/>
  </r>
  <r>
    <s v="ITM00960"/>
    <s v="ORD00562"/>
    <s v="PRD021"/>
    <n v="1"/>
    <n v="69000"/>
    <x v="0"/>
    <n v="69000"/>
    <n v="30000"/>
    <n v="39000"/>
  </r>
  <r>
    <s v="ITM00961"/>
    <s v="ORD00563"/>
    <s v="PRD021"/>
    <n v="1"/>
    <n v="69000"/>
    <x v="0"/>
    <n v="69000"/>
    <n v="30000"/>
    <n v="39000"/>
  </r>
  <r>
    <s v="ITM00962"/>
    <s v="ORD00563"/>
    <s v="PRD020"/>
    <n v="1"/>
    <n v="179000"/>
    <x v="1"/>
    <n v="179000"/>
    <n v="90000"/>
    <n v="89000"/>
  </r>
  <r>
    <s v="ITM00963"/>
    <s v="ORD00564"/>
    <s v="PRD021"/>
    <n v="1"/>
    <n v="69000"/>
    <x v="0"/>
    <n v="69000"/>
    <n v="30000"/>
    <n v="39000"/>
  </r>
  <r>
    <s v="ITM00964"/>
    <s v="ORD00565"/>
    <s v="PRD005"/>
    <n v="1"/>
    <n v="39000"/>
    <x v="2"/>
    <n v="39000"/>
    <n v="15000"/>
    <n v="24000"/>
  </r>
  <r>
    <s v="ITM00965"/>
    <s v="ORD00566"/>
    <s v="PRD021"/>
    <n v="2"/>
    <n v="69000"/>
    <x v="0"/>
    <n v="138000"/>
    <n v="30000"/>
    <n v="78000"/>
  </r>
  <r>
    <s v="ITM00966"/>
    <s v="ORD00567"/>
    <s v="PRD002"/>
    <n v="1"/>
    <n v="159000"/>
    <x v="14"/>
    <n v="159000"/>
    <n v="80000"/>
    <n v="79000"/>
  </r>
  <r>
    <s v="ITM00967"/>
    <s v="ORD00567"/>
    <s v="PRD005"/>
    <n v="1"/>
    <n v="39000"/>
    <x v="2"/>
    <n v="39000"/>
    <n v="15000"/>
    <n v="24000"/>
  </r>
  <r>
    <s v="ITM00968"/>
    <s v="ORD00567"/>
    <s v="PRD021"/>
    <n v="1"/>
    <n v="69000"/>
    <x v="0"/>
    <n v="69000"/>
    <n v="30000"/>
    <n v="39000"/>
  </r>
  <r>
    <s v="ITM00969"/>
    <s v="ORD00568"/>
    <s v="PRD005"/>
    <n v="1"/>
    <n v="39000"/>
    <x v="2"/>
    <n v="39000"/>
    <n v="15000"/>
    <n v="24000"/>
  </r>
  <r>
    <s v="ITM00970"/>
    <s v="ORD00568"/>
    <s v="PRD021"/>
    <n v="1"/>
    <n v="69000"/>
    <x v="0"/>
    <n v="69000"/>
    <n v="30000"/>
    <n v="39000"/>
  </r>
  <r>
    <s v="ITM00971"/>
    <s v="ORD00569"/>
    <s v="PRD021"/>
    <n v="1"/>
    <n v="69000"/>
    <x v="0"/>
    <n v="69000"/>
    <n v="30000"/>
    <n v="39000"/>
  </r>
  <r>
    <s v="ITM00972"/>
    <s v="ORD00570"/>
    <s v="PRD008"/>
    <n v="3"/>
    <n v="399000"/>
    <x v="12"/>
    <n v="1197000"/>
    <n v="200000"/>
    <n v="597000"/>
  </r>
  <r>
    <s v="ITM00973"/>
    <s v="ORD00570"/>
    <s v="PRD014"/>
    <n v="1"/>
    <n v="349000"/>
    <x v="9"/>
    <n v="349000"/>
    <n v="180000"/>
    <n v="169000"/>
  </r>
  <r>
    <s v="ITM00974"/>
    <s v="ORD00571"/>
    <s v="PRD021"/>
    <n v="1"/>
    <n v="69000"/>
    <x v="0"/>
    <n v="69000"/>
    <n v="30000"/>
    <n v="39000"/>
  </r>
  <r>
    <s v="ITM00975"/>
    <s v="ORD00572"/>
    <s v="PRD022"/>
    <n v="1"/>
    <n v="55000"/>
    <x v="4"/>
    <n v="55000"/>
    <n v="25000"/>
    <n v="30000"/>
  </r>
  <r>
    <s v="ITM00976"/>
    <s v="ORD00573"/>
    <s v="PRD014"/>
    <n v="2"/>
    <n v="349000"/>
    <x v="9"/>
    <n v="698000"/>
    <n v="180000"/>
    <n v="338000"/>
  </r>
  <r>
    <s v="ITM00977"/>
    <s v="ORD00574"/>
    <s v="PRD020"/>
    <n v="2"/>
    <n v="179000"/>
    <x v="1"/>
    <n v="358000"/>
    <n v="90000"/>
    <n v="178000"/>
  </r>
  <r>
    <s v="ITM00978"/>
    <s v="ORD00575"/>
    <s v="PRD021"/>
    <n v="1"/>
    <n v="69000"/>
    <x v="0"/>
    <n v="69000"/>
    <n v="30000"/>
    <n v="39000"/>
  </r>
  <r>
    <s v="ITM00979"/>
    <s v="ORD00576"/>
    <s v="PRD005"/>
    <n v="1"/>
    <n v="39000"/>
    <x v="2"/>
    <n v="39000"/>
    <n v="15000"/>
    <n v="24000"/>
  </r>
  <r>
    <s v="ITM00980"/>
    <s v="ORD00577"/>
    <s v="PRD017"/>
    <n v="2"/>
    <n v="329000"/>
    <x v="7"/>
    <n v="658000"/>
    <n v="180000"/>
    <n v="298000"/>
  </r>
  <r>
    <s v="ITM00981"/>
    <s v="ORD00577"/>
    <s v="PRD020"/>
    <n v="2"/>
    <n v="179000"/>
    <x v="1"/>
    <n v="358000"/>
    <n v="90000"/>
    <n v="178000"/>
  </r>
  <r>
    <s v="ITM00982"/>
    <s v="ORD00578"/>
    <s v="PRD022"/>
    <n v="1"/>
    <n v="55000"/>
    <x v="4"/>
    <n v="55000"/>
    <n v="25000"/>
    <n v="30000"/>
  </r>
  <r>
    <s v="ITM00983"/>
    <s v="ORD00578"/>
    <s v="PRD021"/>
    <n v="1"/>
    <n v="69000"/>
    <x v="0"/>
    <n v="69000"/>
    <n v="30000"/>
    <n v="39000"/>
  </r>
  <r>
    <s v="ITM00984"/>
    <s v="ORD00579"/>
    <s v="PRD005"/>
    <n v="1"/>
    <n v="39000"/>
    <x v="2"/>
    <n v="39000"/>
    <n v="15000"/>
    <n v="24000"/>
  </r>
  <r>
    <s v="ITM00985"/>
    <s v="ORD00580"/>
    <s v="PRD006"/>
    <n v="1"/>
    <n v="129000"/>
    <x v="10"/>
    <n v="129000"/>
    <n v="60000"/>
    <n v="69000"/>
  </r>
  <r>
    <s v="ITM00986"/>
    <s v="ORD00580"/>
    <s v="PRD022"/>
    <n v="2"/>
    <n v="55000"/>
    <x v="4"/>
    <n v="110000"/>
    <n v="25000"/>
    <n v="60000"/>
  </r>
  <r>
    <s v="ITM00987"/>
    <s v="ORD00581"/>
    <s v="PRD021"/>
    <n v="1"/>
    <n v="69000"/>
    <x v="0"/>
    <n v="69000"/>
    <n v="30000"/>
    <n v="39000"/>
  </r>
  <r>
    <s v="ITM00988"/>
    <s v="ORD00581"/>
    <s v="PRD005"/>
    <n v="1"/>
    <n v="39000"/>
    <x v="2"/>
    <n v="39000"/>
    <n v="15000"/>
    <n v="24000"/>
  </r>
  <r>
    <s v="ITM00989"/>
    <s v="ORD00582"/>
    <s v="PRD005"/>
    <n v="2"/>
    <n v="39000"/>
    <x v="2"/>
    <n v="78000"/>
    <n v="15000"/>
    <n v="48000"/>
  </r>
  <r>
    <s v="ITM00990"/>
    <s v="ORD00583"/>
    <s v="PRD021"/>
    <n v="1"/>
    <n v="69000"/>
    <x v="0"/>
    <n v="69000"/>
    <n v="30000"/>
    <n v="39000"/>
  </r>
  <r>
    <s v="ITM00991"/>
    <s v="ORD00584"/>
    <s v="PRD022"/>
    <n v="1"/>
    <n v="55000"/>
    <x v="4"/>
    <n v="55000"/>
    <n v="25000"/>
    <n v="30000"/>
  </r>
  <r>
    <s v="ITM00992"/>
    <s v="ORD00584"/>
    <s v="PRD012"/>
    <n v="1"/>
    <n v="229000"/>
    <x v="5"/>
    <n v="229000"/>
    <n v="110000"/>
    <n v="119000"/>
  </r>
  <r>
    <s v="ITM00993"/>
    <s v="ORD00584"/>
    <s v="PRD017"/>
    <n v="1"/>
    <n v="329000"/>
    <x v="7"/>
    <n v="329000"/>
    <n v="180000"/>
    <n v="149000"/>
  </r>
  <r>
    <s v="ITM00994"/>
    <s v="ORD00584"/>
    <s v="PRD021"/>
    <n v="1"/>
    <n v="69000"/>
    <x v="0"/>
    <n v="69000"/>
    <n v="30000"/>
    <n v="39000"/>
  </r>
  <r>
    <s v="ITM00995"/>
    <s v="ORD00585"/>
    <s v="PRD022"/>
    <n v="1"/>
    <n v="55000"/>
    <x v="4"/>
    <n v="55000"/>
    <n v="25000"/>
    <n v="30000"/>
  </r>
  <r>
    <s v="ITM00996"/>
    <s v="ORD00586"/>
    <s v="PRD021"/>
    <n v="1"/>
    <n v="69000"/>
    <x v="0"/>
    <n v="69000"/>
    <n v="30000"/>
    <n v="39000"/>
  </r>
  <r>
    <s v="ITM00997"/>
    <s v="ORD00586"/>
    <s v="PRD005"/>
    <n v="3"/>
    <n v="39000"/>
    <x v="2"/>
    <n v="117000"/>
    <n v="15000"/>
    <n v="72000"/>
  </r>
  <r>
    <s v="ITM00998"/>
    <s v="ORD00587"/>
    <s v="PRD009"/>
    <n v="1"/>
    <n v="79000"/>
    <x v="3"/>
    <n v="79000"/>
    <n v="35000"/>
    <n v="44000"/>
  </r>
  <r>
    <s v="ITM00999"/>
    <s v="ORD00587"/>
    <s v="PRD020"/>
    <n v="1"/>
    <n v="179000"/>
    <x v="1"/>
    <n v="179000"/>
    <n v="90000"/>
    <n v="89000"/>
  </r>
  <r>
    <s v="ITM01000"/>
    <s v="ORD00587"/>
    <s v="PRD017"/>
    <n v="3"/>
    <n v="329000"/>
    <x v="7"/>
    <n v="987000"/>
    <n v="180000"/>
    <n v="447000"/>
  </r>
  <r>
    <s v="ITM01001"/>
    <s v="ORD00587"/>
    <s v="PRD021"/>
    <n v="1"/>
    <n v="69000"/>
    <x v="0"/>
    <n v="69000"/>
    <n v="30000"/>
    <n v="39000"/>
  </r>
  <r>
    <s v="ITM01002"/>
    <s v="ORD00588"/>
    <s v="PRD020"/>
    <n v="2"/>
    <n v="179000"/>
    <x v="1"/>
    <n v="358000"/>
    <n v="90000"/>
    <n v="178000"/>
  </r>
  <r>
    <s v="ITM01003"/>
    <s v="ORD00588"/>
    <s v="PRD017"/>
    <n v="2"/>
    <n v="329000"/>
    <x v="7"/>
    <n v="658000"/>
    <n v="180000"/>
    <n v="298000"/>
  </r>
  <r>
    <s v="ITM01004"/>
    <s v="ORD00588"/>
    <s v="PRD014"/>
    <n v="1"/>
    <n v="349000"/>
    <x v="9"/>
    <n v="349000"/>
    <n v="180000"/>
    <n v="169000"/>
  </r>
  <r>
    <s v="ITM01005"/>
    <s v="ORD00589"/>
    <s v="PRD022"/>
    <n v="2"/>
    <n v="55000"/>
    <x v="4"/>
    <n v="110000"/>
    <n v="25000"/>
    <n v="60000"/>
  </r>
  <r>
    <s v="ITM01006"/>
    <s v="ORD00590"/>
    <s v="PRD022"/>
    <n v="1"/>
    <n v="55000"/>
    <x v="4"/>
    <n v="55000"/>
    <n v="25000"/>
    <n v="30000"/>
  </r>
  <r>
    <s v="ITM01007"/>
    <s v="ORD00591"/>
    <s v="PRD005"/>
    <n v="2"/>
    <n v="39000"/>
    <x v="2"/>
    <n v="78000"/>
    <n v="15000"/>
    <n v="48000"/>
  </r>
  <r>
    <s v="ITM01008"/>
    <s v="ORD00591"/>
    <s v="PRD020"/>
    <n v="2"/>
    <n v="179000"/>
    <x v="1"/>
    <n v="358000"/>
    <n v="90000"/>
    <n v="178000"/>
  </r>
  <r>
    <s v="ITM01009"/>
    <s v="ORD00591"/>
    <s v="PRD012"/>
    <n v="2"/>
    <n v="229000"/>
    <x v="5"/>
    <n v="458000"/>
    <n v="110000"/>
    <n v="238000"/>
  </r>
  <r>
    <s v="ITM01010"/>
    <s v="ORD00592"/>
    <s v="PRD008"/>
    <n v="2"/>
    <n v="399000"/>
    <x v="12"/>
    <n v="798000"/>
    <n v="200000"/>
    <n v="398000"/>
  </r>
  <r>
    <s v="ITM01011"/>
    <s v="ORD00592"/>
    <s v="PRD006"/>
    <n v="2"/>
    <n v="129000"/>
    <x v="10"/>
    <n v="258000"/>
    <n v="60000"/>
    <n v="138000"/>
  </r>
  <r>
    <s v="ITM01012"/>
    <s v="ORD00593"/>
    <s v="PRD005"/>
    <n v="1"/>
    <n v="39000"/>
    <x v="2"/>
    <n v="39000"/>
    <n v="15000"/>
    <n v="24000"/>
  </r>
  <r>
    <s v="ITM01013"/>
    <s v="ORD00593"/>
    <s v="PRD021"/>
    <n v="1"/>
    <n v="69000"/>
    <x v="0"/>
    <n v="69000"/>
    <n v="30000"/>
    <n v="39000"/>
  </r>
  <r>
    <s v="ITM01014"/>
    <s v="ORD00593"/>
    <s v="PRD009"/>
    <n v="2"/>
    <n v="79000"/>
    <x v="3"/>
    <n v="158000"/>
    <n v="35000"/>
    <n v="88000"/>
  </r>
  <r>
    <s v="ITM01015"/>
    <s v="ORD00594"/>
    <s v="PRD021"/>
    <n v="1"/>
    <n v="69000"/>
    <x v="0"/>
    <n v="69000"/>
    <n v="30000"/>
    <n v="39000"/>
  </r>
  <r>
    <s v="ITM01016"/>
    <s v="ORD00594"/>
    <s v="PRD002"/>
    <n v="3"/>
    <n v="159000"/>
    <x v="14"/>
    <n v="477000"/>
    <n v="80000"/>
    <n v="237000"/>
  </r>
  <r>
    <s v="ITM01017"/>
    <s v="ORD00595"/>
    <s v="PRD008"/>
    <n v="1"/>
    <n v="399000"/>
    <x v="12"/>
    <n v="399000"/>
    <n v="200000"/>
    <n v="199000"/>
  </r>
  <r>
    <s v="ITM01018"/>
    <s v="ORD00595"/>
    <s v="PRD021"/>
    <n v="2"/>
    <n v="69000"/>
    <x v="0"/>
    <n v="138000"/>
    <n v="30000"/>
    <n v="78000"/>
  </r>
  <r>
    <s v="ITM01019"/>
    <s v="ORD00596"/>
    <s v="PRD002"/>
    <n v="1"/>
    <n v="159000"/>
    <x v="14"/>
    <n v="159000"/>
    <n v="80000"/>
    <n v="79000"/>
  </r>
  <r>
    <s v="ITM01020"/>
    <s v="ORD00597"/>
    <s v="PRD001"/>
    <n v="1"/>
    <n v="299000"/>
    <x v="20"/>
    <n v="299000"/>
    <n v="150000"/>
    <n v="149000"/>
  </r>
  <r>
    <s v="ITM01021"/>
    <s v="ORD00597"/>
    <s v="PRD008"/>
    <n v="1"/>
    <n v="399000"/>
    <x v="12"/>
    <n v="399000"/>
    <n v="200000"/>
    <n v="199000"/>
  </r>
  <r>
    <s v="ITM01022"/>
    <s v="ORD00597"/>
    <s v="PRD006"/>
    <n v="1"/>
    <n v="129000"/>
    <x v="10"/>
    <n v="129000"/>
    <n v="60000"/>
    <n v="69000"/>
  </r>
  <r>
    <s v="ITM01023"/>
    <s v="ORD00598"/>
    <s v="PRD014"/>
    <n v="2"/>
    <n v="349000"/>
    <x v="9"/>
    <n v="698000"/>
    <n v="180000"/>
    <n v="338000"/>
  </r>
  <r>
    <s v="ITM01024"/>
    <s v="ORD00599"/>
    <s v="PRD022"/>
    <n v="1"/>
    <n v="55000"/>
    <x v="4"/>
    <n v="55000"/>
    <n v="25000"/>
    <n v="30000"/>
  </r>
  <r>
    <s v="ITM01025"/>
    <s v="ORD00600"/>
    <s v="PRD021"/>
    <n v="1"/>
    <n v="69000"/>
    <x v="0"/>
    <n v="69000"/>
    <n v="30000"/>
    <n v="39000"/>
  </r>
  <r>
    <s v="ITM01026"/>
    <s v="ORD00600"/>
    <s v="PRD017"/>
    <n v="1"/>
    <n v="329000"/>
    <x v="7"/>
    <n v="329000"/>
    <n v="180000"/>
    <n v="149000"/>
  </r>
  <r>
    <s v="ITM01027"/>
    <s v="ORD00601"/>
    <s v="PRD020"/>
    <n v="2"/>
    <n v="179000"/>
    <x v="1"/>
    <n v="358000"/>
    <n v="90000"/>
    <n v="178000"/>
  </r>
  <r>
    <s v="ITM01028"/>
    <s v="ORD00601"/>
    <s v="PRD005"/>
    <n v="1"/>
    <n v="39000"/>
    <x v="2"/>
    <n v="39000"/>
    <n v="15000"/>
    <n v="24000"/>
  </r>
  <r>
    <s v="ITM01029"/>
    <s v="ORD00601"/>
    <s v="PRD022"/>
    <n v="2"/>
    <n v="55000"/>
    <x v="4"/>
    <n v="110000"/>
    <n v="25000"/>
    <n v="60000"/>
  </r>
  <r>
    <s v="ITM01030"/>
    <s v="ORD00602"/>
    <s v="PRD022"/>
    <n v="2"/>
    <n v="55000"/>
    <x v="4"/>
    <n v="110000"/>
    <n v="25000"/>
    <n v="60000"/>
  </r>
  <r>
    <s v="ITM01031"/>
    <s v="ORD00602"/>
    <s v="PRD021"/>
    <n v="1"/>
    <n v="69000"/>
    <x v="0"/>
    <n v="69000"/>
    <n v="30000"/>
    <n v="39000"/>
  </r>
  <r>
    <s v="ITM01032"/>
    <s v="ORD00603"/>
    <s v="PRD012"/>
    <n v="1"/>
    <n v="229000"/>
    <x v="5"/>
    <n v="229000"/>
    <n v="110000"/>
    <n v="119000"/>
  </r>
  <r>
    <s v="ITM01033"/>
    <s v="ORD00604"/>
    <s v="PRD017"/>
    <n v="1"/>
    <n v="329000"/>
    <x v="7"/>
    <n v="329000"/>
    <n v="180000"/>
    <n v="149000"/>
  </r>
  <r>
    <s v="ITM01034"/>
    <s v="ORD00605"/>
    <s v="PRD020"/>
    <n v="1"/>
    <n v="179000"/>
    <x v="1"/>
    <n v="179000"/>
    <n v="90000"/>
    <n v="89000"/>
  </r>
  <r>
    <s v="ITM01035"/>
    <s v="ORD00606"/>
    <s v="PRD006"/>
    <n v="2"/>
    <n v="129000"/>
    <x v="10"/>
    <n v="258000"/>
    <n v="60000"/>
    <n v="138000"/>
  </r>
  <r>
    <s v="ITM01036"/>
    <s v="ORD00607"/>
    <s v="PRD005"/>
    <n v="2"/>
    <n v="39000"/>
    <x v="2"/>
    <n v="78000"/>
    <n v="15000"/>
    <n v="48000"/>
  </r>
  <r>
    <s v="ITM01037"/>
    <s v="ORD00607"/>
    <s v="PRD021"/>
    <n v="1"/>
    <n v="69000"/>
    <x v="0"/>
    <n v="69000"/>
    <n v="30000"/>
    <n v="39000"/>
  </r>
  <r>
    <s v="ITM01038"/>
    <s v="ORD00607"/>
    <s v="PRD023"/>
    <n v="1"/>
    <n v="139000"/>
    <x v="8"/>
    <n v="139000"/>
    <n v="65000"/>
    <n v="74000"/>
  </r>
  <r>
    <s v="ITM01039"/>
    <s v="ORD00608"/>
    <s v="PRD020"/>
    <n v="2"/>
    <n v="179000"/>
    <x v="1"/>
    <n v="358000"/>
    <n v="90000"/>
    <n v="178000"/>
  </r>
  <r>
    <s v="ITM01040"/>
    <s v="ORD00609"/>
    <s v="PRD009"/>
    <n v="1"/>
    <n v="79000"/>
    <x v="3"/>
    <n v="79000"/>
    <n v="35000"/>
    <n v="44000"/>
  </r>
  <r>
    <s v="ITM01041"/>
    <s v="ORD00610"/>
    <s v="PRD021"/>
    <n v="1"/>
    <n v="69000"/>
    <x v="0"/>
    <n v="69000"/>
    <n v="30000"/>
    <n v="39000"/>
  </r>
  <r>
    <s v="ITM01042"/>
    <s v="ORD00610"/>
    <s v="PRD009"/>
    <n v="1"/>
    <n v="79000"/>
    <x v="3"/>
    <n v="79000"/>
    <n v="35000"/>
    <n v="44000"/>
  </r>
  <r>
    <s v="ITM01043"/>
    <s v="ORD00611"/>
    <s v="PRD021"/>
    <n v="1"/>
    <n v="69000"/>
    <x v="0"/>
    <n v="69000"/>
    <n v="30000"/>
    <n v="39000"/>
  </r>
  <r>
    <s v="ITM01044"/>
    <s v="ORD00611"/>
    <s v="PRD009"/>
    <n v="1"/>
    <n v="79000"/>
    <x v="3"/>
    <n v="79000"/>
    <n v="35000"/>
    <n v="44000"/>
  </r>
  <r>
    <s v="ITM01045"/>
    <s v="ORD00612"/>
    <s v="PRD020"/>
    <n v="1"/>
    <n v="179000"/>
    <x v="1"/>
    <n v="179000"/>
    <n v="90000"/>
    <n v="89000"/>
  </r>
  <r>
    <s v="ITM01046"/>
    <s v="ORD00613"/>
    <s v="PRD005"/>
    <n v="1"/>
    <n v="39000"/>
    <x v="2"/>
    <n v="39000"/>
    <n v="15000"/>
    <n v="24000"/>
  </r>
  <r>
    <s v="ITM01047"/>
    <s v="ORD00614"/>
    <s v="PRD005"/>
    <n v="2"/>
    <n v="39000"/>
    <x v="2"/>
    <n v="78000"/>
    <n v="15000"/>
    <n v="48000"/>
  </r>
  <r>
    <s v="ITM01048"/>
    <s v="ORD00614"/>
    <s v="PRD020"/>
    <n v="1"/>
    <n v="179000"/>
    <x v="1"/>
    <n v="179000"/>
    <n v="90000"/>
    <n v="89000"/>
  </r>
  <r>
    <s v="ITM01049"/>
    <s v="ORD00615"/>
    <s v="PRD005"/>
    <n v="1"/>
    <n v="39000"/>
    <x v="2"/>
    <n v="39000"/>
    <n v="15000"/>
    <n v="24000"/>
  </r>
  <r>
    <s v="ITM01050"/>
    <s v="ORD00616"/>
    <s v="PRD021"/>
    <n v="1"/>
    <n v="69000"/>
    <x v="0"/>
    <n v="69000"/>
    <n v="30000"/>
    <n v="39000"/>
  </r>
  <r>
    <s v="ITM01051"/>
    <s v="ORD00616"/>
    <s v="PRD020"/>
    <n v="1"/>
    <n v="179000"/>
    <x v="1"/>
    <n v="179000"/>
    <n v="90000"/>
    <n v="89000"/>
  </r>
  <r>
    <s v="ITM01052"/>
    <s v="ORD00617"/>
    <s v="PRD021"/>
    <n v="1"/>
    <n v="69000"/>
    <x v="0"/>
    <n v="69000"/>
    <n v="30000"/>
    <n v="39000"/>
  </r>
  <r>
    <s v="ITM01053"/>
    <s v="ORD00618"/>
    <s v="PRD008"/>
    <n v="1"/>
    <n v="399000"/>
    <x v="12"/>
    <n v="399000"/>
    <n v="200000"/>
    <n v="199000"/>
  </r>
  <r>
    <s v="ITM01054"/>
    <s v="ORD00619"/>
    <s v="PRD014"/>
    <n v="1"/>
    <n v="349000"/>
    <x v="9"/>
    <n v="349000"/>
    <n v="180000"/>
    <n v="169000"/>
  </r>
  <r>
    <s v="ITM01055"/>
    <s v="ORD00619"/>
    <s v="PRD009"/>
    <n v="1"/>
    <n v="79000"/>
    <x v="3"/>
    <n v="79000"/>
    <n v="35000"/>
    <n v="44000"/>
  </r>
  <r>
    <s v="ITM01056"/>
    <s v="ORD00619"/>
    <s v="PRD022"/>
    <n v="3"/>
    <n v="55000"/>
    <x v="4"/>
    <n v="165000"/>
    <n v="25000"/>
    <n v="90000"/>
  </r>
  <r>
    <s v="ITM01057"/>
    <s v="ORD00620"/>
    <s v="PRD008"/>
    <n v="2"/>
    <n v="399000"/>
    <x v="12"/>
    <n v="798000"/>
    <n v="200000"/>
    <n v="398000"/>
  </r>
  <r>
    <s v="ITM01058"/>
    <s v="ORD00621"/>
    <s v="PRD021"/>
    <n v="1"/>
    <n v="69000"/>
    <x v="0"/>
    <n v="69000"/>
    <n v="30000"/>
    <n v="39000"/>
  </r>
  <r>
    <s v="ITM01059"/>
    <s v="ORD00621"/>
    <s v="PRD009"/>
    <n v="2"/>
    <n v="79000"/>
    <x v="3"/>
    <n v="158000"/>
    <n v="35000"/>
    <n v="88000"/>
  </r>
  <r>
    <s v="ITM01060"/>
    <s v="ORD00622"/>
    <s v="PRD021"/>
    <n v="2"/>
    <n v="69000"/>
    <x v="0"/>
    <n v="138000"/>
    <n v="30000"/>
    <n v="78000"/>
  </r>
  <r>
    <s v="ITM01061"/>
    <s v="ORD00623"/>
    <s v="PRD021"/>
    <n v="1"/>
    <n v="69000"/>
    <x v="0"/>
    <n v="69000"/>
    <n v="30000"/>
    <n v="39000"/>
  </r>
  <r>
    <s v="ITM01062"/>
    <s v="ORD00624"/>
    <s v="PRD009"/>
    <n v="1"/>
    <n v="79000"/>
    <x v="3"/>
    <n v="79000"/>
    <n v="35000"/>
    <n v="44000"/>
  </r>
  <r>
    <s v="ITM01063"/>
    <s v="ORD00625"/>
    <s v="PRD017"/>
    <n v="1"/>
    <n v="329000"/>
    <x v="7"/>
    <n v="329000"/>
    <n v="180000"/>
    <n v="149000"/>
  </r>
  <r>
    <s v="ITM01064"/>
    <s v="ORD00626"/>
    <s v="PRD005"/>
    <n v="1"/>
    <n v="39000"/>
    <x v="2"/>
    <n v="39000"/>
    <n v="15000"/>
    <n v="24000"/>
  </r>
  <r>
    <s v="ITM01065"/>
    <s v="ORD00627"/>
    <s v="PRD009"/>
    <n v="1"/>
    <n v="79000"/>
    <x v="3"/>
    <n v="79000"/>
    <n v="35000"/>
    <n v="44000"/>
  </r>
  <r>
    <s v="ITM01066"/>
    <s v="ORD00628"/>
    <s v="PRD021"/>
    <n v="1"/>
    <n v="69000"/>
    <x v="0"/>
    <n v="69000"/>
    <n v="30000"/>
    <n v="39000"/>
  </r>
  <r>
    <s v="ITM01067"/>
    <s v="ORD00628"/>
    <s v="PRD020"/>
    <n v="1"/>
    <n v="179000"/>
    <x v="1"/>
    <n v="179000"/>
    <n v="90000"/>
    <n v="89000"/>
  </r>
  <r>
    <s v="ITM01068"/>
    <s v="ORD00629"/>
    <s v="PRD005"/>
    <n v="2"/>
    <n v="39000"/>
    <x v="2"/>
    <n v="78000"/>
    <n v="15000"/>
    <n v="48000"/>
  </r>
  <r>
    <s v="ITM01069"/>
    <s v="ORD00630"/>
    <s v="PRD017"/>
    <n v="1"/>
    <n v="329000"/>
    <x v="7"/>
    <n v="329000"/>
    <n v="180000"/>
    <n v="149000"/>
  </r>
  <r>
    <s v="ITM01070"/>
    <s v="ORD00631"/>
    <s v="PRD009"/>
    <n v="1"/>
    <n v="79000"/>
    <x v="3"/>
    <n v="79000"/>
    <n v="35000"/>
    <n v="44000"/>
  </r>
  <r>
    <s v="ITM01071"/>
    <s v="ORD00632"/>
    <s v="PRD020"/>
    <n v="1"/>
    <n v="179000"/>
    <x v="1"/>
    <n v="179000"/>
    <n v="90000"/>
    <n v="89000"/>
  </r>
  <r>
    <s v="ITM01072"/>
    <s v="ORD00632"/>
    <s v="PRD021"/>
    <n v="1"/>
    <n v="69000"/>
    <x v="0"/>
    <n v="69000"/>
    <n v="30000"/>
    <n v="39000"/>
  </r>
  <r>
    <s v="ITM01073"/>
    <s v="ORD00633"/>
    <s v="PRD022"/>
    <n v="1"/>
    <n v="55000"/>
    <x v="4"/>
    <n v="55000"/>
    <n v="25000"/>
    <n v="30000"/>
  </r>
  <r>
    <s v="ITM01074"/>
    <s v="ORD00633"/>
    <s v="PRD021"/>
    <n v="1"/>
    <n v="69000"/>
    <x v="0"/>
    <n v="69000"/>
    <n v="30000"/>
    <n v="39000"/>
  </r>
  <r>
    <s v="ITM01075"/>
    <s v="ORD00634"/>
    <s v="PRD021"/>
    <n v="2"/>
    <n v="69000"/>
    <x v="0"/>
    <n v="138000"/>
    <n v="30000"/>
    <n v="78000"/>
  </r>
  <r>
    <s v="ITM01076"/>
    <s v="ORD00634"/>
    <s v="PRD005"/>
    <n v="1"/>
    <n v="39000"/>
    <x v="2"/>
    <n v="39000"/>
    <n v="15000"/>
    <n v="24000"/>
  </r>
  <r>
    <s v="ITM01077"/>
    <s v="ORD00635"/>
    <s v="PRD009"/>
    <n v="3"/>
    <n v="79000"/>
    <x v="3"/>
    <n v="237000"/>
    <n v="35000"/>
    <n v="132000"/>
  </r>
  <r>
    <s v="ITM01078"/>
    <s v="ORD00636"/>
    <s v="PRD021"/>
    <n v="1"/>
    <n v="69000"/>
    <x v="0"/>
    <n v="69000"/>
    <n v="30000"/>
    <n v="39000"/>
  </r>
  <r>
    <s v="ITM01079"/>
    <s v="ORD00637"/>
    <s v="PRD017"/>
    <n v="1"/>
    <n v="329000"/>
    <x v="7"/>
    <n v="329000"/>
    <n v="180000"/>
    <n v="149000"/>
  </r>
  <r>
    <s v="ITM01080"/>
    <s v="ORD00637"/>
    <s v="PRD020"/>
    <n v="1"/>
    <n v="179000"/>
    <x v="1"/>
    <n v="179000"/>
    <n v="90000"/>
    <n v="89000"/>
  </r>
  <r>
    <s v="ITM01081"/>
    <s v="ORD00638"/>
    <s v="PRD014"/>
    <n v="1"/>
    <n v="349000"/>
    <x v="9"/>
    <n v="349000"/>
    <n v="180000"/>
    <n v="169000"/>
  </r>
  <r>
    <s v="ITM01082"/>
    <s v="ORD00639"/>
    <s v="PRD005"/>
    <n v="1"/>
    <n v="39000"/>
    <x v="2"/>
    <n v="39000"/>
    <n v="15000"/>
    <n v="24000"/>
  </r>
  <r>
    <s v="ITM01083"/>
    <s v="ORD00640"/>
    <s v="PRD004"/>
    <n v="3"/>
    <n v="199000"/>
    <x v="19"/>
    <n v="597000"/>
    <n v="100000"/>
    <n v="297000"/>
  </r>
  <r>
    <s v="ITM01084"/>
    <s v="ORD00640"/>
    <s v="PRD017"/>
    <n v="1"/>
    <n v="329000"/>
    <x v="7"/>
    <n v="329000"/>
    <n v="180000"/>
    <n v="149000"/>
  </r>
  <r>
    <s v="ITM01085"/>
    <s v="ORD00641"/>
    <s v="PRD009"/>
    <n v="1"/>
    <n v="79000"/>
    <x v="3"/>
    <n v="79000"/>
    <n v="35000"/>
    <n v="44000"/>
  </r>
  <r>
    <s v="ITM01086"/>
    <s v="ORD00642"/>
    <s v="PRD017"/>
    <n v="1"/>
    <n v="329000"/>
    <x v="7"/>
    <n v="329000"/>
    <n v="180000"/>
    <n v="149000"/>
  </r>
  <r>
    <s v="ITM01087"/>
    <s v="ORD00643"/>
    <s v="PRD005"/>
    <n v="2"/>
    <n v="39000"/>
    <x v="2"/>
    <n v="78000"/>
    <n v="15000"/>
    <n v="48000"/>
  </r>
  <r>
    <s v="ITM01088"/>
    <s v="ORD00644"/>
    <s v="PRD021"/>
    <n v="1"/>
    <n v="69000"/>
    <x v="0"/>
    <n v="69000"/>
    <n v="30000"/>
    <n v="39000"/>
  </r>
  <r>
    <s v="ITM01089"/>
    <s v="ORD00645"/>
    <s v="PRD006"/>
    <n v="1"/>
    <n v="129000"/>
    <x v="10"/>
    <n v="129000"/>
    <n v="60000"/>
    <n v="69000"/>
  </r>
  <r>
    <s v="ITM01090"/>
    <s v="ORD00645"/>
    <s v="PRD014"/>
    <n v="1"/>
    <n v="349000"/>
    <x v="9"/>
    <n v="349000"/>
    <n v="180000"/>
    <n v="169000"/>
  </r>
  <r>
    <s v="ITM01091"/>
    <s v="ORD00645"/>
    <s v="PRD004"/>
    <n v="1"/>
    <n v="199000"/>
    <x v="19"/>
    <n v="199000"/>
    <n v="100000"/>
    <n v="99000"/>
  </r>
  <r>
    <s v="ITM01092"/>
    <s v="ORD00646"/>
    <s v="PRD005"/>
    <n v="1"/>
    <n v="39000"/>
    <x v="2"/>
    <n v="39000"/>
    <n v="15000"/>
    <n v="24000"/>
  </r>
  <r>
    <s v="ITM01093"/>
    <s v="ORD00646"/>
    <s v="PRD012"/>
    <n v="1"/>
    <n v="229000"/>
    <x v="5"/>
    <n v="229000"/>
    <n v="110000"/>
    <n v="119000"/>
  </r>
  <r>
    <s v="ITM01094"/>
    <s v="ORD00646"/>
    <s v="PRD023"/>
    <n v="1"/>
    <n v="139000"/>
    <x v="8"/>
    <n v="139000"/>
    <n v="65000"/>
    <n v="74000"/>
  </r>
  <r>
    <s v="ITM01095"/>
    <s v="ORD00647"/>
    <s v="PRD017"/>
    <n v="1"/>
    <n v="329000"/>
    <x v="7"/>
    <n v="329000"/>
    <n v="180000"/>
    <n v="149000"/>
  </r>
  <r>
    <s v="ITM01096"/>
    <s v="ORD00647"/>
    <s v="PRD021"/>
    <n v="3"/>
    <n v="69000"/>
    <x v="0"/>
    <n v="207000"/>
    <n v="30000"/>
    <n v="117000"/>
  </r>
  <r>
    <s v="ITM01097"/>
    <s v="ORD00648"/>
    <s v="PRD021"/>
    <n v="2"/>
    <n v="69000"/>
    <x v="0"/>
    <n v="138000"/>
    <n v="30000"/>
    <n v="78000"/>
  </r>
  <r>
    <s v="ITM01098"/>
    <s v="ORD00648"/>
    <s v="PRD020"/>
    <n v="1"/>
    <n v="179000"/>
    <x v="1"/>
    <n v="179000"/>
    <n v="90000"/>
    <n v="89000"/>
  </r>
  <r>
    <s v="ITM01099"/>
    <s v="ORD00648"/>
    <s v="PRD006"/>
    <n v="1"/>
    <n v="129000"/>
    <x v="10"/>
    <n v="129000"/>
    <n v="60000"/>
    <n v="69000"/>
  </r>
  <r>
    <s v="ITM01100"/>
    <s v="ORD00649"/>
    <s v="PRD020"/>
    <n v="1"/>
    <n v="179000"/>
    <x v="1"/>
    <n v="179000"/>
    <n v="90000"/>
    <n v="89000"/>
  </r>
  <r>
    <s v="ITM01101"/>
    <s v="ORD00649"/>
    <s v="PRD021"/>
    <n v="1"/>
    <n v="69000"/>
    <x v="0"/>
    <n v="69000"/>
    <n v="30000"/>
    <n v="39000"/>
  </r>
  <r>
    <s v="ITM01102"/>
    <s v="ORD00650"/>
    <s v="PRD020"/>
    <n v="1"/>
    <n v="179000"/>
    <x v="1"/>
    <n v="179000"/>
    <n v="90000"/>
    <n v="89000"/>
  </r>
  <r>
    <s v="ITM01103"/>
    <s v="ORD00651"/>
    <s v="PRD021"/>
    <n v="1"/>
    <n v="69000"/>
    <x v="0"/>
    <n v="69000"/>
    <n v="30000"/>
    <n v="39000"/>
  </r>
  <r>
    <s v="ITM01104"/>
    <s v="ORD00652"/>
    <s v="PRD008"/>
    <n v="1"/>
    <n v="399000"/>
    <x v="12"/>
    <n v="399000"/>
    <n v="200000"/>
    <n v="199000"/>
  </r>
  <r>
    <s v="ITM01105"/>
    <s v="ORD00652"/>
    <s v="PRD005"/>
    <n v="1"/>
    <n v="39000"/>
    <x v="2"/>
    <n v="39000"/>
    <n v="15000"/>
    <n v="24000"/>
  </r>
  <r>
    <s v="ITM01106"/>
    <s v="ORD00653"/>
    <s v="PRD017"/>
    <n v="3"/>
    <n v="329000"/>
    <x v="7"/>
    <n v="987000"/>
    <n v="180000"/>
    <n v="447000"/>
  </r>
  <r>
    <s v="ITM01107"/>
    <s v="ORD00653"/>
    <s v="PRD006"/>
    <n v="1"/>
    <n v="129000"/>
    <x v="10"/>
    <n v="129000"/>
    <n v="60000"/>
    <n v="69000"/>
  </r>
  <r>
    <s v="ITM01108"/>
    <s v="ORD00653"/>
    <s v="PRD014"/>
    <n v="3"/>
    <n v="349000"/>
    <x v="9"/>
    <n v="1047000"/>
    <n v="180000"/>
    <n v="507000"/>
  </r>
  <r>
    <s v="ITM01109"/>
    <s v="ORD00653"/>
    <s v="PRD021"/>
    <n v="2"/>
    <n v="69000"/>
    <x v="0"/>
    <n v="138000"/>
    <n v="30000"/>
    <n v="78000"/>
  </r>
  <r>
    <s v="ITM01110"/>
    <s v="ORD00654"/>
    <s v="PRD017"/>
    <n v="2"/>
    <n v="329000"/>
    <x v="7"/>
    <n v="658000"/>
    <n v="180000"/>
    <n v="298000"/>
  </r>
  <r>
    <s v="ITM01111"/>
    <s v="ORD00655"/>
    <s v="PRD021"/>
    <n v="1"/>
    <n v="69000"/>
    <x v="0"/>
    <n v="69000"/>
    <n v="30000"/>
    <n v="39000"/>
  </r>
  <r>
    <s v="ITM01112"/>
    <s v="ORD00656"/>
    <s v="PRD022"/>
    <n v="3"/>
    <n v="55000"/>
    <x v="4"/>
    <n v="165000"/>
    <n v="25000"/>
    <n v="90000"/>
  </r>
  <r>
    <s v="ITM01113"/>
    <s v="ORD00656"/>
    <s v="PRD021"/>
    <n v="1"/>
    <n v="69000"/>
    <x v="0"/>
    <n v="69000"/>
    <n v="30000"/>
    <n v="39000"/>
  </r>
  <r>
    <s v="ITM01114"/>
    <s v="ORD00657"/>
    <s v="PRD022"/>
    <n v="2"/>
    <n v="55000"/>
    <x v="4"/>
    <n v="110000"/>
    <n v="25000"/>
    <n v="60000"/>
  </r>
  <r>
    <s v="ITM01115"/>
    <s v="ORD00657"/>
    <s v="PRD005"/>
    <n v="1"/>
    <n v="39000"/>
    <x v="2"/>
    <n v="39000"/>
    <n v="15000"/>
    <n v="24000"/>
  </r>
  <r>
    <s v="ITM01116"/>
    <s v="ORD00658"/>
    <s v="PRD022"/>
    <n v="1"/>
    <n v="55000"/>
    <x v="4"/>
    <n v="55000"/>
    <n v="25000"/>
    <n v="30000"/>
  </r>
  <r>
    <s v="ITM01117"/>
    <s v="ORD00659"/>
    <s v="PRD021"/>
    <n v="2"/>
    <n v="69000"/>
    <x v="0"/>
    <n v="138000"/>
    <n v="30000"/>
    <n v="78000"/>
  </r>
  <r>
    <s v="ITM01118"/>
    <s v="ORD00660"/>
    <s v="PRD009"/>
    <n v="1"/>
    <n v="79000"/>
    <x v="3"/>
    <n v="79000"/>
    <n v="35000"/>
    <n v="44000"/>
  </r>
  <r>
    <s v="ITM01119"/>
    <s v="ORD00661"/>
    <s v="PRD008"/>
    <n v="1"/>
    <n v="399000"/>
    <x v="12"/>
    <n v="399000"/>
    <n v="200000"/>
    <n v="199000"/>
  </r>
  <r>
    <s v="ITM01120"/>
    <s v="ORD00662"/>
    <s v="PRD009"/>
    <n v="1"/>
    <n v="79000"/>
    <x v="3"/>
    <n v="79000"/>
    <n v="35000"/>
    <n v="44000"/>
  </r>
  <r>
    <s v="ITM01121"/>
    <s v="ORD00663"/>
    <s v="PRD002"/>
    <n v="1"/>
    <n v="159000"/>
    <x v="14"/>
    <n v="159000"/>
    <n v="80000"/>
    <n v="79000"/>
  </r>
  <r>
    <s v="ITM01122"/>
    <s v="ORD00663"/>
    <s v="PRD009"/>
    <n v="1"/>
    <n v="79000"/>
    <x v="3"/>
    <n v="79000"/>
    <n v="35000"/>
    <n v="44000"/>
  </r>
  <r>
    <s v="ITM01123"/>
    <s v="ORD00664"/>
    <s v="PRD005"/>
    <n v="1"/>
    <n v="39000"/>
    <x v="2"/>
    <n v="39000"/>
    <n v="15000"/>
    <n v="24000"/>
  </r>
  <r>
    <s v="ITM01124"/>
    <s v="ORD00664"/>
    <s v="PRD021"/>
    <n v="1"/>
    <n v="69000"/>
    <x v="0"/>
    <n v="69000"/>
    <n v="30000"/>
    <n v="39000"/>
  </r>
  <r>
    <s v="ITM01125"/>
    <s v="ORD00664"/>
    <s v="PRD020"/>
    <n v="2"/>
    <n v="179000"/>
    <x v="1"/>
    <n v="358000"/>
    <n v="90000"/>
    <n v="178000"/>
  </r>
  <r>
    <s v="ITM01126"/>
    <s v="ORD00665"/>
    <s v="PRD021"/>
    <n v="1"/>
    <n v="69000"/>
    <x v="0"/>
    <n v="69000"/>
    <n v="30000"/>
    <n v="39000"/>
  </r>
  <r>
    <s v="ITM01127"/>
    <s v="ORD00665"/>
    <s v="PRD008"/>
    <n v="3"/>
    <n v="399000"/>
    <x v="12"/>
    <n v="1197000"/>
    <n v="200000"/>
    <n v="597000"/>
  </r>
  <r>
    <s v="ITM01128"/>
    <s v="ORD00666"/>
    <s v="PRD023"/>
    <n v="2"/>
    <n v="139000"/>
    <x v="8"/>
    <n v="278000"/>
    <n v="65000"/>
    <n v="148000"/>
  </r>
  <r>
    <s v="ITM01129"/>
    <s v="ORD00666"/>
    <s v="PRD014"/>
    <n v="2"/>
    <n v="349000"/>
    <x v="9"/>
    <n v="698000"/>
    <n v="180000"/>
    <n v="338000"/>
  </r>
  <r>
    <s v="ITM01130"/>
    <s v="ORD00666"/>
    <s v="PRD005"/>
    <n v="1"/>
    <n v="39000"/>
    <x v="2"/>
    <n v="39000"/>
    <n v="15000"/>
    <n v="24000"/>
  </r>
  <r>
    <s v="ITM01131"/>
    <s v="ORD00667"/>
    <s v="PRD022"/>
    <n v="1"/>
    <n v="55000"/>
    <x v="4"/>
    <n v="55000"/>
    <n v="25000"/>
    <n v="30000"/>
  </r>
  <r>
    <s v="ITM01132"/>
    <s v="ORD00668"/>
    <s v="PRD021"/>
    <n v="2"/>
    <n v="69000"/>
    <x v="0"/>
    <n v="138000"/>
    <n v="30000"/>
    <n v="78000"/>
  </r>
  <r>
    <s v="ITM01133"/>
    <s v="ORD00668"/>
    <s v="PRD005"/>
    <n v="3"/>
    <n v="39000"/>
    <x v="2"/>
    <n v="117000"/>
    <n v="15000"/>
    <n v="72000"/>
  </r>
  <r>
    <s v="ITM01134"/>
    <s v="ORD00669"/>
    <s v="PRD009"/>
    <n v="1"/>
    <n v="79000"/>
    <x v="3"/>
    <n v="79000"/>
    <n v="35000"/>
    <n v="44000"/>
  </r>
  <r>
    <s v="ITM01135"/>
    <s v="ORD00670"/>
    <s v="PRD005"/>
    <n v="1"/>
    <n v="39000"/>
    <x v="2"/>
    <n v="39000"/>
    <n v="15000"/>
    <n v="24000"/>
  </r>
  <r>
    <s v="ITM01136"/>
    <s v="ORD00671"/>
    <s v="PRD005"/>
    <n v="2"/>
    <n v="39000"/>
    <x v="2"/>
    <n v="78000"/>
    <n v="15000"/>
    <n v="48000"/>
  </r>
  <r>
    <s v="ITM01137"/>
    <s v="ORD00671"/>
    <s v="PRD022"/>
    <n v="1"/>
    <n v="55000"/>
    <x v="4"/>
    <n v="55000"/>
    <n v="25000"/>
    <n v="30000"/>
  </r>
  <r>
    <s v="ITM01138"/>
    <s v="ORD00672"/>
    <s v="PRD017"/>
    <n v="1"/>
    <n v="329000"/>
    <x v="7"/>
    <n v="329000"/>
    <n v="180000"/>
    <n v="149000"/>
  </r>
  <r>
    <s v="ITM01139"/>
    <s v="ORD00673"/>
    <s v="PRD005"/>
    <n v="2"/>
    <n v="39000"/>
    <x v="2"/>
    <n v="78000"/>
    <n v="15000"/>
    <n v="48000"/>
  </r>
  <r>
    <s v="ITM01140"/>
    <s v="ORD00673"/>
    <s v="PRD021"/>
    <n v="3"/>
    <n v="69000"/>
    <x v="0"/>
    <n v="207000"/>
    <n v="30000"/>
    <n v="117000"/>
  </r>
  <r>
    <s v="ITM01141"/>
    <s v="ORD00674"/>
    <s v="PRD021"/>
    <n v="3"/>
    <n v="69000"/>
    <x v="0"/>
    <n v="207000"/>
    <n v="30000"/>
    <n v="117000"/>
  </r>
  <r>
    <s v="ITM01142"/>
    <s v="ORD00674"/>
    <s v="PRD017"/>
    <n v="1"/>
    <n v="329000"/>
    <x v="7"/>
    <n v="329000"/>
    <n v="180000"/>
    <n v="149000"/>
  </r>
  <r>
    <s v="ITM01143"/>
    <s v="ORD00674"/>
    <s v="PRD022"/>
    <n v="1"/>
    <n v="55000"/>
    <x v="4"/>
    <n v="55000"/>
    <n v="25000"/>
    <n v="30000"/>
  </r>
  <r>
    <s v="ITM01144"/>
    <s v="ORD00675"/>
    <s v="PRD020"/>
    <n v="1"/>
    <n v="179000"/>
    <x v="1"/>
    <n v="179000"/>
    <n v="90000"/>
    <n v="89000"/>
  </r>
  <r>
    <s v="ITM01145"/>
    <s v="ORD00676"/>
    <s v="PRD021"/>
    <n v="2"/>
    <n v="69000"/>
    <x v="0"/>
    <n v="138000"/>
    <n v="30000"/>
    <n v="78000"/>
  </r>
  <r>
    <s v="ITM01146"/>
    <s v="ORD00676"/>
    <s v="PRD012"/>
    <n v="1"/>
    <n v="229000"/>
    <x v="5"/>
    <n v="229000"/>
    <n v="110000"/>
    <n v="119000"/>
  </r>
  <r>
    <s v="ITM01147"/>
    <s v="ORD00677"/>
    <s v="PRD005"/>
    <n v="3"/>
    <n v="39000"/>
    <x v="2"/>
    <n v="117000"/>
    <n v="15000"/>
    <n v="72000"/>
  </r>
  <r>
    <s v="ITM01148"/>
    <s v="ORD00678"/>
    <s v="PRD009"/>
    <n v="1"/>
    <n v="79000"/>
    <x v="3"/>
    <n v="79000"/>
    <n v="35000"/>
    <n v="44000"/>
  </r>
  <r>
    <s v="ITM01149"/>
    <s v="ORD00679"/>
    <s v="PRD022"/>
    <n v="1"/>
    <n v="55000"/>
    <x v="4"/>
    <n v="55000"/>
    <n v="25000"/>
    <n v="30000"/>
  </r>
  <r>
    <s v="ITM01150"/>
    <s v="ORD00680"/>
    <s v="PRD021"/>
    <n v="1"/>
    <n v="69000"/>
    <x v="0"/>
    <n v="69000"/>
    <n v="30000"/>
    <n v="39000"/>
  </r>
  <r>
    <s v="ITM01151"/>
    <s v="ORD00680"/>
    <s v="PRD023"/>
    <n v="1"/>
    <n v="139000"/>
    <x v="8"/>
    <n v="139000"/>
    <n v="65000"/>
    <n v="74000"/>
  </r>
  <r>
    <s v="ITM01152"/>
    <s v="ORD00681"/>
    <s v="PRD005"/>
    <n v="2"/>
    <n v="39000"/>
    <x v="2"/>
    <n v="78000"/>
    <n v="15000"/>
    <n v="48000"/>
  </r>
  <r>
    <s v="ITM01153"/>
    <s v="ORD00682"/>
    <s v="PRD021"/>
    <n v="1"/>
    <n v="69000"/>
    <x v="0"/>
    <n v="69000"/>
    <n v="30000"/>
    <n v="39000"/>
  </r>
  <r>
    <s v="ITM01154"/>
    <s v="ORD00682"/>
    <s v="PRD020"/>
    <n v="1"/>
    <n v="179000"/>
    <x v="1"/>
    <n v="179000"/>
    <n v="90000"/>
    <n v="89000"/>
  </r>
  <r>
    <s v="ITM01155"/>
    <s v="ORD00683"/>
    <s v="PRD021"/>
    <n v="1"/>
    <n v="69000"/>
    <x v="0"/>
    <n v="69000"/>
    <n v="30000"/>
    <n v="39000"/>
  </r>
  <r>
    <s v="ITM01156"/>
    <s v="ORD00684"/>
    <s v="PRD020"/>
    <n v="1"/>
    <n v="179000"/>
    <x v="1"/>
    <n v="179000"/>
    <n v="90000"/>
    <n v="89000"/>
  </r>
  <r>
    <s v="ITM01157"/>
    <s v="ORD00684"/>
    <s v="PRD009"/>
    <n v="1"/>
    <n v="79000"/>
    <x v="3"/>
    <n v="79000"/>
    <n v="35000"/>
    <n v="44000"/>
  </r>
  <r>
    <s v="ITM01158"/>
    <s v="ORD00685"/>
    <s v="PRD021"/>
    <n v="1"/>
    <n v="69000"/>
    <x v="0"/>
    <n v="69000"/>
    <n v="30000"/>
    <n v="39000"/>
  </r>
  <r>
    <s v="ITM01159"/>
    <s v="ORD00686"/>
    <s v="PRD021"/>
    <n v="3"/>
    <n v="69000"/>
    <x v="0"/>
    <n v="207000"/>
    <n v="30000"/>
    <n v="117000"/>
  </r>
  <r>
    <s v="ITM01160"/>
    <s v="ORD00686"/>
    <s v="PRD005"/>
    <n v="1"/>
    <n v="39000"/>
    <x v="2"/>
    <n v="39000"/>
    <n v="15000"/>
    <n v="24000"/>
  </r>
  <r>
    <s v="ITM01161"/>
    <s v="ORD00687"/>
    <s v="PRD012"/>
    <n v="1"/>
    <n v="229000"/>
    <x v="5"/>
    <n v="229000"/>
    <n v="110000"/>
    <n v="119000"/>
  </r>
  <r>
    <s v="ITM01162"/>
    <s v="ORD00688"/>
    <s v="PRD020"/>
    <n v="1"/>
    <n v="179000"/>
    <x v="1"/>
    <n v="179000"/>
    <n v="90000"/>
    <n v="89000"/>
  </r>
  <r>
    <s v="ITM01163"/>
    <s v="ORD00688"/>
    <s v="PRD021"/>
    <n v="2"/>
    <n v="69000"/>
    <x v="0"/>
    <n v="138000"/>
    <n v="30000"/>
    <n v="78000"/>
  </r>
  <r>
    <s v="ITM01164"/>
    <s v="ORD00689"/>
    <s v="PRD007"/>
    <n v="1"/>
    <n v="99000"/>
    <x v="6"/>
    <n v="99000"/>
    <n v="45000"/>
    <n v="54000"/>
  </r>
  <r>
    <s v="ITM01165"/>
    <s v="ORD00689"/>
    <s v="PRD021"/>
    <n v="1"/>
    <n v="69000"/>
    <x v="0"/>
    <n v="69000"/>
    <n v="30000"/>
    <n v="39000"/>
  </r>
  <r>
    <s v="ITM01166"/>
    <s v="ORD00690"/>
    <s v="PRD022"/>
    <n v="1"/>
    <n v="55000"/>
    <x v="4"/>
    <n v="55000"/>
    <n v="25000"/>
    <n v="30000"/>
  </r>
  <r>
    <s v="ITM01167"/>
    <s v="ORD00691"/>
    <s v="PRD020"/>
    <n v="1"/>
    <n v="179000"/>
    <x v="1"/>
    <n v="179000"/>
    <n v="90000"/>
    <n v="89000"/>
  </r>
  <r>
    <s v="ITM01168"/>
    <s v="ORD00691"/>
    <s v="PRD021"/>
    <n v="1"/>
    <n v="69000"/>
    <x v="0"/>
    <n v="69000"/>
    <n v="30000"/>
    <n v="39000"/>
  </r>
  <r>
    <s v="ITM01169"/>
    <s v="ORD00692"/>
    <s v="PRD021"/>
    <n v="1"/>
    <n v="69000"/>
    <x v="0"/>
    <n v="69000"/>
    <n v="30000"/>
    <n v="39000"/>
  </r>
  <r>
    <s v="ITM01170"/>
    <s v="ORD00693"/>
    <s v="PRD021"/>
    <n v="1"/>
    <n v="69000"/>
    <x v="0"/>
    <n v="69000"/>
    <n v="30000"/>
    <n v="39000"/>
  </r>
  <r>
    <s v="ITM01171"/>
    <s v="ORD00694"/>
    <s v="PRD022"/>
    <n v="1"/>
    <n v="55000"/>
    <x v="4"/>
    <n v="55000"/>
    <n v="25000"/>
    <n v="30000"/>
  </r>
  <r>
    <s v="ITM01172"/>
    <s v="ORD00695"/>
    <s v="PRD005"/>
    <n v="1"/>
    <n v="39000"/>
    <x v="2"/>
    <n v="39000"/>
    <n v="15000"/>
    <n v="24000"/>
  </r>
  <r>
    <s v="ITM01173"/>
    <s v="ORD00695"/>
    <s v="PRD008"/>
    <n v="1"/>
    <n v="399000"/>
    <x v="12"/>
    <n v="399000"/>
    <n v="200000"/>
    <n v="199000"/>
  </r>
  <r>
    <s v="ITM01174"/>
    <s v="ORD00696"/>
    <s v="PRD005"/>
    <n v="1"/>
    <n v="39000"/>
    <x v="2"/>
    <n v="39000"/>
    <n v="15000"/>
    <n v="24000"/>
  </r>
  <r>
    <s v="ITM01175"/>
    <s v="ORD00696"/>
    <s v="PRD021"/>
    <n v="1"/>
    <n v="69000"/>
    <x v="0"/>
    <n v="69000"/>
    <n v="30000"/>
    <n v="39000"/>
  </r>
  <r>
    <s v="ITM01176"/>
    <s v="ORD00697"/>
    <s v="PRD006"/>
    <n v="1"/>
    <n v="129000"/>
    <x v="10"/>
    <n v="129000"/>
    <n v="60000"/>
    <n v="69000"/>
  </r>
  <r>
    <s v="ITM01177"/>
    <s v="ORD00698"/>
    <s v="PRD021"/>
    <n v="1"/>
    <n v="69000"/>
    <x v="0"/>
    <n v="69000"/>
    <n v="30000"/>
    <n v="39000"/>
  </r>
  <r>
    <s v="ITM01178"/>
    <s v="ORD00699"/>
    <s v="PRD005"/>
    <n v="1"/>
    <n v="39000"/>
    <x v="2"/>
    <n v="39000"/>
    <n v="15000"/>
    <n v="24000"/>
  </r>
  <r>
    <s v="ITM01179"/>
    <s v="ORD00699"/>
    <s v="PRD021"/>
    <n v="2"/>
    <n v="69000"/>
    <x v="0"/>
    <n v="138000"/>
    <n v="30000"/>
    <n v="78000"/>
  </r>
  <r>
    <s v="ITM01180"/>
    <s v="ORD00700"/>
    <s v="PRD021"/>
    <n v="1"/>
    <n v="69000"/>
    <x v="0"/>
    <n v="69000"/>
    <n v="30000"/>
    <n v="39000"/>
  </r>
  <r>
    <s v="ITM01181"/>
    <s v="ORD00700"/>
    <s v="PRD023"/>
    <n v="1"/>
    <n v="139000"/>
    <x v="8"/>
    <n v="139000"/>
    <n v="65000"/>
    <n v="74000"/>
  </r>
  <r>
    <s v="ITM01182"/>
    <s v="ORD00701"/>
    <s v="PRD014"/>
    <n v="1"/>
    <n v="349000"/>
    <x v="9"/>
    <n v="349000"/>
    <n v="180000"/>
    <n v="169000"/>
  </r>
  <r>
    <s v="ITM01183"/>
    <s v="ORD00702"/>
    <s v="PRD021"/>
    <n v="1"/>
    <n v="69000"/>
    <x v="0"/>
    <n v="69000"/>
    <n v="30000"/>
    <n v="39000"/>
  </r>
  <r>
    <s v="ITM01184"/>
    <s v="ORD00702"/>
    <s v="PRD020"/>
    <n v="1"/>
    <n v="179000"/>
    <x v="1"/>
    <n v="179000"/>
    <n v="90000"/>
    <n v="89000"/>
  </r>
  <r>
    <s v="ITM01185"/>
    <s v="ORD00703"/>
    <s v="PRD005"/>
    <n v="1"/>
    <n v="39000"/>
    <x v="2"/>
    <n v="39000"/>
    <n v="15000"/>
    <n v="24000"/>
  </r>
  <r>
    <s v="ITM01186"/>
    <s v="ORD00704"/>
    <s v="PRD008"/>
    <n v="1"/>
    <n v="399000"/>
    <x v="12"/>
    <n v="399000"/>
    <n v="200000"/>
    <n v="199000"/>
  </r>
  <r>
    <s v="ITM01187"/>
    <s v="ORD00704"/>
    <s v="PRD017"/>
    <n v="1"/>
    <n v="329000"/>
    <x v="7"/>
    <n v="329000"/>
    <n v="180000"/>
    <n v="149000"/>
  </r>
  <r>
    <s v="ITM01188"/>
    <s v="ORD00705"/>
    <s v="PRD014"/>
    <n v="2"/>
    <n v="349000"/>
    <x v="9"/>
    <n v="698000"/>
    <n v="180000"/>
    <n v="338000"/>
  </r>
  <r>
    <s v="ITM01189"/>
    <s v="ORD00705"/>
    <s v="PRD004"/>
    <n v="1"/>
    <n v="199000"/>
    <x v="19"/>
    <n v="199000"/>
    <n v="100000"/>
    <n v="99000"/>
  </r>
  <r>
    <s v="ITM01190"/>
    <s v="ORD00706"/>
    <s v="PRD021"/>
    <n v="1"/>
    <n v="69000"/>
    <x v="0"/>
    <n v="69000"/>
    <n v="30000"/>
    <n v="39000"/>
  </r>
  <r>
    <s v="ITM01191"/>
    <s v="ORD00707"/>
    <s v="PRD014"/>
    <n v="1"/>
    <n v="349000"/>
    <x v="9"/>
    <n v="349000"/>
    <n v="180000"/>
    <n v="169000"/>
  </r>
  <r>
    <s v="ITM01192"/>
    <s v="ORD00708"/>
    <s v="PRD021"/>
    <n v="1"/>
    <n v="69000"/>
    <x v="0"/>
    <n v="69000"/>
    <n v="30000"/>
    <n v="39000"/>
  </r>
  <r>
    <s v="ITM01193"/>
    <s v="ORD00709"/>
    <s v="PRD021"/>
    <n v="1"/>
    <n v="69000"/>
    <x v="0"/>
    <n v="69000"/>
    <n v="30000"/>
    <n v="39000"/>
  </r>
  <r>
    <s v="ITM01194"/>
    <s v="ORD00709"/>
    <s v="PRD005"/>
    <n v="1"/>
    <n v="39000"/>
    <x v="2"/>
    <n v="39000"/>
    <n v="15000"/>
    <n v="24000"/>
  </r>
  <r>
    <s v="ITM01195"/>
    <s v="ORD00709"/>
    <s v="PRD006"/>
    <n v="1"/>
    <n v="129000"/>
    <x v="10"/>
    <n v="129000"/>
    <n v="60000"/>
    <n v="69000"/>
  </r>
  <r>
    <s v="ITM01196"/>
    <s v="ORD00710"/>
    <s v="PRD021"/>
    <n v="1"/>
    <n v="69000"/>
    <x v="0"/>
    <n v="69000"/>
    <n v="30000"/>
    <n v="39000"/>
  </r>
  <r>
    <s v="ITM01197"/>
    <s v="ORD00710"/>
    <s v="PRD005"/>
    <n v="1"/>
    <n v="39000"/>
    <x v="2"/>
    <n v="39000"/>
    <n v="15000"/>
    <n v="24000"/>
  </r>
  <r>
    <s v="ITM01198"/>
    <s v="ORD00711"/>
    <s v="PRD021"/>
    <n v="1"/>
    <n v="69000"/>
    <x v="0"/>
    <n v="69000"/>
    <n v="30000"/>
    <n v="39000"/>
  </r>
  <r>
    <s v="ITM01199"/>
    <s v="ORD00712"/>
    <s v="PRD021"/>
    <n v="1"/>
    <n v="69000"/>
    <x v="0"/>
    <n v="69000"/>
    <n v="30000"/>
    <n v="39000"/>
  </r>
  <r>
    <s v="ITM01200"/>
    <s v="ORD00712"/>
    <s v="PRD022"/>
    <n v="2"/>
    <n v="55000"/>
    <x v="4"/>
    <n v="110000"/>
    <n v="25000"/>
    <n v="60000"/>
  </r>
  <r>
    <s v="ITM01201"/>
    <s v="ORD00713"/>
    <s v="PRD020"/>
    <n v="2"/>
    <n v="179000"/>
    <x v="1"/>
    <n v="358000"/>
    <n v="90000"/>
    <n v="178000"/>
  </r>
  <r>
    <s v="ITM01202"/>
    <s v="ORD00713"/>
    <s v="PRD006"/>
    <n v="1"/>
    <n v="129000"/>
    <x v="10"/>
    <n v="129000"/>
    <n v="60000"/>
    <n v="69000"/>
  </r>
  <r>
    <s v="ITM01203"/>
    <s v="ORD00714"/>
    <s v="PRD021"/>
    <n v="1"/>
    <n v="69000"/>
    <x v="0"/>
    <n v="69000"/>
    <n v="30000"/>
    <n v="39000"/>
  </r>
  <r>
    <s v="ITM01204"/>
    <s v="ORD00714"/>
    <s v="PRD017"/>
    <n v="3"/>
    <n v="329000"/>
    <x v="7"/>
    <n v="987000"/>
    <n v="180000"/>
    <n v="447000"/>
  </r>
  <r>
    <s v="ITM01205"/>
    <s v="ORD00714"/>
    <s v="PRD005"/>
    <n v="1"/>
    <n v="39000"/>
    <x v="2"/>
    <n v="39000"/>
    <n v="15000"/>
    <n v="24000"/>
  </r>
  <r>
    <s v="ITM01206"/>
    <s v="ORD00715"/>
    <s v="PRD009"/>
    <n v="2"/>
    <n v="79000"/>
    <x v="3"/>
    <n v="158000"/>
    <n v="35000"/>
    <n v="88000"/>
  </r>
  <r>
    <s v="ITM01207"/>
    <s v="ORD00715"/>
    <s v="PRD021"/>
    <n v="2"/>
    <n v="69000"/>
    <x v="0"/>
    <n v="138000"/>
    <n v="30000"/>
    <n v="78000"/>
  </r>
  <r>
    <s v="ITM01208"/>
    <s v="ORD00715"/>
    <s v="PRD022"/>
    <n v="1"/>
    <n v="55000"/>
    <x v="4"/>
    <n v="55000"/>
    <n v="25000"/>
    <n v="30000"/>
  </r>
  <r>
    <s v="ITM01209"/>
    <s v="ORD00716"/>
    <s v="PRD005"/>
    <n v="1"/>
    <n v="39000"/>
    <x v="2"/>
    <n v="39000"/>
    <n v="15000"/>
    <n v="24000"/>
  </r>
  <r>
    <s v="ITM01210"/>
    <s v="ORD00717"/>
    <s v="PRD022"/>
    <n v="2"/>
    <n v="55000"/>
    <x v="4"/>
    <n v="110000"/>
    <n v="25000"/>
    <n v="60000"/>
  </r>
  <r>
    <s v="ITM01211"/>
    <s v="ORD00717"/>
    <s v="PRD023"/>
    <n v="2"/>
    <n v="139000"/>
    <x v="8"/>
    <n v="278000"/>
    <n v="65000"/>
    <n v="148000"/>
  </r>
  <r>
    <s v="ITM01212"/>
    <s v="ORD00718"/>
    <s v="PRD021"/>
    <n v="1"/>
    <n v="69000"/>
    <x v="0"/>
    <n v="69000"/>
    <n v="30000"/>
    <n v="39000"/>
  </r>
  <r>
    <s v="ITM01213"/>
    <s v="ORD00719"/>
    <s v="PRD021"/>
    <n v="2"/>
    <n v="69000"/>
    <x v="0"/>
    <n v="138000"/>
    <n v="30000"/>
    <n v="78000"/>
  </r>
  <r>
    <s v="ITM01214"/>
    <s v="ORD00720"/>
    <s v="PRD021"/>
    <n v="1"/>
    <n v="69000"/>
    <x v="0"/>
    <n v="69000"/>
    <n v="30000"/>
    <n v="39000"/>
  </r>
  <r>
    <s v="ITM01215"/>
    <s v="ORD00720"/>
    <s v="PRD020"/>
    <n v="2"/>
    <n v="179000"/>
    <x v="1"/>
    <n v="358000"/>
    <n v="90000"/>
    <n v="178000"/>
  </r>
  <r>
    <s v="ITM01216"/>
    <s v="ORD00721"/>
    <s v="PRD005"/>
    <n v="1"/>
    <n v="39000"/>
    <x v="2"/>
    <n v="39000"/>
    <n v="15000"/>
    <n v="24000"/>
  </r>
  <r>
    <s v="ITM01217"/>
    <s v="ORD00722"/>
    <s v="PRD020"/>
    <n v="1"/>
    <n v="179000"/>
    <x v="1"/>
    <n v="179000"/>
    <n v="90000"/>
    <n v="89000"/>
  </r>
  <r>
    <s v="ITM01218"/>
    <s v="ORD00723"/>
    <s v="PRD003"/>
    <n v="1"/>
    <n v="499000"/>
    <x v="11"/>
    <n v="499000"/>
    <n v="250000"/>
    <n v="249000"/>
  </r>
  <r>
    <s v="ITM01219"/>
    <s v="ORD00724"/>
    <s v="PRD005"/>
    <n v="1"/>
    <n v="39000"/>
    <x v="2"/>
    <n v="39000"/>
    <n v="15000"/>
    <n v="24000"/>
  </r>
  <r>
    <s v="ITM01220"/>
    <s v="ORD00724"/>
    <s v="PRD009"/>
    <n v="1"/>
    <n v="79000"/>
    <x v="3"/>
    <n v="79000"/>
    <n v="35000"/>
    <n v="44000"/>
  </r>
  <r>
    <s v="ITM01221"/>
    <s v="ORD00725"/>
    <s v="PRD020"/>
    <n v="1"/>
    <n v="179000"/>
    <x v="1"/>
    <n v="179000"/>
    <n v="90000"/>
    <n v="89000"/>
  </r>
  <r>
    <s v="ITM01222"/>
    <s v="ORD00726"/>
    <s v="PRD021"/>
    <n v="2"/>
    <n v="69000"/>
    <x v="0"/>
    <n v="138000"/>
    <n v="30000"/>
    <n v="78000"/>
  </r>
  <r>
    <s v="ITM01223"/>
    <s v="ORD00726"/>
    <s v="PRD020"/>
    <n v="2"/>
    <n v="179000"/>
    <x v="1"/>
    <n v="358000"/>
    <n v="90000"/>
    <n v="178000"/>
  </r>
  <r>
    <s v="ITM01224"/>
    <s v="ORD00727"/>
    <s v="PRD014"/>
    <n v="3"/>
    <n v="349000"/>
    <x v="9"/>
    <n v="1047000"/>
    <n v="180000"/>
    <n v="507000"/>
  </r>
  <r>
    <s v="ITM01225"/>
    <s v="ORD00728"/>
    <s v="PRD005"/>
    <n v="3"/>
    <n v="39000"/>
    <x v="2"/>
    <n v="117000"/>
    <n v="15000"/>
    <n v="72000"/>
  </r>
  <r>
    <s v="ITM01226"/>
    <s v="ORD00728"/>
    <s v="PRD006"/>
    <n v="1"/>
    <n v="129000"/>
    <x v="10"/>
    <n v="129000"/>
    <n v="60000"/>
    <n v="69000"/>
  </r>
  <r>
    <s v="ITM01227"/>
    <s v="ORD00729"/>
    <s v="PRD005"/>
    <n v="1"/>
    <n v="39000"/>
    <x v="2"/>
    <n v="39000"/>
    <n v="15000"/>
    <n v="24000"/>
  </r>
  <r>
    <s v="ITM01228"/>
    <s v="ORD00729"/>
    <s v="PRD021"/>
    <n v="2"/>
    <n v="69000"/>
    <x v="0"/>
    <n v="138000"/>
    <n v="30000"/>
    <n v="78000"/>
  </r>
  <r>
    <s v="ITM01229"/>
    <s v="ORD00729"/>
    <s v="PRD006"/>
    <n v="1"/>
    <n v="129000"/>
    <x v="10"/>
    <n v="129000"/>
    <n v="60000"/>
    <n v="69000"/>
  </r>
  <r>
    <s v="ITM01230"/>
    <s v="ORD00729"/>
    <s v="PRD022"/>
    <n v="3"/>
    <n v="55000"/>
    <x v="4"/>
    <n v="165000"/>
    <n v="25000"/>
    <n v="90000"/>
  </r>
  <r>
    <s v="ITM01231"/>
    <s v="ORD00730"/>
    <s v="PRD008"/>
    <n v="1"/>
    <n v="399000"/>
    <x v="12"/>
    <n v="399000"/>
    <n v="200000"/>
    <n v="199000"/>
  </r>
  <r>
    <s v="ITM01232"/>
    <s v="ORD00730"/>
    <s v="PRD009"/>
    <n v="2"/>
    <n v="79000"/>
    <x v="3"/>
    <n v="158000"/>
    <n v="35000"/>
    <n v="88000"/>
  </r>
  <r>
    <s v="ITM01233"/>
    <s v="ORD00730"/>
    <s v="PRD020"/>
    <n v="1"/>
    <n v="179000"/>
    <x v="1"/>
    <n v="179000"/>
    <n v="90000"/>
    <n v="89000"/>
  </r>
  <r>
    <s v="ITM01234"/>
    <s v="ORD00730"/>
    <s v="PRD005"/>
    <n v="1"/>
    <n v="39000"/>
    <x v="2"/>
    <n v="39000"/>
    <n v="15000"/>
    <n v="24000"/>
  </r>
  <r>
    <s v="ITM01235"/>
    <s v="ORD00731"/>
    <s v="PRD021"/>
    <n v="1"/>
    <n v="69000"/>
    <x v="0"/>
    <n v="69000"/>
    <n v="30000"/>
    <n v="39000"/>
  </r>
  <r>
    <s v="ITM01236"/>
    <s v="ORD00731"/>
    <s v="PRD005"/>
    <n v="1"/>
    <n v="39000"/>
    <x v="2"/>
    <n v="39000"/>
    <n v="15000"/>
    <n v="24000"/>
  </r>
  <r>
    <s v="ITM01237"/>
    <s v="ORD00732"/>
    <s v="PRD005"/>
    <n v="2"/>
    <n v="39000"/>
    <x v="2"/>
    <n v="78000"/>
    <n v="15000"/>
    <n v="48000"/>
  </r>
  <r>
    <s v="ITM01238"/>
    <s v="ORD00733"/>
    <s v="PRD021"/>
    <n v="1"/>
    <n v="69000"/>
    <x v="0"/>
    <n v="69000"/>
    <n v="30000"/>
    <n v="39000"/>
  </r>
  <r>
    <s v="ITM01239"/>
    <s v="ORD00734"/>
    <s v="PRD009"/>
    <n v="1"/>
    <n v="79000"/>
    <x v="3"/>
    <n v="79000"/>
    <n v="35000"/>
    <n v="44000"/>
  </r>
  <r>
    <s v="ITM01240"/>
    <s v="ORD00734"/>
    <s v="PRD021"/>
    <n v="1"/>
    <n v="69000"/>
    <x v="0"/>
    <n v="69000"/>
    <n v="30000"/>
    <n v="39000"/>
  </r>
  <r>
    <s v="ITM01241"/>
    <s v="ORD00734"/>
    <s v="PRD020"/>
    <n v="1"/>
    <n v="179000"/>
    <x v="1"/>
    <n v="179000"/>
    <n v="90000"/>
    <n v="89000"/>
  </r>
  <r>
    <s v="ITM01242"/>
    <s v="ORD00735"/>
    <s v="PRD020"/>
    <n v="1"/>
    <n v="179000"/>
    <x v="1"/>
    <n v="179000"/>
    <n v="90000"/>
    <n v="89000"/>
  </r>
  <r>
    <s v="ITM01243"/>
    <s v="ORD00736"/>
    <s v="PRD021"/>
    <n v="1"/>
    <n v="69000"/>
    <x v="0"/>
    <n v="69000"/>
    <n v="30000"/>
    <n v="39000"/>
  </r>
  <r>
    <s v="ITM01244"/>
    <s v="ORD00736"/>
    <s v="PRD022"/>
    <n v="1"/>
    <n v="55000"/>
    <x v="4"/>
    <n v="55000"/>
    <n v="25000"/>
    <n v="30000"/>
  </r>
  <r>
    <s v="ITM01245"/>
    <s v="ORD00737"/>
    <s v="PRD021"/>
    <n v="1"/>
    <n v="69000"/>
    <x v="0"/>
    <n v="69000"/>
    <n v="30000"/>
    <n v="39000"/>
  </r>
  <r>
    <s v="ITM01246"/>
    <s v="ORD00738"/>
    <s v="PRD008"/>
    <n v="3"/>
    <n v="399000"/>
    <x v="12"/>
    <n v="1197000"/>
    <n v="200000"/>
    <n v="597000"/>
  </r>
  <r>
    <s v="ITM01247"/>
    <s v="ORD00739"/>
    <s v="PRD006"/>
    <n v="1"/>
    <n v="129000"/>
    <x v="10"/>
    <n v="129000"/>
    <n v="60000"/>
    <n v="69000"/>
  </r>
  <r>
    <s v="ITM01248"/>
    <s v="ORD00739"/>
    <s v="PRD021"/>
    <n v="1"/>
    <n v="69000"/>
    <x v="0"/>
    <n v="69000"/>
    <n v="30000"/>
    <n v="39000"/>
  </r>
  <r>
    <s v="ITM01249"/>
    <s v="ORD00739"/>
    <s v="PRD017"/>
    <n v="1"/>
    <n v="329000"/>
    <x v="7"/>
    <n v="329000"/>
    <n v="180000"/>
    <n v="149000"/>
  </r>
  <r>
    <s v="ITM01250"/>
    <s v="ORD00739"/>
    <s v="PRD005"/>
    <n v="2"/>
    <n v="39000"/>
    <x v="2"/>
    <n v="78000"/>
    <n v="15000"/>
    <n v="48000"/>
  </r>
  <r>
    <s v="ITM01251"/>
    <s v="ORD00740"/>
    <s v="PRD005"/>
    <n v="1"/>
    <n v="39000"/>
    <x v="2"/>
    <n v="39000"/>
    <n v="15000"/>
    <n v="24000"/>
  </r>
  <r>
    <s v="ITM01252"/>
    <s v="ORD00740"/>
    <s v="PRD021"/>
    <n v="1"/>
    <n v="69000"/>
    <x v="0"/>
    <n v="69000"/>
    <n v="30000"/>
    <n v="39000"/>
  </r>
  <r>
    <s v="ITM01253"/>
    <s v="ORD00741"/>
    <s v="PRD021"/>
    <n v="2"/>
    <n v="69000"/>
    <x v="0"/>
    <n v="138000"/>
    <n v="30000"/>
    <n v="78000"/>
  </r>
  <r>
    <s v="ITM01254"/>
    <s v="ORD00742"/>
    <s v="PRD014"/>
    <n v="1"/>
    <n v="349000"/>
    <x v="9"/>
    <n v="349000"/>
    <n v="180000"/>
    <n v="169000"/>
  </r>
  <r>
    <s v="ITM01255"/>
    <s v="ORD00743"/>
    <s v="PRD005"/>
    <n v="1"/>
    <n v="39000"/>
    <x v="2"/>
    <n v="39000"/>
    <n v="15000"/>
    <n v="24000"/>
  </r>
  <r>
    <s v="ITM01256"/>
    <s v="ORD00743"/>
    <s v="PRD022"/>
    <n v="1"/>
    <n v="55000"/>
    <x v="4"/>
    <n v="55000"/>
    <n v="25000"/>
    <n v="30000"/>
  </r>
  <r>
    <s v="ITM01257"/>
    <s v="ORD00744"/>
    <s v="PRD005"/>
    <n v="1"/>
    <n v="39000"/>
    <x v="2"/>
    <n v="39000"/>
    <n v="15000"/>
    <n v="24000"/>
  </r>
  <r>
    <s v="ITM01258"/>
    <s v="ORD00744"/>
    <s v="PRD006"/>
    <n v="1"/>
    <n v="129000"/>
    <x v="10"/>
    <n v="129000"/>
    <n v="60000"/>
    <n v="69000"/>
  </r>
  <r>
    <s v="ITM01259"/>
    <s v="ORD00745"/>
    <s v="PRD023"/>
    <n v="1"/>
    <n v="139000"/>
    <x v="8"/>
    <n v="139000"/>
    <n v="65000"/>
    <n v="74000"/>
  </r>
  <r>
    <s v="ITM01260"/>
    <s v="ORD00746"/>
    <s v="PRD021"/>
    <n v="1"/>
    <n v="69000"/>
    <x v="0"/>
    <n v="69000"/>
    <n v="30000"/>
    <n v="39000"/>
  </r>
  <r>
    <s v="ITM01261"/>
    <s v="ORD00746"/>
    <s v="PRD005"/>
    <n v="1"/>
    <n v="39000"/>
    <x v="2"/>
    <n v="39000"/>
    <n v="15000"/>
    <n v="24000"/>
  </r>
  <r>
    <s v="ITM01262"/>
    <s v="ORD00747"/>
    <s v="PRD021"/>
    <n v="1"/>
    <n v="69000"/>
    <x v="0"/>
    <n v="69000"/>
    <n v="30000"/>
    <n v="39000"/>
  </r>
  <r>
    <s v="ITM01263"/>
    <s v="ORD00748"/>
    <s v="PRD017"/>
    <n v="1"/>
    <n v="329000"/>
    <x v="7"/>
    <n v="329000"/>
    <n v="180000"/>
    <n v="149000"/>
  </r>
  <r>
    <s v="ITM01264"/>
    <s v="ORD00748"/>
    <s v="PRD021"/>
    <n v="1"/>
    <n v="69000"/>
    <x v="0"/>
    <n v="69000"/>
    <n v="30000"/>
    <n v="39000"/>
  </r>
  <r>
    <s v="ITM01265"/>
    <s v="ORD00748"/>
    <s v="PRD014"/>
    <n v="1"/>
    <n v="349000"/>
    <x v="9"/>
    <n v="349000"/>
    <n v="180000"/>
    <n v="169000"/>
  </r>
  <r>
    <s v="ITM01266"/>
    <s v="ORD00748"/>
    <s v="PRD009"/>
    <n v="1"/>
    <n v="79000"/>
    <x v="3"/>
    <n v="79000"/>
    <n v="35000"/>
    <n v="44000"/>
  </r>
  <r>
    <s v="ITM01267"/>
    <s v="ORD00749"/>
    <s v="PRD021"/>
    <n v="1"/>
    <n v="69000"/>
    <x v="0"/>
    <n v="69000"/>
    <n v="30000"/>
    <n v="39000"/>
  </r>
  <r>
    <s v="ITM01268"/>
    <s v="ORD00750"/>
    <s v="PRD021"/>
    <n v="2"/>
    <n v="69000"/>
    <x v="0"/>
    <n v="138000"/>
    <n v="30000"/>
    <n v="78000"/>
  </r>
  <r>
    <s v="ITM01269"/>
    <s v="ORD00750"/>
    <s v="PRD022"/>
    <n v="1"/>
    <n v="55000"/>
    <x v="4"/>
    <n v="55000"/>
    <n v="25000"/>
    <n v="30000"/>
  </r>
  <r>
    <s v="ITM01270"/>
    <s v="ORD00751"/>
    <s v="PRD002"/>
    <n v="1"/>
    <n v="159000"/>
    <x v="14"/>
    <n v="159000"/>
    <n v="80000"/>
    <n v="79000"/>
  </r>
  <r>
    <s v="ITM01271"/>
    <s v="ORD00752"/>
    <s v="PRD021"/>
    <n v="1"/>
    <n v="69000"/>
    <x v="0"/>
    <n v="69000"/>
    <n v="30000"/>
    <n v="39000"/>
  </r>
  <r>
    <s v="ITM01272"/>
    <s v="ORD00752"/>
    <s v="PRD005"/>
    <n v="3"/>
    <n v="39000"/>
    <x v="2"/>
    <n v="117000"/>
    <n v="15000"/>
    <n v="72000"/>
  </r>
  <r>
    <s v="ITM01273"/>
    <s v="ORD00753"/>
    <s v="PRD014"/>
    <n v="1"/>
    <n v="349000"/>
    <x v="9"/>
    <n v="349000"/>
    <n v="180000"/>
    <n v="169000"/>
  </r>
  <r>
    <s v="ITM01274"/>
    <s v="ORD00754"/>
    <s v="PRD020"/>
    <n v="2"/>
    <n v="179000"/>
    <x v="1"/>
    <n v="358000"/>
    <n v="90000"/>
    <n v="178000"/>
  </r>
  <r>
    <s v="ITM01275"/>
    <s v="ORD00755"/>
    <s v="PRD023"/>
    <n v="1"/>
    <n v="139000"/>
    <x v="8"/>
    <n v="139000"/>
    <n v="65000"/>
    <n v="74000"/>
  </r>
  <r>
    <s v="ITM01276"/>
    <s v="ORD00756"/>
    <s v="PRD021"/>
    <n v="1"/>
    <n v="69000"/>
    <x v="0"/>
    <n v="69000"/>
    <n v="30000"/>
    <n v="39000"/>
  </r>
  <r>
    <s v="ITM01277"/>
    <s v="ORD00756"/>
    <s v="PRD001"/>
    <n v="1"/>
    <n v="299000"/>
    <x v="20"/>
    <n v="299000"/>
    <n v="150000"/>
    <n v="149000"/>
  </r>
  <r>
    <s v="ITM01278"/>
    <s v="ORD00756"/>
    <s v="PRD017"/>
    <n v="1"/>
    <n v="329000"/>
    <x v="7"/>
    <n v="329000"/>
    <n v="180000"/>
    <n v="149000"/>
  </r>
  <r>
    <s v="ITM01279"/>
    <s v="ORD00757"/>
    <s v="PRD020"/>
    <n v="1"/>
    <n v="179000"/>
    <x v="1"/>
    <n v="179000"/>
    <n v="90000"/>
    <n v="89000"/>
  </r>
  <r>
    <s v="ITM01280"/>
    <s v="ORD00757"/>
    <s v="PRD021"/>
    <n v="1"/>
    <n v="69000"/>
    <x v="0"/>
    <n v="69000"/>
    <n v="30000"/>
    <n v="39000"/>
  </r>
  <r>
    <s v="ITM01281"/>
    <s v="ORD00757"/>
    <s v="PRD005"/>
    <n v="2"/>
    <n v="39000"/>
    <x v="2"/>
    <n v="78000"/>
    <n v="15000"/>
    <n v="48000"/>
  </r>
  <r>
    <s v="ITM01282"/>
    <s v="ORD00757"/>
    <s v="PRD009"/>
    <n v="1"/>
    <n v="79000"/>
    <x v="3"/>
    <n v="79000"/>
    <n v="35000"/>
    <n v="44000"/>
  </r>
  <r>
    <s v="ITM01283"/>
    <s v="ORD00758"/>
    <s v="PRD022"/>
    <n v="2"/>
    <n v="55000"/>
    <x v="4"/>
    <n v="110000"/>
    <n v="25000"/>
    <n v="60000"/>
  </r>
  <r>
    <s v="ITM01284"/>
    <s v="ORD00758"/>
    <s v="PRD005"/>
    <n v="1"/>
    <n v="39000"/>
    <x v="2"/>
    <n v="39000"/>
    <n v="15000"/>
    <n v="24000"/>
  </r>
  <r>
    <s v="ITM01285"/>
    <s v="ORD00758"/>
    <s v="PRD017"/>
    <n v="1"/>
    <n v="329000"/>
    <x v="7"/>
    <n v="329000"/>
    <n v="180000"/>
    <n v="149000"/>
  </r>
  <r>
    <s v="ITM01286"/>
    <s v="ORD00759"/>
    <s v="PRD005"/>
    <n v="1"/>
    <n v="39000"/>
    <x v="2"/>
    <n v="39000"/>
    <n v="15000"/>
    <n v="24000"/>
  </r>
  <r>
    <s v="ITM01287"/>
    <s v="ORD00759"/>
    <s v="PRD021"/>
    <n v="2"/>
    <n v="69000"/>
    <x v="0"/>
    <n v="138000"/>
    <n v="30000"/>
    <n v="78000"/>
  </r>
  <r>
    <s v="ITM01288"/>
    <s v="ORD00759"/>
    <s v="PRD006"/>
    <n v="1"/>
    <n v="129000"/>
    <x v="10"/>
    <n v="129000"/>
    <n v="60000"/>
    <n v="69000"/>
  </r>
  <r>
    <s v="ITM01289"/>
    <s v="ORD00759"/>
    <s v="PRD020"/>
    <n v="1"/>
    <n v="179000"/>
    <x v="1"/>
    <n v="179000"/>
    <n v="90000"/>
    <n v="89000"/>
  </r>
  <r>
    <s v="ITM01290"/>
    <s v="ORD00760"/>
    <s v="PRD023"/>
    <n v="1"/>
    <n v="139000"/>
    <x v="8"/>
    <n v="139000"/>
    <n v="65000"/>
    <n v="74000"/>
  </r>
  <r>
    <s v="ITM01291"/>
    <s v="ORD00760"/>
    <s v="PRD021"/>
    <n v="1"/>
    <n v="69000"/>
    <x v="0"/>
    <n v="69000"/>
    <n v="30000"/>
    <n v="39000"/>
  </r>
  <r>
    <s v="ITM01292"/>
    <s v="ORD00761"/>
    <s v="PRD021"/>
    <n v="1"/>
    <n v="69000"/>
    <x v="0"/>
    <n v="69000"/>
    <n v="30000"/>
    <n v="39000"/>
  </r>
  <r>
    <s v="ITM01293"/>
    <s v="ORD00762"/>
    <s v="PRD021"/>
    <n v="2"/>
    <n v="69000"/>
    <x v="0"/>
    <n v="138000"/>
    <n v="30000"/>
    <n v="78000"/>
  </r>
  <r>
    <s v="ITM01294"/>
    <s v="ORD00762"/>
    <s v="PRD005"/>
    <n v="1"/>
    <n v="39000"/>
    <x v="2"/>
    <n v="39000"/>
    <n v="15000"/>
    <n v="24000"/>
  </r>
  <r>
    <s v="ITM01295"/>
    <s v="ORD00763"/>
    <s v="PRD021"/>
    <n v="2"/>
    <n v="69000"/>
    <x v="0"/>
    <n v="138000"/>
    <n v="30000"/>
    <n v="78000"/>
  </r>
  <r>
    <s v="ITM01296"/>
    <s v="ORD00763"/>
    <s v="PRD005"/>
    <n v="1"/>
    <n v="39000"/>
    <x v="2"/>
    <n v="39000"/>
    <n v="15000"/>
    <n v="24000"/>
  </r>
  <r>
    <s v="ITM01297"/>
    <s v="ORD00764"/>
    <s v="PRD021"/>
    <n v="1"/>
    <n v="69000"/>
    <x v="0"/>
    <n v="69000"/>
    <n v="30000"/>
    <n v="39000"/>
  </r>
  <r>
    <s v="ITM01298"/>
    <s v="ORD00765"/>
    <s v="PRD005"/>
    <n v="3"/>
    <n v="39000"/>
    <x v="2"/>
    <n v="117000"/>
    <n v="15000"/>
    <n v="72000"/>
  </r>
  <r>
    <s v="ITM01299"/>
    <s v="ORD00765"/>
    <s v="PRD020"/>
    <n v="1"/>
    <n v="179000"/>
    <x v="1"/>
    <n v="179000"/>
    <n v="90000"/>
    <n v="89000"/>
  </r>
  <r>
    <s v="ITM01300"/>
    <s v="ORD00765"/>
    <s v="PRD022"/>
    <n v="1"/>
    <n v="55000"/>
    <x v="4"/>
    <n v="55000"/>
    <n v="25000"/>
    <n v="30000"/>
  </r>
  <r>
    <s v="ITM01301"/>
    <s v="ORD00766"/>
    <s v="PRD012"/>
    <n v="1"/>
    <n v="229000"/>
    <x v="5"/>
    <n v="229000"/>
    <n v="110000"/>
    <n v="119000"/>
  </r>
  <r>
    <s v="ITM01302"/>
    <s v="ORD00767"/>
    <s v="PRD020"/>
    <n v="1"/>
    <n v="179000"/>
    <x v="1"/>
    <n v="179000"/>
    <n v="90000"/>
    <n v="89000"/>
  </r>
  <r>
    <s v="ITM01303"/>
    <s v="ORD00768"/>
    <s v="PRD021"/>
    <n v="1"/>
    <n v="69000"/>
    <x v="0"/>
    <n v="69000"/>
    <n v="30000"/>
    <n v="39000"/>
  </r>
  <r>
    <s v="ITM01304"/>
    <s v="ORD00768"/>
    <s v="PRD005"/>
    <n v="2"/>
    <n v="39000"/>
    <x v="2"/>
    <n v="78000"/>
    <n v="15000"/>
    <n v="48000"/>
  </r>
  <r>
    <s v="ITM01305"/>
    <s v="ORD00768"/>
    <s v="PRD020"/>
    <n v="1"/>
    <n v="179000"/>
    <x v="1"/>
    <n v="179000"/>
    <n v="90000"/>
    <n v="89000"/>
  </r>
  <r>
    <s v="ITM01306"/>
    <s v="ORD00768"/>
    <s v="PRD009"/>
    <n v="1"/>
    <n v="79000"/>
    <x v="3"/>
    <n v="79000"/>
    <n v="35000"/>
    <n v="44000"/>
  </r>
  <r>
    <s v="ITM01307"/>
    <s v="ORD00769"/>
    <s v="PRD005"/>
    <n v="2"/>
    <n v="39000"/>
    <x v="2"/>
    <n v="78000"/>
    <n v="15000"/>
    <n v="48000"/>
  </r>
  <r>
    <s v="ITM01308"/>
    <s v="ORD00769"/>
    <s v="PRD021"/>
    <n v="2"/>
    <n v="69000"/>
    <x v="0"/>
    <n v="138000"/>
    <n v="30000"/>
    <n v="78000"/>
  </r>
  <r>
    <s v="ITM01309"/>
    <s v="ORD00770"/>
    <s v="PRD021"/>
    <n v="1"/>
    <n v="69000"/>
    <x v="0"/>
    <n v="69000"/>
    <n v="30000"/>
    <n v="39000"/>
  </r>
  <r>
    <s v="ITM01310"/>
    <s v="ORD00771"/>
    <s v="PRD008"/>
    <n v="3"/>
    <n v="399000"/>
    <x v="12"/>
    <n v="1197000"/>
    <n v="200000"/>
    <n v="597000"/>
  </r>
  <r>
    <s v="ITM01311"/>
    <s v="ORD00772"/>
    <s v="PRD021"/>
    <n v="2"/>
    <n v="69000"/>
    <x v="0"/>
    <n v="138000"/>
    <n v="30000"/>
    <n v="78000"/>
  </r>
  <r>
    <s v="ITM01312"/>
    <s v="ORD00773"/>
    <s v="PRD021"/>
    <n v="2"/>
    <n v="69000"/>
    <x v="0"/>
    <n v="138000"/>
    <n v="30000"/>
    <n v="78000"/>
  </r>
  <r>
    <s v="ITM01313"/>
    <s v="ORD00773"/>
    <s v="PRD005"/>
    <n v="1"/>
    <n v="39000"/>
    <x v="2"/>
    <n v="39000"/>
    <n v="15000"/>
    <n v="24000"/>
  </r>
  <r>
    <s v="ITM01314"/>
    <s v="ORD00773"/>
    <s v="PRD007"/>
    <n v="1"/>
    <n v="99000"/>
    <x v="6"/>
    <n v="99000"/>
    <n v="45000"/>
    <n v="54000"/>
  </r>
  <r>
    <s v="ITM01315"/>
    <s v="ORD00773"/>
    <s v="PRD009"/>
    <n v="1"/>
    <n v="79000"/>
    <x v="3"/>
    <n v="79000"/>
    <n v="35000"/>
    <n v="44000"/>
  </r>
  <r>
    <s v="ITM01316"/>
    <s v="ORD00774"/>
    <s v="PRD021"/>
    <n v="1"/>
    <n v="69000"/>
    <x v="0"/>
    <n v="69000"/>
    <n v="30000"/>
    <n v="39000"/>
  </r>
  <r>
    <s v="ITM01317"/>
    <s v="ORD00775"/>
    <s v="PRD017"/>
    <n v="1"/>
    <n v="329000"/>
    <x v="7"/>
    <n v="329000"/>
    <n v="180000"/>
    <n v="149000"/>
  </r>
  <r>
    <s v="ITM01318"/>
    <s v="ORD00776"/>
    <s v="PRD017"/>
    <n v="1"/>
    <n v="329000"/>
    <x v="7"/>
    <n v="329000"/>
    <n v="180000"/>
    <n v="149000"/>
  </r>
  <r>
    <s v="ITM01319"/>
    <s v="ORD00776"/>
    <s v="PRD021"/>
    <n v="1"/>
    <n v="69000"/>
    <x v="0"/>
    <n v="69000"/>
    <n v="30000"/>
    <n v="39000"/>
  </r>
  <r>
    <s v="ITM01320"/>
    <s v="ORD00776"/>
    <s v="PRD006"/>
    <n v="1"/>
    <n v="129000"/>
    <x v="10"/>
    <n v="129000"/>
    <n v="60000"/>
    <n v="69000"/>
  </r>
  <r>
    <s v="ITM01321"/>
    <s v="ORD00777"/>
    <s v="PRD020"/>
    <n v="1"/>
    <n v="179000"/>
    <x v="1"/>
    <n v="179000"/>
    <n v="90000"/>
    <n v="89000"/>
  </r>
  <r>
    <s v="ITM01322"/>
    <s v="ORD00777"/>
    <s v="PRD022"/>
    <n v="2"/>
    <n v="55000"/>
    <x v="4"/>
    <n v="110000"/>
    <n v="25000"/>
    <n v="60000"/>
  </r>
  <r>
    <s v="ITM01323"/>
    <s v="ORD00778"/>
    <s v="PRD004"/>
    <n v="1"/>
    <n v="199000"/>
    <x v="19"/>
    <n v="199000"/>
    <n v="100000"/>
    <n v="99000"/>
  </r>
  <r>
    <s v="ITM01324"/>
    <s v="ORD00779"/>
    <s v="PRD021"/>
    <n v="1"/>
    <n v="69000"/>
    <x v="0"/>
    <n v="69000"/>
    <n v="30000"/>
    <n v="39000"/>
  </r>
  <r>
    <s v="ITM01325"/>
    <s v="ORD00780"/>
    <s v="PRD021"/>
    <n v="2"/>
    <n v="69000"/>
    <x v="0"/>
    <n v="138000"/>
    <n v="30000"/>
    <n v="78000"/>
  </r>
  <r>
    <s v="ITM01326"/>
    <s v="ORD00781"/>
    <s v="PRD008"/>
    <n v="3"/>
    <n v="399000"/>
    <x v="12"/>
    <n v="1197000"/>
    <n v="200000"/>
    <n v="597000"/>
  </r>
  <r>
    <s v="ITM01327"/>
    <s v="ORD00782"/>
    <s v="PRD005"/>
    <n v="1"/>
    <n v="39000"/>
    <x v="2"/>
    <n v="39000"/>
    <n v="15000"/>
    <n v="24000"/>
  </r>
  <r>
    <s v="ITM01328"/>
    <s v="ORD00782"/>
    <s v="PRD021"/>
    <n v="3"/>
    <n v="69000"/>
    <x v="0"/>
    <n v="207000"/>
    <n v="30000"/>
    <n v="117000"/>
  </r>
  <r>
    <s v="ITM01329"/>
    <s v="ORD00782"/>
    <s v="PRD009"/>
    <n v="1"/>
    <n v="79000"/>
    <x v="3"/>
    <n v="79000"/>
    <n v="35000"/>
    <n v="44000"/>
  </r>
  <r>
    <s v="ITM01330"/>
    <s v="ORD00783"/>
    <s v="PRD005"/>
    <n v="3"/>
    <n v="39000"/>
    <x v="2"/>
    <n v="117000"/>
    <n v="15000"/>
    <n v="72000"/>
  </r>
  <r>
    <s v="ITM01331"/>
    <s v="ORD00784"/>
    <s v="PRD007"/>
    <n v="3"/>
    <n v="99000"/>
    <x v="6"/>
    <n v="297000"/>
    <n v="45000"/>
    <n v="162000"/>
  </r>
  <r>
    <s v="ITM01332"/>
    <s v="ORD00784"/>
    <s v="PRD021"/>
    <n v="1"/>
    <n v="69000"/>
    <x v="0"/>
    <n v="69000"/>
    <n v="30000"/>
    <n v="39000"/>
  </r>
  <r>
    <s v="ITM01333"/>
    <s v="ORD00785"/>
    <s v="PRD005"/>
    <n v="2"/>
    <n v="39000"/>
    <x v="2"/>
    <n v="78000"/>
    <n v="15000"/>
    <n v="48000"/>
  </r>
  <r>
    <s v="ITM01334"/>
    <s v="ORD00786"/>
    <s v="PRD005"/>
    <n v="1"/>
    <n v="39000"/>
    <x v="2"/>
    <n v="39000"/>
    <n v="15000"/>
    <n v="24000"/>
  </r>
  <r>
    <s v="ITM01335"/>
    <s v="ORD00786"/>
    <s v="PRD021"/>
    <n v="2"/>
    <n v="69000"/>
    <x v="0"/>
    <n v="138000"/>
    <n v="30000"/>
    <n v="78000"/>
  </r>
  <r>
    <s v="ITM01336"/>
    <s v="ORD00787"/>
    <s v="PRD005"/>
    <n v="3"/>
    <n v="39000"/>
    <x v="2"/>
    <n v="117000"/>
    <n v="15000"/>
    <n v="72000"/>
  </r>
  <r>
    <s v="ITM01337"/>
    <s v="ORD00788"/>
    <s v="PRD017"/>
    <n v="1"/>
    <n v="329000"/>
    <x v="7"/>
    <n v="329000"/>
    <n v="180000"/>
    <n v="149000"/>
  </r>
  <r>
    <s v="ITM01338"/>
    <s v="ORD00788"/>
    <s v="PRD022"/>
    <n v="2"/>
    <n v="55000"/>
    <x v="4"/>
    <n v="110000"/>
    <n v="25000"/>
    <n v="60000"/>
  </r>
  <r>
    <s v="ITM01339"/>
    <s v="ORD00789"/>
    <s v="PRD021"/>
    <n v="1"/>
    <n v="69000"/>
    <x v="0"/>
    <n v="69000"/>
    <n v="30000"/>
    <n v="39000"/>
  </r>
  <r>
    <s v="ITM01340"/>
    <s v="ORD00790"/>
    <s v="PRD019"/>
    <n v="2"/>
    <n v="79000"/>
    <x v="13"/>
    <n v="158000"/>
    <n v="35000"/>
    <n v="88000"/>
  </r>
  <r>
    <s v="ITM01341"/>
    <s v="ORD00790"/>
    <s v="PRD021"/>
    <n v="3"/>
    <n v="69000"/>
    <x v="0"/>
    <n v="207000"/>
    <n v="30000"/>
    <n v="117000"/>
  </r>
  <r>
    <s v="ITM01342"/>
    <s v="ORD00791"/>
    <s v="PRD008"/>
    <n v="1"/>
    <n v="399000"/>
    <x v="12"/>
    <n v="399000"/>
    <n v="200000"/>
    <n v="199000"/>
  </r>
  <r>
    <s v="ITM01343"/>
    <s v="ORD00792"/>
    <s v="PRD005"/>
    <n v="1"/>
    <n v="39000"/>
    <x v="2"/>
    <n v="39000"/>
    <n v="15000"/>
    <n v="24000"/>
  </r>
  <r>
    <s v="ITM01344"/>
    <s v="ORD00793"/>
    <s v="PRD009"/>
    <n v="2"/>
    <n v="79000"/>
    <x v="3"/>
    <n v="158000"/>
    <n v="35000"/>
    <n v="88000"/>
  </r>
  <r>
    <s v="ITM01345"/>
    <s v="ORD00794"/>
    <s v="PRD005"/>
    <n v="1"/>
    <n v="39000"/>
    <x v="2"/>
    <n v="39000"/>
    <n v="15000"/>
    <n v="24000"/>
  </r>
  <r>
    <s v="ITM01346"/>
    <s v="ORD00795"/>
    <s v="PRD002"/>
    <n v="1"/>
    <n v="159000"/>
    <x v="14"/>
    <n v="159000"/>
    <n v="80000"/>
    <n v="79000"/>
  </r>
  <r>
    <s v="ITM01347"/>
    <s v="ORD00795"/>
    <s v="PRD021"/>
    <n v="1"/>
    <n v="69000"/>
    <x v="0"/>
    <n v="69000"/>
    <n v="30000"/>
    <n v="39000"/>
  </r>
  <r>
    <s v="ITM01348"/>
    <s v="ORD00795"/>
    <s v="PRD008"/>
    <n v="2"/>
    <n v="399000"/>
    <x v="12"/>
    <n v="798000"/>
    <n v="200000"/>
    <n v="398000"/>
  </r>
  <r>
    <s v="ITM01349"/>
    <s v="ORD00795"/>
    <s v="PRD005"/>
    <n v="3"/>
    <n v="39000"/>
    <x v="2"/>
    <n v="117000"/>
    <n v="15000"/>
    <n v="72000"/>
  </r>
  <r>
    <s v="ITM01350"/>
    <s v="ORD00796"/>
    <s v="PRD022"/>
    <n v="3"/>
    <n v="55000"/>
    <x v="4"/>
    <n v="165000"/>
    <n v="25000"/>
    <n v="90000"/>
  </r>
  <r>
    <s v="ITM01351"/>
    <s v="ORD00797"/>
    <s v="PRD021"/>
    <n v="1"/>
    <n v="69000"/>
    <x v="0"/>
    <n v="69000"/>
    <n v="30000"/>
    <n v="39000"/>
  </r>
  <r>
    <s v="ITM01352"/>
    <s v="ORD00797"/>
    <s v="PRD005"/>
    <n v="1"/>
    <n v="39000"/>
    <x v="2"/>
    <n v="39000"/>
    <n v="15000"/>
    <n v="24000"/>
  </r>
  <r>
    <s v="ITM01353"/>
    <s v="ORD00797"/>
    <s v="PRD022"/>
    <n v="1"/>
    <n v="55000"/>
    <x v="4"/>
    <n v="55000"/>
    <n v="25000"/>
    <n v="30000"/>
  </r>
  <r>
    <s v="ITM01354"/>
    <s v="ORD00798"/>
    <s v="PRD006"/>
    <n v="1"/>
    <n v="129000"/>
    <x v="10"/>
    <n v="129000"/>
    <n v="60000"/>
    <n v="69000"/>
  </r>
  <r>
    <s v="ITM01355"/>
    <s v="ORD00798"/>
    <s v="PRD022"/>
    <n v="1"/>
    <n v="55000"/>
    <x v="4"/>
    <n v="55000"/>
    <n v="25000"/>
    <n v="30000"/>
  </r>
  <r>
    <s v="ITM01356"/>
    <s v="ORD00799"/>
    <s v="PRD021"/>
    <n v="1"/>
    <n v="69000"/>
    <x v="0"/>
    <n v="69000"/>
    <n v="30000"/>
    <n v="39000"/>
  </r>
  <r>
    <s v="ITM01357"/>
    <s v="ORD00800"/>
    <s v="PRD005"/>
    <n v="1"/>
    <n v="39000"/>
    <x v="2"/>
    <n v="39000"/>
    <n v="15000"/>
    <n v="24000"/>
  </r>
  <r>
    <s v="ITM00824"/>
    <s v="ORD00478"/>
    <s v="PRD017"/>
    <n v="1"/>
    <n v="329000"/>
    <x v="7"/>
    <n v="329000"/>
    <n v="180000"/>
    <n v="149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s v="ITM00001"/>
    <s v="ORD00001"/>
    <s v="PRD021"/>
    <n v="1"/>
    <n v="69000"/>
    <s v="Lampu LED Hias 5m"/>
    <n v="69000"/>
    <n v="30000"/>
    <n v="39000"/>
    <s v="CUST0007"/>
    <x v="0"/>
  </r>
  <r>
    <s v="ITM00002"/>
    <s v="ORD00001"/>
    <s v="PRD020"/>
    <n v="1"/>
    <n v="179000"/>
    <s v="Rak Penyimpanan Serbaguna"/>
    <n v="179000"/>
    <n v="90000"/>
    <n v="89000"/>
    <s v="CUST0007"/>
    <x v="0"/>
  </r>
  <r>
    <s v="ITM00003"/>
    <s v="ORD00002"/>
    <s v="PRD021"/>
    <n v="3"/>
    <n v="69000"/>
    <s v="Lampu LED Hias 5m"/>
    <n v="207000"/>
    <n v="30000"/>
    <n v="117000"/>
    <s v="CUST0036"/>
    <x v="0"/>
  </r>
  <r>
    <s v="ITM00004"/>
    <s v="ORD00003"/>
    <s v="PRD021"/>
    <n v="3"/>
    <n v="69000"/>
    <s v="Lampu LED Hias 5m"/>
    <n v="207000"/>
    <n v="30000"/>
    <n v="117000"/>
    <s v="CUST0174"/>
    <x v="1"/>
  </r>
  <r>
    <s v="ITM00005"/>
    <s v="ORD00004"/>
    <s v="PRD005"/>
    <n v="3"/>
    <n v="39000"/>
    <s v="Kabel Data USB-C"/>
    <n v="117000"/>
    <n v="15000"/>
    <n v="72000"/>
    <s v="CUST0109"/>
    <x v="2"/>
  </r>
  <r>
    <s v="ITM00006"/>
    <s v="ORD00004"/>
    <s v="PRD009"/>
    <n v="1"/>
    <n v="79000"/>
    <s v="Kaos Polos Cotton Combed"/>
    <n v="79000"/>
    <n v="35000"/>
    <n v="44000"/>
    <s v="CUST0109"/>
    <x v="2"/>
  </r>
  <r>
    <s v="ITM00007"/>
    <s v="ORD00005"/>
    <s v="PRD022"/>
    <n v="1"/>
    <n v="55000"/>
    <s v="Sapu + Pengki Set"/>
    <n v="55000"/>
    <n v="25000"/>
    <n v="30000"/>
    <s v="CUST0056"/>
    <x v="2"/>
  </r>
  <r>
    <s v="ITM00008"/>
    <s v="ORD00005"/>
    <s v="PRD005"/>
    <n v="1"/>
    <n v="39000"/>
    <s v="Kabel Data USB-C"/>
    <n v="39000"/>
    <n v="15000"/>
    <n v="24000"/>
    <s v="CUST0056"/>
    <x v="2"/>
  </r>
  <r>
    <s v="ITM00009"/>
    <s v="ORD00005"/>
    <s v="PRD012"/>
    <n v="1"/>
    <n v="229000"/>
    <s v="Celana Jeans Slimfit"/>
    <n v="229000"/>
    <n v="110000"/>
    <n v="119000"/>
    <s v="CUST0056"/>
    <x v="2"/>
  </r>
  <r>
    <s v="ITM00010"/>
    <s v="ORD00006"/>
    <s v="PRD005"/>
    <n v="1"/>
    <n v="39000"/>
    <s v="Kabel Data USB-C"/>
    <n v="39000"/>
    <n v="15000"/>
    <n v="24000"/>
    <s v="CUST0007"/>
    <x v="0"/>
  </r>
  <r>
    <s v="ITM00011"/>
    <s v="ORD00006"/>
    <s v="PRD022"/>
    <n v="1"/>
    <n v="55000"/>
    <s v="Sapu + Pengki Set"/>
    <n v="55000"/>
    <n v="25000"/>
    <n v="30000"/>
    <s v="CUST0007"/>
    <x v="0"/>
  </r>
  <r>
    <s v="ITM00012"/>
    <s v="ORD00007"/>
    <s v="PRD007"/>
    <n v="3"/>
    <n v="99000"/>
    <s v="Mouse Wireless"/>
    <n v="297000"/>
    <n v="45000"/>
    <n v="162000"/>
    <s v="CUST0184"/>
    <x v="3"/>
  </r>
  <r>
    <s v="ITM00013"/>
    <s v="ORD00007"/>
    <s v="PRD005"/>
    <n v="1"/>
    <n v="39000"/>
    <s v="Kabel Data USB-C"/>
    <n v="39000"/>
    <n v="15000"/>
    <n v="24000"/>
    <s v="CUST0184"/>
    <x v="3"/>
  </r>
  <r>
    <s v="ITM00014"/>
    <s v="ORD00008"/>
    <s v="PRD022"/>
    <n v="1"/>
    <n v="55000"/>
    <s v="Sapu + Pengki Set"/>
    <n v="55000"/>
    <n v="25000"/>
    <n v="30000"/>
    <s v="CUST0108"/>
    <x v="4"/>
  </r>
  <r>
    <s v="ITM00015"/>
    <s v="ORD00009"/>
    <s v="PRD017"/>
    <n v="2"/>
    <n v="329000"/>
    <s v="Rice Cooker Mini 1.5L"/>
    <n v="658000"/>
    <n v="180000"/>
    <n v="298000"/>
    <s v="CUST0151"/>
    <x v="5"/>
  </r>
  <r>
    <s v="ITM00016"/>
    <s v="ORD00009"/>
    <s v="PRD023"/>
    <n v="1"/>
    <n v="139000"/>
    <s v="Wajan Anti Lengket 24cm"/>
    <n v="139000"/>
    <n v="65000"/>
    <n v="74000"/>
    <s v="CUST0151"/>
    <x v="5"/>
  </r>
  <r>
    <s v="ITM00017"/>
    <s v="ORD00010"/>
    <s v="PRD017"/>
    <n v="2"/>
    <n v="329000"/>
    <s v="Rice Cooker Mini 1.5L"/>
    <n v="658000"/>
    <n v="180000"/>
    <n v="298000"/>
    <s v="CUST0002"/>
    <x v="4"/>
  </r>
  <r>
    <s v="ITM00018"/>
    <s v="ORD00010"/>
    <s v="PRD014"/>
    <n v="2"/>
    <n v="349000"/>
    <s v="Sepatu Sneakers Casual"/>
    <n v="698000"/>
    <n v="180000"/>
    <n v="338000"/>
    <s v="CUST0002"/>
    <x v="4"/>
  </r>
  <r>
    <s v="ITM00019"/>
    <s v="ORD00010"/>
    <s v="PRD007"/>
    <n v="3"/>
    <n v="99000"/>
    <s v="Mouse Wireless"/>
    <n v="297000"/>
    <n v="45000"/>
    <n v="162000"/>
    <s v="CUST0002"/>
    <x v="4"/>
  </r>
  <r>
    <s v="ITM00020"/>
    <s v="ORD00011"/>
    <s v="PRD021"/>
    <n v="1"/>
    <n v="69000"/>
    <s v="Lampu LED Hias 5m"/>
    <n v="69000"/>
    <n v="30000"/>
    <n v="39000"/>
    <s v="CUST0041"/>
    <x v="6"/>
  </r>
  <r>
    <s v="ITM00021"/>
    <s v="ORD00011"/>
    <s v="PRD006"/>
    <n v="1"/>
    <n v="129000"/>
    <s v="Charger Fast Charging 33W"/>
    <n v="129000"/>
    <n v="60000"/>
    <n v="69000"/>
    <s v="CUST0041"/>
    <x v="6"/>
  </r>
  <r>
    <s v="ITM00022"/>
    <s v="ORD00012"/>
    <s v="PRD021"/>
    <n v="1"/>
    <n v="69000"/>
    <s v="Lampu LED Hias 5m"/>
    <n v="69000"/>
    <n v="30000"/>
    <n v="39000"/>
    <s v="CUST0088"/>
    <x v="1"/>
  </r>
  <r>
    <s v="ITM00023"/>
    <s v="ORD00013"/>
    <s v="PRD017"/>
    <n v="1"/>
    <n v="329000"/>
    <s v="Rice Cooker Mini 1.5L"/>
    <n v="329000"/>
    <n v="180000"/>
    <n v="149000"/>
    <s v="CUST0196"/>
    <x v="3"/>
  </r>
  <r>
    <s v="ITM00024"/>
    <s v="ORD00014"/>
    <s v="PRD021"/>
    <n v="1"/>
    <n v="69000"/>
    <s v="Lampu LED Hias 5m"/>
    <n v="69000"/>
    <n v="30000"/>
    <n v="39000"/>
    <s v="CUST0098"/>
    <x v="2"/>
  </r>
  <r>
    <s v="ITM00025"/>
    <s v="ORD00014"/>
    <s v="PRD012"/>
    <n v="2"/>
    <n v="229000"/>
    <s v="Celana Jeans Slimfit"/>
    <n v="458000"/>
    <n v="110000"/>
    <n v="238000"/>
    <s v="CUST0098"/>
    <x v="2"/>
  </r>
  <r>
    <s v="ITM00026"/>
    <s v="ORD00015"/>
    <s v="PRD021"/>
    <n v="1"/>
    <n v="69000"/>
    <s v="Lampu LED Hias 5m"/>
    <n v="69000"/>
    <n v="30000"/>
    <n v="39000"/>
    <s v="CUST0089"/>
    <x v="1"/>
  </r>
  <r>
    <s v="ITM00027"/>
    <s v="ORD00015"/>
    <s v="PRD022"/>
    <n v="1"/>
    <n v="55000"/>
    <s v="Sapu + Pengki Set"/>
    <n v="55000"/>
    <n v="25000"/>
    <n v="30000"/>
    <s v="CUST0089"/>
    <x v="1"/>
  </r>
  <r>
    <s v="ITM00028"/>
    <s v="ORD00015"/>
    <s v="PRD009"/>
    <n v="2"/>
    <n v="79000"/>
    <s v="Kaos Polos Cotton Combed"/>
    <n v="158000"/>
    <n v="35000"/>
    <n v="88000"/>
    <s v="CUST0089"/>
    <x v="1"/>
  </r>
  <r>
    <s v="ITM00029"/>
    <s v="ORD00016"/>
    <s v="PRD012"/>
    <n v="3"/>
    <n v="229000"/>
    <s v="Celana Jeans Slimfit"/>
    <n v="687000"/>
    <n v="110000"/>
    <n v="357000"/>
    <s v="CUST0012"/>
    <x v="2"/>
  </r>
  <r>
    <s v="ITM00030"/>
    <s v="ORD00016"/>
    <s v="PRD021"/>
    <n v="1"/>
    <n v="69000"/>
    <s v="Lampu LED Hias 5m"/>
    <n v="69000"/>
    <n v="30000"/>
    <n v="39000"/>
    <s v="CUST0012"/>
    <x v="2"/>
  </r>
  <r>
    <s v="ITM00031"/>
    <s v="ORD00017"/>
    <s v="PRD005"/>
    <n v="1"/>
    <n v="39000"/>
    <s v="Kabel Data USB-C"/>
    <n v="39000"/>
    <n v="15000"/>
    <n v="24000"/>
    <s v="CUST0097"/>
    <x v="6"/>
  </r>
  <r>
    <s v="ITM00032"/>
    <s v="ORD00017"/>
    <s v="PRD021"/>
    <n v="1"/>
    <n v="69000"/>
    <s v="Lampu LED Hias 5m"/>
    <n v="69000"/>
    <n v="30000"/>
    <n v="39000"/>
    <s v="CUST0097"/>
    <x v="6"/>
  </r>
  <r>
    <s v="ITM00033"/>
    <s v="ORD00018"/>
    <s v="PRD021"/>
    <n v="1"/>
    <n v="69000"/>
    <s v="Lampu LED Hias 5m"/>
    <n v="69000"/>
    <n v="30000"/>
    <n v="39000"/>
    <s v="CUST0076"/>
    <x v="6"/>
  </r>
  <r>
    <s v="ITM00034"/>
    <s v="ORD00019"/>
    <s v="PRD021"/>
    <n v="1"/>
    <n v="69000"/>
    <s v="Lampu LED Hias 5m"/>
    <n v="69000"/>
    <n v="30000"/>
    <n v="39000"/>
    <s v="CUST0159"/>
    <x v="7"/>
  </r>
  <r>
    <s v="ITM00035"/>
    <s v="ORD00020"/>
    <s v="PRD021"/>
    <n v="1"/>
    <n v="69000"/>
    <s v="Lampu LED Hias 5m"/>
    <n v="69000"/>
    <n v="30000"/>
    <n v="39000"/>
    <s v="CUST0148"/>
    <x v="5"/>
  </r>
  <r>
    <s v="ITM00036"/>
    <s v="ORD00021"/>
    <s v="PRD017"/>
    <n v="1"/>
    <n v="329000"/>
    <s v="Rice Cooker Mini 1.5L"/>
    <n v="329000"/>
    <n v="180000"/>
    <n v="149000"/>
    <s v="CUST0012"/>
    <x v="2"/>
  </r>
  <r>
    <s v="ITM00037"/>
    <s v="ORD00022"/>
    <s v="PRD005"/>
    <n v="1"/>
    <n v="39000"/>
    <s v="Kabel Data USB-C"/>
    <n v="39000"/>
    <n v="15000"/>
    <n v="24000"/>
    <s v="CUST0075"/>
    <x v="5"/>
  </r>
  <r>
    <s v="ITM00038"/>
    <s v="ORD00023"/>
    <s v="PRD005"/>
    <n v="1"/>
    <n v="39000"/>
    <s v="Kabel Data USB-C"/>
    <n v="39000"/>
    <n v="15000"/>
    <n v="24000"/>
    <s v="CUST0026"/>
    <x v="3"/>
  </r>
  <r>
    <s v="ITM00039"/>
    <s v="ORD00023"/>
    <s v="PRD007"/>
    <n v="1"/>
    <n v="99000"/>
    <s v="Mouse Wireless"/>
    <n v="99000"/>
    <n v="45000"/>
    <n v="54000"/>
    <s v="CUST0026"/>
    <x v="3"/>
  </r>
  <r>
    <s v="ITM00040"/>
    <s v="ORD00023"/>
    <s v="PRD021"/>
    <n v="1"/>
    <n v="69000"/>
    <s v="Lampu LED Hias 5m"/>
    <n v="69000"/>
    <n v="30000"/>
    <n v="39000"/>
    <s v="CUST0026"/>
    <x v="3"/>
  </r>
  <r>
    <s v="ITM00041"/>
    <s v="ORD00024"/>
    <s v="PRD020"/>
    <n v="1"/>
    <n v="179000"/>
    <s v="Rak Penyimpanan Serbaguna"/>
    <n v="179000"/>
    <n v="90000"/>
    <n v="89000"/>
    <s v="CUST0117"/>
    <x v="8"/>
  </r>
  <r>
    <s v="ITM00042"/>
    <s v="ORD00024"/>
    <s v="PRD021"/>
    <n v="1"/>
    <n v="69000"/>
    <s v="Lampu LED Hias 5m"/>
    <n v="69000"/>
    <n v="30000"/>
    <n v="39000"/>
    <s v="CUST0117"/>
    <x v="8"/>
  </r>
  <r>
    <s v="ITM00043"/>
    <s v="ORD00025"/>
    <s v="PRD003"/>
    <n v="1"/>
    <n v="499000"/>
    <s v="Smartwatch Lite"/>
    <n v="499000"/>
    <n v="250000"/>
    <n v="249000"/>
    <s v="CUST0042"/>
    <x v="2"/>
  </r>
  <r>
    <s v="ITM00044"/>
    <s v="ORD00025"/>
    <s v="PRD021"/>
    <n v="1"/>
    <n v="69000"/>
    <s v="Lampu LED Hias 5m"/>
    <n v="69000"/>
    <n v="30000"/>
    <n v="39000"/>
    <s v="CUST0042"/>
    <x v="2"/>
  </r>
  <r>
    <s v="ITM00045"/>
    <s v="ORD00026"/>
    <s v="PRD009"/>
    <n v="1"/>
    <n v="79000"/>
    <s v="Kaos Polos Cotton Combed"/>
    <n v="79000"/>
    <n v="35000"/>
    <n v="44000"/>
    <s v="CUST0054"/>
    <x v="7"/>
  </r>
  <r>
    <s v="ITM00046"/>
    <s v="ORD00027"/>
    <s v="PRD017"/>
    <n v="1"/>
    <n v="329000"/>
    <s v="Rice Cooker Mini 1.5L"/>
    <n v="329000"/>
    <n v="180000"/>
    <n v="149000"/>
    <s v="CUST0180"/>
    <x v="3"/>
  </r>
  <r>
    <s v="ITM00047"/>
    <s v="ORD00028"/>
    <s v="PRD021"/>
    <n v="1"/>
    <n v="69000"/>
    <s v="Lampu LED Hias 5m"/>
    <n v="69000"/>
    <n v="30000"/>
    <n v="39000"/>
    <s v="CUST0156"/>
    <x v="7"/>
  </r>
  <r>
    <s v="ITM00048"/>
    <s v="ORD00028"/>
    <s v="PRD008"/>
    <n v="1"/>
    <n v="399000"/>
    <s v="Keyboard Mechanical Mini"/>
    <n v="399000"/>
    <n v="200000"/>
    <n v="199000"/>
    <s v="CUST0156"/>
    <x v="7"/>
  </r>
  <r>
    <s v="ITM00049"/>
    <s v="ORD00029"/>
    <s v="PRD019"/>
    <n v="3"/>
    <n v="79000"/>
    <s v="Botol Minum Stainless 1L"/>
    <n v="237000"/>
    <n v="35000"/>
    <n v="132000"/>
    <s v="CUST0137"/>
    <x v="6"/>
  </r>
  <r>
    <s v="ITM00050"/>
    <s v="ORD00030"/>
    <s v="PRD006"/>
    <n v="1"/>
    <n v="129000"/>
    <s v="Charger Fast Charging 33W"/>
    <n v="129000"/>
    <n v="60000"/>
    <n v="69000"/>
    <s v="CUST0042"/>
    <x v="2"/>
  </r>
  <r>
    <s v="ITM00051"/>
    <s v="ORD00031"/>
    <s v="PRD020"/>
    <n v="3"/>
    <n v="179000"/>
    <s v="Rak Penyimpanan Serbaguna"/>
    <n v="537000"/>
    <n v="90000"/>
    <n v="267000"/>
    <s v="CUST0164"/>
    <x v="8"/>
  </r>
  <r>
    <s v="ITM00052"/>
    <s v="ORD00032"/>
    <s v="PRD021"/>
    <n v="1"/>
    <n v="69000"/>
    <s v="Lampu LED Hias 5m"/>
    <n v="69000"/>
    <n v="30000"/>
    <n v="39000"/>
    <s v="CUST0084"/>
    <x v="2"/>
  </r>
  <r>
    <s v="ITM00053"/>
    <s v="ORD00032"/>
    <s v="PRD002"/>
    <n v="2"/>
    <n v="159000"/>
    <s v="Power Bank 10000mAh"/>
    <n v="318000"/>
    <n v="80000"/>
    <n v="158000"/>
    <s v="CUST0084"/>
    <x v="2"/>
  </r>
  <r>
    <s v="ITM00054"/>
    <s v="ORD00033"/>
    <s v="PRD020"/>
    <n v="1"/>
    <n v="179000"/>
    <s v="Rak Penyimpanan Serbaguna"/>
    <n v="179000"/>
    <n v="90000"/>
    <n v="89000"/>
    <s v="CUST0009"/>
    <x v="2"/>
  </r>
  <r>
    <s v="ITM00055"/>
    <s v="ORD00033"/>
    <s v="PRD008"/>
    <n v="1"/>
    <n v="399000"/>
    <s v="Keyboard Mechanical Mini"/>
    <n v="399000"/>
    <n v="200000"/>
    <n v="199000"/>
    <s v="CUST0009"/>
    <x v="2"/>
  </r>
  <r>
    <s v="ITM00056"/>
    <s v="ORD00034"/>
    <s v="PRD020"/>
    <n v="1"/>
    <n v="179000"/>
    <s v="Rak Penyimpanan Serbaguna"/>
    <n v="179000"/>
    <n v="90000"/>
    <n v="89000"/>
    <s v="CUST0103"/>
    <x v="8"/>
  </r>
  <r>
    <s v="ITM00057"/>
    <s v="ORD00034"/>
    <s v="PRD021"/>
    <n v="1"/>
    <n v="69000"/>
    <s v="Lampu LED Hias 5m"/>
    <n v="69000"/>
    <n v="30000"/>
    <n v="39000"/>
    <s v="CUST0103"/>
    <x v="8"/>
  </r>
  <r>
    <s v="ITM00058"/>
    <s v="ORD00035"/>
    <s v="PRD005"/>
    <n v="1"/>
    <n v="39000"/>
    <s v="Kabel Data USB-C"/>
    <n v="39000"/>
    <n v="15000"/>
    <n v="24000"/>
    <s v="CUST0055"/>
    <x v="2"/>
  </r>
  <r>
    <s v="ITM00059"/>
    <s v="ORD00035"/>
    <s v="PRD009"/>
    <n v="3"/>
    <n v="79000"/>
    <s v="Kaos Polos Cotton Combed"/>
    <n v="237000"/>
    <n v="35000"/>
    <n v="132000"/>
    <s v="CUST0055"/>
    <x v="2"/>
  </r>
  <r>
    <s v="ITM00060"/>
    <s v="ORD00036"/>
    <s v="PRD005"/>
    <n v="1"/>
    <n v="39000"/>
    <s v="Kabel Data USB-C"/>
    <n v="39000"/>
    <n v="15000"/>
    <n v="24000"/>
    <s v="CUST0184"/>
    <x v="3"/>
  </r>
  <r>
    <s v="ITM00061"/>
    <s v="ORD00037"/>
    <s v="PRD009"/>
    <n v="2"/>
    <n v="79000"/>
    <s v="Kaos Polos Cotton Combed"/>
    <n v="158000"/>
    <n v="35000"/>
    <n v="88000"/>
    <s v="CUST0128"/>
    <x v="5"/>
  </r>
  <r>
    <s v="ITM00062"/>
    <s v="ORD00038"/>
    <s v="PRD023"/>
    <n v="2"/>
    <n v="139000"/>
    <s v="Wajan Anti Lengket 24cm"/>
    <n v="278000"/>
    <n v="65000"/>
    <n v="148000"/>
    <s v="CUST0165"/>
    <x v="7"/>
  </r>
  <r>
    <s v="ITM00063"/>
    <s v="ORD00038"/>
    <s v="PRD005"/>
    <n v="1"/>
    <n v="39000"/>
    <s v="Kabel Data USB-C"/>
    <n v="39000"/>
    <n v="15000"/>
    <n v="24000"/>
    <s v="CUST0165"/>
    <x v="7"/>
  </r>
  <r>
    <s v="ITM00064"/>
    <s v="ORD00038"/>
    <s v="PRD009"/>
    <n v="2"/>
    <n v="79000"/>
    <s v="Kaos Polos Cotton Combed"/>
    <n v="158000"/>
    <n v="35000"/>
    <n v="88000"/>
    <s v="CUST0165"/>
    <x v="7"/>
  </r>
  <r>
    <s v="ITM00065"/>
    <s v="ORD00039"/>
    <s v="PRD005"/>
    <n v="2"/>
    <n v="39000"/>
    <s v="Kabel Data USB-C"/>
    <n v="78000"/>
    <n v="15000"/>
    <n v="48000"/>
    <s v="CUST0068"/>
    <x v="3"/>
  </r>
  <r>
    <s v="ITM00066"/>
    <s v="ORD00040"/>
    <s v="PRD008"/>
    <n v="2"/>
    <n v="399000"/>
    <s v="Keyboard Mechanical Mini"/>
    <n v="798000"/>
    <n v="200000"/>
    <n v="398000"/>
    <s v="CUST0191"/>
    <x v="5"/>
  </r>
  <r>
    <s v="ITM00067"/>
    <s v="ORD00040"/>
    <s v="PRD021"/>
    <n v="1"/>
    <n v="69000"/>
    <s v="Lampu LED Hias 5m"/>
    <n v="69000"/>
    <n v="30000"/>
    <n v="39000"/>
    <s v="CUST0191"/>
    <x v="5"/>
  </r>
  <r>
    <s v="ITM00068"/>
    <s v="ORD00040"/>
    <s v="PRD009"/>
    <n v="1"/>
    <n v="79000"/>
    <s v="Kaos Polos Cotton Combed"/>
    <n v="79000"/>
    <n v="35000"/>
    <n v="44000"/>
    <s v="CUST0191"/>
    <x v="5"/>
  </r>
  <r>
    <s v="ITM00069"/>
    <s v="ORD00041"/>
    <s v="PRD021"/>
    <n v="1"/>
    <n v="69000"/>
    <s v="Lampu LED Hias 5m"/>
    <n v="69000"/>
    <n v="30000"/>
    <n v="39000"/>
    <s v="CUST0068"/>
    <x v="3"/>
  </r>
  <r>
    <s v="ITM00070"/>
    <s v="ORD00042"/>
    <s v="PRD014"/>
    <n v="1"/>
    <n v="349000"/>
    <s v="Sepatu Sneakers Casual"/>
    <n v="349000"/>
    <n v="180000"/>
    <n v="169000"/>
    <s v="CUST0110"/>
    <x v="1"/>
  </r>
  <r>
    <s v="ITM00071"/>
    <s v="ORD00042"/>
    <s v="PRD009"/>
    <n v="1"/>
    <n v="79000"/>
    <s v="Kaos Polos Cotton Combed"/>
    <n v="79000"/>
    <n v="35000"/>
    <n v="44000"/>
    <s v="CUST0110"/>
    <x v="1"/>
  </r>
  <r>
    <s v="ITM00072"/>
    <s v="ORD00043"/>
    <s v="PRD021"/>
    <n v="1"/>
    <n v="69000"/>
    <s v="Lampu LED Hias 5m"/>
    <n v="69000"/>
    <n v="30000"/>
    <n v="39000"/>
    <s v="CUST0093"/>
    <x v="2"/>
  </r>
  <r>
    <s v="ITM00073"/>
    <s v="ORD00043"/>
    <s v="PRD005"/>
    <n v="2"/>
    <n v="39000"/>
    <s v="Kabel Data USB-C"/>
    <n v="78000"/>
    <n v="15000"/>
    <n v="48000"/>
    <s v="CUST0093"/>
    <x v="2"/>
  </r>
  <r>
    <s v="ITM00074"/>
    <s v="ORD00044"/>
    <s v="PRD018"/>
    <n v="1"/>
    <n v="149000"/>
    <s v="Set Pisau Dapur 5pcs"/>
    <n v="149000"/>
    <n v="70000"/>
    <n v="79000"/>
    <s v="CUST0131"/>
    <x v="8"/>
  </r>
  <r>
    <s v="ITM00075"/>
    <s v="ORD00044"/>
    <s v="PRD021"/>
    <n v="1"/>
    <n v="69000"/>
    <s v="Lampu LED Hias 5m"/>
    <n v="69000"/>
    <n v="30000"/>
    <n v="39000"/>
    <s v="CUST0131"/>
    <x v="8"/>
  </r>
  <r>
    <s v="ITM00076"/>
    <s v="ORD00045"/>
    <s v="PRD021"/>
    <n v="1"/>
    <n v="69000"/>
    <s v="Lampu LED Hias 5m"/>
    <n v="69000"/>
    <n v="30000"/>
    <n v="39000"/>
    <s v="CUST0013"/>
    <x v="7"/>
  </r>
  <r>
    <s v="ITM00077"/>
    <s v="ORD00046"/>
    <s v="PRD021"/>
    <n v="2"/>
    <n v="69000"/>
    <s v="Lampu LED Hias 5m"/>
    <n v="138000"/>
    <n v="30000"/>
    <n v="78000"/>
    <s v="CUST0040"/>
    <x v="7"/>
  </r>
  <r>
    <s v="ITM00078"/>
    <s v="ORD00047"/>
    <s v="PRD021"/>
    <n v="1"/>
    <n v="69000"/>
    <s v="Lampu LED Hias 5m"/>
    <n v="69000"/>
    <n v="30000"/>
    <n v="39000"/>
    <s v="CUST0175"/>
    <x v="7"/>
  </r>
  <r>
    <s v="ITM00079"/>
    <s v="ORD00048"/>
    <s v="PRD021"/>
    <n v="1"/>
    <n v="69000"/>
    <s v="Lampu LED Hias 5m"/>
    <n v="69000"/>
    <n v="30000"/>
    <n v="39000"/>
    <s v="CUST0099"/>
    <x v="4"/>
  </r>
  <r>
    <s v="ITM00080"/>
    <s v="ORD00048"/>
    <s v="PRD005"/>
    <n v="2"/>
    <n v="39000"/>
    <s v="Kabel Data USB-C"/>
    <n v="78000"/>
    <n v="15000"/>
    <n v="48000"/>
    <s v="CUST0099"/>
    <x v="4"/>
  </r>
  <r>
    <s v="ITM00081"/>
    <s v="ORD00049"/>
    <s v="PRD021"/>
    <n v="1"/>
    <n v="69000"/>
    <s v="Lampu LED Hias 5m"/>
    <n v="69000"/>
    <n v="30000"/>
    <n v="39000"/>
    <s v="CUST0136"/>
    <x v="0"/>
  </r>
  <r>
    <s v="ITM00082"/>
    <s v="ORD00049"/>
    <s v="PRD022"/>
    <n v="1"/>
    <n v="55000"/>
    <s v="Sapu + Pengki Set"/>
    <n v="55000"/>
    <n v="25000"/>
    <n v="30000"/>
    <s v="CUST0136"/>
    <x v="0"/>
  </r>
  <r>
    <s v="ITM00083"/>
    <s v="ORD00050"/>
    <s v="PRD005"/>
    <n v="3"/>
    <n v="39000"/>
    <s v="Kabel Data USB-C"/>
    <n v="117000"/>
    <n v="15000"/>
    <n v="72000"/>
    <s v="CUST0003"/>
    <x v="5"/>
  </r>
  <r>
    <s v="ITM00084"/>
    <s v="ORD00051"/>
    <s v="PRD021"/>
    <n v="1"/>
    <n v="69000"/>
    <s v="Lampu LED Hias 5m"/>
    <n v="69000"/>
    <n v="30000"/>
    <n v="39000"/>
    <s v="CUST0030"/>
    <x v="5"/>
  </r>
  <r>
    <s v="ITM00085"/>
    <s v="ORD00051"/>
    <s v="PRD005"/>
    <n v="1"/>
    <n v="39000"/>
    <s v="Kabel Data USB-C"/>
    <n v="39000"/>
    <n v="15000"/>
    <n v="24000"/>
    <s v="CUST0030"/>
    <x v="5"/>
  </r>
  <r>
    <s v="ITM00086"/>
    <s v="ORD00051"/>
    <s v="PRD022"/>
    <n v="1"/>
    <n v="55000"/>
    <s v="Sapu + Pengki Set"/>
    <n v="55000"/>
    <n v="25000"/>
    <n v="30000"/>
    <s v="CUST0030"/>
    <x v="5"/>
  </r>
  <r>
    <s v="ITM00087"/>
    <s v="ORD00051"/>
    <s v="PRD012"/>
    <n v="2"/>
    <n v="229000"/>
    <s v="Celana Jeans Slimfit"/>
    <n v="458000"/>
    <n v="110000"/>
    <n v="238000"/>
    <s v="CUST0030"/>
    <x v="5"/>
  </r>
  <r>
    <s v="ITM00088"/>
    <s v="ORD00052"/>
    <s v="PRD014"/>
    <n v="3"/>
    <n v="349000"/>
    <s v="Sepatu Sneakers Casual"/>
    <n v="1047000"/>
    <n v="180000"/>
    <n v="507000"/>
    <s v="CUST0138"/>
    <x v="9"/>
  </r>
  <r>
    <s v="ITM00089"/>
    <s v="ORD00053"/>
    <s v="PRD017"/>
    <n v="1"/>
    <n v="329000"/>
    <s v="Rice Cooker Mini 1.5L"/>
    <n v="329000"/>
    <n v="180000"/>
    <n v="149000"/>
    <s v="CUST0088"/>
    <x v="1"/>
  </r>
  <r>
    <s v="ITM00090"/>
    <s v="ORD00053"/>
    <s v="PRD005"/>
    <n v="1"/>
    <n v="39000"/>
    <s v="Kabel Data USB-C"/>
    <n v="39000"/>
    <n v="15000"/>
    <n v="24000"/>
    <s v="CUST0088"/>
    <x v="1"/>
  </r>
  <r>
    <s v="ITM00091"/>
    <s v="ORD00054"/>
    <s v="PRD008"/>
    <n v="1"/>
    <n v="399000"/>
    <s v="Keyboard Mechanical Mini"/>
    <n v="399000"/>
    <n v="200000"/>
    <n v="199000"/>
    <s v="CUST0041"/>
    <x v="6"/>
  </r>
  <r>
    <s v="ITM00092"/>
    <s v="ORD00055"/>
    <s v="PRD005"/>
    <n v="1"/>
    <n v="39000"/>
    <s v="Kabel Data USB-C"/>
    <n v="39000"/>
    <n v="15000"/>
    <n v="24000"/>
    <s v="CUST0185"/>
    <x v="5"/>
  </r>
  <r>
    <s v="ITM00093"/>
    <s v="ORD00055"/>
    <s v="PRD022"/>
    <n v="1"/>
    <n v="55000"/>
    <s v="Sapu + Pengki Set"/>
    <n v="55000"/>
    <n v="25000"/>
    <n v="30000"/>
    <s v="CUST0185"/>
    <x v="5"/>
  </r>
  <r>
    <s v="ITM00094"/>
    <s v="ORD00056"/>
    <s v="PRD008"/>
    <n v="1"/>
    <n v="399000"/>
    <s v="Keyboard Mechanical Mini"/>
    <n v="399000"/>
    <n v="200000"/>
    <n v="199000"/>
    <s v="CUST0046"/>
    <x v="5"/>
  </r>
  <r>
    <s v="ITM00095"/>
    <s v="ORD00057"/>
    <s v="PRD005"/>
    <n v="1"/>
    <n v="39000"/>
    <s v="Kabel Data USB-C"/>
    <n v="39000"/>
    <n v="15000"/>
    <n v="24000"/>
    <s v="CUST0028"/>
    <x v="8"/>
  </r>
  <r>
    <s v="ITM00096"/>
    <s v="ORD00058"/>
    <s v="PRD021"/>
    <n v="1"/>
    <n v="69000"/>
    <s v="Lampu LED Hias 5m"/>
    <n v="69000"/>
    <n v="30000"/>
    <n v="39000"/>
    <s v="CUST0077"/>
    <x v="5"/>
  </r>
  <r>
    <s v="ITM00097"/>
    <s v="ORD00059"/>
    <s v="PRD005"/>
    <n v="1"/>
    <n v="39000"/>
    <s v="Kabel Data USB-C"/>
    <n v="39000"/>
    <n v="15000"/>
    <n v="24000"/>
    <s v="CUST0130"/>
    <x v="8"/>
  </r>
  <r>
    <s v="ITM00098"/>
    <s v="ORD00059"/>
    <s v="PRD021"/>
    <n v="1"/>
    <n v="69000"/>
    <s v="Lampu LED Hias 5m"/>
    <n v="69000"/>
    <n v="30000"/>
    <n v="39000"/>
    <s v="CUST0130"/>
    <x v="8"/>
  </r>
  <r>
    <s v="ITM00099"/>
    <s v="ORD00060"/>
    <s v="PRD022"/>
    <n v="1"/>
    <n v="55000"/>
    <s v="Sapu + Pengki Set"/>
    <n v="55000"/>
    <n v="25000"/>
    <n v="30000"/>
    <s v="CUST0040"/>
    <x v="7"/>
  </r>
  <r>
    <s v="ITM00100"/>
    <s v="ORD00060"/>
    <s v="PRD021"/>
    <n v="1"/>
    <n v="69000"/>
    <s v="Lampu LED Hias 5m"/>
    <n v="69000"/>
    <n v="30000"/>
    <n v="39000"/>
    <s v="CUST0040"/>
    <x v="7"/>
  </r>
  <r>
    <s v="ITM00101"/>
    <s v="ORD00060"/>
    <s v="PRD006"/>
    <n v="1"/>
    <n v="129000"/>
    <s v="Charger Fast Charging 33W"/>
    <n v="129000"/>
    <n v="60000"/>
    <n v="69000"/>
    <s v="CUST0040"/>
    <x v="7"/>
  </r>
  <r>
    <s v="ITM00102"/>
    <s v="ORD00061"/>
    <s v="PRD005"/>
    <n v="1"/>
    <n v="39000"/>
    <s v="Kabel Data USB-C"/>
    <n v="39000"/>
    <n v="15000"/>
    <n v="24000"/>
    <s v="CUST0139"/>
    <x v="0"/>
  </r>
  <r>
    <s v="ITM00103"/>
    <s v="ORD00061"/>
    <s v="PRD021"/>
    <n v="1"/>
    <n v="69000"/>
    <s v="Lampu LED Hias 5m"/>
    <n v="69000"/>
    <n v="30000"/>
    <n v="39000"/>
    <s v="CUST0139"/>
    <x v="0"/>
  </r>
  <r>
    <s v="ITM00104"/>
    <s v="ORD00062"/>
    <s v="PRD012"/>
    <n v="2"/>
    <n v="229000"/>
    <s v="Celana Jeans Slimfit"/>
    <n v="458000"/>
    <n v="110000"/>
    <n v="238000"/>
    <s v="CUST0136"/>
    <x v="0"/>
  </r>
  <r>
    <s v="ITM00105"/>
    <s v="ORD00062"/>
    <s v="PRD021"/>
    <n v="1"/>
    <n v="69000"/>
    <s v="Lampu LED Hias 5m"/>
    <n v="69000"/>
    <n v="30000"/>
    <n v="39000"/>
    <s v="CUST0136"/>
    <x v="0"/>
  </r>
  <r>
    <s v="ITM00106"/>
    <s v="ORD00062"/>
    <s v="PRD005"/>
    <n v="1"/>
    <n v="39000"/>
    <s v="Kabel Data USB-C"/>
    <n v="39000"/>
    <n v="15000"/>
    <n v="24000"/>
    <s v="CUST0136"/>
    <x v="0"/>
  </r>
  <r>
    <s v="ITM00107"/>
    <s v="ORD00063"/>
    <s v="PRD021"/>
    <n v="2"/>
    <n v="69000"/>
    <s v="Lampu LED Hias 5m"/>
    <n v="138000"/>
    <n v="30000"/>
    <n v="78000"/>
    <s v="CUST0083"/>
    <x v="5"/>
  </r>
  <r>
    <s v="ITM00108"/>
    <s v="ORD00064"/>
    <s v="PRD006"/>
    <n v="1"/>
    <n v="129000"/>
    <s v="Charger Fast Charging 33W"/>
    <n v="129000"/>
    <n v="60000"/>
    <n v="69000"/>
    <s v="CUST0093"/>
    <x v="2"/>
  </r>
  <r>
    <s v="ITM00109"/>
    <s v="ORD00065"/>
    <s v="PRD021"/>
    <n v="2"/>
    <n v="69000"/>
    <s v="Lampu LED Hias 5m"/>
    <n v="138000"/>
    <n v="30000"/>
    <n v="78000"/>
    <s v="CUST0079"/>
    <x v="1"/>
  </r>
  <r>
    <s v="ITM00110"/>
    <s v="ORD00066"/>
    <s v="PRD005"/>
    <n v="2"/>
    <n v="39000"/>
    <s v="Kabel Data USB-C"/>
    <n v="78000"/>
    <n v="15000"/>
    <n v="48000"/>
    <s v="CUST0146"/>
    <x v="5"/>
  </r>
  <r>
    <s v="ITM00111"/>
    <s v="ORD00066"/>
    <s v="PRD021"/>
    <n v="2"/>
    <n v="69000"/>
    <s v="Lampu LED Hias 5m"/>
    <n v="138000"/>
    <n v="30000"/>
    <n v="78000"/>
    <s v="CUST0146"/>
    <x v="5"/>
  </r>
  <r>
    <s v="ITM00112"/>
    <s v="ORD00067"/>
    <s v="PRD021"/>
    <n v="1"/>
    <n v="69000"/>
    <s v="Lampu LED Hias 5m"/>
    <n v="69000"/>
    <n v="30000"/>
    <n v="39000"/>
    <s v="CUST0125"/>
    <x v="3"/>
  </r>
  <r>
    <s v="ITM00113"/>
    <s v="ORD00067"/>
    <s v="PRD006"/>
    <n v="1"/>
    <n v="129000"/>
    <s v="Charger Fast Charging 33W"/>
    <n v="129000"/>
    <n v="60000"/>
    <n v="69000"/>
    <s v="CUST0125"/>
    <x v="3"/>
  </r>
  <r>
    <s v="ITM00114"/>
    <s v="ORD00068"/>
    <s v="PRD007"/>
    <n v="3"/>
    <n v="99000"/>
    <s v="Mouse Wireless"/>
    <n v="297000"/>
    <n v="45000"/>
    <n v="162000"/>
    <s v="CUST0195"/>
    <x v="4"/>
  </r>
  <r>
    <s v="ITM00115"/>
    <s v="ORD00069"/>
    <s v="PRD005"/>
    <n v="1"/>
    <n v="39000"/>
    <s v="Kabel Data USB-C"/>
    <n v="39000"/>
    <n v="15000"/>
    <n v="24000"/>
    <s v="CUST0033"/>
    <x v="2"/>
  </r>
  <r>
    <s v="ITM00116"/>
    <s v="ORD00070"/>
    <s v="PRD005"/>
    <n v="2"/>
    <n v="39000"/>
    <s v="Kabel Data USB-C"/>
    <n v="78000"/>
    <n v="15000"/>
    <n v="48000"/>
    <s v="CUST0141"/>
    <x v="6"/>
  </r>
  <r>
    <s v="ITM00117"/>
    <s v="ORD00071"/>
    <s v="PRD018"/>
    <n v="1"/>
    <n v="149000"/>
    <s v="Set Pisau Dapur 5pcs"/>
    <n v="149000"/>
    <n v="70000"/>
    <n v="79000"/>
    <s v="CUST0136"/>
    <x v="0"/>
  </r>
  <r>
    <s v="ITM00118"/>
    <s v="ORD00071"/>
    <s v="PRD020"/>
    <n v="2"/>
    <n v="179000"/>
    <s v="Rak Penyimpanan Serbaguna"/>
    <n v="358000"/>
    <n v="90000"/>
    <n v="178000"/>
    <s v="CUST0136"/>
    <x v="0"/>
  </r>
  <r>
    <s v="ITM00119"/>
    <s v="ORD00072"/>
    <s v="PRD021"/>
    <n v="1"/>
    <n v="69000"/>
    <s v="Lampu LED Hias 5m"/>
    <n v="69000"/>
    <n v="30000"/>
    <n v="39000"/>
    <s v="CUST0109"/>
    <x v="2"/>
  </r>
  <r>
    <s v="ITM00120"/>
    <s v="ORD00073"/>
    <s v="PRD014"/>
    <n v="1"/>
    <n v="349000"/>
    <s v="Sepatu Sneakers Casual"/>
    <n v="349000"/>
    <n v="180000"/>
    <n v="169000"/>
    <s v="CUST0139"/>
    <x v="0"/>
  </r>
  <r>
    <s v="ITM00121"/>
    <s v="ORD00073"/>
    <s v="PRD021"/>
    <n v="3"/>
    <n v="69000"/>
    <s v="Lampu LED Hias 5m"/>
    <n v="207000"/>
    <n v="30000"/>
    <n v="117000"/>
    <s v="CUST0139"/>
    <x v="0"/>
  </r>
  <r>
    <s v="ITM00122"/>
    <s v="ORD00073"/>
    <s v="PRD009"/>
    <n v="1"/>
    <n v="79000"/>
    <s v="Kaos Polos Cotton Combed"/>
    <n v="79000"/>
    <n v="35000"/>
    <n v="44000"/>
    <s v="CUST0139"/>
    <x v="0"/>
  </r>
  <r>
    <s v="ITM00123"/>
    <s v="ORD00074"/>
    <s v="PRD006"/>
    <n v="1"/>
    <n v="129000"/>
    <s v="Charger Fast Charging 33W"/>
    <n v="129000"/>
    <n v="60000"/>
    <n v="69000"/>
    <s v="CUST0103"/>
    <x v="8"/>
  </r>
  <r>
    <s v="ITM00124"/>
    <s v="ORD00075"/>
    <s v="PRD021"/>
    <n v="1"/>
    <n v="69000"/>
    <s v="Lampu LED Hias 5m"/>
    <n v="69000"/>
    <n v="30000"/>
    <n v="39000"/>
    <s v="CUST0096"/>
    <x v="5"/>
  </r>
  <r>
    <s v="ITM00125"/>
    <s v="ORD00076"/>
    <s v="PRD021"/>
    <n v="1"/>
    <n v="69000"/>
    <s v="Lampu LED Hias 5m"/>
    <n v="69000"/>
    <n v="30000"/>
    <n v="39000"/>
    <s v="CUST0031"/>
    <x v="7"/>
  </r>
  <r>
    <s v="ITM00126"/>
    <s v="ORD00077"/>
    <s v="PRD022"/>
    <n v="1"/>
    <n v="55000"/>
    <s v="Sapu + Pengki Set"/>
    <n v="55000"/>
    <n v="25000"/>
    <n v="30000"/>
    <s v="CUST0017"/>
    <x v="5"/>
  </r>
  <r>
    <s v="ITM00127"/>
    <s v="ORD00078"/>
    <s v="PRD005"/>
    <n v="1"/>
    <n v="39000"/>
    <s v="Kabel Data USB-C"/>
    <n v="39000"/>
    <n v="15000"/>
    <n v="24000"/>
    <s v="CUST0151"/>
    <x v="5"/>
  </r>
  <r>
    <s v="ITM00128"/>
    <s v="ORD00078"/>
    <s v="PRD022"/>
    <n v="2"/>
    <n v="55000"/>
    <s v="Sapu + Pengki Set"/>
    <n v="110000"/>
    <n v="25000"/>
    <n v="60000"/>
    <s v="CUST0151"/>
    <x v="5"/>
  </r>
  <r>
    <s v="ITM00129"/>
    <s v="ORD00078"/>
    <s v="PRD017"/>
    <n v="2"/>
    <n v="329000"/>
    <s v="Rice Cooker Mini 1.5L"/>
    <n v="658000"/>
    <n v="180000"/>
    <n v="298000"/>
    <s v="CUST0151"/>
    <x v="5"/>
  </r>
  <r>
    <s v="ITM00130"/>
    <s v="ORD00079"/>
    <s v="PRD021"/>
    <n v="1"/>
    <n v="69000"/>
    <s v="Lampu LED Hias 5m"/>
    <n v="69000"/>
    <n v="30000"/>
    <n v="39000"/>
    <s v="CUST0057"/>
    <x v="6"/>
  </r>
  <r>
    <s v="ITM00131"/>
    <s v="ORD00079"/>
    <s v="PRD006"/>
    <n v="3"/>
    <n v="129000"/>
    <s v="Charger Fast Charging 33W"/>
    <n v="387000"/>
    <n v="60000"/>
    <n v="207000"/>
    <s v="CUST0057"/>
    <x v="6"/>
  </r>
  <r>
    <s v="ITM00132"/>
    <s v="ORD00080"/>
    <s v="PRD024"/>
    <n v="1"/>
    <n v="89000"/>
    <s v="Tumbler Termos 500ml"/>
    <n v="89000"/>
    <n v="40000"/>
    <n v="49000"/>
    <s v="CUST0182"/>
    <x v="7"/>
  </r>
  <r>
    <s v="ITM00133"/>
    <s v="ORD00080"/>
    <s v="PRD020"/>
    <n v="1"/>
    <n v="179000"/>
    <s v="Rak Penyimpanan Serbaguna"/>
    <n v="179000"/>
    <n v="90000"/>
    <n v="89000"/>
    <s v="CUST0182"/>
    <x v="7"/>
  </r>
  <r>
    <s v="ITM00134"/>
    <s v="ORD00081"/>
    <s v="PRD022"/>
    <n v="1"/>
    <n v="55000"/>
    <s v="Sapu + Pengki Set"/>
    <n v="55000"/>
    <n v="25000"/>
    <n v="30000"/>
    <s v="CUST0059"/>
    <x v="0"/>
  </r>
  <r>
    <s v="ITM00135"/>
    <s v="ORD00081"/>
    <s v="PRD017"/>
    <n v="2"/>
    <n v="329000"/>
    <s v="Rice Cooker Mini 1.5L"/>
    <n v="658000"/>
    <n v="180000"/>
    <n v="298000"/>
    <s v="CUST0059"/>
    <x v="0"/>
  </r>
  <r>
    <s v="ITM00136"/>
    <s v="ORD00081"/>
    <s v="PRD021"/>
    <n v="1"/>
    <n v="69000"/>
    <s v="Lampu LED Hias 5m"/>
    <n v="69000"/>
    <n v="30000"/>
    <n v="39000"/>
    <s v="CUST0059"/>
    <x v="0"/>
  </r>
  <r>
    <s v="ITM00137"/>
    <s v="ORD00082"/>
    <s v="PRD017"/>
    <n v="1"/>
    <n v="329000"/>
    <s v="Rice Cooker Mini 1.5L"/>
    <n v="329000"/>
    <n v="180000"/>
    <n v="149000"/>
    <s v="CUST0009"/>
    <x v="2"/>
  </r>
  <r>
    <s v="ITM00138"/>
    <s v="ORD00082"/>
    <s v="PRD021"/>
    <n v="1"/>
    <n v="69000"/>
    <s v="Lampu LED Hias 5m"/>
    <n v="69000"/>
    <n v="30000"/>
    <n v="39000"/>
    <s v="CUST0009"/>
    <x v="2"/>
  </r>
  <r>
    <s v="ITM00139"/>
    <s v="ORD00083"/>
    <s v="PRD021"/>
    <n v="2"/>
    <n v="69000"/>
    <s v="Lampu LED Hias 5m"/>
    <n v="138000"/>
    <n v="30000"/>
    <n v="78000"/>
    <s v="CUST0019"/>
    <x v="2"/>
  </r>
  <r>
    <s v="ITM00140"/>
    <s v="ORD00083"/>
    <s v="PRD009"/>
    <n v="1"/>
    <n v="79000"/>
    <s v="Kaos Polos Cotton Combed"/>
    <n v="79000"/>
    <n v="35000"/>
    <n v="44000"/>
    <s v="CUST0019"/>
    <x v="2"/>
  </r>
  <r>
    <s v="ITM00141"/>
    <s v="ORD00084"/>
    <s v="PRD021"/>
    <n v="3"/>
    <n v="69000"/>
    <s v="Lampu LED Hias 5m"/>
    <n v="207000"/>
    <n v="30000"/>
    <n v="117000"/>
    <s v="CUST0172"/>
    <x v="5"/>
  </r>
  <r>
    <s v="ITM00142"/>
    <s v="ORD00085"/>
    <s v="PRD021"/>
    <n v="1"/>
    <n v="69000"/>
    <s v="Lampu LED Hias 5m"/>
    <n v="69000"/>
    <n v="30000"/>
    <n v="39000"/>
    <s v="CUST0034"/>
    <x v="5"/>
  </r>
  <r>
    <s v="ITM00143"/>
    <s v="ORD00086"/>
    <s v="PRD021"/>
    <n v="1"/>
    <n v="69000"/>
    <s v="Lampu LED Hias 5m"/>
    <n v="69000"/>
    <n v="30000"/>
    <n v="39000"/>
    <s v="CUST0063"/>
    <x v="2"/>
  </r>
  <r>
    <s v="ITM00144"/>
    <s v="ORD00086"/>
    <s v="PRD014"/>
    <n v="1"/>
    <n v="349000"/>
    <s v="Sepatu Sneakers Casual"/>
    <n v="349000"/>
    <n v="180000"/>
    <n v="169000"/>
    <s v="CUST0063"/>
    <x v="2"/>
  </r>
  <r>
    <s v="ITM00145"/>
    <s v="ORD00086"/>
    <s v="PRD005"/>
    <n v="1"/>
    <n v="39000"/>
    <s v="Kabel Data USB-C"/>
    <n v="39000"/>
    <n v="15000"/>
    <n v="24000"/>
    <s v="CUST0063"/>
    <x v="2"/>
  </r>
  <r>
    <s v="ITM00146"/>
    <s v="ORD00086"/>
    <s v="PRD009"/>
    <n v="1"/>
    <n v="79000"/>
    <s v="Kaos Polos Cotton Combed"/>
    <n v="79000"/>
    <n v="35000"/>
    <n v="44000"/>
    <s v="CUST0063"/>
    <x v="2"/>
  </r>
  <r>
    <s v="ITM00147"/>
    <s v="ORD00087"/>
    <s v="PRD012"/>
    <n v="3"/>
    <n v="229000"/>
    <s v="Celana Jeans Slimfit"/>
    <n v="687000"/>
    <n v="110000"/>
    <n v="357000"/>
    <s v="CUST0049"/>
    <x v="9"/>
  </r>
  <r>
    <s v="ITM00148"/>
    <s v="ORD00088"/>
    <s v="PRD014"/>
    <n v="3"/>
    <n v="349000"/>
    <s v="Sepatu Sneakers Casual"/>
    <n v="1047000"/>
    <n v="180000"/>
    <n v="507000"/>
    <s v="CUST0169"/>
    <x v="6"/>
  </r>
  <r>
    <s v="ITM00149"/>
    <s v="ORD00089"/>
    <s v="PRD021"/>
    <n v="1"/>
    <n v="69000"/>
    <s v="Lampu LED Hias 5m"/>
    <n v="69000"/>
    <n v="30000"/>
    <n v="39000"/>
    <s v="CUST0109"/>
    <x v="2"/>
  </r>
  <r>
    <s v="ITM00150"/>
    <s v="ORD00089"/>
    <s v="PRD005"/>
    <n v="1"/>
    <n v="39000"/>
    <s v="Kabel Data USB-C"/>
    <n v="39000"/>
    <n v="15000"/>
    <n v="24000"/>
    <s v="CUST0109"/>
    <x v="2"/>
  </r>
  <r>
    <s v="ITM00151"/>
    <s v="ORD00089"/>
    <s v="PRD012"/>
    <n v="1"/>
    <n v="229000"/>
    <s v="Celana Jeans Slimfit"/>
    <n v="229000"/>
    <n v="110000"/>
    <n v="119000"/>
    <s v="CUST0109"/>
    <x v="2"/>
  </r>
  <r>
    <s v="ITM00152"/>
    <s v="ORD00089"/>
    <s v="PRD008"/>
    <n v="1"/>
    <n v="399000"/>
    <s v="Keyboard Mechanical Mini"/>
    <n v="399000"/>
    <n v="200000"/>
    <n v="199000"/>
    <s v="CUST0109"/>
    <x v="2"/>
  </r>
  <r>
    <s v="ITM00153"/>
    <s v="ORD00090"/>
    <s v="PRD021"/>
    <n v="1"/>
    <n v="69000"/>
    <s v="Lampu LED Hias 5m"/>
    <n v="69000"/>
    <n v="30000"/>
    <n v="39000"/>
    <s v="CUST0187"/>
    <x v="5"/>
  </r>
  <r>
    <s v="ITM00154"/>
    <s v="ORD00090"/>
    <s v="PRD005"/>
    <n v="1"/>
    <n v="39000"/>
    <s v="Kabel Data USB-C"/>
    <n v="39000"/>
    <n v="15000"/>
    <n v="24000"/>
    <s v="CUST0187"/>
    <x v="5"/>
  </r>
  <r>
    <s v="ITM00155"/>
    <s v="ORD00090"/>
    <s v="PRD020"/>
    <n v="1"/>
    <n v="179000"/>
    <s v="Rak Penyimpanan Serbaguna"/>
    <n v="179000"/>
    <n v="90000"/>
    <n v="89000"/>
    <s v="CUST0187"/>
    <x v="5"/>
  </r>
  <r>
    <s v="ITM00156"/>
    <s v="ORD00091"/>
    <s v="PRD021"/>
    <n v="1"/>
    <n v="69000"/>
    <s v="Lampu LED Hias 5m"/>
    <n v="69000"/>
    <n v="30000"/>
    <n v="39000"/>
    <s v="CUST0168"/>
    <x v="5"/>
  </r>
  <r>
    <s v="ITM00157"/>
    <s v="ORD00092"/>
    <s v="PRD021"/>
    <n v="1"/>
    <n v="69000"/>
    <s v="Lampu LED Hias 5m"/>
    <n v="69000"/>
    <n v="30000"/>
    <n v="39000"/>
    <s v="CUST0016"/>
    <x v="8"/>
  </r>
  <r>
    <s v="ITM00158"/>
    <s v="ORD00092"/>
    <s v="PRD017"/>
    <n v="1"/>
    <n v="329000"/>
    <s v="Rice Cooker Mini 1.5L"/>
    <n v="329000"/>
    <n v="180000"/>
    <n v="149000"/>
    <s v="CUST0016"/>
    <x v="8"/>
  </r>
  <r>
    <s v="ITM00159"/>
    <s v="ORD00092"/>
    <s v="PRD012"/>
    <n v="2"/>
    <n v="229000"/>
    <s v="Celana Jeans Slimfit"/>
    <n v="458000"/>
    <n v="110000"/>
    <n v="238000"/>
    <s v="CUST0016"/>
    <x v="8"/>
  </r>
  <r>
    <s v="ITM00160"/>
    <s v="ORD00093"/>
    <s v="PRD005"/>
    <n v="1"/>
    <n v="39000"/>
    <s v="Kabel Data USB-C"/>
    <n v="39000"/>
    <n v="15000"/>
    <n v="24000"/>
    <s v="CUST0028"/>
    <x v="8"/>
  </r>
  <r>
    <s v="ITM00161"/>
    <s v="ORD00093"/>
    <s v="PRD013"/>
    <n v="2"/>
    <n v="209000"/>
    <s v="Jaket Hoodie Unisex"/>
    <n v="418000"/>
    <n v="95000"/>
    <n v="228000"/>
    <s v="CUST0028"/>
    <x v="8"/>
  </r>
  <r>
    <s v="ITM00162"/>
    <s v="ORD00094"/>
    <s v="PRD005"/>
    <n v="3"/>
    <n v="39000"/>
    <s v="Kabel Data USB-C"/>
    <n v="117000"/>
    <n v="15000"/>
    <n v="72000"/>
    <s v="CUST0138"/>
    <x v="9"/>
  </r>
  <r>
    <s v="ITM00163"/>
    <s v="ORD00094"/>
    <s v="PRD021"/>
    <n v="1"/>
    <n v="69000"/>
    <s v="Lampu LED Hias 5m"/>
    <n v="69000"/>
    <n v="30000"/>
    <n v="39000"/>
    <s v="CUST0138"/>
    <x v="9"/>
  </r>
  <r>
    <s v="ITM00164"/>
    <s v="ORD00094"/>
    <s v="PRD023"/>
    <n v="1"/>
    <n v="139000"/>
    <s v="Wajan Anti Lengket 24cm"/>
    <n v="139000"/>
    <n v="65000"/>
    <n v="74000"/>
    <s v="CUST0138"/>
    <x v="9"/>
  </r>
  <r>
    <s v="ITM00165"/>
    <s v="ORD00094"/>
    <s v="PRD022"/>
    <n v="1"/>
    <n v="55000"/>
    <s v="Sapu + Pengki Set"/>
    <n v="55000"/>
    <n v="25000"/>
    <n v="30000"/>
    <s v="CUST0138"/>
    <x v="9"/>
  </r>
  <r>
    <s v="ITM00166"/>
    <s v="ORD00095"/>
    <s v="PRD021"/>
    <n v="1"/>
    <n v="69000"/>
    <s v="Lampu LED Hias 5m"/>
    <n v="69000"/>
    <n v="30000"/>
    <n v="39000"/>
    <s v="CUST0047"/>
    <x v="4"/>
  </r>
  <r>
    <s v="ITM00167"/>
    <s v="ORD00095"/>
    <s v="PRD020"/>
    <n v="1"/>
    <n v="179000"/>
    <s v="Rak Penyimpanan Serbaguna"/>
    <n v="179000"/>
    <n v="90000"/>
    <n v="89000"/>
    <s v="CUST0047"/>
    <x v="4"/>
  </r>
  <r>
    <s v="ITM00168"/>
    <s v="ORD00095"/>
    <s v="PRD017"/>
    <n v="1"/>
    <n v="329000"/>
    <s v="Rice Cooker Mini 1.5L"/>
    <n v="329000"/>
    <n v="180000"/>
    <n v="149000"/>
    <s v="CUST0047"/>
    <x v="4"/>
  </r>
  <r>
    <s v="ITM00169"/>
    <s v="ORD00096"/>
    <s v="PRD021"/>
    <n v="2"/>
    <n v="69000"/>
    <s v="Lampu LED Hias 5m"/>
    <n v="138000"/>
    <n v="30000"/>
    <n v="78000"/>
    <s v="CUST0064"/>
    <x v="0"/>
  </r>
  <r>
    <s v="ITM00170"/>
    <s v="ORD00096"/>
    <s v="PRD003"/>
    <n v="1"/>
    <n v="499000"/>
    <s v="Smartwatch Lite"/>
    <n v="499000"/>
    <n v="250000"/>
    <n v="249000"/>
    <s v="CUST0064"/>
    <x v="0"/>
  </r>
  <r>
    <s v="ITM00171"/>
    <s v="ORD00096"/>
    <s v="PRD005"/>
    <n v="2"/>
    <n v="39000"/>
    <s v="Kabel Data USB-C"/>
    <n v="78000"/>
    <n v="15000"/>
    <n v="48000"/>
    <s v="CUST0064"/>
    <x v="0"/>
  </r>
  <r>
    <s v="ITM00172"/>
    <s v="ORD00097"/>
    <s v="PRD005"/>
    <n v="1"/>
    <n v="39000"/>
    <s v="Kabel Data USB-C"/>
    <n v="39000"/>
    <n v="15000"/>
    <n v="24000"/>
    <s v="CUST0020"/>
    <x v="1"/>
  </r>
  <r>
    <s v="ITM00173"/>
    <s v="ORD00098"/>
    <s v="PRD020"/>
    <n v="2"/>
    <n v="179000"/>
    <s v="Rak Penyimpanan Serbaguna"/>
    <n v="358000"/>
    <n v="90000"/>
    <n v="178000"/>
    <s v="CUST0141"/>
    <x v="6"/>
  </r>
  <r>
    <s v="ITM00174"/>
    <s v="ORD00098"/>
    <s v="PRD021"/>
    <n v="1"/>
    <n v="69000"/>
    <s v="Lampu LED Hias 5m"/>
    <n v="69000"/>
    <n v="30000"/>
    <n v="39000"/>
    <s v="CUST0141"/>
    <x v="6"/>
  </r>
  <r>
    <s v="ITM00175"/>
    <s v="ORD00099"/>
    <s v="PRD022"/>
    <n v="1"/>
    <n v="55000"/>
    <s v="Sapu + Pengki Set"/>
    <n v="55000"/>
    <n v="25000"/>
    <n v="30000"/>
    <s v="CUST0167"/>
    <x v="5"/>
  </r>
  <r>
    <s v="ITM00176"/>
    <s v="ORD00099"/>
    <s v="PRD005"/>
    <n v="1"/>
    <n v="39000"/>
    <s v="Kabel Data USB-C"/>
    <n v="39000"/>
    <n v="15000"/>
    <n v="24000"/>
    <s v="CUST0167"/>
    <x v="5"/>
  </r>
  <r>
    <s v="ITM00177"/>
    <s v="ORD00100"/>
    <s v="PRD021"/>
    <n v="1"/>
    <n v="69000"/>
    <s v="Lampu LED Hias 5m"/>
    <n v="69000"/>
    <n v="30000"/>
    <n v="39000"/>
    <s v="CUST0004"/>
    <x v="5"/>
  </r>
  <r>
    <s v="ITM00178"/>
    <s v="ORD00100"/>
    <s v="PRD017"/>
    <n v="2"/>
    <n v="329000"/>
    <s v="Rice Cooker Mini 1.5L"/>
    <n v="658000"/>
    <n v="180000"/>
    <n v="298000"/>
    <s v="CUST0004"/>
    <x v="5"/>
  </r>
  <r>
    <s v="ITM00179"/>
    <s v="ORD00101"/>
    <s v="PRD021"/>
    <n v="1"/>
    <n v="69000"/>
    <s v="Lampu LED Hias 5m"/>
    <n v="69000"/>
    <n v="30000"/>
    <n v="39000"/>
    <s v="CUST0193"/>
    <x v="4"/>
  </r>
  <r>
    <s v="ITM00180"/>
    <s v="ORD00102"/>
    <s v="PRD017"/>
    <n v="1"/>
    <n v="329000"/>
    <s v="Rice Cooker Mini 1.5L"/>
    <n v="329000"/>
    <n v="180000"/>
    <n v="149000"/>
    <s v="CUST0125"/>
    <x v="3"/>
  </r>
  <r>
    <s v="ITM00181"/>
    <s v="ORD00103"/>
    <s v="PRD022"/>
    <n v="2"/>
    <n v="55000"/>
    <s v="Sapu + Pengki Set"/>
    <n v="110000"/>
    <n v="25000"/>
    <n v="60000"/>
    <s v="CUST0103"/>
    <x v="8"/>
  </r>
  <r>
    <s v="ITM00182"/>
    <s v="ORD00104"/>
    <s v="PRD005"/>
    <n v="1"/>
    <n v="39000"/>
    <s v="Kabel Data USB-C"/>
    <n v="39000"/>
    <n v="15000"/>
    <n v="24000"/>
    <s v="CUST0098"/>
    <x v="2"/>
  </r>
  <r>
    <s v="ITM00183"/>
    <s v="ORD00104"/>
    <s v="PRD021"/>
    <n v="3"/>
    <n v="69000"/>
    <s v="Lampu LED Hias 5m"/>
    <n v="207000"/>
    <n v="30000"/>
    <n v="117000"/>
    <s v="CUST0098"/>
    <x v="2"/>
  </r>
  <r>
    <s v="ITM00184"/>
    <s v="ORD00105"/>
    <s v="PRD021"/>
    <n v="1"/>
    <n v="69000"/>
    <s v="Lampu LED Hias 5m"/>
    <n v="69000"/>
    <n v="30000"/>
    <n v="39000"/>
    <s v="CUST0117"/>
    <x v="8"/>
  </r>
  <r>
    <s v="ITM00185"/>
    <s v="ORD00105"/>
    <s v="PRD022"/>
    <n v="1"/>
    <n v="55000"/>
    <s v="Sapu + Pengki Set"/>
    <n v="55000"/>
    <n v="25000"/>
    <n v="30000"/>
    <s v="CUST0117"/>
    <x v="8"/>
  </r>
  <r>
    <s v="ITM00186"/>
    <s v="ORD00106"/>
    <s v="PRD005"/>
    <n v="1"/>
    <n v="39000"/>
    <s v="Kabel Data USB-C"/>
    <n v="39000"/>
    <n v="15000"/>
    <n v="24000"/>
    <s v="CUST0188"/>
    <x v="5"/>
  </r>
  <r>
    <s v="ITM00187"/>
    <s v="ORD00107"/>
    <s v="PRD022"/>
    <n v="2"/>
    <n v="55000"/>
    <s v="Sapu + Pengki Set"/>
    <n v="110000"/>
    <n v="25000"/>
    <n v="60000"/>
    <s v="CUST0170"/>
    <x v="9"/>
  </r>
  <r>
    <s v="ITM00188"/>
    <s v="ORD00108"/>
    <s v="PRD021"/>
    <n v="1"/>
    <n v="69000"/>
    <s v="Lampu LED Hias 5m"/>
    <n v="69000"/>
    <n v="30000"/>
    <n v="39000"/>
    <s v="CUST0040"/>
    <x v="7"/>
  </r>
  <r>
    <s v="ITM00189"/>
    <s v="ORD00108"/>
    <s v="PRD005"/>
    <n v="2"/>
    <n v="39000"/>
    <s v="Kabel Data USB-C"/>
    <n v="78000"/>
    <n v="15000"/>
    <n v="48000"/>
    <s v="CUST0040"/>
    <x v="7"/>
  </r>
  <r>
    <s v="ITM00190"/>
    <s v="ORD00108"/>
    <s v="PRD002"/>
    <n v="1"/>
    <n v="159000"/>
    <s v="Power Bank 10000mAh"/>
    <n v="159000"/>
    <n v="80000"/>
    <n v="79000"/>
    <s v="CUST0040"/>
    <x v="7"/>
  </r>
  <r>
    <s v="ITM00191"/>
    <s v="ORD00109"/>
    <s v="PRD006"/>
    <n v="1"/>
    <n v="129000"/>
    <s v="Charger Fast Charging 33W"/>
    <n v="129000"/>
    <n v="60000"/>
    <n v="69000"/>
    <s v="CUST0015"/>
    <x v="8"/>
  </r>
  <r>
    <s v="ITM00192"/>
    <s v="ORD00109"/>
    <s v="PRD020"/>
    <n v="1"/>
    <n v="179000"/>
    <s v="Rak Penyimpanan Serbaguna"/>
    <n v="179000"/>
    <n v="90000"/>
    <n v="89000"/>
    <s v="CUST0015"/>
    <x v="8"/>
  </r>
  <r>
    <s v="ITM00193"/>
    <s v="ORD00110"/>
    <s v="PRD008"/>
    <n v="1"/>
    <n v="399000"/>
    <s v="Keyboard Mechanical Mini"/>
    <n v="399000"/>
    <n v="200000"/>
    <n v="199000"/>
    <s v="CUST0139"/>
    <x v="0"/>
  </r>
  <r>
    <s v="ITM00194"/>
    <s v="ORD00110"/>
    <s v="PRD017"/>
    <n v="1"/>
    <n v="329000"/>
    <s v="Rice Cooker Mini 1.5L"/>
    <n v="329000"/>
    <n v="180000"/>
    <n v="149000"/>
    <s v="CUST0139"/>
    <x v="0"/>
  </r>
  <r>
    <s v="ITM00195"/>
    <s v="ORD00111"/>
    <s v="PRD021"/>
    <n v="2"/>
    <n v="69000"/>
    <s v="Lampu LED Hias 5m"/>
    <n v="138000"/>
    <n v="30000"/>
    <n v="78000"/>
    <s v="CUST0081"/>
    <x v="7"/>
  </r>
  <r>
    <s v="ITM00196"/>
    <s v="ORD00112"/>
    <s v="PRD005"/>
    <n v="1"/>
    <n v="39000"/>
    <s v="Kabel Data USB-C"/>
    <n v="39000"/>
    <n v="15000"/>
    <n v="24000"/>
    <s v="CUST0123"/>
    <x v="5"/>
  </r>
  <r>
    <s v="ITM00197"/>
    <s v="ORD00112"/>
    <s v="PRD021"/>
    <n v="1"/>
    <n v="69000"/>
    <s v="Lampu LED Hias 5m"/>
    <n v="69000"/>
    <n v="30000"/>
    <n v="39000"/>
    <s v="CUST0123"/>
    <x v="5"/>
  </r>
  <r>
    <s v="ITM00198"/>
    <s v="ORD00113"/>
    <s v="PRD020"/>
    <n v="1"/>
    <n v="179000"/>
    <s v="Rak Penyimpanan Serbaguna"/>
    <n v="179000"/>
    <n v="90000"/>
    <n v="89000"/>
    <s v="CUST0041"/>
    <x v="6"/>
  </r>
  <r>
    <s v="ITM00199"/>
    <s v="ORD00114"/>
    <s v="PRD009"/>
    <n v="1"/>
    <n v="79000"/>
    <s v="Kaos Polos Cotton Combed"/>
    <n v="79000"/>
    <n v="35000"/>
    <n v="44000"/>
    <s v="CUST0021"/>
    <x v="5"/>
  </r>
  <r>
    <s v="ITM00200"/>
    <s v="ORD00115"/>
    <s v="PRD021"/>
    <n v="1"/>
    <n v="69000"/>
    <s v="Lampu LED Hias 5m"/>
    <n v="69000"/>
    <n v="30000"/>
    <n v="39000"/>
    <s v="CUST0018"/>
    <x v="3"/>
  </r>
  <r>
    <s v="ITM00201"/>
    <s v="ORD00116"/>
    <s v="PRD005"/>
    <n v="2"/>
    <n v="39000"/>
    <s v="Kabel Data USB-C"/>
    <n v="78000"/>
    <n v="15000"/>
    <n v="48000"/>
    <s v="CUST0061"/>
    <x v="0"/>
  </r>
  <r>
    <s v="ITM00202"/>
    <s v="ORD00116"/>
    <s v="PRD020"/>
    <n v="2"/>
    <n v="179000"/>
    <s v="Rak Penyimpanan Serbaguna"/>
    <n v="358000"/>
    <n v="90000"/>
    <n v="178000"/>
    <s v="CUST0061"/>
    <x v="0"/>
  </r>
  <r>
    <s v="ITM00203"/>
    <s v="ORD00116"/>
    <s v="PRD021"/>
    <n v="1"/>
    <n v="69000"/>
    <s v="Lampu LED Hias 5m"/>
    <n v="69000"/>
    <n v="30000"/>
    <n v="39000"/>
    <s v="CUST0061"/>
    <x v="0"/>
  </r>
  <r>
    <s v="ITM00204"/>
    <s v="ORD00117"/>
    <s v="PRD020"/>
    <n v="1"/>
    <n v="179000"/>
    <s v="Rak Penyimpanan Serbaguna"/>
    <n v="179000"/>
    <n v="90000"/>
    <n v="89000"/>
    <s v="CUST0146"/>
    <x v="5"/>
  </r>
  <r>
    <s v="ITM00205"/>
    <s v="ORD00117"/>
    <s v="PRD021"/>
    <n v="2"/>
    <n v="69000"/>
    <s v="Lampu LED Hias 5m"/>
    <n v="138000"/>
    <n v="30000"/>
    <n v="78000"/>
    <s v="CUST0146"/>
    <x v="5"/>
  </r>
  <r>
    <s v="ITM00206"/>
    <s v="ORD00117"/>
    <s v="PRD017"/>
    <n v="1"/>
    <n v="329000"/>
    <s v="Rice Cooker Mini 1.5L"/>
    <n v="329000"/>
    <n v="180000"/>
    <n v="149000"/>
    <s v="CUST0146"/>
    <x v="5"/>
  </r>
  <r>
    <s v="ITM00207"/>
    <s v="ORD00118"/>
    <s v="PRD021"/>
    <n v="3"/>
    <n v="69000"/>
    <s v="Lampu LED Hias 5m"/>
    <n v="207000"/>
    <n v="30000"/>
    <n v="117000"/>
    <s v="CUST0153"/>
    <x v="4"/>
  </r>
  <r>
    <s v="ITM00208"/>
    <s v="ORD00119"/>
    <s v="PRD021"/>
    <n v="2"/>
    <n v="69000"/>
    <s v="Lampu LED Hias 5m"/>
    <n v="138000"/>
    <n v="30000"/>
    <n v="78000"/>
    <s v="CUST0108"/>
    <x v="4"/>
  </r>
  <r>
    <s v="ITM00209"/>
    <s v="ORD00119"/>
    <s v="PRD019"/>
    <n v="1"/>
    <n v="79000"/>
    <s v="Botol Minum Stainless 1L"/>
    <n v="79000"/>
    <n v="35000"/>
    <n v="44000"/>
    <s v="CUST0108"/>
    <x v="4"/>
  </r>
  <r>
    <s v="ITM00210"/>
    <s v="ORD00120"/>
    <s v="PRD005"/>
    <n v="1"/>
    <n v="39000"/>
    <s v="Kabel Data USB-C"/>
    <n v="39000"/>
    <n v="15000"/>
    <n v="24000"/>
    <s v="CUST0145"/>
    <x v="2"/>
  </r>
  <r>
    <s v="ITM00211"/>
    <s v="ORD00121"/>
    <s v="PRD005"/>
    <n v="1"/>
    <n v="39000"/>
    <s v="Kabel Data USB-C"/>
    <n v="39000"/>
    <n v="15000"/>
    <n v="24000"/>
    <s v="CUST0067"/>
    <x v="5"/>
  </r>
  <r>
    <s v="ITM00212"/>
    <s v="ORD00121"/>
    <s v="PRD022"/>
    <n v="2"/>
    <n v="55000"/>
    <s v="Sapu + Pengki Set"/>
    <n v="110000"/>
    <n v="25000"/>
    <n v="60000"/>
    <s v="CUST0067"/>
    <x v="5"/>
  </r>
  <r>
    <s v="ITM00213"/>
    <s v="ORD00121"/>
    <s v="PRD014"/>
    <n v="2"/>
    <n v="349000"/>
    <s v="Sepatu Sneakers Casual"/>
    <n v="698000"/>
    <n v="180000"/>
    <n v="338000"/>
    <s v="CUST0067"/>
    <x v="5"/>
  </r>
  <r>
    <s v="ITM00214"/>
    <s v="ORD00122"/>
    <s v="PRD020"/>
    <n v="2"/>
    <n v="179000"/>
    <s v="Rak Penyimpanan Serbaguna"/>
    <n v="358000"/>
    <n v="90000"/>
    <n v="178000"/>
    <s v="CUST0184"/>
    <x v="3"/>
  </r>
  <r>
    <s v="ITM00215"/>
    <s v="ORD00122"/>
    <s v="PRD014"/>
    <n v="3"/>
    <n v="349000"/>
    <s v="Sepatu Sneakers Casual"/>
    <n v="1047000"/>
    <n v="180000"/>
    <n v="507000"/>
    <s v="CUST0184"/>
    <x v="3"/>
  </r>
  <r>
    <s v="ITM00216"/>
    <s v="ORD00122"/>
    <s v="PRD021"/>
    <n v="1"/>
    <n v="69000"/>
    <s v="Lampu LED Hias 5m"/>
    <n v="69000"/>
    <n v="30000"/>
    <n v="39000"/>
    <s v="CUST0184"/>
    <x v="3"/>
  </r>
  <r>
    <s v="ITM00217"/>
    <s v="ORD00123"/>
    <s v="PRD009"/>
    <n v="1"/>
    <n v="79000"/>
    <s v="Kaos Polos Cotton Combed"/>
    <n v="79000"/>
    <n v="35000"/>
    <n v="44000"/>
    <s v="CUST0102"/>
    <x v="5"/>
  </r>
  <r>
    <s v="ITM00218"/>
    <s v="ORD00124"/>
    <s v="PRD021"/>
    <n v="1"/>
    <n v="69000"/>
    <s v="Lampu LED Hias 5m"/>
    <n v="69000"/>
    <n v="30000"/>
    <n v="39000"/>
    <s v="CUST0077"/>
    <x v="5"/>
  </r>
  <r>
    <s v="ITM00219"/>
    <s v="ORD00125"/>
    <s v="PRD014"/>
    <n v="1"/>
    <n v="349000"/>
    <s v="Sepatu Sneakers Casual"/>
    <n v="349000"/>
    <n v="180000"/>
    <n v="169000"/>
    <s v="CUST0193"/>
    <x v="4"/>
  </r>
  <r>
    <s v="ITM00220"/>
    <s v="ORD00125"/>
    <s v="PRD005"/>
    <n v="1"/>
    <n v="39000"/>
    <s v="Kabel Data USB-C"/>
    <n v="39000"/>
    <n v="15000"/>
    <n v="24000"/>
    <s v="CUST0193"/>
    <x v="4"/>
  </r>
  <r>
    <s v="ITM00221"/>
    <s v="ORD00126"/>
    <s v="PRD005"/>
    <n v="1"/>
    <n v="39000"/>
    <s v="Kabel Data USB-C"/>
    <n v="39000"/>
    <n v="15000"/>
    <n v="24000"/>
    <s v="CUST0160"/>
    <x v="5"/>
  </r>
  <r>
    <s v="ITM00222"/>
    <s v="ORD00126"/>
    <s v="PRD021"/>
    <n v="2"/>
    <n v="69000"/>
    <s v="Lampu LED Hias 5m"/>
    <n v="138000"/>
    <n v="30000"/>
    <n v="78000"/>
    <s v="CUST0160"/>
    <x v="5"/>
  </r>
  <r>
    <s v="ITM00223"/>
    <s v="ORD00127"/>
    <s v="PRD005"/>
    <n v="1"/>
    <n v="39000"/>
    <s v="Kabel Data USB-C"/>
    <n v="39000"/>
    <n v="15000"/>
    <n v="24000"/>
    <s v="CUST0019"/>
    <x v="2"/>
  </r>
  <r>
    <s v="ITM00224"/>
    <s v="ORD00127"/>
    <s v="PRD022"/>
    <n v="1"/>
    <n v="55000"/>
    <s v="Sapu + Pengki Set"/>
    <n v="55000"/>
    <n v="25000"/>
    <n v="30000"/>
    <s v="CUST0019"/>
    <x v="2"/>
  </r>
  <r>
    <s v="ITM00225"/>
    <s v="ORD00128"/>
    <s v="PRD021"/>
    <n v="1"/>
    <n v="69000"/>
    <s v="Lampu LED Hias 5m"/>
    <n v="69000"/>
    <n v="30000"/>
    <n v="39000"/>
    <s v="CUST0068"/>
    <x v="3"/>
  </r>
  <r>
    <s v="ITM00226"/>
    <s v="ORD00129"/>
    <s v="PRD005"/>
    <n v="1"/>
    <n v="39000"/>
    <s v="Kabel Data USB-C"/>
    <n v="39000"/>
    <n v="15000"/>
    <n v="24000"/>
    <s v="CUST0090"/>
    <x v="3"/>
  </r>
  <r>
    <s v="ITM00227"/>
    <s v="ORD00129"/>
    <s v="PRD003"/>
    <n v="1"/>
    <n v="499000"/>
    <s v="Smartwatch Lite"/>
    <n v="499000"/>
    <n v="250000"/>
    <n v="249000"/>
    <s v="CUST0090"/>
    <x v="3"/>
  </r>
  <r>
    <s v="ITM00228"/>
    <s v="ORD00130"/>
    <s v="PRD021"/>
    <n v="1"/>
    <n v="69000"/>
    <s v="Lampu LED Hias 5m"/>
    <n v="69000"/>
    <n v="30000"/>
    <n v="39000"/>
    <s v="CUST0063"/>
    <x v="2"/>
  </r>
  <r>
    <s v="ITM00229"/>
    <s v="ORD00131"/>
    <s v="PRD020"/>
    <n v="1"/>
    <n v="179000"/>
    <s v="Rak Penyimpanan Serbaguna"/>
    <n v="179000"/>
    <n v="90000"/>
    <n v="89000"/>
    <s v="CUST0041"/>
    <x v="6"/>
  </r>
  <r>
    <s v="ITM00230"/>
    <s v="ORD00132"/>
    <s v="PRD005"/>
    <n v="1"/>
    <n v="39000"/>
    <s v="Kabel Data USB-C"/>
    <n v="39000"/>
    <n v="15000"/>
    <n v="24000"/>
    <s v="CUST0181"/>
    <x v="7"/>
  </r>
  <r>
    <s v="ITM00231"/>
    <s v="ORD00133"/>
    <s v="PRD022"/>
    <n v="1"/>
    <n v="55000"/>
    <s v="Sapu + Pengki Set"/>
    <n v="55000"/>
    <n v="25000"/>
    <n v="30000"/>
    <s v="CUST0168"/>
    <x v="5"/>
  </r>
  <r>
    <s v="ITM00232"/>
    <s v="ORD00133"/>
    <s v="PRD002"/>
    <n v="1"/>
    <n v="159000"/>
    <s v="Power Bank 10000mAh"/>
    <n v="159000"/>
    <n v="80000"/>
    <n v="79000"/>
    <s v="CUST0168"/>
    <x v="5"/>
  </r>
  <r>
    <s v="ITM00233"/>
    <s v="ORD00133"/>
    <s v="PRD021"/>
    <n v="1"/>
    <n v="69000"/>
    <s v="Lampu LED Hias 5m"/>
    <n v="69000"/>
    <n v="30000"/>
    <n v="39000"/>
    <s v="CUST0168"/>
    <x v="5"/>
  </r>
  <r>
    <s v="ITM00234"/>
    <s v="ORD00133"/>
    <s v="PRD020"/>
    <n v="1"/>
    <n v="179000"/>
    <s v="Rak Penyimpanan Serbaguna"/>
    <n v="179000"/>
    <n v="90000"/>
    <n v="89000"/>
    <s v="CUST0168"/>
    <x v="5"/>
  </r>
  <r>
    <s v="ITM00235"/>
    <s v="ORD00134"/>
    <s v="PRD022"/>
    <n v="1"/>
    <n v="55000"/>
    <s v="Sapu + Pengki Set"/>
    <n v="55000"/>
    <n v="25000"/>
    <n v="30000"/>
    <s v="CUST0171"/>
    <x v="9"/>
  </r>
  <r>
    <s v="ITM00236"/>
    <s v="ORD00135"/>
    <s v="PRD021"/>
    <n v="1"/>
    <n v="69000"/>
    <s v="Lampu LED Hias 5m"/>
    <n v="69000"/>
    <n v="30000"/>
    <n v="39000"/>
    <s v="CUST0170"/>
    <x v="9"/>
  </r>
  <r>
    <s v="ITM00237"/>
    <s v="ORD00136"/>
    <s v="PRD002"/>
    <n v="2"/>
    <n v="159000"/>
    <s v="Power Bank 10000mAh"/>
    <n v="318000"/>
    <n v="80000"/>
    <n v="158000"/>
    <s v="CUST0030"/>
    <x v="5"/>
  </r>
  <r>
    <s v="ITM00238"/>
    <s v="ORD00137"/>
    <s v="PRD022"/>
    <n v="1"/>
    <n v="55000"/>
    <s v="Sapu + Pengki Set"/>
    <n v="55000"/>
    <n v="25000"/>
    <n v="30000"/>
    <s v="CUST0142"/>
    <x v="7"/>
  </r>
  <r>
    <s v="ITM00239"/>
    <s v="ORD00138"/>
    <s v="PRD021"/>
    <n v="1"/>
    <n v="69000"/>
    <s v="Lampu LED Hias 5m"/>
    <n v="69000"/>
    <n v="30000"/>
    <n v="39000"/>
    <s v="CUST0073"/>
    <x v="2"/>
  </r>
  <r>
    <s v="ITM00240"/>
    <s v="ORD00139"/>
    <s v="PRD021"/>
    <n v="2"/>
    <n v="69000"/>
    <s v="Lampu LED Hias 5m"/>
    <n v="138000"/>
    <n v="30000"/>
    <n v="78000"/>
    <s v="CUST0088"/>
    <x v="1"/>
  </r>
  <r>
    <s v="ITM00241"/>
    <s v="ORD00140"/>
    <s v="PRD021"/>
    <n v="3"/>
    <n v="69000"/>
    <s v="Lampu LED Hias 5m"/>
    <n v="207000"/>
    <n v="30000"/>
    <n v="117000"/>
    <s v="CUST0163"/>
    <x v="3"/>
  </r>
  <r>
    <s v="ITM00242"/>
    <s v="ORD00141"/>
    <s v="PRD021"/>
    <n v="1"/>
    <n v="69000"/>
    <s v="Lampu LED Hias 5m"/>
    <n v="69000"/>
    <n v="30000"/>
    <n v="39000"/>
    <s v="CUST0065"/>
    <x v="5"/>
  </r>
  <r>
    <s v="ITM00243"/>
    <s v="ORD00141"/>
    <s v="PRD014"/>
    <n v="1"/>
    <n v="349000"/>
    <s v="Sepatu Sneakers Casual"/>
    <n v="349000"/>
    <n v="180000"/>
    <n v="169000"/>
    <s v="CUST0065"/>
    <x v="5"/>
  </r>
  <r>
    <s v="ITM00244"/>
    <s v="ORD00142"/>
    <s v="PRD012"/>
    <n v="1"/>
    <n v="229000"/>
    <s v="Celana Jeans Slimfit"/>
    <n v="229000"/>
    <n v="110000"/>
    <n v="119000"/>
    <s v="CUST0109"/>
    <x v="2"/>
  </r>
  <r>
    <s v="ITM00245"/>
    <s v="ORD00143"/>
    <s v="PRD015"/>
    <n v="1"/>
    <n v="139000"/>
    <s v="Tas Selempang Kanvas"/>
    <n v="139000"/>
    <n v="60000"/>
    <n v="79000"/>
    <s v="CUST0086"/>
    <x v="1"/>
  </r>
  <r>
    <s v="ITM00246"/>
    <s v="ORD00143"/>
    <s v="PRD002"/>
    <n v="1"/>
    <n v="159000"/>
    <s v="Power Bank 10000mAh"/>
    <n v="159000"/>
    <n v="80000"/>
    <n v="79000"/>
    <s v="CUST0086"/>
    <x v="1"/>
  </r>
  <r>
    <s v="ITM00247"/>
    <s v="ORD00144"/>
    <s v="PRD021"/>
    <n v="1"/>
    <n v="69000"/>
    <s v="Lampu LED Hias 5m"/>
    <n v="69000"/>
    <n v="30000"/>
    <n v="39000"/>
    <s v="CUST0164"/>
    <x v="8"/>
  </r>
  <r>
    <s v="ITM00248"/>
    <s v="ORD00145"/>
    <s v="PRD005"/>
    <n v="1"/>
    <n v="39000"/>
    <s v="Kabel Data USB-C"/>
    <n v="39000"/>
    <n v="15000"/>
    <n v="24000"/>
    <s v="CUST0114"/>
    <x v="3"/>
  </r>
  <r>
    <s v="ITM00249"/>
    <s v="ORD00146"/>
    <s v="PRD021"/>
    <n v="1"/>
    <n v="69000"/>
    <s v="Lampu LED Hias 5m"/>
    <n v="69000"/>
    <n v="30000"/>
    <n v="39000"/>
    <s v="CUST0144"/>
    <x v="7"/>
  </r>
  <r>
    <s v="ITM00250"/>
    <s v="ORD00146"/>
    <s v="PRD022"/>
    <n v="1"/>
    <n v="55000"/>
    <s v="Sapu + Pengki Set"/>
    <n v="55000"/>
    <n v="25000"/>
    <n v="30000"/>
    <s v="CUST0144"/>
    <x v="7"/>
  </r>
  <r>
    <s v="ITM00251"/>
    <s v="ORD00147"/>
    <s v="PRD021"/>
    <n v="1"/>
    <n v="69000"/>
    <s v="Lampu LED Hias 5m"/>
    <n v="69000"/>
    <n v="30000"/>
    <n v="39000"/>
    <s v="CUST0020"/>
    <x v="1"/>
  </r>
  <r>
    <s v="ITM00252"/>
    <s v="ORD00147"/>
    <s v="PRD009"/>
    <n v="1"/>
    <n v="79000"/>
    <s v="Kaos Polos Cotton Combed"/>
    <n v="79000"/>
    <n v="35000"/>
    <n v="44000"/>
    <s v="CUST0020"/>
    <x v="1"/>
  </r>
  <r>
    <s v="ITM00253"/>
    <s v="ORD00147"/>
    <s v="PRD005"/>
    <n v="1"/>
    <n v="39000"/>
    <s v="Kabel Data USB-C"/>
    <n v="39000"/>
    <n v="15000"/>
    <n v="24000"/>
    <s v="CUST0020"/>
    <x v="1"/>
  </r>
  <r>
    <s v="ITM00254"/>
    <s v="ORD00147"/>
    <s v="PRD017"/>
    <n v="1"/>
    <n v="329000"/>
    <s v="Rice Cooker Mini 1.5L"/>
    <n v="329000"/>
    <n v="180000"/>
    <n v="149000"/>
    <s v="CUST0020"/>
    <x v="1"/>
  </r>
  <r>
    <s v="ITM00255"/>
    <s v="ORD00148"/>
    <s v="PRD008"/>
    <n v="1"/>
    <n v="399000"/>
    <s v="Keyboard Mechanical Mini"/>
    <n v="399000"/>
    <n v="200000"/>
    <n v="199000"/>
    <s v="CUST0039"/>
    <x v="0"/>
  </r>
  <r>
    <s v="ITM00256"/>
    <s v="ORD00148"/>
    <s v="PRD021"/>
    <n v="1"/>
    <n v="69000"/>
    <s v="Lampu LED Hias 5m"/>
    <n v="69000"/>
    <n v="30000"/>
    <n v="39000"/>
    <s v="CUST0039"/>
    <x v="0"/>
  </r>
  <r>
    <s v="ITM00257"/>
    <s v="ORD00149"/>
    <s v="PRD021"/>
    <n v="1"/>
    <n v="69000"/>
    <s v="Lampu LED Hias 5m"/>
    <n v="69000"/>
    <n v="30000"/>
    <n v="39000"/>
    <s v="CUST0095"/>
    <x v="9"/>
  </r>
  <r>
    <s v="ITM00258"/>
    <s v="ORD00150"/>
    <s v="PRD006"/>
    <n v="2"/>
    <n v="129000"/>
    <s v="Charger Fast Charging 33W"/>
    <n v="258000"/>
    <n v="60000"/>
    <n v="138000"/>
    <s v="CUST0038"/>
    <x v="4"/>
  </r>
  <r>
    <s v="ITM00259"/>
    <s v="ORD00150"/>
    <s v="PRD022"/>
    <n v="1"/>
    <n v="55000"/>
    <s v="Sapu + Pengki Set"/>
    <n v="55000"/>
    <n v="25000"/>
    <n v="30000"/>
    <s v="CUST0038"/>
    <x v="4"/>
  </r>
  <r>
    <s v="ITM00260"/>
    <s v="ORD00151"/>
    <s v="PRD002"/>
    <n v="1"/>
    <n v="159000"/>
    <s v="Power Bank 10000mAh"/>
    <n v="159000"/>
    <n v="80000"/>
    <n v="79000"/>
    <s v="CUST0079"/>
    <x v="1"/>
  </r>
  <r>
    <s v="ITM00261"/>
    <s v="ORD00152"/>
    <s v="PRD021"/>
    <n v="2"/>
    <n v="69000"/>
    <s v="Lampu LED Hias 5m"/>
    <n v="138000"/>
    <n v="30000"/>
    <n v="78000"/>
    <s v="CUST0011"/>
    <x v="8"/>
  </r>
  <r>
    <s v="ITM00262"/>
    <s v="ORD00153"/>
    <s v="PRD021"/>
    <n v="2"/>
    <n v="69000"/>
    <s v="Lampu LED Hias 5m"/>
    <n v="138000"/>
    <n v="30000"/>
    <n v="78000"/>
    <s v="CUST0064"/>
    <x v="0"/>
  </r>
  <r>
    <s v="ITM00263"/>
    <s v="ORD00154"/>
    <s v="PRD021"/>
    <n v="1"/>
    <n v="69000"/>
    <s v="Lampu LED Hias 5m"/>
    <n v="69000"/>
    <n v="30000"/>
    <n v="39000"/>
    <s v="CUST0091"/>
    <x v="2"/>
  </r>
  <r>
    <s v="ITM00264"/>
    <s v="ORD00154"/>
    <s v="PRD005"/>
    <n v="2"/>
    <n v="39000"/>
    <s v="Kabel Data USB-C"/>
    <n v="78000"/>
    <n v="15000"/>
    <n v="48000"/>
    <s v="CUST0091"/>
    <x v="2"/>
  </r>
  <r>
    <s v="ITM00265"/>
    <s v="ORD00154"/>
    <s v="PRD014"/>
    <n v="1"/>
    <n v="349000"/>
    <s v="Sepatu Sneakers Casual"/>
    <n v="349000"/>
    <n v="180000"/>
    <n v="169000"/>
    <s v="CUST0091"/>
    <x v="2"/>
  </r>
  <r>
    <s v="ITM00266"/>
    <s v="ORD00155"/>
    <s v="PRD021"/>
    <n v="1"/>
    <n v="69000"/>
    <s v="Lampu LED Hias 5m"/>
    <n v="69000"/>
    <n v="30000"/>
    <n v="39000"/>
    <s v="CUST0159"/>
    <x v="7"/>
  </r>
  <r>
    <s v="ITM00267"/>
    <s v="ORD00156"/>
    <s v="PRD005"/>
    <n v="1"/>
    <n v="39000"/>
    <s v="Kabel Data USB-C"/>
    <n v="39000"/>
    <n v="15000"/>
    <n v="24000"/>
    <s v="CUST0061"/>
    <x v="0"/>
  </r>
  <r>
    <s v="ITM00268"/>
    <s v="ORD00156"/>
    <s v="PRD014"/>
    <n v="1"/>
    <n v="349000"/>
    <s v="Sepatu Sneakers Casual"/>
    <n v="349000"/>
    <n v="180000"/>
    <n v="169000"/>
    <s v="CUST0061"/>
    <x v="0"/>
  </r>
  <r>
    <s v="ITM00269"/>
    <s v="ORD00157"/>
    <s v="PRD023"/>
    <n v="2"/>
    <n v="139000"/>
    <s v="Wajan Anti Lengket 24cm"/>
    <n v="278000"/>
    <n v="65000"/>
    <n v="148000"/>
    <s v="CUST0046"/>
    <x v="5"/>
  </r>
  <r>
    <s v="ITM00270"/>
    <s v="ORD00157"/>
    <s v="PRD005"/>
    <n v="1"/>
    <n v="39000"/>
    <s v="Kabel Data USB-C"/>
    <n v="39000"/>
    <n v="15000"/>
    <n v="24000"/>
    <s v="CUST0046"/>
    <x v="5"/>
  </r>
  <r>
    <s v="ITM00271"/>
    <s v="ORD00158"/>
    <s v="PRD021"/>
    <n v="1"/>
    <n v="69000"/>
    <s v="Lampu LED Hias 5m"/>
    <n v="69000"/>
    <n v="30000"/>
    <n v="39000"/>
    <s v="CUST0189"/>
    <x v="0"/>
  </r>
  <r>
    <s v="ITM00272"/>
    <s v="ORD00159"/>
    <s v="PRD005"/>
    <n v="1"/>
    <n v="39000"/>
    <s v="Kabel Data USB-C"/>
    <n v="39000"/>
    <n v="15000"/>
    <n v="24000"/>
    <s v="CUST0106"/>
    <x v="9"/>
  </r>
  <r>
    <s v="ITM00273"/>
    <s v="ORD00160"/>
    <s v="PRD007"/>
    <n v="1"/>
    <n v="99000"/>
    <s v="Mouse Wireless"/>
    <n v="99000"/>
    <n v="45000"/>
    <n v="54000"/>
    <s v="CUST0189"/>
    <x v="0"/>
  </r>
  <r>
    <s v="ITM00274"/>
    <s v="ORD00160"/>
    <s v="PRD021"/>
    <n v="1"/>
    <n v="69000"/>
    <s v="Lampu LED Hias 5m"/>
    <n v="69000"/>
    <n v="30000"/>
    <n v="39000"/>
    <s v="CUST0189"/>
    <x v="0"/>
  </r>
  <r>
    <s v="ITM00275"/>
    <s v="ORD00161"/>
    <s v="PRD021"/>
    <n v="3"/>
    <n v="69000"/>
    <s v="Lampu LED Hias 5m"/>
    <n v="207000"/>
    <n v="30000"/>
    <n v="117000"/>
    <s v="CUST0069"/>
    <x v="9"/>
  </r>
  <r>
    <s v="ITM00276"/>
    <s v="ORD00161"/>
    <s v="PRD020"/>
    <n v="1"/>
    <n v="179000"/>
    <s v="Rak Penyimpanan Serbaguna"/>
    <n v="179000"/>
    <n v="90000"/>
    <n v="89000"/>
    <s v="CUST0069"/>
    <x v="9"/>
  </r>
  <r>
    <s v="ITM00277"/>
    <s v="ORD00161"/>
    <s v="PRD017"/>
    <n v="1"/>
    <n v="329000"/>
    <s v="Rice Cooker Mini 1.5L"/>
    <n v="329000"/>
    <n v="180000"/>
    <n v="149000"/>
    <s v="CUST0069"/>
    <x v="9"/>
  </r>
  <r>
    <s v="ITM00278"/>
    <s v="ORD00161"/>
    <s v="PRD003"/>
    <n v="1"/>
    <n v="499000"/>
    <s v="Smartwatch Lite"/>
    <n v="499000"/>
    <n v="250000"/>
    <n v="249000"/>
    <s v="CUST0069"/>
    <x v="9"/>
  </r>
  <r>
    <s v="ITM00279"/>
    <s v="ORD00162"/>
    <s v="PRD021"/>
    <n v="1"/>
    <n v="69000"/>
    <s v="Lampu LED Hias 5m"/>
    <n v="69000"/>
    <n v="30000"/>
    <n v="39000"/>
    <s v="CUST0028"/>
    <x v="8"/>
  </r>
  <r>
    <s v="ITM00280"/>
    <s v="ORD00163"/>
    <s v="PRD006"/>
    <n v="3"/>
    <n v="129000"/>
    <s v="Charger Fast Charging 33W"/>
    <n v="387000"/>
    <n v="60000"/>
    <n v="207000"/>
    <s v="CUST0121"/>
    <x v="3"/>
  </r>
  <r>
    <s v="ITM00281"/>
    <s v="ORD00163"/>
    <s v="PRD012"/>
    <n v="1"/>
    <n v="229000"/>
    <s v="Celana Jeans Slimfit"/>
    <n v="229000"/>
    <n v="110000"/>
    <n v="119000"/>
    <s v="CUST0121"/>
    <x v="3"/>
  </r>
  <r>
    <s v="ITM00282"/>
    <s v="ORD00163"/>
    <s v="PRD005"/>
    <n v="2"/>
    <n v="39000"/>
    <s v="Kabel Data USB-C"/>
    <n v="78000"/>
    <n v="15000"/>
    <n v="48000"/>
    <s v="CUST0121"/>
    <x v="3"/>
  </r>
  <r>
    <s v="ITM00283"/>
    <s v="ORD00164"/>
    <s v="PRD021"/>
    <n v="1"/>
    <n v="69000"/>
    <s v="Lampu LED Hias 5m"/>
    <n v="69000"/>
    <n v="30000"/>
    <n v="39000"/>
    <s v="CUST0118"/>
    <x v="5"/>
  </r>
  <r>
    <s v="ITM00284"/>
    <s v="ORD00165"/>
    <s v="PRD004"/>
    <n v="1"/>
    <n v="199000"/>
    <s v="Speaker Bluetooth Mini"/>
    <n v="199000"/>
    <n v="100000"/>
    <n v="99000"/>
    <s v="CUST0059"/>
    <x v="0"/>
  </r>
  <r>
    <s v="ITM00285"/>
    <s v="ORD00165"/>
    <s v="PRD008"/>
    <n v="1"/>
    <n v="399000"/>
    <s v="Keyboard Mechanical Mini"/>
    <n v="399000"/>
    <n v="200000"/>
    <n v="199000"/>
    <s v="CUST0059"/>
    <x v="0"/>
  </r>
  <r>
    <s v="ITM00286"/>
    <s v="ORD00166"/>
    <s v="PRD021"/>
    <n v="2"/>
    <n v="69000"/>
    <s v="Lampu LED Hias 5m"/>
    <n v="138000"/>
    <n v="30000"/>
    <n v="78000"/>
    <s v="CUST0169"/>
    <x v="6"/>
  </r>
  <r>
    <s v="ITM00287"/>
    <s v="ORD00166"/>
    <s v="PRD008"/>
    <n v="1"/>
    <n v="399000"/>
    <s v="Keyboard Mechanical Mini"/>
    <n v="399000"/>
    <n v="200000"/>
    <n v="199000"/>
    <s v="CUST0169"/>
    <x v="6"/>
  </r>
  <r>
    <s v="ITM00288"/>
    <s v="ORD00167"/>
    <s v="PRD012"/>
    <n v="1"/>
    <n v="229000"/>
    <s v="Celana Jeans Slimfit"/>
    <n v="229000"/>
    <n v="110000"/>
    <n v="119000"/>
    <s v="CUST0085"/>
    <x v="5"/>
  </r>
  <r>
    <s v="ITM00289"/>
    <s v="ORD00167"/>
    <s v="PRD019"/>
    <n v="1"/>
    <n v="79000"/>
    <s v="Botol Minum Stainless 1L"/>
    <n v="79000"/>
    <n v="35000"/>
    <n v="44000"/>
    <s v="CUST0085"/>
    <x v="5"/>
  </r>
  <r>
    <s v="ITM00290"/>
    <s v="ORD00168"/>
    <s v="PRD021"/>
    <n v="1"/>
    <n v="69000"/>
    <s v="Lampu LED Hias 5m"/>
    <n v="69000"/>
    <n v="30000"/>
    <n v="39000"/>
    <s v="CUST0018"/>
    <x v="3"/>
  </r>
  <r>
    <s v="ITM00291"/>
    <s v="ORD00168"/>
    <s v="PRD008"/>
    <n v="1"/>
    <n v="399000"/>
    <s v="Keyboard Mechanical Mini"/>
    <n v="399000"/>
    <n v="200000"/>
    <n v="199000"/>
    <s v="CUST0018"/>
    <x v="3"/>
  </r>
  <r>
    <s v="ITM00292"/>
    <s v="ORD00168"/>
    <s v="PRD005"/>
    <n v="1"/>
    <n v="39000"/>
    <s v="Kabel Data USB-C"/>
    <n v="39000"/>
    <n v="15000"/>
    <n v="24000"/>
    <s v="CUST0018"/>
    <x v="3"/>
  </r>
  <r>
    <s v="ITM00293"/>
    <s v="ORD00169"/>
    <s v="PRD005"/>
    <n v="1"/>
    <n v="39000"/>
    <s v="Kabel Data USB-C"/>
    <n v="39000"/>
    <n v="15000"/>
    <n v="24000"/>
    <s v="CUST0090"/>
    <x v="3"/>
  </r>
  <r>
    <s v="ITM00294"/>
    <s v="ORD00169"/>
    <s v="PRD021"/>
    <n v="2"/>
    <n v="69000"/>
    <s v="Lampu LED Hias 5m"/>
    <n v="138000"/>
    <n v="30000"/>
    <n v="78000"/>
    <s v="CUST0090"/>
    <x v="3"/>
  </r>
  <r>
    <s v="ITM00295"/>
    <s v="ORD00169"/>
    <s v="PRD022"/>
    <n v="1"/>
    <n v="55000"/>
    <s v="Sapu + Pengki Set"/>
    <n v="55000"/>
    <n v="25000"/>
    <n v="30000"/>
    <s v="CUST0090"/>
    <x v="3"/>
  </r>
  <r>
    <s v="ITM00296"/>
    <s v="ORD00170"/>
    <s v="PRD021"/>
    <n v="1"/>
    <n v="69000"/>
    <s v="Lampu LED Hias 5m"/>
    <n v="69000"/>
    <n v="30000"/>
    <n v="39000"/>
    <s v="CUST0103"/>
    <x v="8"/>
  </r>
  <r>
    <s v="ITM00297"/>
    <s v="ORD00170"/>
    <s v="PRD005"/>
    <n v="1"/>
    <n v="39000"/>
    <s v="Kabel Data USB-C"/>
    <n v="39000"/>
    <n v="15000"/>
    <n v="24000"/>
    <s v="CUST0103"/>
    <x v="8"/>
  </r>
  <r>
    <s v="ITM00298"/>
    <s v="ORD00170"/>
    <s v="PRD017"/>
    <n v="2"/>
    <n v="329000"/>
    <s v="Rice Cooker Mini 1.5L"/>
    <n v="658000"/>
    <n v="180000"/>
    <n v="298000"/>
    <s v="CUST0103"/>
    <x v="8"/>
  </r>
  <r>
    <s v="ITM00299"/>
    <s v="ORD00171"/>
    <s v="PRD019"/>
    <n v="1"/>
    <n v="79000"/>
    <s v="Botol Minum Stainless 1L"/>
    <n v="79000"/>
    <n v="35000"/>
    <n v="44000"/>
    <s v="CUST0138"/>
    <x v="9"/>
  </r>
  <r>
    <s v="ITM00300"/>
    <s v="ORD00172"/>
    <s v="PRD021"/>
    <n v="1"/>
    <n v="69000"/>
    <s v="Lampu LED Hias 5m"/>
    <n v="69000"/>
    <n v="30000"/>
    <n v="39000"/>
    <s v="CUST0067"/>
    <x v="5"/>
  </r>
  <r>
    <s v="ITM00301"/>
    <s v="ORD00173"/>
    <s v="PRD005"/>
    <n v="1"/>
    <n v="39000"/>
    <s v="Kabel Data USB-C"/>
    <n v="39000"/>
    <n v="15000"/>
    <n v="24000"/>
    <s v="CUST0068"/>
    <x v="3"/>
  </r>
  <r>
    <s v="ITM00302"/>
    <s v="ORD00174"/>
    <s v="PRD005"/>
    <n v="2"/>
    <n v="39000"/>
    <s v="Kabel Data USB-C"/>
    <n v="78000"/>
    <n v="15000"/>
    <n v="48000"/>
    <s v="CUST0153"/>
    <x v="4"/>
  </r>
  <r>
    <s v="ITM00303"/>
    <s v="ORD00175"/>
    <s v="PRD021"/>
    <n v="1"/>
    <n v="69000"/>
    <s v="Lampu LED Hias 5m"/>
    <n v="69000"/>
    <n v="30000"/>
    <n v="39000"/>
    <s v="CUST0187"/>
    <x v="5"/>
  </r>
  <r>
    <s v="ITM00304"/>
    <s v="ORD00175"/>
    <s v="PRD005"/>
    <n v="1"/>
    <n v="39000"/>
    <s v="Kabel Data USB-C"/>
    <n v="39000"/>
    <n v="15000"/>
    <n v="24000"/>
    <s v="CUST0187"/>
    <x v="5"/>
  </r>
  <r>
    <s v="ITM00305"/>
    <s v="ORD00176"/>
    <s v="PRD005"/>
    <n v="1"/>
    <n v="39000"/>
    <s v="Kabel Data USB-C"/>
    <n v="39000"/>
    <n v="15000"/>
    <n v="24000"/>
    <s v="CUST0131"/>
    <x v="8"/>
  </r>
  <r>
    <s v="ITM00306"/>
    <s v="ORD00177"/>
    <s v="PRD021"/>
    <n v="2"/>
    <n v="69000"/>
    <s v="Lampu LED Hias 5m"/>
    <n v="138000"/>
    <n v="30000"/>
    <n v="78000"/>
    <s v="CUST0148"/>
    <x v="5"/>
  </r>
  <r>
    <s v="ITM00307"/>
    <s v="ORD00178"/>
    <s v="PRD014"/>
    <n v="1"/>
    <n v="349000"/>
    <s v="Sepatu Sneakers Casual"/>
    <n v="349000"/>
    <n v="180000"/>
    <n v="169000"/>
    <s v="CUST0182"/>
    <x v="7"/>
  </r>
  <r>
    <s v="ITM00308"/>
    <s v="ORD00179"/>
    <s v="PRD002"/>
    <n v="3"/>
    <n v="159000"/>
    <s v="Power Bank 10000mAh"/>
    <n v="477000"/>
    <n v="80000"/>
    <n v="237000"/>
    <s v="CUST0138"/>
    <x v="9"/>
  </r>
  <r>
    <s v="ITM00309"/>
    <s v="ORD00180"/>
    <s v="PRD009"/>
    <n v="1"/>
    <n v="79000"/>
    <s v="Kaos Polos Cotton Combed"/>
    <n v="79000"/>
    <n v="35000"/>
    <n v="44000"/>
    <s v="CUST0189"/>
    <x v="0"/>
  </r>
  <r>
    <s v="ITM00310"/>
    <s v="ORD00181"/>
    <s v="PRD005"/>
    <n v="2"/>
    <n v="39000"/>
    <s v="Kabel Data USB-C"/>
    <n v="78000"/>
    <n v="15000"/>
    <n v="48000"/>
    <s v="CUST0094"/>
    <x v="0"/>
  </r>
  <r>
    <s v="ITM00311"/>
    <s v="ORD00182"/>
    <s v="PRD021"/>
    <n v="1"/>
    <n v="69000"/>
    <s v="Lampu LED Hias 5m"/>
    <n v="69000"/>
    <n v="30000"/>
    <n v="39000"/>
    <s v="CUST0085"/>
    <x v="5"/>
  </r>
  <r>
    <s v="ITM00312"/>
    <s v="ORD00182"/>
    <s v="PRD012"/>
    <n v="1"/>
    <n v="229000"/>
    <s v="Celana Jeans Slimfit"/>
    <n v="229000"/>
    <n v="110000"/>
    <n v="119000"/>
    <s v="CUST0085"/>
    <x v="5"/>
  </r>
  <r>
    <s v="ITM00313"/>
    <s v="ORD00183"/>
    <s v="PRD014"/>
    <n v="1"/>
    <n v="349000"/>
    <s v="Sepatu Sneakers Casual"/>
    <n v="349000"/>
    <n v="180000"/>
    <n v="169000"/>
    <s v="CUST0170"/>
    <x v="9"/>
  </r>
  <r>
    <s v="ITM00314"/>
    <s v="ORD00183"/>
    <s v="PRD006"/>
    <n v="3"/>
    <n v="129000"/>
    <s v="Charger Fast Charging 33W"/>
    <n v="387000"/>
    <n v="60000"/>
    <n v="207000"/>
    <s v="CUST0170"/>
    <x v="9"/>
  </r>
  <r>
    <s v="ITM00315"/>
    <s v="ORD00184"/>
    <s v="PRD009"/>
    <n v="1"/>
    <n v="79000"/>
    <s v="Kaos Polos Cotton Combed"/>
    <n v="79000"/>
    <n v="35000"/>
    <n v="44000"/>
    <s v="CUST0185"/>
    <x v="5"/>
  </r>
  <r>
    <s v="ITM00316"/>
    <s v="ORD00185"/>
    <s v="PRD021"/>
    <n v="1"/>
    <n v="69000"/>
    <s v="Lampu LED Hias 5m"/>
    <n v="69000"/>
    <n v="30000"/>
    <n v="39000"/>
    <s v="CUST0171"/>
    <x v="9"/>
  </r>
  <r>
    <s v="ITM00317"/>
    <s v="ORD00186"/>
    <s v="PRD021"/>
    <n v="1"/>
    <n v="69000"/>
    <s v="Lampu LED Hias 5m"/>
    <n v="69000"/>
    <n v="30000"/>
    <n v="39000"/>
    <s v="CUST0104"/>
    <x v="5"/>
  </r>
  <r>
    <s v="ITM00318"/>
    <s v="ORD00186"/>
    <s v="PRD005"/>
    <n v="1"/>
    <n v="39000"/>
    <s v="Kabel Data USB-C"/>
    <n v="39000"/>
    <n v="15000"/>
    <n v="24000"/>
    <s v="CUST0104"/>
    <x v="5"/>
  </r>
  <r>
    <s v="ITM00319"/>
    <s v="ORD00187"/>
    <s v="PRD021"/>
    <n v="1"/>
    <n v="69000"/>
    <s v="Lampu LED Hias 5m"/>
    <n v="69000"/>
    <n v="30000"/>
    <n v="39000"/>
    <s v="CUST0050"/>
    <x v="5"/>
  </r>
  <r>
    <s v="ITM00320"/>
    <s v="ORD00188"/>
    <s v="PRD021"/>
    <n v="1"/>
    <n v="69000"/>
    <s v="Lampu LED Hias 5m"/>
    <n v="69000"/>
    <n v="30000"/>
    <n v="39000"/>
    <s v="CUST0098"/>
    <x v="2"/>
  </r>
  <r>
    <s v="ITM00321"/>
    <s v="ORD00188"/>
    <s v="PRD005"/>
    <n v="1"/>
    <n v="39000"/>
    <s v="Kabel Data USB-C"/>
    <n v="39000"/>
    <n v="15000"/>
    <n v="24000"/>
    <s v="CUST0098"/>
    <x v="2"/>
  </r>
  <r>
    <s v="ITM00322"/>
    <s v="ORD00189"/>
    <s v="PRD021"/>
    <n v="1"/>
    <n v="69000"/>
    <s v="Lampu LED Hias 5m"/>
    <n v="69000"/>
    <n v="30000"/>
    <n v="39000"/>
    <s v="CUST0045"/>
    <x v="6"/>
  </r>
  <r>
    <s v="ITM00323"/>
    <s v="ORD00189"/>
    <s v="PRD002"/>
    <n v="2"/>
    <n v="159000"/>
    <s v="Power Bank 10000mAh"/>
    <n v="318000"/>
    <n v="80000"/>
    <n v="158000"/>
    <s v="CUST0045"/>
    <x v="6"/>
  </r>
  <r>
    <s v="ITM00324"/>
    <s v="ORD00189"/>
    <s v="PRD006"/>
    <n v="1"/>
    <n v="129000"/>
    <s v="Charger Fast Charging 33W"/>
    <n v="129000"/>
    <n v="60000"/>
    <n v="69000"/>
    <s v="CUST0045"/>
    <x v="6"/>
  </r>
  <r>
    <s v="ITM00325"/>
    <s v="ORD00189"/>
    <s v="PRD005"/>
    <n v="1"/>
    <n v="39000"/>
    <s v="Kabel Data USB-C"/>
    <n v="39000"/>
    <n v="15000"/>
    <n v="24000"/>
    <s v="CUST0045"/>
    <x v="6"/>
  </r>
  <r>
    <s v="ITM00326"/>
    <s v="ORD00190"/>
    <s v="PRD020"/>
    <n v="1"/>
    <n v="179000"/>
    <s v="Rak Penyimpanan Serbaguna"/>
    <n v="179000"/>
    <n v="90000"/>
    <n v="89000"/>
    <s v="CUST0078"/>
    <x v="3"/>
  </r>
  <r>
    <s v="ITM00327"/>
    <s v="ORD00190"/>
    <s v="PRD021"/>
    <n v="1"/>
    <n v="69000"/>
    <s v="Lampu LED Hias 5m"/>
    <n v="69000"/>
    <n v="30000"/>
    <n v="39000"/>
    <s v="CUST0078"/>
    <x v="3"/>
  </r>
  <r>
    <s v="ITM00328"/>
    <s v="ORD00191"/>
    <s v="PRD009"/>
    <n v="1"/>
    <n v="79000"/>
    <s v="Kaos Polos Cotton Combed"/>
    <n v="79000"/>
    <n v="35000"/>
    <n v="44000"/>
    <s v="CUST0001"/>
    <x v="7"/>
  </r>
  <r>
    <s v="ITM00329"/>
    <s v="ORD00192"/>
    <s v="PRD022"/>
    <n v="1"/>
    <n v="55000"/>
    <s v="Sapu + Pengki Set"/>
    <n v="55000"/>
    <n v="25000"/>
    <n v="30000"/>
    <s v="CUST0111"/>
    <x v="1"/>
  </r>
  <r>
    <s v="ITM00330"/>
    <s v="ORD00193"/>
    <s v="PRD021"/>
    <n v="2"/>
    <n v="69000"/>
    <s v="Lampu LED Hias 5m"/>
    <n v="138000"/>
    <n v="30000"/>
    <n v="78000"/>
    <s v="CUST0156"/>
    <x v="7"/>
  </r>
  <r>
    <s v="ITM00331"/>
    <s v="ORD00194"/>
    <s v="PRD005"/>
    <n v="1"/>
    <n v="39000"/>
    <s v="Kabel Data USB-C"/>
    <n v="39000"/>
    <n v="15000"/>
    <n v="24000"/>
    <s v="CUST0114"/>
    <x v="3"/>
  </r>
  <r>
    <s v="ITM00332"/>
    <s v="ORD00194"/>
    <s v="PRD022"/>
    <n v="1"/>
    <n v="55000"/>
    <s v="Sapu + Pengki Set"/>
    <n v="55000"/>
    <n v="25000"/>
    <n v="30000"/>
    <s v="CUST0114"/>
    <x v="3"/>
  </r>
  <r>
    <s v="ITM00333"/>
    <s v="ORD00195"/>
    <s v="PRD007"/>
    <n v="1"/>
    <n v="99000"/>
    <s v="Mouse Wireless"/>
    <n v="99000"/>
    <n v="45000"/>
    <n v="54000"/>
    <s v="CUST0055"/>
    <x v="2"/>
  </r>
  <r>
    <s v="ITM00334"/>
    <s v="ORD00195"/>
    <s v="PRD020"/>
    <n v="1"/>
    <n v="179000"/>
    <s v="Rak Penyimpanan Serbaguna"/>
    <n v="179000"/>
    <n v="90000"/>
    <n v="89000"/>
    <s v="CUST0055"/>
    <x v="2"/>
  </r>
  <r>
    <s v="ITM00335"/>
    <s v="ORD00196"/>
    <s v="PRD019"/>
    <n v="2"/>
    <n v="79000"/>
    <s v="Botol Minum Stainless 1L"/>
    <n v="158000"/>
    <n v="35000"/>
    <n v="88000"/>
    <s v="CUST0189"/>
    <x v="0"/>
  </r>
  <r>
    <s v="ITM00336"/>
    <s v="ORD00197"/>
    <s v="PRD021"/>
    <n v="1"/>
    <n v="69000"/>
    <s v="Lampu LED Hias 5m"/>
    <n v="69000"/>
    <n v="30000"/>
    <n v="39000"/>
    <s v="CUST0073"/>
    <x v="2"/>
  </r>
  <r>
    <s v="ITM00337"/>
    <s v="ORD00197"/>
    <s v="PRD005"/>
    <n v="1"/>
    <n v="39000"/>
    <s v="Kabel Data USB-C"/>
    <n v="39000"/>
    <n v="15000"/>
    <n v="24000"/>
    <s v="CUST0073"/>
    <x v="2"/>
  </r>
  <r>
    <s v="ITM00338"/>
    <s v="ORD00198"/>
    <s v="PRD017"/>
    <n v="1"/>
    <n v="329000"/>
    <s v="Rice Cooker Mini 1.5L"/>
    <n v="329000"/>
    <n v="180000"/>
    <n v="149000"/>
    <s v="CUST0163"/>
    <x v="3"/>
  </r>
  <r>
    <s v="ITM00339"/>
    <s v="ORD00199"/>
    <s v="PRD005"/>
    <n v="1"/>
    <n v="39000"/>
    <s v="Kabel Data USB-C"/>
    <n v="39000"/>
    <n v="15000"/>
    <n v="24000"/>
    <s v="CUST0024"/>
    <x v="2"/>
  </r>
  <r>
    <s v="ITM00340"/>
    <s v="ORD00200"/>
    <s v="PRD021"/>
    <n v="2"/>
    <n v="69000"/>
    <s v="Lampu LED Hias 5m"/>
    <n v="138000"/>
    <n v="30000"/>
    <n v="78000"/>
    <s v="CUST0061"/>
    <x v="0"/>
  </r>
  <r>
    <s v="ITM00341"/>
    <s v="ORD00200"/>
    <s v="PRD005"/>
    <n v="1"/>
    <n v="39000"/>
    <s v="Kabel Data USB-C"/>
    <n v="39000"/>
    <n v="15000"/>
    <n v="24000"/>
    <s v="CUST0061"/>
    <x v="0"/>
  </r>
  <r>
    <s v="ITM00342"/>
    <s v="ORD00201"/>
    <s v="PRD021"/>
    <n v="2"/>
    <n v="69000"/>
    <s v="Lampu LED Hias 5m"/>
    <n v="138000"/>
    <n v="30000"/>
    <n v="78000"/>
    <s v="CUST0058"/>
    <x v="1"/>
  </r>
  <r>
    <s v="ITM00343"/>
    <s v="ORD00201"/>
    <s v="PRD002"/>
    <n v="2"/>
    <n v="159000"/>
    <s v="Power Bank 10000mAh"/>
    <n v="318000"/>
    <n v="80000"/>
    <n v="158000"/>
    <s v="CUST0058"/>
    <x v="1"/>
  </r>
  <r>
    <s v="ITM00344"/>
    <s v="ORD00201"/>
    <s v="PRD020"/>
    <n v="1"/>
    <n v="179000"/>
    <s v="Rak Penyimpanan Serbaguna"/>
    <n v="179000"/>
    <n v="90000"/>
    <n v="89000"/>
    <s v="CUST0058"/>
    <x v="1"/>
  </r>
  <r>
    <s v="ITM00345"/>
    <s v="ORD00202"/>
    <s v="PRD017"/>
    <n v="2"/>
    <n v="329000"/>
    <s v="Rice Cooker Mini 1.5L"/>
    <n v="658000"/>
    <n v="180000"/>
    <n v="298000"/>
    <s v="CUST0012"/>
    <x v="2"/>
  </r>
  <r>
    <s v="ITM00346"/>
    <s v="ORD00203"/>
    <s v="PRD002"/>
    <n v="1"/>
    <n v="159000"/>
    <s v="Power Bank 10000mAh"/>
    <n v="159000"/>
    <n v="80000"/>
    <n v="79000"/>
    <s v="CUST0197"/>
    <x v="7"/>
  </r>
  <r>
    <s v="ITM00347"/>
    <s v="ORD00203"/>
    <s v="PRD005"/>
    <n v="1"/>
    <n v="39000"/>
    <s v="Kabel Data USB-C"/>
    <n v="39000"/>
    <n v="15000"/>
    <n v="24000"/>
    <s v="CUST0197"/>
    <x v="7"/>
  </r>
  <r>
    <s v="ITM00348"/>
    <s v="ORD00204"/>
    <s v="PRD017"/>
    <n v="1"/>
    <n v="329000"/>
    <s v="Rice Cooker Mini 1.5L"/>
    <n v="329000"/>
    <n v="180000"/>
    <n v="149000"/>
    <s v="CUST0107"/>
    <x v="1"/>
  </r>
  <r>
    <s v="ITM00349"/>
    <s v="ORD00204"/>
    <s v="PRD021"/>
    <n v="1"/>
    <n v="69000"/>
    <s v="Lampu LED Hias 5m"/>
    <n v="69000"/>
    <n v="30000"/>
    <n v="39000"/>
    <s v="CUST0107"/>
    <x v="1"/>
  </r>
  <r>
    <s v="ITM00350"/>
    <s v="ORD00205"/>
    <s v="PRD021"/>
    <n v="1"/>
    <n v="69000"/>
    <s v="Lampu LED Hias 5m"/>
    <n v="69000"/>
    <n v="30000"/>
    <n v="39000"/>
    <s v="CUST0050"/>
    <x v="5"/>
  </r>
  <r>
    <s v="ITM00351"/>
    <s v="ORD00206"/>
    <s v="PRD021"/>
    <n v="3"/>
    <n v="69000"/>
    <s v="Lampu LED Hias 5m"/>
    <n v="207000"/>
    <n v="30000"/>
    <n v="117000"/>
    <s v="CUST0099"/>
    <x v="4"/>
  </r>
  <r>
    <s v="ITM00352"/>
    <s v="ORD00207"/>
    <s v="PRD014"/>
    <n v="1"/>
    <n v="349000"/>
    <s v="Sepatu Sneakers Casual"/>
    <n v="349000"/>
    <n v="180000"/>
    <n v="169000"/>
    <s v="CUST0038"/>
    <x v="4"/>
  </r>
  <r>
    <s v="ITM00353"/>
    <s v="ORD00207"/>
    <s v="PRD005"/>
    <n v="1"/>
    <n v="39000"/>
    <s v="Kabel Data USB-C"/>
    <n v="39000"/>
    <n v="15000"/>
    <n v="24000"/>
    <s v="CUST0038"/>
    <x v="4"/>
  </r>
  <r>
    <s v="ITM00354"/>
    <s v="ORD00208"/>
    <s v="PRD021"/>
    <n v="1"/>
    <n v="69000"/>
    <s v="Lampu LED Hias 5m"/>
    <n v="69000"/>
    <n v="30000"/>
    <n v="39000"/>
    <s v="CUST0193"/>
    <x v="4"/>
  </r>
  <r>
    <s v="ITM00355"/>
    <s v="ORD00208"/>
    <s v="PRD008"/>
    <n v="1"/>
    <n v="399000"/>
    <s v="Keyboard Mechanical Mini"/>
    <n v="399000"/>
    <n v="200000"/>
    <n v="199000"/>
    <s v="CUST0193"/>
    <x v="4"/>
  </r>
  <r>
    <s v="ITM00356"/>
    <s v="ORD00208"/>
    <s v="PRD005"/>
    <n v="1"/>
    <n v="39000"/>
    <s v="Kabel Data USB-C"/>
    <n v="39000"/>
    <n v="15000"/>
    <n v="24000"/>
    <s v="CUST0193"/>
    <x v="4"/>
  </r>
  <r>
    <s v="ITM00357"/>
    <s v="ORD00209"/>
    <s v="PRD020"/>
    <n v="1"/>
    <n v="179000"/>
    <s v="Rak Penyimpanan Serbaguna"/>
    <n v="179000"/>
    <n v="90000"/>
    <n v="89000"/>
    <s v="CUST0057"/>
    <x v="6"/>
  </r>
  <r>
    <s v="ITM00358"/>
    <s v="ORD00210"/>
    <s v="PRD021"/>
    <n v="1"/>
    <n v="69000"/>
    <s v="Lampu LED Hias 5m"/>
    <n v="69000"/>
    <n v="30000"/>
    <n v="39000"/>
    <s v="CUST0179"/>
    <x v="5"/>
  </r>
  <r>
    <s v="ITM00359"/>
    <s v="ORD00211"/>
    <s v="PRD022"/>
    <n v="1"/>
    <n v="55000"/>
    <s v="Sapu + Pengki Set"/>
    <n v="55000"/>
    <n v="25000"/>
    <n v="30000"/>
    <s v="CUST0013"/>
    <x v="7"/>
  </r>
  <r>
    <s v="ITM00360"/>
    <s v="ORD00212"/>
    <s v="PRD017"/>
    <n v="3"/>
    <n v="329000"/>
    <s v="Rice Cooker Mini 1.5L"/>
    <n v="987000"/>
    <n v="180000"/>
    <n v="447000"/>
    <s v="CUST0032"/>
    <x v="0"/>
  </r>
  <r>
    <s v="ITM00361"/>
    <s v="ORD00213"/>
    <s v="PRD021"/>
    <n v="1"/>
    <n v="69000"/>
    <s v="Lampu LED Hias 5m"/>
    <n v="69000"/>
    <n v="30000"/>
    <n v="39000"/>
    <s v="CUST0119"/>
    <x v="2"/>
  </r>
  <r>
    <s v="ITM00362"/>
    <s v="ORD00214"/>
    <s v="PRD005"/>
    <n v="1"/>
    <n v="39000"/>
    <s v="Kabel Data USB-C"/>
    <n v="39000"/>
    <n v="15000"/>
    <n v="24000"/>
    <s v="CUST0153"/>
    <x v="4"/>
  </r>
  <r>
    <s v="ITM00363"/>
    <s v="ORD00215"/>
    <s v="PRD005"/>
    <n v="1"/>
    <n v="39000"/>
    <s v="Kabel Data USB-C"/>
    <n v="39000"/>
    <n v="15000"/>
    <n v="24000"/>
    <s v="CUST0114"/>
    <x v="3"/>
  </r>
  <r>
    <s v="ITM00364"/>
    <s v="ORD00215"/>
    <s v="PRD008"/>
    <n v="1"/>
    <n v="399000"/>
    <s v="Keyboard Mechanical Mini"/>
    <n v="399000"/>
    <n v="200000"/>
    <n v="199000"/>
    <s v="CUST0114"/>
    <x v="3"/>
  </r>
  <r>
    <s v="ITM00365"/>
    <s v="ORD00215"/>
    <s v="PRD006"/>
    <n v="2"/>
    <n v="129000"/>
    <s v="Charger Fast Charging 33W"/>
    <n v="258000"/>
    <n v="60000"/>
    <n v="138000"/>
    <s v="CUST0114"/>
    <x v="3"/>
  </r>
  <r>
    <s v="ITM00366"/>
    <s v="ORD00215"/>
    <s v="PRD017"/>
    <n v="1"/>
    <n v="329000"/>
    <s v="Rice Cooker Mini 1.5L"/>
    <n v="329000"/>
    <n v="180000"/>
    <n v="149000"/>
    <s v="CUST0114"/>
    <x v="3"/>
  </r>
  <r>
    <s v="ITM00367"/>
    <s v="ORD00216"/>
    <s v="PRD021"/>
    <n v="1"/>
    <n v="69000"/>
    <s v="Lampu LED Hias 5m"/>
    <n v="69000"/>
    <n v="30000"/>
    <n v="39000"/>
    <s v="CUST0185"/>
    <x v="5"/>
  </r>
  <r>
    <s v="ITM00368"/>
    <s v="ORD00217"/>
    <s v="PRD014"/>
    <n v="1"/>
    <n v="349000"/>
    <s v="Sepatu Sneakers Casual"/>
    <n v="349000"/>
    <n v="180000"/>
    <n v="169000"/>
    <s v="CUST0141"/>
    <x v="6"/>
  </r>
  <r>
    <s v="ITM00369"/>
    <s v="ORD00217"/>
    <s v="PRD009"/>
    <n v="1"/>
    <n v="79000"/>
    <s v="Kaos Polos Cotton Combed"/>
    <n v="79000"/>
    <n v="35000"/>
    <n v="44000"/>
    <s v="CUST0141"/>
    <x v="6"/>
  </r>
  <r>
    <s v="ITM00370"/>
    <s v="ORD00218"/>
    <s v="PRD014"/>
    <n v="2"/>
    <n v="349000"/>
    <s v="Sepatu Sneakers Casual"/>
    <n v="698000"/>
    <n v="180000"/>
    <n v="338000"/>
    <s v="CUST0041"/>
    <x v="6"/>
  </r>
  <r>
    <s v="ITM00371"/>
    <s v="ORD00219"/>
    <s v="PRD021"/>
    <n v="1"/>
    <n v="69000"/>
    <s v="Lampu LED Hias 5m"/>
    <n v="69000"/>
    <n v="30000"/>
    <n v="39000"/>
    <s v="CUST0122"/>
    <x v="6"/>
  </r>
  <r>
    <s v="ITM00372"/>
    <s v="ORD00220"/>
    <s v="PRD009"/>
    <n v="1"/>
    <n v="79000"/>
    <s v="Kaos Polos Cotton Combed"/>
    <n v="79000"/>
    <n v="35000"/>
    <n v="44000"/>
    <s v="CUST0193"/>
    <x v="4"/>
  </r>
  <r>
    <s v="ITM00373"/>
    <s v="ORD00220"/>
    <s v="PRD005"/>
    <n v="1"/>
    <n v="39000"/>
    <s v="Kabel Data USB-C"/>
    <n v="39000"/>
    <n v="15000"/>
    <n v="24000"/>
    <s v="CUST0193"/>
    <x v="4"/>
  </r>
  <r>
    <s v="ITM00374"/>
    <s v="ORD00221"/>
    <s v="PRD005"/>
    <n v="1"/>
    <n v="39000"/>
    <s v="Kabel Data USB-C"/>
    <n v="39000"/>
    <n v="15000"/>
    <n v="24000"/>
    <s v="CUST0071"/>
    <x v="3"/>
  </r>
  <r>
    <s v="ITM00375"/>
    <s v="ORD00221"/>
    <s v="PRD021"/>
    <n v="2"/>
    <n v="69000"/>
    <s v="Lampu LED Hias 5m"/>
    <n v="138000"/>
    <n v="30000"/>
    <n v="78000"/>
    <s v="CUST0071"/>
    <x v="3"/>
  </r>
  <r>
    <s v="ITM00376"/>
    <s v="ORD00222"/>
    <s v="PRD021"/>
    <n v="1"/>
    <n v="69000"/>
    <s v="Lampu LED Hias 5m"/>
    <n v="69000"/>
    <n v="30000"/>
    <n v="39000"/>
    <s v="CUST0134"/>
    <x v="1"/>
  </r>
  <r>
    <s v="ITM00377"/>
    <s v="ORD00223"/>
    <s v="PRD017"/>
    <n v="1"/>
    <n v="329000"/>
    <s v="Rice Cooker Mini 1.5L"/>
    <n v="329000"/>
    <n v="180000"/>
    <n v="149000"/>
    <s v="CUST0071"/>
    <x v="3"/>
  </r>
  <r>
    <s v="ITM00378"/>
    <s v="ORD00223"/>
    <s v="PRD014"/>
    <n v="1"/>
    <n v="349000"/>
    <s v="Sepatu Sneakers Casual"/>
    <n v="349000"/>
    <n v="180000"/>
    <n v="169000"/>
    <s v="CUST0071"/>
    <x v="3"/>
  </r>
  <r>
    <s v="ITM00379"/>
    <s v="ORD00224"/>
    <s v="PRD022"/>
    <n v="1"/>
    <n v="55000"/>
    <s v="Sapu + Pengki Set"/>
    <n v="55000"/>
    <n v="25000"/>
    <n v="30000"/>
    <s v="CUST0183"/>
    <x v="3"/>
  </r>
  <r>
    <s v="ITM00380"/>
    <s v="ORD00225"/>
    <s v="PRD009"/>
    <n v="1"/>
    <n v="79000"/>
    <s v="Kaos Polos Cotton Combed"/>
    <n v="79000"/>
    <n v="35000"/>
    <n v="44000"/>
    <s v="CUST0086"/>
    <x v="1"/>
  </r>
  <r>
    <s v="ITM00381"/>
    <s v="ORD00226"/>
    <s v="PRD005"/>
    <n v="1"/>
    <n v="39000"/>
    <s v="Kabel Data USB-C"/>
    <n v="39000"/>
    <n v="15000"/>
    <n v="24000"/>
    <s v="CUST0139"/>
    <x v="0"/>
  </r>
  <r>
    <s v="ITM00382"/>
    <s v="ORD00226"/>
    <s v="PRD006"/>
    <n v="2"/>
    <n v="129000"/>
    <s v="Charger Fast Charging 33W"/>
    <n v="258000"/>
    <n v="60000"/>
    <n v="138000"/>
    <s v="CUST0139"/>
    <x v="0"/>
  </r>
  <r>
    <s v="ITM00383"/>
    <s v="ORD00227"/>
    <s v="PRD017"/>
    <n v="1"/>
    <n v="329000"/>
    <s v="Rice Cooker Mini 1.5L"/>
    <n v="329000"/>
    <n v="180000"/>
    <n v="149000"/>
    <s v="CUST0060"/>
    <x v="6"/>
  </r>
  <r>
    <s v="ITM00384"/>
    <s v="ORD00228"/>
    <s v="PRD017"/>
    <n v="1"/>
    <n v="329000"/>
    <s v="Rice Cooker Mini 1.5L"/>
    <n v="329000"/>
    <n v="180000"/>
    <n v="149000"/>
    <s v="CUST0040"/>
    <x v="7"/>
  </r>
  <r>
    <s v="ITM00385"/>
    <s v="ORD00229"/>
    <s v="PRD020"/>
    <n v="2"/>
    <n v="179000"/>
    <s v="Rak Penyimpanan Serbaguna"/>
    <n v="358000"/>
    <n v="90000"/>
    <n v="178000"/>
    <s v="CUST0105"/>
    <x v="5"/>
  </r>
  <r>
    <s v="ITM00386"/>
    <s v="ORD00230"/>
    <s v="PRD021"/>
    <n v="2"/>
    <n v="69000"/>
    <s v="Lampu LED Hias 5m"/>
    <n v="138000"/>
    <n v="30000"/>
    <n v="78000"/>
    <s v="CUST0120"/>
    <x v="1"/>
  </r>
  <r>
    <s v="ITM00387"/>
    <s v="ORD00231"/>
    <s v="PRD021"/>
    <n v="3"/>
    <n v="69000"/>
    <s v="Lampu LED Hias 5m"/>
    <n v="207000"/>
    <n v="30000"/>
    <n v="117000"/>
    <s v="CUST0053"/>
    <x v="6"/>
  </r>
  <r>
    <s v="ITM00388"/>
    <s v="ORD00231"/>
    <s v="PRD008"/>
    <n v="1"/>
    <n v="399000"/>
    <s v="Keyboard Mechanical Mini"/>
    <n v="399000"/>
    <n v="200000"/>
    <n v="199000"/>
    <s v="CUST0053"/>
    <x v="6"/>
  </r>
  <r>
    <s v="ITM00389"/>
    <s v="ORD00232"/>
    <s v="PRD004"/>
    <n v="2"/>
    <n v="199000"/>
    <s v="Speaker Bluetooth Mini"/>
    <n v="398000"/>
    <n v="100000"/>
    <n v="198000"/>
    <s v="CUST0198"/>
    <x v="2"/>
  </r>
  <r>
    <s v="ITM00390"/>
    <s v="ORD00232"/>
    <s v="PRD009"/>
    <n v="1"/>
    <n v="79000"/>
    <s v="Kaos Polos Cotton Combed"/>
    <n v="79000"/>
    <n v="35000"/>
    <n v="44000"/>
    <s v="CUST0198"/>
    <x v="2"/>
  </r>
  <r>
    <s v="ITM00391"/>
    <s v="ORD00233"/>
    <s v="PRD021"/>
    <n v="1"/>
    <n v="69000"/>
    <s v="Lampu LED Hias 5m"/>
    <n v="69000"/>
    <n v="30000"/>
    <n v="39000"/>
    <s v="CUST0006"/>
    <x v="5"/>
  </r>
  <r>
    <s v="ITM00392"/>
    <s v="ORD00234"/>
    <s v="PRD021"/>
    <n v="1"/>
    <n v="69000"/>
    <s v="Lampu LED Hias 5m"/>
    <n v="69000"/>
    <n v="30000"/>
    <n v="39000"/>
    <s v="CUST0196"/>
    <x v="3"/>
  </r>
  <r>
    <s v="ITM00393"/>
    <s v="ORD00234"/>
    <s v="PRD005"/>
    <n v="1"/>
    <n v="39000"/>
    <s v="Kabel Data USB-C"/>
    <n v="39000"/>
    <n v="15000"/>
    <n v="24000"/>
    <s v="CUST0196"/>
    <x v="3"/>
  </r>
  <r>
    <s v="ITM00394"/>
    <s v="ORD00234"/>
    <s v="PRD012"/>
    <n v="2"/>
    <n v="229000"/>
    <s v="Celana Jeans Slimfit"/>
    <n v="458000"/>
    <n v="110000"/>
    <n v="238000"/>
    <s v="CUST0196"/>
    <x v="3"/>
  </r>
  <r>
    <s v="ITM00395"/>
    <s v="ORD00234"/>
    <s v="PRD006"/>
    <n v="2"/>
    <n v="129000"/>
    <s v="Charger Fast Charging 33W"/>
    <n v="258000"/>
    <n v="60000"/>
    <n v="138000"/>
    <s v="CUST0196"/>
    <x v="3"/>
  </r>
  <r>
    <s v="ITM00396"/>
    <s v="ORD00235"/>
    <s v="PRD009"/>
    <n v="3"/>
    <n v="79000"/>
    <s v="Kaos Polos Cotton Combed"/>
    <n v="237000"/>
    <n v="35000"/>
    <n v="132000"/>
    <s v="CUST0123"/>
    <x v="5"/>
  </r>
  <r>
    <s v="ITM00397"/>
    <s v="ORD00235"/>
    <s v="PRD008"/>
    <n v="3"/>
    <n v="399000"/>
    <s v="Keyboard Mechanical Mini"/>
    <n v="1197000"/>
    <n v="200000"/>
    <n v="597000"/>
    <s v="CUST0123"/>
    <x v="5"/>
  </r>
  <r>
    <s v="ITM00398"/>
    <s v="ORD00235"/>
    <s v="PRD022"/>
    <n v="1"/>
    <n v="55000"/>
    <s v="Sapu + Pengki Set"/>
    <n v="55000"/>
    <n v="25000"/>
    <n v="30000"/>
    <s v="CUST0123"/>
    <x v="5"/>
  </r>
  <r>
    <s v="ITM00399"/>
    <s v="ORD00235"/>
    <s v="PRD005"/>
    <n v="1"/>
    <n v="39000"/>
    <s v="Kabel Data USB-C"/>
    <n v="39000"/>
    <n v="15000"/>
    <n v="24000"/>
    <s v="CUST0123"/>
    <x v="5"/>
  </r>
  <r>
    <s v="ITM00400"/>
    <s v="ORD00236"/>
    <s v="PRD009"/>
    <n v="1"/>
    <n v="79000"/>
    <s v="Kaos Polos Cotton Combed"/>
    <n v="79000"/>
    <n v="35000"/>
    <n v="44000"/>
    <s v="CUST0193"/>
    <x v="4"/>
  </r>
  <r>
    <s v="ITM00401"/>
    <s v="ORD00236"/>
    <s v="PRD005"/>
    <n v="1"/>
    <n v="39000"/>
    <s v="Kabel Data USB-C"/>
    <n v="39000"/>
    <n v="15000"/>
    <n v="24000"/>
    <s v="CUST0193"/>
    <x v="4"/>
  </r>
  <r>
    <s v="ITM00402"/>
    <s v="ORD00236"/>
    <s v="PRD021"/>
    <n v="1"/>
    <n v="69000"/>
    <s v="Lampu LED Hias 5m"/>
    <n v="69000"/>
    <n v="30000"/>
    <n v="39000"/>
    <s v="CUST0193"/>
    <x v="4"/>
  </r>
  <r>
    <s v="ITM00403"/>
    <s v="ORD00237"/>
    <s v="PRD021"/>
    <n v="1"/>
    <n v="69000"/>
    <s v="Lampu LED Hias 5m"/>
    <n v="69000"/>
    <n v="30000"/>
    <n v="39000"/>
    <s v="CUST0108"/>
    <x v="4"/>
  </r>
  <r>
    <s v="ITM00404"/>
    <s v="ORD00237"/>
    <s v="PRD006"/>
    <n v="3"/>
    <n v="129000"/>
    <s v="Charger Fast Charging 33W"/>
    <n v="387000"/>
    <n v="60000"/>
    <n v="207000"/>
    <s v="CUST0108"/>
    <x v="4"/>
  </r>
  <r>
    <s v="ITM00405"/>
    <s v="ORD00238"/>
    <s v="PRD005"/>
    <n v="1"/>
    <n v="39000"/>
    <s v="Kabel Data USB-C"/>
    <n v="39000"/>
    <n v="15000"/>
    <n v="24000"/>
    <s v="CUST0189"/>
    <x v="0"/>
  </r>
  <r>
    <s v="ITM00406"/>
    <s v="ORD00238"/>
    <s v="PRD008"/>
    <n v="1"/>
    <n v="399000"/>
    <s v="Keyboard Mechanical Mini"/>
    <n v="399000"/>
    <n v="200000"/>
    <n v="199000"/>
    <s v="CUST0189"/>
    <x v="0"/>
  </r>
  <r>
    <s v="ITM00407"/>
    <s v="ORD00239"/>
    <s v="PRD008"/>
    <n v="1"/>
    <n v="399000"/>
    <s v="Keyboard Mechanical Mini"/>
    <n v="399000"/>
    <n v="200000"/>
    <n v="199000"/>
    <s v="CUST0155"/>
    <x v="0"/>
  </r>
  <r>
    <s v="ITM00408"/>
    <s v="ORD00239"/>
    <s v="PRD021"/>
    <n v="1"/>
    <n v="69000"/>
    <s v="Lampu LED Hias 5m"/>
    <n v="69000"/>
    <n v="30000"/>
    <n v="39000"/>
    <s v="CUST0155"/>
    <x v="0"/>
  </r>
  <r>
    <s v="ITM00409"/>
    <s v="ORD00239"/>
    <s v="PRD009"/>
    <n v="1"/>
    <n v="79000"/>
    <s v="Kaos Polos Cotton Combed"/>
    <n v="79000"/>
    <n v="35000"/>
    <n v="44000"/>
    <s v="CUST0155"/>
    <x v="0"/>
  </r>
  <r>
    <s v="ITM00410"/>
    <s v="ORD00240"/>
    <s v="PRD005"/>
    <n v="2"/>
    <n v="39000"/>
    <s v="Kabel Data USB-C"/>
    <n v="78000"/>
    <n v="15000"/>
    <n v="48000"/>
    <s v="CUST0057"/>
    <x v="6"/>
  </r>
  <r>
    <s v="ITM00411"/>
    <s v="ORD00240"/>
    <s v="PRD021"/>
    <n v="1"/>
    <n v="69000"/>
    <s v="Lampu LED Hias 5m"/>
    <n v="69000"/>
    <n v="30000"/>
    <n v="39000"/>
    <s v="CUST0057"/>
    <x v="6"/>
  </r>
  <r>
    <s v="ITM00412"/>
    <s v="ORD00240"/>
    <s v="PRD022"/>
    <n v="1"/>
    <n v="55000"/>
    <s v="Sapu + Pengki Set"/>
    <n v="55000"/>
    <n v="25000"/>
    <n v="30000"/>
    <s v="CUST0057"/>
    <x v="6"/>
  </r>
  <r>
    <s v="ITM00413"/>
    <s v="ORD00241"/>
    <s v="PRD021"/>
    <n v="1"/>
    <n v="69000"/>
    <s v="Lampu LED Hias 5m"/>
    <n v="69000"/>
    <n v="30000"/>
    <n v="39000"/>
    <s v="CUST0125"/>
    <x v="3"/>
  </r>
  <r>
    <s v="ITM00414"/>
    <s v="ORD00242"/>
    <s v="PRD002"/>
    <n v="1"/>
    <n v="159000"/>
    <s v="Power Bank 10000mAh"/>
    <n v="159000"/>
    <n v="80000"/>
    <n v="79000"/>
    <s v="CUST0087"/>
    <x v="9"/>
  </r>
  <r>
    <s v="ITM00415"/>
    <s v="ORD00243"/>
    <s v="PRD008"/>
    <n v="3"/>
    <n v="399000"/>
    <s v="Keyboard Mechanical Mini"/>
    <n v="1197000"/>
    <n v="200000"/>
    <n v="597000"/>
    <s v="CUST0104"/>
    <x v="5"/>
  </r>
  <r>
    <s v="ITM00416"/>
    <s v="ORD00243"/>
    <s v="PRD021"/>
    <n v="2"/>
    <n v="69000"/>
    <s v="Lampu LED Hias 5m"/>
    <n v="138000"/>
    <n v="30000"/>
    <n v="78000"/>
    <s v="CUST0104"/>
    <x v="5"/>
  </r>
  <r>
    <s v="ITM00417"/>
    <s v="ORD00243"/>
    <s v="PRD020"/>
    <n v="1"/>
    <n v="179000"/>
    <s v="Rak Penyimpanan Serbaguna"/>
    <n v="179000"/>
    <n v="90000"/>
    <n v="89000"/>
    <s v="CUST0104"/>
    <x v="5"/>
  </r>
  <r>
    <s v="ITM00418"/>
    <s v="ORD00244"/>
    <s v="PRD017"/>
    <n v="1"/>
    <n v="329000"/>
    <s v="Rice Cooker Mini 1.5L"/>
    <n v="329000"/>
    <n v="180000"/>
    <n v="149000"/>
    <s v="CUST0120"/>
    <x v="1"/>
  </r>
  <r>
    <s v="ITM00419"/>
    <s v="ORD00244"/>
    <s v="PRD005"/>
    <n v="1"/>
    <n v="39000"/>
    <s v="Kabel Data USB-C"/>
    <n v="39000"/>
    <n v="15000"/>
    <n v="24000"/>
    <s v="CUST0120"/>
    <x v="1"/>
  </r>
  <r>
    <s v="ITM00420"/>
    <s v="ORD00245"/>
    <s v="PRD008"/>
    <n v="1"/>
    <n v="399000"/>
    <s v="Keyboard Mechanical Mini"/>
    <n v="399000"/>
    <n v="200000"/>
    <n v="199000"/>
    <s v="CUST0137"/>
    <x v="6"/>
  </r>
  <r>
    <s v="ITM00421"/>
    <s v="ORD00246"/>
    <s v="PRD005"/>
    <n v="1"/>
    <n v="39000"/>
    <s v="Kabel Data USB-C"/>
    <n v="39000"/>
    <n v="15000"/>
    <n v="24000"/>
    <s v="CUST0145"/>
    <x v="2"/>
  </r>
  <r>
    <s v="ITM00422"/>
    <s v="ORD00246"/>
    <s v="PRD021"/>
    <n v="1"/>
    <n v="69000"/>
    <s v="Lampu LED Hias 5m"/>
    <n v="69000"/>
    <n v="30000"/>
    <n v="39000"/>
    <s v="CUST0145"/>
    <x v="2"/>
  </r>
  <r>
    <s v="ITM00423"/>
    <s v="ORD00247"/>
    <s v="PRD008"/>
    <n v="1"/>
    <n v="399000"/>
    <s v="Keyboard Mechanical Mini"/>
    <n v="399000"/>
    <n v="200000"/>
    <n v="199000"/>
    <s v="CUST0165"/>
    <x v="7"/>
  </r>
  <r>
    <s v="ITM00424"/>
    <s v="ORD00247"/>
    <s v="PRD014"/>
    <n v="1"/>
    <n v="349000"/>
    <s v="Sepatu Sneakers Casual"/>
    <n v="349000"/>
    <n v="180000"/>
    <n v="169000"/>
    <s v="CUST0165"/>
    <x v="7"/>
  </r>
  <r>
    <s v="ITM00425"/>
    <s v="ORD00247"/>
    <s v="PRD006"/>
    <n v="1"/>
    <n v="129000"/>
    <s v="Charger Fast Charging 33W"/>
    <n v="129000"/>
    <n v="60000"/>
    <n v="69000"/>
    <s v="CUST0165"/>
    <x v="7"/>
  </r>
  <r>
    <s v="ITM00426"/>
    <s v="ORD00248"/>
    <s v="PRD005"/>
    <n v="1"/>
    <n v="39000"/>
    <s v="Kabel Data USB-C"/>
    <n v="39000"/>
    <n v="15000"/>
    <n v="24000"/>
    <s v="CUST0119"/>
    <x v="2"/>
  </r>
  <r>
    <s v="ITM00427"/>
    <s v="ORD00249"/>
    <s v="PRD021"/>
    <n v="3"/>
    <n v="69000"/>
    <s v="Lampu LED Hias 5m"/>
    <n v="207000"/>
    <n v="30000"/>
    <n v="117000"/>
    <s v="CUST0098"/>
    <x v="2"/>
  </r>
  <r>
    <s v="ITM00428"/>
    <s v="ORD00250"/>
    <s v="PRD005"/>
    <n v="3"/>
    <n v="39000"/>
    <s v="Kabel Data USB-C"/>
    <n v="117000"/>
    <n v="15000"/>
    <n v="72000"/>
    <s v="CUST0084"/>
    <x v="2"/>
  </r>
  <r>
    <s v="ITM00429"/>
    <s v="ORD00251"/>
    <s v="PRD006"/>
    <n v="1"/>
    <n v="129000"/>
    <s v="Charger Fast Charging 33W"/>
    <n v="129000"/>
    <n v="60000"/>
    <n v="69000"/>
    <s v="CUST0098"/>
    <x v="2"/>
  </r>
  <r>
    <s v="ITM00430"/>
    <s v="ORD00251"/>
    <s v="PRD020"/>
    <n v="1"/>
    <n v="179000"/>
    <s v="Rak Penyimpanan Serbaguna"/>
    <n v="179000"/>
    <n v="90000"/>
    <n v="89000"/>
    <s v="CUST0098"/>
    <x v="2"/>
  </r>
  <r>
    <s v="ITM00431"/>
    <s v="ORD00252"/>
    <s v="PRD017"/>
    <n v="1"/>
    <n v="329000"/>
    <s v="Rice Cooker Mini 1.5L"/>
    <n v="329000"/>
    <n v="180000"/>
    <n v="149000"/>
    <s v="CUST0108"/>
    <x v="4"/>
  </r>
  <r>
    <s v="ITM00432"/>
    <s v="ORD00253"/>
    <s v="PRD009"/>
    <n v="1"/>
    <n v="79000"/>
    <s v="Kaos Polos Cotton Combed"/>
    <n v="79000"/>
    <n v="35000"/>
    <n v="44000"/>
    <s v="CUST0021"/>
    <x v="5"/>
  </r>
  <r>
    <s v="ITM00433"/>
    <s v="ORD00254"/>
    <s v="PRD017"/>
    <n v="1"/>
    <n v="329000"/>
    <s v="Rice Cooker Mini 1.5L"/>
    <n v="329000"/>
    <n v="180000"/>
    <n v="149000"/>
    <s v="CUST0139"/>
    <x v="0"/>
  </r>
  <r>
    <s v="ITM00434"/>
    <s v="ORD00255"/>
    <s v="PRD021"/>
    <n v="2"/>
    <n v="69000"/>
    <s v="Lampu LED Hias 5m"/>
    <n v="138000"/>
    <n v="30000"/>
    <n v="78000"/>
    <s v="CUST0167"/>
    <x v="5"/>
  </r>
  <r>
    <s v="ITM00435"/>
    <s v="ORD00256"/>
    <s v="PRD008"/>
    <n v="1"/>
    <n v="399000"/>
    <s v="Keyboard Mechanical Mini"/>
    <n v="399000"/>
    <n v="200000"/>
    <n v="199000"/>
    <s v="CUST0167"/>
    <x v="5"/>
  </r>
  <r>
    <s v="ITM00436"/>
    <s v="ORD00256"/>
    <s v="PRD017"/>
    <n v="1"/>
    <n v="329000"/>
    <s v="Rice Cooker Mini 1.5L"/>
    <n v="329000"/>
    <n v="180000"/>
    <n v="149000"/>
    <s v="CUST0167"/>
    <x v="5"/>
  </r>
  <r>
    <s v="ITM00437"/>
    <s v="ORD00256"/>
    <s v="PRD014"/>
    <n v="1"/>
    <n v="349000"/>
    <s v="Sepatu Sneakers Casual"/>
    <n v="349000"/>
    <n v="180000"/>
    <n v="169000"/>
    <s v="CUST0167"/>
    <x v="5"/>
  </r>
  <r>
    <s v="ITM00438"/>
    <s v="ORD00257"/>
    <s v="PRD005"/>
    <n v="2"/>
    <n v="39000"/>
    <s v="Kabel Data USB-C"/>
    <n v="78000"/>
    <n v="15000"/>
    <n v="48000"/>
    <s v="CUST0064"/>
    <x v="0"/>
  </r>
  <r>
    <s v="ITM00439"/>
    <s v="ORD00257"/>
    <s v="PRD009"/>
    <n v="1"/>
    <n v="79000"/>
    <s v="Kaos Polos Cotton Combed"/>
    <n v="79000"/>
    <n v="35000"/>
    <n v="44000"/>
    <s v="CUST0064"/>
    <x v="0"/>
  </r>
  <r>
    <s v="ITM00440"/>
    <s v="ORD00258"/>
    <s v="PRD022"/>
    <n v="1"/>
    <n v="55000"/>
    <s v="Sapu + Pengki Set"/>
    <n v="55000"/>
    <n v="25000"/>
    <n v="30000"/>
    <s v="CUST0006"/>
    <x v="5"/>
  </r>
  <r>
    <s v="ITM00441"/>
    <s v="ORD00259"/>
    <s v="PRD021"/>
    <n v="3"/>
    <n v="69000"/>
    <s v="Lampu LED Hias 5m"/>
    <n v="207000"/>
    <n v="30000"/>
    <n v="117000"/>
    <s v="CUST0062"/>
    <x v="2"/>
  </r>
  <r>
    <s v="ITM00442"/>
    <s v="ORD00259"/>
    <s v="PRD008"/>
    <n v="2"/>
    <n v="399000"/>
    <s v="Keyboard Mechanical Mini"/>
    <n v="798000"/>
    <n v="200000"/>
    <n v="398000"/>
    <s v="CUST0062"/>
    <x v="2"/>
  </r>
  <r>
    <s v="ITM00443"/>
    <s v="ORD00260"/>
    <s v="PRD021"/>
    <n v="1"/>
    <n v="69000"/>
    <s v="Lampu LED Hias 5m"/>
    <n v="69000"/>
    <n v="30000"/>
    <n v="39000"/>
    <s v="CUST0172"/>
    <x v="5"/>
  </r>
  <r>
    <s v="ITM00444"/>
    <s v="ORD00261"/>
    <s v="PRD009"/>
    <n v="1"/>
    <n v="79000"/>
    <s v="Kaos Polos Cotton Combed"/>
    <n v="79000"/>
    <n v="35000"/>
    <n v="44000"/>
    <s v="CUST0120"/>
    <x v="1"/>
  </r>
  <r>
    <s v="ITM00445"/>
    <s v="ORD00262"/>
    <s v="PRD021"/>
    <n v="2"/>
    <n v="69000"/>
    <s v="Lampu LED Hias 5m"/>
    <n v="138000"/>
    <n v="30000"/>
    <n v="78000"/>
    <s v="CUST0197"/>
    <x v="7"/>
  </r>
  <r>
    <s v="ITM00446"/>
    <s v="ORD00262"/>
    <s v="PRD012"/>
    <n v="1"/>
    <n v="229000"/>
    <s v="Celana Jeans Slimfit"/>
    <n v="229000"/>
    <n v="110000"/>
    <n v="119000"/>
    <s v="CUST0197"/>
    <x v="7"/>
  </r>
  <r>
    <s v="ITM00447"/>
    <s v="ORD00263"/>
    <s v="PRD021"/>
    <n v="1"/>
    <n v="69000"/>
    <s v="Lampu LED Hias 5m"/>
    <n v="69000"/>
    <n v="30000"/>
    <n v="39000"/>
    <s v="CUST0156"/>
    <x v="7"/>
  </r>
  <r>
    <s v="ITM00448"/>
    <s v="ORD00264"/>
    <s v="PRD005"/>
    <n v="2"/>
    <n v="39000"/>
    <s v="Kabel Data USB-C"/>
    <n v="78000"/>
    <n v="15000"/>
    <n v="48000"/>
    <s v="CUST0030"/>
    <x v="5"/>
  </r>
  <r>
    <s v="ITM00449"/>
    <s v="ORD00265"/>
    <s v="PRD005"/>
    <n v="1"/>
    <n v="39000"/>
    <s v="Kabel Data USB-C"/>
    <n v="39000"/>
    <n v="15000"/>
    <n v="24000"/>
    <s v="CUST0042"/>
    <x v="2"/>
  </r>
  <r>
    <s v="ITM00450"/>
    <s v="ORD00265"/>
    <s v="PRD002"/>
    <n v="1"/>
    <n v="159000"/>
    <s v="Power Bank 10000mAh"/>
    <n v="159000"/>
    <n v="80000"/>
    <n v="79000"/>
    <s v="CUST0042"/>
    <x v="2"/>
  </r>
  <r>
    <s v="ITM00451"/>
    <s v="ORD00266"/>
    <s v="PRD021"/>
    <n v="1"/>
    <n v="69000"/>
    <s v="Lampu LED Hias 5m"/>
    <n v="69000"/>
    <n v="30000"/>
    <n v="39000"/>
    <s v="CUST0149"/>
    <x v="4"/>
  </r>
  <r>
    <s v="ITM00452"/>
    <s v="ORD00266"/>
    <s v="PRD005"/>
    <n v="1"/>
    <n v="39000"/>
    <s v="Kabel Data USB-C"/>
    <n v="39000"/>
    <n v="15000"/>
    <n v="24000"/>
    <s v="CUST0149"/>
    <x v="4"/>
  </r>
  <r>
    <s v="ITM00453"/>
    <s v="ORD00266"/>
    <s v="PRD017"/>
    <n v="2"/>
    <n v="329000"/>
    <s v="Rice Cooker Mini 1.5L"/>
    <n v="658000"/>
    <n v="180000"/>
    <n v="298000"/>
    <s v="CUST0149"/>
    <x v="4"/>
  </r>
  <r>
    <s v="ITM00454"/>
    <s v="ORD00267"/>
    <s v="PRD008"/>
    <n v="1"/>
    <n v="399000"/>
    <s v="Keyboard Mechanical Mini"/>
    <n v="399000"/>
    <n v="200000"/>
    <n v="199000"/>
    <s v="CUST0080"/>
    <x v="2"/>
  </r>
  <r>
    <s v="ITM00455"/>
    <s v="ORD00268"/>
    <s v="PRD020"/>
    <n v="1"/>
    <n v="179000"/>
    <s v="Rak Penyimpanan Serbaguna"/>
    <n v="179000"/>
    <n v="90000"/>
    <n v="89000"/>
    <s v="CUST0097"/>
    <x v="6"/>
  </r>
  <r>
    <s v="ITM00456"/>
    <s v="ORD00269"/>
    <s v="PRD003"/>
    <n v="1"/>
    <n v="499000"/>
    <s v="Smartwatch Lite"/>
    <n v="499000"/>
    <n v="250000"/>
    <n v="249000"/>
    <s v="CUST0051"/>
    <x v="5"/>
  </r>
  <r>
    <s v="ITM00457"/>
    <s v="ORD00270"/>
    <s v="PRD005"/>
    <n v="1"/>
    <n v="39000"/>
    <s v="Kabel Data USB-C"/>
    <n v="39000"/>
    <n v="15000"/>
    <n v="24000"/>
    <s v="CUST0177"/>
    <x v="1"/>
  </r>
  <r>
    <s v="ITM00458"/>
    <s v="ORD00271"/>
    <s v="PRD009"/>
    <n v="2"/>
    <n v="79000"/>
    <s v="Kaos Polos Cotton Combed"/>
    <n v="158000"/>
    <n v="35000"/>
    <n v="88000"/>
    <s v="CUST0179"/>
    <x v="5"/>
  </r>
  <r>
    <s v="ITM00459"/>
    <s v="ORD00271"/>
    <s v="PRD002"/>
    <n v="1"/>
    <n v="159000"/>
    <s v="Power Bank 10000mAh"/>
    <n v="159000"/>
    <n v="80000"/>
    <n v="79000"/>
    <s v="CUST0179"/>
    <x v="5"/>
  </r>
  <r>
    <s v="ITM00460"/>
    <s v="ORD00272"/>
    <s v="PRD021"/>
    <n v="1"/>
    <n v="69000"/>
    <s v="Lampu LED Hias 5m"/>
    <n v="69000"/>
    <n v="30000"/>
    <n v="39000"/>
    <s v="CUST0154"/>
    <x v="9"/>
  </r>
  <r>
    <s v="ITM00461"/>
    <s v="ORD00272"/>
    <s v="PRD020"/>
    <n v="1"/>
    <n v="179000"/>
    <s v="Rak Penyimpanan Serbaguna"/>
    <n v="179000"/>
    <n v="90000"/>
    <n v="89000"/>
    <s v="CUST0154"/>
    <x v="9"/>
  </r>
  <r>
    <s v="ITM00462"/>
    <s v="ORD00273"/>
    <s v="PRD019"/>
    <n v="1"/>
    <n v="79000"/>
    <s v="Botol Minum Stainless 1L"/>
    <n v="79000"/>
    <n v="35000"/>
    <n v="44000"/>
    <s v="CUST0145"/>
    <x v="2"/>
  </r>
  <r>
    <s v="ITM00463"/>
    <s v="ORD00274"/>
    <s v="PRD014"/>
    <n v="1"/>
    <n v="349000"/>
    <s v="Sepatu Sneakers Casual"/>
    <n v="349000"/>
    <n v="180000"/>
    <n v="169000"/>
    <s v="CUST0089"/>
    <x v="1"/>
  </r>
  <r>
    <s v="ITM00464"/>
    <s v="ORD00274"/>
    <s v="PRD012"/>
    <n v="1"/>
    <n v="229000"/>
    <s v="Celana Jeans Slimfit"/>
    <n v="229000"/>
    <n v="110000"/>
    <n v="119000"/>
    <s v="CUST0089"/>
    <x v="1"/>
  </r>
  <r>
    <s v="ITM00465"/>
    <s v="ORD00274"/>
    <s v="PRD008"/>
    <n v="2"/>
    <n v="399000"/>
    <s v="Keyboard Mechanical Mini"/>
    <n v="798000"/>
    <n v="200000"/>
    <n v="398000"/>
    <s v="CUST0089"/>
    <x v="1"/>
  </r>
  <r>
    <s v="ITM00466"/>
    <s v="ORD00275"/>
    <s v="PRD021"/>
    <n v="2"/>
    <n v="69000"/>
    <s v="Lampu LED Hias 5m"/>
    <n v="138000"/>
    <n v="30000"/>
    <n v="78000"/>
    <s v="CUST0095"/>
    <x v="9"/>
  </r>
  <r>
    <s v="ITM00467"/>
    <s v="ORD00276"/>
    <s v="PRD005"/>
    <n v="2"/>
    <n v="39000"/>
    <s v="Kabel Data USB-C"/>
    <n v="78000"/>
    <n v="15000"/>
    <n v="48000"/>
    <s v="CUST0166"/>
    <x v="7"/>
  </r>
  <r>
    <s v="ITM00468"/>
    <s v="ORD00276"/>
    <s v="PRD003"/>
    <n v="3"/>
    <n v="499000"/>
    <s v="Smartwatch Lite"/>
    <n v="1497000"/>
    <n v="250000"/>
    <n v="747000"/>
    <s v="CUST0166"/>
    <x v="7"/>
  </r>
  <r>
    <s v="ITM00469"/>
    <s v="ORD00277"/>
    <s v="PRD021"/>
    <n v="1"/>
    <n v="69000"/>
    <s v="Lampu LED Hias 5m"/>
    <n v="69000"/>
    <n v="30000"/>
    <n v="39000"/>
    <s v="CUST0108"/>
    <x v="4"/>
  </r>
  <r>
    <s v="ITM00470"/>
    <s v="ORD00277"/>
    <s v="PRD008"/>
    <n v="1"/>
    <n v="399000"/>
    <s v="Keyboard Mechanical Mini"/>
    <n v="399000"/>
    <n v="200000"/>
    <n v="199000"/>
    <s v="CUST0108"/>
    <x v="4"/>
  </r>
  <r>
    <s v="ITM00471"/>
    <s v="ORD00278"/>
    <s v="PRD006"/>
    <n v="1"/>
    <n v="129000"/>
    <s v="Charger Fast Charging 33W"/>
    <n v="129000"/>
    <n v="60000"/>
    <n v="69000"/>
    <s v="CUST0028"/>
    <x v="8"/>
  </r>
  <r>
    <s v="ITM00472"/>
    <s v="ORD00278"/>
    <s v="PRD021"/>
    <n v="1"/>
    <n v="69000"/>
    <s v="Lampu LED Hias 5m"/>
    <n v="69000"/>
    <n v="30000"/>
    <n v="39000"/>
    <s v="CUST0028"/>
    <x v="8"/>
  </r>
  <r>
    <s v="ITM00473"/>
    <s v="ORD00279"/>
    <s v="PRD017"/>
    <n v="2"/>
    <n v="329000"/>
    <s v="Rice Cooker Mini 1.5L"/>
    <n v="658000"/>
    <n v="180000"/>
    <n v="298000"/>
    <s v="CUST0118"/>
    <x v="5"/>
  </r>
  <r>
    <s v="ITM00474"/>
    <s v="ORD00279"/>
    <s v="PRD012"/>
    <n v="1"/>
    <n v="229000"/>
    <s v="Celana Jeans Slimfit"/>
    <n v="229000"/>
    <n v="110000"/>
    <n v="119000"/>
    <s v="CUST0118"/>
    <x v="5"/>
  </r>
  <r>
    <s v="ITM00475"/>
    <s v="ORD00280"/>
    <s v="PRD021"/>
    <n v="2"/>
    <n v="69000"/>
    <s v="Lampu LED Hias 5m"/>
    <n v="138000"/>
    <n v="30000"/>
    <n v="78000"/>
    <s v="CUST0112"/>
    <x v="5"/>
  </r>
  <r>
    <s v="ITM00476"/>
    <s v="ORD00281"/>
    <s v="PRD022"/>
    <n v="2"/>
    <n v="55000"/>
    <s v="Sapu + Pengki Set"/>
    <n v="110000"/>
    <n v="25000"/>
    <n v="60000"/>
    <s v="CUST0134"/>
    <x v="1"/>
  </r>
  <r>
    <s v="ITM00477"/>
    <s v="ORD00282"/>
    <s v="PRD021"/>
    <n v="1"/>
    <n v="69000"/>
    <s v="Lampu LED Hias 5m"/>
    <n v="69000"/>
    <n v="30000"/>
    <n v="39000"/>
    <s v="CUST0158"/>
    <x v="0"/>
  </r>
  <r>
    <s v="ITM00478"/>
    <s v="ORD00283"/>
    <s v="PRD022"/>
    <n v="1"/>
    <n v="55000"/>
    <s v="Sapu + Pengki Set"/>
    <n v="55000"/>
    <n v="25000"/>
    <n v="30000"/>
    <s v="CUST0138"/>
    <x v="9"/>
  </r>
  <r>
    <s v="ITM00479"/>
    <s v="ORD00283"/>
    <s v="PRD005"/>
    <n v="2"/>
    <n v="39000"/>
    <s v="Kabel Data USB-C"/>
    <n v="78000"/>
    <n v="15000"/>
    <n v="48000"/>
    <s v="CUST0138"/>
    <x v="9"/>
  </r>
  <r>
    <s v="ITM00480"/>
    <s v="ORD00283"/>
    <s v="PRD017"/>
    <n v="1"/>
    <n v="329000"/>
    <s v="Rice Cooker Mini 1.5L"/>
    <n v="329000"/>
    <n v="180000"/>
    <n v="149000"/>
    <s v="CUST0138"/>
    <x v="9"/>
  </r>
  <r>
    <s v="ITM00481"/>
    <s v="ORD00284"/>
    <s v="PRD020"/>
    <n v="3"/>
    <n v="179000"/>
    <s v="Rak Penyimpanan Serbaguna"/>
    <n v="537000"/>
    <n v="90000"/>
    <n v="267000"/>
    <s v="CUST0120"/>
    <x v="1"/>
  </r>
  <r>
    <s v="ITM00482"/>
    <s v="ORD00284"/>
    <s v="PRD014"/>
    <n v="1"/>
    <n v="349000"/>
    <s v="Sepatu Sneakers Casual"/>
    <n v="349000"/>
    <n v="180000"/>
    <n v="169000"/>
    <s v="CUST0120"/>
    <x v="1"/>
  </r>
  <r>
    <s v="ITM00483"/>
    <s v="ORD00285"/>
    <s v="PRD013"/>
    <n v="1"/>
    <n v="209000"/>
    <s v="Jaket Hoodie Unisex"/>
    <n v="209000"/>
    <n v="95000"/>
    <n v="114000"/>
    <s v="CUST0152"/>
    <x v="9"/>
  </r>
  <r>
    <s v="ITM00484"/>
    <s v="ORD00285"/>
    <s v="PRD021"/>
    <n v="2"/>
    <n v="69000"/>
    <s v="Lampu LED Hias 5m"/>
    <n v="138000"/>
    <n v="30000"/>
    <n v="78000"/>
    <s v="CUST0152"/>
    <x v="9"/>
  </r>
  <r>
    <s v="ITM00485"/>
    <s v="ORD00285"/>
    <s v="PRD020"/>
    <n v="1"/>
    <n v="179000"/>
    <s v="Rak Penyimpanan Serbaguna"/>
    <n v="179000"/>
    <n v="90000"/>
    <n v="89000"/>
    <s v="CUST0152"/>
    <x v="9"/>
  </r>
  <r>
    <s v="ITM00486"/>
    <s v="ORD00285"/>
    <s v="PRD022"/>
    <n v="2"/>
    <n v="55000"/>
    <s v="Sapu + Pengki Set"/>
    <n v="110000"/>
    <n v="25000"/>
    <n v="60000"/>
    <s v="CUST0152"/>
    <x v="9"/>
  </r>
  <r>
    <s v="ITM00487"/>
    <s v="ORD00286"/>
    <s v="PRD006"/>
    <n v="3"/>
    <n v="129000"/>
    <s v="Charger Fast Charging 33W"/>
    <n v="387000"/>
    <n v="60000"/>
    <n v="207000"/>
    <s v="CUST0063"/>
    <x v="2"/>
  </r>
  <r>
    <s v="ITM00488"/>
    <s v="ORD00287"/>
    <s v="PRD021"/>
    <n v="1"/>
    <n v="69000"/>
    <s v="Lampu LED Hias 5m"/>
    <n v="69000"/>
    <n v="30000"/>
    <n v="39000"/>
    <s v="CUST0023"/>
    <x v="2"/>
  </r>
  <r>
    <s v="ITM00489"/>
    <s v="ORD00288"/>
    <s v="PRD021"/>
    <n v="1"/>
    <n v="69000"/>
    <s v="Lampu LED Hias 5m"/>
    <n v="69000"/>
    <n v="30000"/>
    <n v="39000"/>
    <s v="CUST0116"/>
    <x v="0"/>
  </r>
  <r>
    <s v="ITM00490"/>
    <s v="ORD00288"/>
    <s v="PRD009"/>
    <n v="2"/>
    <n v="79000"/>
    <s v="Kaos Polos Cotton Combed"/>
    <n v="158000"/>
    <n v="35000"/>
    <n v="88000"/>
    <s v="CUST0116"/>
    <x v="0"/>
  </r>
  <r>
    <s v="ITM00491"/>
    <s v="ORD00289"/>
    <s v="PRD021"/>
    <n v="2"/>
    <n v="69000"/>
    <s v="Lampu LED Hias 5m"/>
    <n v="138000"/>
    <n v="30000"/>
    <n v="78000"/>
    <s v="CUST0146"/>
    <x v="5"/>
  </r>
  <r>
    <s v="ITM00492"/>
    <s v="ORD00289"/>
    <s v="PRD008"/>
    <n v="2"/>
    <n v="399000"/>
    <s v="Keyboard Mechanical Mini"/>
    <n v="798000"/>
    <n v="200000"/>
    <n v="398000"/>
    <s v="CUST0146"/>
    <x v="5"/>
  </r>
  <r>
    <s v="ITM00493"/>
    <s v="ORD00290"/>
    <s v="PRD022"/>
    <n v="2"/>
    <n v="55000"/>
    <s v="Sapu + Pengki Set"/>
    <n v="110000"/>
    <n v="25000"/>
    <n v="60000"/>
    <s v="CUST0098"/>
    <x v="2"/>
  </r>
  <r>
    <s v="ITM00494"/>
    <s v="ORD00291"/>
    <s v="PRD005"/>
    <n v="1"/>
    <n v="39000"/>
    <s v="Kabel Data USB-C"/>
    <n v="39000"/>
    <n v="15000"/>
    <n v="24000"/>
    <s v="CUST0127"/>
    <x v="6"/>
  </r>
  <r>
    <s v="ITM00495"/>
    <s v="ORD00291"/>
    <s v="PRD017"/>
    <n v="1"/>
    <n v="329000"/>
    <s v="Rice Cooker Mini 1.5L"/>
    <n v="329000"/>
    <n v="180000"/>
    <n v="149000"/>
    <s v="CUST0127"/>
    <x v="6"/>
  </r>
  <r>
    <s v="ITM00496"/>
    <s v="ORD00292"/>
    <s v="PRD021"/>
    <n v="1"/>
    <n v="69000"/>
    <s v="Lampu LED Hias 5m"/>
    <n v="69000"/>
    <n v="30000"/>
    <n v="39000"/>
    <s v="CUST0047"/>
    <x v="4"/>
  </r>
  <r>
    <s v="ITM00497"/>
    <s v="ORD00292"/>
    <s v="PRD020"/>
    <n v="1"/>
    <n v="179000"/>
    <s v="Rak Penyimpanan Serbaguna"/>
    <n v="179000"/>
    <n v="90000"/>
    <n v="89000"/>
    <s v="CUST0047"/>
    <x v="4"/>
  </r>
  <r>
    <s v="ITM00498"/>
    <s v="ORD00293"/>
    <s v="PRD019"/>
    <n v="2"/>
    <n v="79000"/>
    <s v="Botol Minum Stainless 1L"/>
    <n v="158000"/>
    <n v="35000"/>
    <n v="88000"/>
    <s v="CUST0067"/>
    <x v="5"/>
  </r>
  <r>
    <s v="ITM00499"/>
    <s v="ORD00294"/>
    <s v="PRD021"/>
    <n v="1"/>
    <n v="69000"/>
    <s v="Lampu LED Hias 5m"/>
    <n v="69000"/>
    <n v="30000"/>
    <n v="39000"/>
    <s v="CUST0153"/>
    <x v="4"/>
  </r>
  <r>
    <s v="ITM00500"/>
    <s v="ORD00294"/>
    <s v="PRD005"/>
    <n v="1"/>
    <n v="39000"/>
    <s v="Kabel Data USB-C"/>
    <n v="39000"/>
    <n v="15000"/>
    <n v="24000"/>
    <s v="CUST0153"/>
    <x v="4"/>
  </r>
  <r>
    <s v="ITM00501"/>
    <s v="ORD00295"/>
    <s v="PRD020"/>
    <n v="1"/>
    <n v="179000"/>
    <s v="Rak Penyimpanan Serbaguna"/>
    <n v="179000"/>
    <n v="90000"/>
    <n v="89000"/>
    <s v="CUST0133"/>
    <x v="6"/>
  </r>
  <r>
    <s v="ITM00502"/>
    <s v="ORD00296"/>
    <s v="PRD009"/>
    <n v="2"/>
    <n v="79000"/>
    <s v="Kaos Polos Cotton Combed"/>
    <n v="158000"/>
    <n v="35000"/>
    <n v="88000"/>
    <s v="CUST0185"/>
    <x v="5"/>
  </r>
  <r>
    <s v="ITM00503"/>
    <s v="ORD00296"/>
    <s v="PRD021"/>
    <n v="1"/>
    <n v="69000"/>
    <s v="Lampu LED Hias 5m"/>
    <n v="69000"/>
    <n v="30000"/>
    <n v="39000"/>
    <s v="CUST0185"/>
    <x v="5"/>
  </r>
  <r>
    <s v="ITM00504"/>
    <s v="ORD00297"/>
    <s v="PRD020"/>
    <n v="1"/>
    <n v="179000"/>
    <s v="Rak Penyimpanan Serbaguna"/>
    <n v="179000"/>
    <n v="90000"/>
    <n v="89000"/>
    <s v="CUST0195"/>
    <x v="4"/>
  </r>
  <r>
    <s v="ITM00505"/>
    <s v="ORD00297"/>
    <s v="PRD021"/>
    <n v="1"/>
    <n v="69000"/>
    <s v="Lampu LED Hias 5m"/>
    <n v="69000"/>
    <n v="30000"/>
    <n v="39000"/>
    <s v="CUST0195"/>
    <x v="4"/>
  </r>
  <r>
    <s v="ITM00506"/>
    <s v="ORD00297"/>
    <s v="PRD007"/>
    <n v="1"/>
    <n v="99000"/>
    <s v="Mouse Wireless"/>
    <n v="99000"/>
    <n v="45000"/>
    <n v="54000"/>
    <s v="CUST0195"/>
    <x v="4"/>
  </r>
  <r>
    <s v="ITM00507"/>
    <s v="ORD00298"/>
    <s v="PRD007"/>
    <n v="1"/>
    <n v="99000"/>
    <s v="Mouse Wireless"/>
    <n v="99000"/>
    <n v="45000"/>
    <n v="54000"/>
    <s v="CUST0122"/>
    <x v="6"/>
  </r>
  <r>
    <s v="ITM00508"/>
    <s v="ORD00298"/>
    <s v="PRD019"/>
    <n v="1"/>
    <n v="79000"/>
    <s v="Botol Minum Stainless 1L"/>
    <n v="79000"/>
    <n v="35000"/>
    <n v="44000"/>
    <s v="CUST0122"/>
    <x v="6"/>
  </r>
  <r>
    <s v="ITM00509"/>
    <s v="ORD00299"/>
    <s v="PRD005"/>
    <n v="2"/>
    <n v="39000"/>
    <s v="Kabel Data USB-C"/>
    <n v="78000"/>
    <n v="15000"/>
    <n v="48000"/>
    <s v="CUST0115"/>
    <x v="6"/>
  </r>
  <r>
    <s v="ITM00510"/>
    <s v="ORD00300"/>
    <s v="PRD005"/>
    <n v="1"/>
    <n v="39000"/>
    <s v="Kabel Data USB-C"/>
    <n v="39000"/>
    <n v="15000"/>
    <n v="24000"/>
    <s v="CUST0057"/>
    <x v="6"/>
  </r>
  <r>
    <s v="ITM00511"/>
    <s v="ORD00300"/>
    <s v="PRD021"/>
    <n v="2"/>
    <n v="69000"/>
    <s v="Lampu LED Hias 5m"/>
    <n v="138000"/>
    <n v="30000"/>
    <n v="78000"/>
    <s v="CUST0057"/>
    <x v="6"/>
  </r>
  <r>
    <s v="ITM00512"/>
    <s v="ORD00301"/>
    <s v="PRD005"/>
    <n v="3"/>
    <n v="39000"/>
    <s v="Kabel Data USB-C"/>
    <n v="117000"/>
    <n v="15000"/>
    <n v="72000"/>
    <s v="CUST0063"/>
    <x v="2"/>
  </r>
  <r>
    <s v="ITM00513"/>
    <s v="ORD00301"/>
    <s v="PRD020"/>
    <n v="3"/>
    <n v="179000"/>
    <s v="Rak Penyimpanan Serbaguna"/>
    <n v="537000"/>
    <n v="90000"/>
    <n v="267000"/>
    <s v="CUST0063"/>
    <x v="2"/>
  </r>
  <r>
    <s v="ITM00514"/>
    <s v="ORD00301"/>
    <s v="PRD021"/>
    <n v="1"/>
    <n v="69000"/>
    <s v="Lampu LED Hias 5m"/>
    <n v="69000"/>
    <n v="30000"/>
    <n v="39000"/>
    <s v="CUST0063"/>
    <x v="2"/>
  </r>
  <r>
    <s v="ITM00515"/>
    <s v="ORD00302"/>
    <s v="PRD005"/>
    <n v="3"/>
    <n v="39000"/>
    <s v="Kabel Data USB-C"/>
    <n v="117000"/>
    <n v="15000"/>
    <n v="72000"/>
    <s v="CUST0095"/>
    <x v="9"/>
  </r>
  <r>
    <s v="ITM00516"/>
    <s v="ORD00302"/>
    <s v="PRD004"/>
    <n v="2"/>
    <n v="199000"/>
    <s v="Speaker Bluetooth Mini"/>
    <n v="398000"/>
    <n v="100000"/>
    <n v="198000"/>
    <s v="CUST0095"/>
    <x v="9"/>
  </r>
  <r>
    <s v="ITM00517"/>
    <s v="ORD00303"/>
    <s v="PRD021"/>
    <n v="3"/>
    <n v="69000"/>
    <s v="Lampu LED Hias 5m"/>
    <n v="207000"/>
    <n v="30000"/>
    <n v="117000"/>
    <s v="CUST0136"/>
    <x v="0"/>
  </r>
  <r>
    <s v="ITM00518"/>
    <s v="ORD00303"/>
    <s v="PRD022"/>
    <n v="2"/>
    <n v="55000"/>
    <s v="Sapu + Pengki Set"/>
    <n v="110000"/>
    <n v="25000"/>
    <n v="60000"/>
    <s v="CUST0136"/>
    <x v="0"/>
  </r>
  <r>
    <s v="ITM00519"/>
    <s v="ORD00304"/>
    <s v="PRD021"/>
    <n v="1"/>
    <n v="69000"/>
    <s v="Lampu LED Hias 5m"/>
    <n v="69000"/>
    <n v="30000"/>
    <n v="39000"/>
    <s v="CUST0191"/>
    <x v="5"/>
  </r>
  <r>
    <s v="ITM00520"/>
    <s v="ORD00305"/>
    <s v="PRD017"/>
    <n v="1"/>
    <n v="329000"/>
    <s v="Rice Cooker Mini 1.5L"/>
    <n v="329000"/>
    <n v="180000"/>
    <n v="149000"/>
    <s v="CUST0180"/>
    <x v="3"/>
  </r>
  <r>
    <s v="ITM00521"/>
    <s v="ORD00305"/>
    <s v="PRD005"/>
    <n v="2"/>
    <n v="39000"/>
    <s v="Kabel Data USB-C"/>
    <n v="78000"/>
    <n v="15000"/>
    <n v="48000"/>
    <s v="CUST0180"/>
    <x v="3"/>
  </r>
  <r>
    <s v="ITM00522"/>
    <s v="ORD00305"/>
    <s v="PRD021"/>
    <n v="1"/>
    <n v="69000"/>
    <s v="Lampu LED Hias 5m"/>
    <n v="69000"/>
    <n v="30000"/>
    <n v="39000"/>
    <s v="CUST0180"/>
    <x v="3"/>
  </r>
  <r>
    <s v="ITM00523"/>
    <s v="ORD00306"/>
    <s v="PRD005"/>
    <n v="1"/>
    <n v="39000"/>
    <s v="Kabel Data USB-C"/>
    <n v="39000"/>
    <n v="15000"/>
    <n v="24000"/>
    <s v="CUST0079"/>
    <x v="1"/>
  </r>
  <r>
    <s v="ITM00524"/>
    <s v="ORD00306"/>
    <s v="PRD021"/>
    <n v="1"/>
    <n v="69000"/>
    <s v="Lampu LED Hias 5m"/>
    <n v="69000"/>
    <n v="30000"/>
    <n v="39000"/>
    <s v="CUST0079"/>
    <x v="1"/>
  </r>
  <r>
    <s v="ITM00525"/>
    <s v="ORD00306"/>
    <s v="PRD017"/>
    <n v="1"/>
    <n v="329000"/>
    <s v="Rice Cooker Mini 1.5L"/>
    <n v="329000"/>
    <n v="180000"/>
    <n v="149000"/>
    <s v="CUST0079"/>
    <x v="1"/>
  </r>
  <r>
    <s v="ITM00526"/>
    <s v="ORD00307"/>
    <s v="PRD008"/>
    <n v="2"/>
    <n v="399000"/>
    <s v="Keyboard Mechanical Mini"/>
    <n v="798000"/>
    <n v="200000"/>
    <n v="398000"/>
    <s v="CUST0185"/>
    <x v="5"/>
  </r>
  <r>
    <s v="ITM00527"/>
    <s v="ORD00307"/>
    <s v="PRD021"/>
    <n v="1"/>
    <n v="69000"/>
    <s v="Lampu LED Hias 5m"/>
    <n v="69000"/>
    <n v="30000"/>
    <n v="39000"/>
    <s v="CUST0185"/>
    <x v="5"/>
  </r>
  <r>
    <s v="ITM00528"/>
    <s v="ORD00308"/>
    <s v="PRD021"/>
    <n v="2"/>
    <n v="69000"/>
    <s v="Lampu LED Hias 5m"/>
    <n v="138000"/>
    <n v="30000"/>
    <n v="78000"/>
    <s v="CUST0191"/>
    <x v="5"/>
  </r>
  <r>
    <s v="ITM00529"/>
    <s v="ORD00309"/>
    <s v="PRD006"/>
    <n v="2"/>
    <n v="129000"/>
    <s v="Charger Fast Charging 33W"/>
    <n v="258000"/>
    <n v="60000"/>
    <n v="138000"/>
    <s v="CUST0177"/>
    <x v="1"/>
  </r>
  <r>
    <s v="ITM00530"/>
    <s v="ORD00309"/>
    <s v="PRD021"/>
    <n v="3"/>
    <n v="69000"/>
    <s v="Lampu LED Hias 5m"/>
    <n v="207000"/>
    <n v="30000"/>
    <n v="117000"/>
    <s v="CUST0177"/>
    <x v="1"/>
  </r>
  <r>
    <s v="ITM00531"/>
    <s v="ORD00310"/>
    <s v="PRD020"/>
    <n v="1"/>
    <n v="179000"/>
    <s v="Rak Penyimpanan Serbaguna"/>
    <n v="179000"/>
    <n v="90000"/>
    <n v="89000"/>
    <s v="CUST0190"/>
    <x v="0"/>
  </r>
  <r>
    <s v="ITM00532"/>
    <s v="ORD00311"/>
    <s v="PRD012"/>
    <n v="1"/>
    <n v="229000"/>
    <s v="Celana Jeans Slimfit"/>
    <n v="229000"/>
    <n v="110000"/>
    <n v="119000"/>
    <s v="CUST0151"/>
    <x v="5"/>
  </r>
  <r>
    <s v="ITM00533"/>
    <s v="ORD00312"/>
    <s v="PRD022"/>
    <n v="2"/>
    <n v="55000"/>
    <s v="Sapu + Pengki Set"/>
    <n v="110000"/>
    <n v="25000"/>
    <n v="60000"/>
    <s v="CUST0026"/>
    <x v="3"/>
  </r>
  <r>
    <s v="ITM00534"/>
    <s v="ORD00312"/>
    <s v="PRD005"/>
    <n v="2"/>
    <n v="39000"/>
    <s v="Kabel Data USB-C"/>
    <n v="78000"/>
    <n v="15000"/>
    <n v="48000"/>
    <s v="CUST0026"/>
    <x v="3"/>
  </r>
  <r>
    <s v="ITM00535"/>
    <s v="ORD00313"/>
    <s v="PRD009"/>
    <n v="2"/>
    <n v="79000"/>
    <s v="Kaos Polos Cotton Combed"/>
    <n v="158000"/>
    <n v="35000"/>
    <n v="88000"/>
    <s v="CUST0093"/>
    <x v="2"/>
  </r>
  <r>
    <s v="ITM00536"/>
    <s v="ORD00314"/>
    <s v="PRD001"/>
    <n v="1"/>
    <n v="299000"/>
    <s v="Wireless Earbuds X1"/>
    <n v="299000"/>
    <n v="150000"/>
    <n v="149000"/>
    <s v="CUST0004"/>
    <x v="5"/>
  </r>
  <r>
    <s v="ITM00537"/>
    <s v="ORD00315"/>
    <s v="PRD021"/>
    <n v="2"/>
    <n v="69000"/>
    <s v="Lampu LED Hias 5m"/>
    <n v="138000"/>
    <n v="30000"/>
    <n v="78000"/>
    <s v="CUST0033"/>
    <x v="2"/>
  </r>
  <r>
    <s v="ITM00538"/>
    <s v="ORD00316"/>
    <s v="PRD021"/>
    <n v="3"/>
    <n v="69000"/>
    <s v="Lampu LED Hias 5m"/>
    <n v="207000"/>
    <n v="30000"/>
    <n v="117000"/>
    <s v="CUST0014"/>
    <x v="5"/>
  </r>
  <r>
    <s v="ITM00539"/>
    <s v="ORD00317"/>
    <s v="PRD017"/>
    <n v="3"/>
    <n v="329000"/>
    <s v="Rice Cooker Mini 1.5L"/>
    <n v="987000"/>
    <n v="180000"/>
    <n v="447000"/>
    <s v="CUST0033"/>
    <x v="2"/>
  </r>
  <r>
    <s v="ITM00540"/>
    <s v="ORD00317"/>
    <s v="PRD005"/>
    <n v="2"/>
    <n v="39000"/>
    <s v="Kabel Data USB-C"/>
    <n v="78000"/>
    <n v="15000"/>
    <n v="48000"/>
    <s v="CUST0033"/>
    <x v="2"/>
  </r>
  <r>
    <s v="ITM00541"/>
    <s v="ORD00318"/>
    <s v="PRD020"/>
    <n v="2"/>
    <n v="179000"/>
    <s v="Rak Penyimpanan Serbaguna"/>
    <n v="358000"/>
    <n v="90000"/>
    <n v="178000"/>
    <s v="CUST0193"/>
    <x v="4"/>
  </r>
  <r>
    <s v="ITM00542"/>
    <s v="ORD00318"/>
    <s v="PRD021"/>
    <n v="1"/>
    <n v="69000"/>
    <s v="Lampu LED Hias 5m"/>
    <n v="69000"/>
    <n v="30000"/>
    <n v="39000"/>
    <s v="CUST0193"/>
    <x v="4"/>
  </r>
  <r>
    <s v="ITM00543"/>
    <s v="ORD00319"/>
    <s v="PRD020"/>
    <n v="1"/>
    <n v="179000"/>
    <s v="Rak Penyimpanan Serbaguna"/>
    <n v="179000"/>
    <n v="90000"/>
    <n v="89000"/>
    <s v="CUST0004"/>
    <x v="5"/>
  </r>
  <r>
    <s v="ITM00544"/>
    <s v="ORD00319"/>
    <s v="PRD005"/>
    <n v="1"/>
    <n v="39000"/>
    <s v="Kabel Data USB-C"/>
    <n v="39000"/>
    <n v="15000"/>
    <n v="24000"/>
    <s v="CUST0004"/>
    <x v="5"/>
  </r>
  <r>
    <s v="ITM00545"/>
    <s v="ORD00320"/>
    <s v="PRD022"/>
    <n v="1"/>
    <n v="55000"/>
    <s v="Sapu + Pengki Set"/>
    <n v="55000"/>
    <n v="25000"/>
    <n v="30000"/>
    <s v="CUST0121"/>
    <x v="3"/>
  </r>
  <r>
    <s v="ITM00546"/>
    <s v="ORD00320"/>
    <s v="PRD009"/>
    <n v="1"/>
    <n v="79000"/>
    <s v="Kaos Polos Cotton Combed"/>
    <n v="79000"/>
    <n v="35000"/>
    <n v="44000"/>
    <s v="CUST0121"/>
    <x v="3"/>
  </r>
  <r>
    <s v="ITM00547"/>
    <s v="ORD00320"/>
    <s v="PRD021"/>
    <n v="1"/>
    <n v="69000"/>
    <s v="Lampu LED Hias 5m"/>
    <n v="69000"/>
    <n v="30000"/>
    <n v="39000"/>
    <s v="CUST0121"/>
    <x v="3"/>
  </r>
  <r>
    <s v="ITM00548"/>
    <s v="ORD00321"/>
    <s v="PRD017"/>
    <n v="1"/>
    <n v="329000"/>
    <s v="Rice Cooker Mini 1.5L"/>
    <n v="329000"/>
    <n v="180000"/>
    <n v="149000"/>
    <s v="CUST0088"/>
    <x v="1"/>
  </r>
  <r>
    <s v="ITM00549"/>
    <s v="ORD00321"/>
    <s v="PRD005"/>
    <n v="1"/>
    <n v="39000"/>
    <s v="Kabel Data USB-C"/>
    <n v="39000"/>
    <n v="15000"/>
    <n v="24000"/>
    <s v="CUST0088"/>
    <x v="1"/>
  </r>
  <r>
    <s v="ITM00550"/>
    <s v="ORD00322"/>
    <s v="PRD021"/>
    <n v="1"/>
    <n v="69000"/>
    <s v="Lampu LED Hias 5m"/>
    <n v="69000"/>
    <n v="30000"/>
    <n v="39000"/>
    <s v="CUST0065"/>
    <x v="5"/>
  </r>
  <r>
    <s v="ITM00551"/>
    <s v="ORD00322"/>
    <s v="PRD022"/>
    <n v="2"/>
    <n v="55000"/>
    <s v="Sapu + Pengki Set"/>
    <n v="110000"/>
    <n v="25000"/>
    <n v="60000"/>
    <s v="CUST0065"/>
    <x v="5"/>
  </r>
  <r>
    <s v="ITM00552"/>
    <s v="ORD00322"/>
    <s v="PRD020"/>
    <n v="1"/>
    <n v="179000"/>
    <s v="Rak Penyimpanan Serbaguna"/>
    <n v="179000"/>
    <n v="90000"/>
    <n v="89000"/>
    <s v="CUST0065"/>
    <x v="5"/>
  </r>
  <r>
    <s v="ITM00553"/>
    <s v="ORD00322"/>
    <s v="PRD005"/>
    <n v="2"/>
    <n v="39000"/>
    <s v="Kabel Data USB-C"/>
    <n v="78000"/>
    <n v="15000"/>
    <n v="48000"/>
    <s v="CUST0065"/>
    <x v="5"/>
  </r>
  <r>
    <s v="ITM00554"/>
    <s v="ORD00323"/>
    <s v="PRD021"/>
    <n v="3"/>
    <n v="69000"/>
    <s v="Lampu LED Hias 5m"/>
    <n v="207000"/>
    <n v="30000"/>
    <n v="117000"/>
    <s v="CUST0017"/>
    <x v="5"/>
  </r>
  <r>
    <s v="ITM00555"/>
    <s v="ORD00323"/>
    <s v="PRD006"/>
    <n v="2"/>
    <n v="129000"/>
    <s v="Charger Fast Charging 33W"/>
    <n v="258000"/>
    <n v="60000"/>
    <n v="138000"/>
    <s v="CUST0017"/>
    <x v="5"/>
  </r>
  <r>
    <s v="ITM00556"/>
    <s v="ORD00323"/>
    <s v="PRD022"/>
    <n v="3"/>
    <n v="55000"/>
    <s v="Sapu + Pengki Set"/>
    <n v="165000"/>
    <n v="25000"/>
    <n v="90000"/>
    <s v="CUST0017"/>
    <x v="5"/>
  </r>
  <r>
    <s v="ITM00557"/>
    <s v="ORD00323"/>
    <s v="PRD005"/>
    <n v="1"/>
    <n v="39000"/>
    <s v="Kabel Data USB-C"/>
    <n v="39000"/>
    <n v="15000"/>
    <n v="24000"/>
    <s v="CUST0017"/>
    <x v="5"/>
  </r>
  <r>
    <s v="ITM00558"/>
    <s v="ORD00324"/>
    <s v="PRD005"/>
    <n v="2"/>
    <n v="39000"/>
    <s v="Kabel Data USB-C"/>
    <n v="78000"/>
    <n v="15000"/>
    <n v="48000"/>
    <s v="CUST0019"/>
    <x v="2"/>
  </r>
  <r>
    <s v="ITM00559"/>
    <s v="ORD00324"/>
    <s v="PRD002"/>
    <n v="1"/>
    <n v="159000"/>
    <s v="Power Bank 10000mAh"/>
    <n v="159000"/>
    <n v="80000"/>
    <n v="79000"/>
    <s v="CUST0019"/>
    <x v="2"/>
  </r>
  <r>
    <s v="ITM00560"/>
    <s v="ORD00324"/>
    <s v="PRD003"/>
    <n v="1"/>
    <n v="499000"/>
    <s v="Smartwatch Lite"/>
    <n v="499000"/>
    <n v="250000"/>
    <n v="249000"/>
    <s v="CUST0019"/>
    <x v="2"/>
  </r>
  <r>
    <s v="ITM00561"/>
    <s v="ORD00325"/>
    <s v="PRD012"/>
    <n v="2"/>
    <n v="229000"/>
    <s v="Celana Jeans Slimfit"/>
    <n v="458000"/>
    <n v="110000"/>
    <n v="238000"/>
    <s v="CUST0014"/>
    <x v="5"/>
  </r>
  <r>
    <s v="ITM00562"/>
    <s v="ORD00325"/>
    <s v="PRD021"/>
    <n v="3"/>
    <n v="69000"/>
    <s v="Lampu LED Hias 5m"/>
    <n v="207000"/>
    <n v="30000"/>
    <n v="117000"/>
    <s v="CUST0014"/>
    <x v="5"/>
  </r>
  <r>
    <s v="ITM00563"/>
    <s v="ORD00325"/>
    <s v="PRD008"/>
    <n v="2"/>
    <n v="399000"/>
    <s v="Keyboard Mechanical Mini"/>
    <n v="798000"/>
    <n v="200000"/>
    <n v="398000"/>
    <s v="CUST0014"/>
    <x v="5"/>
  </r>
  <r>
    <s v="ITM00564"/>
    <s v="ORD00325"/>
    <s v="PRD005"/>
    <n v="2"/>
    <n v="39000"/>
    <s v="Kabel Data USB-C"/>
    <n v="78000"/>
    <n v="15000"/>
    <n v="48000"/>
    <s v="CUST0014"/>
    <x v="5"/>
  </r>
  <r>
    <s v="ITM00565"/>
    <s v="ORD00326"/>
    <s v="PRD009"/>
    <n v="1"/>
    <n v="79000"/>
    <s v="Kaos Polos Cotton Combed"/>
    <n v="79000"/>
    <n v="35000"/>
    <n v="44000"/>
    <s v="CUST0145"/>
    <x v="2"/>
  </r>
  <r>
    <s v="ITM00566"/>
    <s v="ORD00327"/>
    <s v="PRD021"/>
    <n v="1"/>
    <n v="69000"/>
    <s v="Lampu LED Hias 5m"/>
    <n v="69000"/>
    <n v="30000"/>
    <n v="39000"/>
    <s v="CUST0031"/>
    <x v="7"/>
  </r>
  <r>
    <s v="ITM00567"/>
    <s v="ORD00328"/>
    <s v="PRD021"/>
    <n v="3"/>
    <n v="69000"/>
    <s v="Lampu LED Hias 5m"/>
    <n v="207000"/>
    <n v="30000"/>
    <n v="117000"/>
    <s v="CUST0107"/>
    <x v="1"/>
  </r>
  <r>
    <s v="ITM00568"/>
    <s v="ORD00329"/>
    <s v="PRD019"/>
    <n v="1"/>
    <n v="79000"/>
    <s v="Botol Minum Stainless 1L"/>
    <n v="79000"/>
    <n v="35000"/>
    <n v="44000"/>
    <s v="CUST0159"/>
    <x v="7"/>
  </r>
  <r>
    <s v="ITM00569"/>
    <s v="ORD00329"/>
    <s v="PRD020"/>
    <n v="1"/>
    <n v="179000"/>
    <s v="Rak Penyimpanan Serbaguna"/>
    <n v="179000"/>
    <n v="90000"/>
    <n v="89000"/>
    <s v="CUST0159"/>
    <x v="7"/>
  </r>
  <r>
    <s v="ITM00570"/>
    <s v="ORD00329"/>
    <s v="PRD017"/>
    <n v="1"/>
    <n v="329000"/>
    <s v="Rice Cooker Mini 1.5L"/>
    <n v="329000"/>
    <n v="180000"/>
    <n v="149000"/>
    <s v="CUST0159"/>
    <x v="7"/>
  </r>
  <r>
    <s v="ITM00571"/>
    <s v="ORD00329"/>
    <s v="PRD021"/>
    <n v="1"/>
    <n v="69000"/>
    <s v="Lampu LED Hias 5m"/>
    <n v="69000"/>
    <n v="30000"/>
    <n v="39000"/>
    <s v="CUST0159"/>
    <x v="7"/>
  </r>
  <r>
    <s v="ITM00572"/>
    <s v="ORD00330"/>
    <s v="PRD020"/>
    <n v="1"/>
    <n v="179000"/>
    <s v="Rak Penyimpanan Serbaguna"/>
    <n v="179000"/>
    <n v="90000"/>
    <n v="89000"/>
    <s v="CUST0134"/>
    <x v="1"/>
  </r>
  <r>
    <s v="ITM00573"/>
    <s v="ORD00331"/>
    <s v="PRD022"/>
    <n v="1"/>
    <n v="55000"/>
    <s v="Sapu + Pengki Set"/>
    <n v="55000"/>
    <n v="25000"/>
    <n v="30000"/>
    <s v="CUST0114"/>
    <x v="3"/>
  </r>
  <r>
    <s v="ITM00574"/>
    <s v="ORD00331"/>
    <s v="PRD003"/>
    <n v="3"/>
    <n v="499000"/>
    <s v="Smartwatch Lite"/>
    <n v="1497000"/>
    <n v="250000"/>
    <n v="747000"/>
    <s v="CUST0114"/>
    <x v="3"/>
  </r>
  <r>
    <s v="ITM00575"/>
    <s v="ORD00331"/>
    <s v="PRD021"/>
    <n v="1"/>
    <n v="69000"/>
    <s v="Lampu LED Hias 5m"/>
    <n v="69000"/>
    <n v="30000"/>
    <n v="39000"/>
    <s v="CUST0114"/>
    <x v="3"/>
  </r>
  <r>
    <s v="ITM00576"/>
    <s v="ORD00332"/>
    <s v="PRD020"/>
    <n v="2"/>
    <n v="179000"/>
    <s v="Rak Penyimpanan Serbaguna"/>
    <n v="358000"/>
    <n v="90000"/>
    <n v="178000"/>
    <s v="CUST0110"/>
    <x v="1"/>
  </r>
  <r>
    <s v="ITM00577"/>
    <s v="ORD00332"/>
    <s v="PRD014"/>
    <n v="3"/>
    <n v="349000"/>
    <s v="Sepatu Sneakers Casual"/>
    <n v="1047000"/>
    <n v="180000"/>
    <n v="507000"/>
    <s v="CUST0110"/>
    <x v="1"/>
  </r>
  <r>
    <s v="ITM00578"/>
    <s v="ORD00332"/>
    <s v="PRD021"/>
    <n v="2"/>
    <n v="69000"/>
    <s v="Lampu LED Hias 5m"/>
    <n v="138000"/>
    <n v="30000"/>
    <n v="78000"/>
    <s v="CUST0110"/>
    <x v="1"/>
  </r>
  <r>
    <s v="ITM00579"/>
    <s v="ORD00332"/>
    <s v="PRD006"/>
    <n v="1"/>
    <n v="129000"/>
    <s v="Charger Fast Charging 33W"/>
    <n v="129000"/>
    <n v="60000"/>
    <n v="69000"/>
    <s v="CUST0110"/>
    <x v="1"/>
  </r>
  <r>
    <s v="ITM00580"/>
    <s v="ORD00333"/>
    <s v="PRD020"/>
    <n v="1"/>
    <n v="179000"/>
    <s v="Rak Penyimpanan Serbaguna"/>
    <n v="179000"/>
    <n v="90000"/>
    <n v="89000"/>
    <s v="CUST0159"/>
    <x v="7"/>
  </r>
  <r>
    <s v="ITM00581"/>
    <s v="ORD00333"/>
    <s v="PRD005"/>
    <n v="1"/>
    <n v="39000"/>
    <s v="Kabel Data USB-C"/>
    <n v="39000"/>
    <n v="15000"/>
    <n v="24000"/>
    <s v="CUST0159"/>
    <x v="7"/>
  </r>
  <r>
    <s v="ITM00582"/>
    <s v="ORD00333"/>
    <s v="PRD006"/>
    <n v="1"/>
    <n v="129000"/>
    <s v="Charger Fast Charging 33W"/>
    <n v="129000"/>
    <n v="60000"/>
    <n v="69000"/>
    <s v="CUST0159"/>
    <x v="7"/>
  </r>
  <r>
    <s v="ITM00583"/>
    <s v="ORD00334"/>
    <s v="PRD019"/>
    <n v="1"/>
    <n v="79000"/>
    <s v="Botol Minum Stainless 1L"/>
    <n v="79000"/>
    <n v="35000"/>
    <n v="44000"/>
    <s v="CUST0190"/>
    <x v="0"/>
  </r>
  <r>
    <s v="ITM00584"/>
    <s v="ORD00334"/>
    <s v="PRD013"/>
    <n v="1"/>
    <n v="209000"/>
    <s v="Jaket Hoodie Unisex"/>
    <n v="209000"/>
    <n v="95000"/>
    <n v="114000"/>
    <s v="CUST0190"/>
    <x v="0"/>
  </r>
  <r>
    <s v="ITM00585"/>
    <s v="ORD00334"/>
    <s v="PRD021"/>
    <n v="2"/>
    <n v="69000"/>
    <s v="Lampu LED Hias 5m"/>
    <n v="138000"/>
    <n v="30000"/>
    <n v="78000"/>
    <s v="CUST0190"/>
    <x v="0"/>
  </r>
  <r>
    <s v="ITM00586"/>
    <s v="ORD00335"/>
    <s v="PRD017"/>
    <n v="3"/>
    <n v="329000"/>
    <s v="Rice Cooker Mini 1.5L"/>
    <n v="987000"/>
    <n v="180000"/>
    <n v="447000"/>
    <s v="CUST0054"/>
    <x v="7"/>
  </r>
  <r>
    <s v="ITM00587"/>
    <s v="ORD00335"/>
    <s v="PRD005"/>
    <n v="1"/>
    <n v="39000"/>
    <s v="Kabel Data USB-C"/>
    <n v="39000"/>
    <n v="15000"/>
    <n v="24000"/>
    <s v="CUST0054"/>
    <x v="7"/>
  </r>
  <r>
    <s v="ITM00588"/>
    <s v="ORD00336"/>
    <s v="PRD014"/>
    <n v="1"/>
    <n v="349000"/>
    <s v="Sepatu Sneakers Casual"/>
    <n v="349000"/>
    <n v="180000"/>
    <n v="169000"/>
    <s v="CUST0068"/>
    <x v="3"/>
  </r>
  <r>
    <s v="ITM00589"/>
    <s v="ORD00337"/>
    <s v="PRD014"/>
    <n v="1"/>
    <n v="349000"/>
    <s v="Sepatu Sneakers Casual"/>
    <n v="349000"/>
    <n v="180000"/>
    <n v="169000"/>
    <s v="CUST0041"/>
    <x v="6"/>
  </r>
  <r>
    <s v="ITM00590"/>
    <s v="ORD00338"/>
    <s v="PRD021"/>
    <n v="2"/>
    <n v="69000"/>
    <s v="Lampu LED Hias 5m"/>
    <n v="138000"/>
    <n v="30000"/>
    <n v="78000"/>
    <s v="CUST0142"/>
    <x v="7"/>
  </r>
  <r>
    <s v="ITM00591"/>
    <s v="ORD00339"/>
    <s v="PRD021"/>
    <n v="1"/>
    <n v="69000"/>
    <s v="Lampu LED Hias 5m"/>
    <n v="69000"/>
    <n v="30000"/>
    <n v="39000"/>
    <s v="CUST0105"/>
    <x v="5"/>
  </r>
  <r>
    <s v="ITM00592"/>
    <s v="ORD00339"/>
    <s v="PRD006"/>
    <n v="3"/>
    <n v="129000"/>
    <s v="Charger Fast Charging 33W"/>
    <n v="387000"/>
    <n v="60000"/>
    <n v="207000"/>
    <s v="CUST0105"/>
    <x v="5"/>
  </r>
  <r>
    <s v="ITM00593"/>
    <s v="ORD00339"/>
    <s v="PRD007"/>
    <n v="1"/>
    <n v="99000"/>
    <s v="Mouse Wireless"/>
    <n v="99000"/>
    <n v="45000"/>
    <n v="54000"/>
    <s v="CUST0105"/>
    <x v="5"/>
  </r>
  <r>
    <s v="ITM00594"/>
    <s v="ORD00340"/>
    <s v="PRD021"/>
    <n v="1"/>
    <n v="69000"/>
    <s v="Lampu LED Hias 5m"/>
    <n v="69000"/>
    <n v="30000"/>
    <n v="39000"/>
    <s v="CUST0153"/>
    <x v="4"/>
  </r>
  <r>
    <s v="ITM00595"/>
    <s v="ORD00341"/>
    <s v="PRD006"/>
    <n v="1"/>
    <n v="129000"/>
    <s v="Charger Fast Charging 33W"/>
    <n v="129000"/>
    <n v="60000"/>
    <n v="69000"/>
    <s v="CUST0060"/>
    <x v="6"/>
  </r>
  <r>
    <s v="ITM00596"/>
    <s v="ORD00342"/>
    <s v="PRD021"/>
    <n v="2"/>
    <n v="69000"/>
    <s v="Lampu LED Hias 5m"/>
    <n v="138000"/>
    <n v="30000"/>
    <n v="78000"/>
    <s v="CUST0073"/>
    <x v="2"/>
  </r>
  <r>
    <s v="ITM00597"/>
    <s v="ORD00343"/>
    <s v="PRD021"/>
    <n v="1"/>
    <n v="69000"/>
    <s v="Lampu LED Hias 5m"/>
    <n v="69000"/>
    <n v="30000"/>
    <n v="39000"/>
    <s v="CUST0117"/>
    <x v="8"/>
  </r>
  <r>
    <s v="ITM00598"/>
    <s v="ORD00343"/>
    <s v="PRD005"/>
    <n v="1"/>
    <n v="39000"/>
    <s v="Kabel Data USB-C"/>
    <n v="39000"/>
    <n v="15000"/>
    <n v="24000"/>
    <s v="CUST0117"/>
    <x v="8"/>
  </r>
  <r>
    <s v="ITM00599"/>
    <s v="ORD00344"/>
    <s v="PRD005"/>
    <n v="1"/>
    <n v="39000"/>
    <s v="Kabel Data USB-C"/>
    <n v="39000"/>
    <n v="15000"/>
    <n v="24000"/>
    <s v="CUST0060"/>
    <x v="6"/>
  </r>
  <r>
    <s v="ITM00600"/>
    <s v="ORD00344"/>
    <s v="PRD021"/>
    <n v="1"/>
    <n v="69000"/>
    <s v="Lampu LED Hias 5m"/>
    <n v="69000"/>
    <n v="30000"/>
    <n v="39000"/>
    <s v="CUST0060"/>
    <x v="6"/>
  </r>
  <r>
    <s v="ITM00601"/>
    <s v="ORD00344"/>
    <s v="PRD009"/>
    <n v="1"/>
    <n v="79000"/>
    <s v="Kaos Polos Cotton Combed"/>
    <n v="79000"/>
    <n v="35000"/>
    <n v="44000"/>
    <s v="CUST0060"/>
    <x v="6"/>
  </r>
  <r>
    <s v="ITM00602"/>
    <s v="ORD00345"/>
    <s v="PRD021"/>
    <n v="1"/>
    <n v="69000"/>
    <s v="Lampu LED Hias 5m"/>
    <n v="69000"/>
    <n v="30000"/>
    <n v="39000"/>
    <s v="CUST0161"/>
    <x v="9"/>
  </r>
  <r>
    <s v="ITM00603"/>
    <s v="ORD00345"/>
    <s v="PRD020"/>
    <n v="1"/>
    <n v="179000"/>
    <s v="Rak Penyimpanan Serbaguna"/>
    <n v="179000"/>
    <n v="90000"/>
    <n v="89000"/>
    <s v="CUST0161"/>
    <x v="9"/>
  </r>
  <r>
    <s v="ITM00604"/>
    <s v="ORD00345"/>
    <s v="PRD022"/>
    <n v="2"/>
    <n v="55000"/>
    <s v="Sapu + Pengki Set"/>
    <n v="110000"/>
    <n v="25000"/>
    <n v="60000"/>
    <s v="CUST0161"/>
    <x v="9"/>
  </r>
  <r>
    <s v="ITM00605"/>
    <s v="ORD00346"/>
    <s v="PRD021"/>
    <n v="2"/>
    <n v="69000"/>
    <s v="Lampu LED Hias 5m"/>
    <n v="138000"/>
    <n v="30000"/>
    <n v="78000"/>
    <s v="CUST0051"/>
    <x v="5"/>
  </r>
  <r>
    <s v="ITM00606"/>
    <s v="ORD00347"/>
    <s v="PRD006"/>
    <n v="2"/>
    <n v="129000"/>
    <s v="Charger Fast Charging 33W"/>
    <n v="258000"/>
    <n v="60000"/>
    <n v="138000"/>
    <s v="CUST0140"/>
    <x v="4"/>
  </r>
  <r>
    <s v="ITM00607"/>
    <s v="ORD00348"/>
    <s v="PRD014"/>
    <n v="1"/>
    <n v="349000"/>
    <s v="Sepatu Sneakers Casual"/>
    <n v="349000"/>
    <n v="180000"/>
    <n v="169000"/>
    <s v="CUST0039"/>
    <x v="0"/>
  </r>
  <r>
    <s v="ITM00608"/>
    <s v="ORD00348"/>
    <s v="PRD008"/>
    <n v="3"/>
    <n v="399000"/>
    <s v="Keyboard Mechanical Mini"/>
    <n v="1197000"/>
    <n v="200000"/>
    <n v="597000"/>
    <s v="CUST0039"/>
    <x v="0"/>
  </r>
  <r>
    <s v="ITM00609"/>
    <s v="ORD00349"/>
    <s v="PRD005"/>
    <n v="1"/>
    <n v="39000"/>
    <s v="Kabel Data USB-C"/>
    <n v="39000"/>
    <n v="15000"/>
    <n v="24000"/>
    <s v="CUST0037"/>
    <x v="5"/>
  </r>
  <r>
    <s v="ITM00610"/>
    <s v="ORD00350"/>
    <s v="PRD021"/>
    <n v="2"/>
    <n v="69000"/>
    <s v="Lampu LED Hias 5m"/>
    <n v="138000"/>
    <n v="30000"/>
    <n v="78000"/>
    <s v="CUST0079"/>
    <x v="1"/>
  </r>
  <r>
    <s v="ITM00611"/>
    <s v="ORD00350"/>
    <s v="PRD006"/>
    <n v="3"/>
    <n v="129000"/>
    <s v="Charger Fast Charging 33W"/>
    <n v="387000"/>
    <n v="60000"/>
    <n v="207000"/>
    <s v="CUST0079"/>
    <x v="1"/>
  </r>
  <r>
    <s v="ITM00612"/>
    <s v="ORD00350"/>
    <s v="PRD014"/>
    <n v="1"/>
    <n v="349000"/>
    <s v="Sepatu Sneakers Casual"/>
    <n v="349000"/>
    <n v="180000"/>
    <n v="169000"/>
    <s v="CUST0079"/>
    <x v="1"/>
  </r>
  <r>
    <s v="ITM00613"/>
    <s v="ORD00351"/>
    <s v="PRD002"/>
    <n v="1"/>
    <n v="159000"/>
    <s v="Power Bank 10000mAh"/>
    <n v="159000"/>
    <n v="80000"/>
    <n v="79000"/>
    <s v="CUST0146"/>
    <x v="5"/>
  </r>
  <r>
    <s v="ITM00614"/>
    <s v="ORD00352"/>
    <s v="PRD021"/>
    <n v="1"/>
    <n v="69000"/>
    <s v="Lampu LED Hias 5m"/>
    <n v="69000"/>
    <n v="30000"/>
    <n v="39000"/>
    <s v="CUST0032"/>
    <x v="0"/>
  </r>
  <r>
    <s v="ITM00615"/>
    <s v="ORD00353"/>
    <s v="PRD009"/>
    <n v="1"/>
    <n v="79000"/>
    <s v="Kaos Polos Cotton Combed"/>
    <n v="79000"/>
    <n v="35000"/>
    <n v="44000"/>
    <s v="CUST0078"/>
    <x v="3"/>
  </r>
  <r>
    <s v="ITM00616"/>
    <s v="ORD00354"/>
    <s v="PRD021"/>
    <n v="1"/>
    <n v="69000"/>
    <s v="Lampu LED Hias 5m"/>
    <n v="69000"/>
    <n v="30000"/>
    <n v="39000"/>
    <s v="CUST0070"/>
    <x v="7"/>
  </r>
  <r>
    <s v="ITM00617"/>
    <s v="ORD00354"/>
    <s v="PRD005"/>
    <n v="3"/>
    <n v="39000"/>
    <s v="Kabel Data USB-C"/>
    <n v="117000"/>
    <n v="15000"/>
    <n v="72000"/>
    <s v="CUST0070"/>
    <x v="7"/>
  </r>
  <r>
    <s v="ITM00618"/>
    <s v="ORD00354"/>
    <s v="PRD020"/>
    <n v="3"/>
    <n v="179000"/>
    <s v="Rak Penyimpanan Serbaguna"/>
    <n v="537000"/>
    <n v="90000"/>
    <n v="267000"/>
    <s v="CUST0070"/>
    <x v="7"/>
  </r>
  <r>
    <s v="ITM00619"/>
    <s v="ORD00354"/>
    <s v="PRD017"/>
    <n v="1"/>
    <n v="329000"/>
    <s v="Rice Cooker Mini 1.5L"/>
    <n v="329000"/>
    <n v="180000"/>
    <n v="149000"/>
    <s v="CUST0070"/>
    <x v="7"/>
  </r>
  <r>
    <s v="ITM00620"/>
    <s v="ORD00355"/>
    <s v="PRD022"/>
    <n v="1"/>
    <n v="55000"/>
    <s v="Sapu + Pengki Set"/>
    <n v="55000"/>
    <n v="25000"/>
    <n v="30000"/>
    <s v="CUST0127"/>
    <x v="6"/>
  </r>
  <r>
    <s v="ITM00621"/>
    <s v="ORD00356"/>
    <s v="PRD005"/>
    <n v="1"/>
    <n v="39000"/>
    <s v="Kabel Data USB-C"/>
    <n v="39000"/>
    <n v="15000"/>
    <n v="24000"/>
    <s v="CUST0011"/>
    <x v="8"/>
  </r>
  <r>
    <s v="ITM00622"/>
    <s v="ORD00356"/>
    <s v="PRD020"/>
    <n v="1"/>
    <n v="179000"/>
    <s v="Rak Penyimpanan Serbaguna"/>
    <n v="179000"/>
    <n v="90000"/>
    <n v="89000"/>
    <s v="CUST0011"/>
    <x v="8"/>
  </r>
  <r>
    <s v="ITM00623"/>
    <s v="ORD00357"/>
    <s v="PRD021"/>
    <n v="1"/>
    <n v="69000"/>
    <s v="Lampu LED Hias 5m"/>
    <n v="69000"/>
    <n v="30000"/>
    <n v="39000"/>
    <s v="CUST0155"/>
    <x v="0"/>
  </r>
  <r>
    <s v="ITM00624"/>
    <s v="ORD00358"/>
    <s v="PRD005"/>
    <n v="1"/>
    <n v="39000"/>
    <s v="Kabel Data USB-C"/>
    <n v="39000"/>
    <n v="15000"/>
    <n v="24000"/>
    <s v="CUST0024"/>
    <x v="2"/>
  </r>
  <r>
    <s v="ITM00625"/>
    <s v="ORD00358"/>
    <s v="PRD014"/>
    <n v="1"/>
    <n v="349000"/>
    <s v="Sepatu Sneakers Casual"/>
    <n v="349000"/>
    <n v="180000"/>
    <n v="169000"/>
    <s v="CUST0024"/>
    <x v="2"/>
  </r>
  <r>
    <s v="ITM00626"/>
    <s v="ORD00358"/>
    <s v="PRD021"/>
    <n v="1"/>
    <n v="69000"/>
    <s v="Lampu LED Hias 5m"/>
    <n v="69000"/>
    <n v="30000"/>
    <n v="39000"/>
    <s v="CUST0024"/>
    <x v="2"/>
  </r>
  <r>
    <s v="ITM00627"/>
    <s v="ORD00359"/>
    <s v="PRD021"/>
    <n v="1"/>
    <n v="69000"/>
    <s v="Lampu LED Hias 5m"/>
    <n v="69000"/>
    <n v="30000"/>
    <n v="39000"/>
    <s v="CUST0148"/>
    <x v="5"/>
  </r>
  <r>
    <s v="ITM00628"/>
    <s v="ORD00360"/>
    <s v="PRD002"/>
    <n v="1"/>
    <n v="159000"/>
    <s v="Power Bank 10000mAh"/>
    <n v="159000"/>
    <n v="80000"/>
    <n v="79000"/>
    <s v="CUST0196"/>
    <x v="3"/>
  </r>
  <r>
    <s v="ITM00629"/>
    <s v="ORD00361"/>
    <s v="PRD021"/>
    <n v="1"/>
    <n v="69000"/>
    <s v="Lampu LED Hias 5m"/>
    <n v="69000"/>
    <n v="30000"/>
    <n v="39000"/>
    <s v="CUST0069"/>
    <x v="9"/>
  </r>
  <r>
    <s v="ITM00630"/>
    <s v="ORD00361"/>
    <s v="PRD005"/>
    <n v="1"/>
    <n v="39000"/>
    <s v="Kabel Data USB-C"/>
    <n v="39000"/>
    <n v="15000"/>
    <n v="24000"/>
    <s v="CUST0069"/>
    <x v="9"/>
  </r>
  <r>
    <s v="ITM00631"/>
    <s v="ORD00361"/>
    <s v="PRD017"/>
    <n v="1"/>
    <n v="329000"/>
    <s v="Rice Cooker Mini 1.5L"/>
    <n v="329000"/>
    <n v="180000"/>
    <n v="149000"/>
    <s v="CUST0069"/>
    <x v="9"/>
  </r>
  <r>
    <s v="ITM00632"/>
    <s v="ORD00362"/>
    <s v="PRD022"/>
    <n v="1"/>
    <n v="55000"/>
    <s v="Sapu + Pengki Set"/>
    <n v="55000"/>
    <n v="25000"/>
    <n v="30000"/>
    <s v="CUST0194"/>
    <x v="2"/>
  </r>
  <r>
    <s v="ITM00633"/>
    <s v="ORD00362"/>
    <s v="PRD005"/>
    <n v="2"/>
    <n v="39000"/>
    <s v="Kabel Data USB-C"/>
    <n v="78000"/>
    <n v="15000"/>
    <n v="48000"/>
    <s v="CUST0194"/>
    <x v="2"/>
  </r>
  <r>
    <s v="ITM00634"/>
    <s v="ORD00363"/>
    <s v="PRD002"/>
    <n v="1"/>
    <n v="159000"/>
    <s v="Power Bank 10000mAh"/>
    <n v="159000"/>
    <n v="80000"/>
    <n v="79000"/>
    <s v="CUST0167"/>
    <x v="5"/>
  </r>
  <r>
    <s v="ITM00635"/>
    <s v="ORD00364"/>
    <s v="PRD006"/>
    <n v="2"/>
    <n v="129000"/>
    <s v="Charger Fast Charging 33W"/>
    <n v="258000"/>
    <n v="60000"/>
    <n v="138000"/>
    <s v="CUST0072"/>
    <x v="9"/>
  </r>
  <r>
    <s v="ITM00636"/>
    <s v="ORD00365"/>
    <s v="PRD021"/>
    <n v="1"/>
    <n v="69000"/>
    <s v="Lampu LED Hias 5m"/>
    <n v="69000"/>
    <n v="30000"/>
    <n v="39000"/>
    <s v="CUST0112"/>
    <x v="5"/>
  </r>
  <r>
    <s v="ITM00637"/>
    <s v="ORD00365"/>
    <s v="PRD006"/>
    <n v="1"/>
    <n v="129000"/>
    <s v="Charger Fast Charging 33W"/>
    <n v="129000"/>
    <n v="60000"/>
    <n v="69000"/>
    <s v="CUST0112"/>
    <x v="5"/>
  </r>
  <r>
    <s v="ITM00638"/>
    <s v="ORD00366"/>
    <s v="PRD006"/>
    <n v="1"/>
    <n v="129000"/>
    <s v="Charger Fast Charging 33W"/>
    <n v="129000"/>
    <n v="60000"/>
    <n v="69000"/>
    <s v="CUST0024"/>
    <x v="2"/>
  </r>
  <r>
    <s v="ITM00639"/>
    <s v="ORD00367"/>
    <s v="PRD021"/>
    <n v="1"/>
    <n v="69000"/>
    <s v="Lampu LED Hias 5m"/>
    <n v="69000"/>
    <n v="30000"/>
    <n v="39000"/>
    <s v="CUST0105"/>
    <x v="5"/>
  </r>
  <r>
    <s v="ITM00640"/>
    <s v="ORD00368"/>
    <s v="PRD009"/>
    <n v="1"/>
    <n v="79000"/>
    <s v="Kaos Polos Cotton Combed"/>
    <n v="79000"/>
    <n v="35000"/>
    <n v="44000"/>
    <s v="CUST0172"/>
    <x v="5"/>
  </r>
  <r>
    <s v="ITM00641"/>
    <s v="ORD00368"/>
    <s v="PRD017"/>
    <n v="1"/>
    <n v="329000"/>
    <s v="Rice Cooker Mini 1.5L"/>
    <n v="329000"/>
    <n v="180000"/>
    <n v="149000"/>
    <s v="CUST0172"/>
    <x v="5"/>
  </r>
  <r>
    <s v="ITM00642"/>
    <s v="ORD00368"/>
    <s v="PRD008"/>
    <n v="1"/>
    <n v="399000"/>
    <s v="Keyboard Mechanical Mini"/>
    <n v="399000"/>
    <n v="200000"/>
    <n v="199000"/>
    <s v="CUST0172"/>
    <x v="5"/>
  </r>
  <r>
    <s v="ITM00643"/>
    <s v="ORD00369"/>
    <s v="PRD014"/>
    <n v="1"/>
    <n v="349000"/>
    <s v="Sepatu Sneakers Casual"/>
    <n v="349000"/>
    <n v="180000"/>
    <n v="169000"/>
    <s v="CUST0085"/>
    <x v="5"/>
  </r>
  <r>
    <s v="ITM00644"/>
    <s v="ORD00369"/>
    <s v="PRD005"/>
    <n v="2"/>
    <n v="39000"/>
    <s v="Kabel Data USB-C"/>
    <n v="78000"/>
    <n v="15000"/>
    <n v="48000"/>
    <s v="CUST0085"/>
    <x v="5"/>
  </r>
  <r>
    <s v="ITM00645"/>
    <s v="ORD00370"/>
    <s v="PRD021"/>
    <n v="1"/>
    <n v="69000"/>
    <s v="Lampu LED Hias 5m"/>
    <n v="69000"/>
    <n v="30000"/>
    <n v="39000"/>
    <s v="CUST0127"/>
    <x v="6"/>
  </r>
  <r>
    <s v="ITM00646"/>
    <s v="ORD00370"/>
    <s v="PRD017"/>
    <n v="2"/>
    <n v="329000"/>
    <s v="Rice Cooker Mini 1.5L"/>
    <n v="658000"/>
    <n v="180000"/>
    <n v="298000"/>
    <s v="CUST0127"/>
    <x v="6"/>
  </r>
  <r>
    <s v="ITM00647"/>
    <s v="ORD00371"/>
    <s v="PRD005"/>
    <n v="1"/>
    <n v="39000"/>
    <s v="Kabel Data USB-C"/>
    <n v="39000"/>
    <n v="15000"/>
    <n v="24000"/>
    <s v="CUST0103"/>
    <x v="8"/>
  </r>
  <r>
    <s v="ITM00648"/>
    <s v="ORD00371"/>
    <s v="PRD021"/>
    <n v="2"/>
    <n v="69000"/>
    <s v="Lampu LED Hias 5m"/>
    <n v="138000"/>
    <n v="30000"/>
    <n v="78000"/>
    <s v="CUST0103"/>
    <x v="8"/>
  </r>
  <r>
    <s v="ITM00649"/>
    <s v="ORD00372"/>
    <s v="PRD019"/>
    <n v="1"/>
    <n v="79000"/>
    <s v="Botol Minum Stainless 1L"/>
    <n v="79000"/>
    <n v="35000"/>
    <n v="44000"/>
    <s v="CUST0141"/>
    <x v="6"/>
  </r>
  <r>
    <s v="ITM00650"/>
    <s v="ORD00373"/>
    <s v="PRD013"/>
    <n v="1"/>
    <n v="209000"/>
    <s v="Jaket Hoodie Unisex"/>
    <n v="209000"/>
    <n v="95000"/>
    <n v="114000"/>
    <s v="CUST0023"/>
    <x v="2"/>
  </r>
  <r>
    <s v="ITM00651"/>
    <s v="ORD00373"/>
    <s v="PRD021"/>
    <n v="1"/>
    <n v="69000"/>
    <s v="Lampu LED Hias 5m"/>
    <n v="69000"/>
    <n v="30000"/>
    <n v="39000"/>
    <s v="CUST0023"/>
    <x v="2"/>
  </r>
  <r>
    <s v="ITM00652"/>
    <s v="ORD00374"/>
    <s v="PRD021"/>
    <n v="3"/>
    <n v="69000"/>
    <s v="Lampu LED Hias 5m"/>
    <n v="207000"/>
    <n v="30000"/>
    <n v="117000"/>
    <s v="CUST0083"/>
    <x v="5"/>
  </r>
  <r>
    <s v="ITM00653"/>
    <s v="ORD00374"/>
    <s v="PRD008"/>
    <n v="1"/>
    <n v="399000"/>
    <s v="Keyboard Mechanical Mini"/>
    <n v="399000"/>
    <n v="200000"/>
    <n v="199000"/>
    <s v="CUST0083"/>
    <x v="5"/>
  </r>
  <r>
    <s v="ITM00654"/>
    <s v="ORD00374"/>
    <s v="PRD020"/>
    <n v="1"/>
    <n v="179000"/>
    <s v="Rak Penyimpanan Serbaguna"/>
    <n v="179000"/>
    <n v="90000"/>
    <n v="89000"/>
    <s v="CUST0083"/>
    <x v="5"/>
  </r>
  <r>
    <s v="ITM00655"/>
    <s v="ORD00375"/>
    <s v="PRD021"/>
    <n v="1"/>
    <n v="69000"/>
    <s v="Lampu LED Hias 5m"/>
    <n v="69000"/>
    <n v="30000"/>
    <n v="39000"/>
    <s v="CUST0132"/>
    <x v="5"/>
  </r>
  <r>
    <s v="ITM00656"/>
    <s v="ORD00376"/>
    <s v="PRD009"/>
    <n v="3"/>
    <n v="79000"/>
    <s v="Kaos Polos Cotton Combed"/>
    <n v="237000"/>
    <n v="35000"/>
    <n v="132000"/>
    <s v="CUST0169"/>
    <x v="6"/>
  </r>
  <r>
    <s v="ITM00657"/>
    <s v="ORD00377"/>
    <s v="PRD005"/>
    <n v="2"/>
    <n v="39000"/>
    <s v="Kabel Data USB-C"/>
    <n v="78000"/>
    <n v="15000"/>
    <n v="48000"/>
    <s v="CUST0119"/>
    <x v="2"/>
  </r>
  <r>
    <s v="ITM00658"/>
    <s v="ORD00377"/>
    <s v="PRD021"/>
    <n v="2"/>
    <n v="69000"/>
    <s v="Lampu LED Hias 5m"/>
    <n v="138000"/>
    <n v="30000"/>
    <n v="78000"/>
    <s v="CUST0119"/>
    <x v="2"/>
  </r>
  <r>
    <s v="ITM00659"/>
    <s v="ORD00377"/>
    <s v="PRD009"/>
    <n v="1"/>
    <n v="79000"/>
    <s v="Kaos Polos Cotton Combed"/>
    <n v="79000"/>
    <n v="35000"/>
    <n v="44000"/>
    <s v="CUST0119"/>
    <x v="2"/>
  </r>
  <r>
    <s v="ITM00660"/>
    <s v="ORD00378"/>
    <s v="PRD021"/>
    <n v="1"/>
    <n v="69000"/>
    <s v="Lampu LED Hias 5m"/>
    <n v="69000"/>
    <n v="30000"/>
    <n v="39000"/>
    <s v="CUST0049"/>
    <x v="9"/>
  </r>
  <r>
    <s v="ITM00661"/>
    <s v="ORD00379"/>
    <s v="PRD017"/>
    <n v="2"/>
    <n v="329000"/>
    <s v="Rice Cooker Mini 1.5L"/>
    <n v="658000"/>
    <n v="180000"/>
    <n v="298000"/>
    <s v="CUST0160"/>
    <x v="5"/>
  </r>
  <r>
    <s v="ITM00662"/>
    <s v="ORD00380"/>
    <s v="PRD020"/>
    <n v="1"/>
    <n v="179000"/>
    <s v="Rak Penyimpanan Serbaguna"/>
    <n v="179000"/>
    <n v="90000"/>
    <n v="89000"/>
    <s v="CUST0161"/>
    <x v="9"/>
  </r>
  <r>
    <s v="ITM00663"/>
    <s v="ORD00380"/>
    <s v="PRD005"/>
    <n v="1"/>
    <n v="39000"/>
    <s v="Kabel Data USB-C"/>
    <n v="39000"/>
    <n v="15000"/>
    <n v="24000"/>
    <s v="CUST0161"/>
    <x v="9"/>
  </r>
  <r>
    <s v="ITM00664"/>
    <s v="ORD00381"/>
    <s v="PRD021"/>
    <n v="1"/>
    <n v="69000"/>
    <s v="Lampu LED Hias 5m"/>
    <n v="69000"/>
    <n v="30000"/>
    <n v="39000"/>
    <s v="CUST0014"/>
    <x v="5"/>
  </r>
  <r>
    <s v="ITM00665"/>
    <s v="ORD00382"/>
    <s v="PRD005"/>
    <n v="1"/>
    <n v="39000"/>
    <s v="Kabel Data USB-C"/>
    <n v="39000"/>
    <n v="15000"/>
    <n v="24000"/>
    <s v="CUST0141"/>
    <x v="6"/>
  </r>
  <r>
    <s v="ITM00666"/>
    <s v="ORD00383"/>
    <s v="PRD023"/>
    <n v="2"/>
    <n v="139000"/>
    <s v="Wajan Anti Lengket 24cm"/>
    <n v="278000"/>
    <n v="65000"/>
    <n v="148000"/>
    <s v="CUST0074"/>
    <x v="8"/>
  </r>
  <r>
    <s v="ITM00667"/>
    <s v="ORD00383"/>
    <s v="PRD014"/>
    <n v="1"/>
    <n v="349000"/>
    <s v="Sepatu Sneakers Casual"/>
    <n v="349000"/>
    <n v="180000"/>
    <n v="169000"/>
    <s v="CUST0074"/>
    <x v="8"/>
  </r>
  <r>
    <s v="ITM00668"/>
    <s v="ORD00384"/>
    <s v="PRD019"/>
    <n v="2"/>
    <n v="79000"/>
    <s v="Botol Minum Stainless 1L"/>
    <n v="158000"/>
    <n v="35000"/>
    <n v="88000"/>
    <s v="CUST0179"/>
    <x v="5"/>
  </r>
  <r>
    <s v="ITM00669"/>
    <s v="ORD00385"/>
    <s v="PRD019"/>
    <n v="3"/>
    <n v="79000"/>
    <s v="Botol Minum Stainless 1L"/>
    <n v="237000"/>
    <n v="35000"/>
    <n v="132000"/>
    <s v="CUST0008"/>
    <x v="5"/>
  </r>
  <r>
    <s v="ITM00670"/>
    <s v="ORD00385"/>
    <s v="PRD022"/>
    <n v="1"/>
    <n v="55000"/>
    <s v="Sapu + Pengki Set"/>
    <n v="55000"/>
    <n v="25000"/>
    <n v="30000"/>
    <s v="CUST0008"/>
    <x v="5"/>
  </r>
  <r>
    <s v="ITM00671"/>
    <s v="ORD00386"/>
    <s v="PRD005"/>
    <n v="2"/>
    <n v="39000"/>
    <s v="Kabel Data USB-C"/>
    <n v="78000"/>
    <n v="15000"/>
    <n v="48000"/>
    <s v="CUST0062"/>
    <x v="2"/>
  </r>
  <r>
    <s v="ITM00672"/>
    <s v="ORD00386"/>
    <s v="PRD020"/>
    <n v="1"/>
    <n v="179000"/>
    <s v="Rak Penyimpanan Serbaguna"/>
    <n v="179000"/>
    <n v="90000"/>
    <n v="89000"/>
    <s v="CUST0062"/>
    <x v="2"/>
  </r>
  <r>
    <s v="ITM00673"/>
    <s v="ORD00386"/>
    <s v="PRD014"/>
    <n v="1"/>
    <n v="349000"/>
    <s v="Sepatu Sneakers Casual"/>
    <n v="349000"/>
    <n v="180000"/>
    <n v="169000"/>
    <s v="CUST0062"/>
    <x v="2"/>
  </r>
  <r>
    <s v="ITM00674"/>
    <s v="ORD00387"/>
    <s v="PRD021"/>
    <n v="2"/>
    <n v="69000"/>
    <s v="Lampu LED Hias 5m"/>
    <n v="138000"/>
    <n v="30000"/>
    <n v="78000"/>
    <s v="CUST0004"/>
    <x v="5"/>
  </r>
  <r>
    <s v="ITM00675"/>
    <s v="ORD00388"/>
    <s v="PRD021"/>
    <n v="1"/>
    <n v="69000"/>
    <s v="Lampu LED Hias 5m"/>
    <n v="69000"/>
    <n v="30000"/>
    <n v="39000"/>
    <s v="CUST0024"/>
    <x v="2"/>
  </r>
  <r>
    <s v="ITM00676"/>
    <s v="ORD00389"/>
    <s v="PRD021"/>
    <n v="1"/>
    <n v="69000"/>
    <s v="Lampu LED Hias 5m"/>
    <n v="69000"/>
    <n v="30000"/>
    <n v="39000"/>
    <s v="CUST0030"/>
    <x v="5"/>
  </r>
  <r>
    <s v="ITM00677"/>
    <s v="ORD00389"/>
    <s v="PRD012"/>
    <n v="1"/>
    <n v="229000"/>
    <s v="Celana Jeans Slimfit"/>
    <n v="229000"/>
    <n v="110000"/>
    <n v="119000"/>
    <s v="CUST0030"/>
    <x v="5"/>
  </r>
  <r>
    <s v="ITM00678"/>
    <s v="ORD00390"/>
    <s v="PRD005"/>
    <n v="3"/>
    <n v="39000"/>
    <s v="Kabel Data USB-C"/>
    <n v="117000"/>
    <n v="15000"/>
    <n v="72000"/>
    <s v="CUST0166"/>
    <x v="7"/>
  </r>
  <r>
    <s v="ITM00679"/>
    <s v="ORD00390"/>
    <s v="PRD021"/>
    <n v="1"/>
    <n v="69000"/>
    <s v="Lampu LED Hias 5m"/>
    <n v="69000"/>
    <n v="30000"/>
    <n v="39000"/>
    <s v="CUST0166"/>
    <x v="7"/>
  </r>
  <r>
    <s v="ITM00680"/>
    <s v="ORD00390"/>
    <s v="PRD009"/>
    <n v="1"/>
    <n v="79000"/>
    <s v="Kaos Polos Cotton Combed"/>
    <n v="79000"/>
    <n v="35000"/>
    <n v="44000"/>
    <s v="CUST0166"/>
    <x v="7"/>
  </r>
  <r>
    <s v="ITM00681"/>
    <s v="ORD00391"/>
    <s v="PRD023"/>
    <n v="1"/>
    <n v="139000"/>
    <s v="Wajan Anti Lengket 24cm"/>
    <n v="139000"/>
    <n v="65000"/>
    <n v="74000"/>
    <s v="CUST0128"/>
    <x v="5"/>
  </r>
  <r>
    <s v="ITM00682"/>
    <s v="ORD00391"/>
    <s v="PRD005"/>
    <n v="1"/>
    <n v="39000"/>
    <s v="Kabel Data USB-C"/>
    <n v="39000"/>
    <n v="15000"/>
    <n v="24000"/>
    <s v="CUST0128"/>
    <x v="5"/>
  </r>
  <r>
    <s v="ITM00683"/>
    <s v="ORD00392"/>
    <s v="PRD005"/>
    <n v="1"/>
    <n v="39000"/>
    <s v="Kabel Data USB-C"/>
    <n v="39000"/>
    <n v="15000"/>
    <n v="24000"/>
    <s v="CUST0070"/>
    <x v="7"/>
  </r>
  <r>
    <s v="ITM00684"/>
    <s v="ORD00393"/>
    <s v="PRD022"/>
    <n v="2"/>
    <n v="55000"/>
    <s v="Sapu + Pengki Set"/>
    <n v="110000"/>
    <n v="25000"/>
    <n v="60000"/>
    <s v="CUST0124"/>
    <x v="7"/>
  </r>
  <r>
    <s v="ITM00685"/>
    <s v="ORD00394"/>
    <s v="PRD021"/>
    <n v="1"/>
    <n v="69000"/>
    <s v="Lampu LED Hias 5m"/>
    <n v="69000"/>
    <n v="30000"/>
    <n v="39000"/>
    <s v="CUST0142"/>
    <x v="7"/>
  </r>
  <r>
    <s v="ITM00686"/>
    <s v="ORD00395"/>
    <s v="PRD021"/>
    <n v="1"/>
    <n v="69000"/>
    <s v="Lampu LED Hias 5m"/>
    <n v="69000"/>
    <n v="30000"/>
    <n v="39000"/>
    <s v="CUST0049"/>
    <x v="9"/>
  </r>
  <r>
    <s v="ITM00687"/>
    <s v="ORD00395"/>
    <s v="PRD020"/>
    <n v="1"/>
    <n v="179000"/>
    <s v="Rak Penyimpanan Serbaguna"/>
    <n v="179000"/>
    <n v="90000"/>
    <n v="89000"/>
    <s v="CUST0049"/>
    <x v="9"/>
  </r>
  <r>
    <s v="ITM00688"/>
    <s v="ORD00396"/>
    <s v="PRD021"/>
    <n v="1"/>
    <n v="69000"/>
    <s v="Lampu LED Hias 5m"/>
    <n v="69000"/>
    <n v="30000"/>
    <n v="39000"/>
    <s v="CUST0035"/>
    <x v="5"/>
  </r>
  <r>
    <s v="ITM00689"/>
    <s v="ORD00397"/>
    <s v="PRD021"/>
    <n v="1"/>
    <n v="69000"/>
    <s v="Lampu LED Hias 5m"/>
    <n v="69000"/>
    <n v="30000"/>
    <n v="39000"/>
    <s v="CUST0107"/>
    <x v="1"/>
  </r>
  <r>
    <s v="ITM00690"/>
    <s v="ORD00398"/>
    <s v="PRD021"/>
    <n v="1"/>
    <n v="69000"/>
    <s v="Lampu LED Hias 5m"/>
    <n v="69000"/>
    <n v="30000"/>
    <n v="39000"/>
    <s v="CUST0069"/>
    <x v="9"/>
  </r>
  <r>
    <s v="ITM00691"/>
    <s v="ORD00399"/>
    <s v="PRD014"/>
    <n v="1"/>
    <n v="349000"/>
    <s v="Sepatu Sneakers Casual"/>
    <n v="349000"/>
    <n v="180000"/>
    <n v="169000"/>
    <s v="CUST0073"/>
    <x v="2"/>
  </r>
  <r>
    <s v="ITM00692"/>
    <s v="ORD00400"/>
    <s v="PRD005"/>
    <n v="3"/>
    <n v="39000"/>
    <s v="Kabel Data USB-C"/>
    <n v="117000"/>
    <n v="15000"/>
    <n v="72000"/>
    <s v="CUST0151"/>
    <x v="5"/>
  </r>
  <r>
    <s v="ITM00693"/>
    <s v="ORD00400"/>
    <s v="PRD015"/>
    <n v="1"/>
    <n v="139000"/>
    <s v="Tas Selempang Kanvas"/>
    <n v="139000"/>
    <n v="60000"/>
    <n v="79000"/>
    <s v="CUST0151"/>
    <x v="5"/>
  </r>
  <r>
    <s v="ITM00694"/>
    <s v="ORD00401"/>
    <s v="PRD022"/>
    <n v="1"/>
    <n v="55000"/>
    <s v="Sapu + Pengki Set"/>
    <n v="55000"/>
    <n v="25000"/>
    <n v="30000"/>
    <s v="CUST0039"/>
    <x v="0"/>
  </r>
  <r>
    <s v="ITM00695"/>
    <s v="ORD00402"/>
    <s v="PRD008"/>
    <n v="2"/>
    <n v="399000"/>
    <s v="Keyboard Mechanical Mini"/>
    <n v="798000"/>
    <n v="200000"/>
    <n v="398000"/>
    <s v="CUST0124"/>
    <x v="7"/>
  </r>
  <r>
    <s v="ITM00696"/>
    <s v="ORD00403"/>
    <s v="PRD021"/>
    <n v="1"/>
    <n v="69000"/>
    <s v="Lampu LED Hias 5m"/>
    <n v="69000"/>
    <n v="30000"/>
    <n v="39000"/>
    <s v="CUST0196"/>
    <x v="3"/>
  </r>
  <r>
    <s v="ITM00697"/>
    <s v="ORD00403"/>
    <s v="PRD005"/>
    <n v="1"/>
    <n v="39000"/>
    <s v="Kabel Data USB-C"/>
    <n v="39000"/>
    <n v="15000"/>
    <n v="24000"/>
    <s v="CUST0196"/>
    <x v="3"/>
  </r>
  <r>
    <s v="ITM00698"/>
    <s v="ORD00403"/>
    <s v="PRD004"/>
    <n v="1"/>
    <n v="199000"/>
    <s v="Speaker Bluetooth Mini"/>
    <n v="199000"/>
    <n v="100000"/>
    <n v="99000"/>
    <s v="CUST0196"/>
    <x v="3"/>
  </r>
  <r>
    <s v="ITM00699"/>
    <s v="ORD00404"/>
    <s v="PRD021"/>
    <n v="1"/>
    <n v="69000"/>
    <s v="Lampu LED Hias 5m"/>
    <n v="69000"/>
    <n v="30000"/>
    <n v="39000"/>
    <s v="CUST0083"/>
    <x v="5"/>
  </r>
  <r>
    <s v="ITM00700"/>
    <s v="ORD00405"/>
    <s v="PRD005"/>
    <n v="2"/>
    <n v="39000"/>
    <s v="Kabel Data USB-C"/>
    <n v="78000"/>
    <n v="15000"/>
    <n v="48000"/>
    <s v="CUST0147"/>
    <x v="0"/>
  </r>
  <r>
    <s v="ITM00701"/>
    <s v="ORD00406"/>
    <s v="PRD021"/>
    <n v="1"/>
    <n v="69000"/>
    <s v="Lampu LED Hias 5m"/>
    <n v="69000"/>
    <n v="30000"/>
    <n v="39000"/>
    <s v="CUST0199"/>
    <x v="6"/>
  </r>
  <r>
    <s v="ITM00702"/>
    <s v="ORD00406"/>
    <s v="PRD006"/>
    <n v="3"/>
    <n v="129000"/>
    <s v="Charger Fast Charging 33W"/>
    <n v="387000"/>
    <n v="60000"/>
    <n v="207000"/>
    <s v="CUST0199"/>
    <x v="6"/>
  </r>
  <r>
    <s v="ITM00703"/>
    <s v="ORD00406"/>
    <s v="PRD020"/>
    <n v="1"/>
    <n v="179000"/>
    <s v="Rak Penyimpanan Serbaguna"/>
    <n v="179000"/>
    <n v="90000"/>
    <n v="89000"/>
    <s v="CUST0199"/>
    <x v="6"/>
  </r>
  <r>
    <s v="ITM00704"/>
    <s v="ORD00407"/>
    <s v="PRD023"/>
    <n v="1"/>
    <n v="139000"/>
    <s v="Wajan Anti Lengket 24cm"/>
    <n v="139000"/>
    <n v="65000"/>
    <n v="74000"/>
    <s v="CUST0191"/>
    <x v="5"/>
  </r>
  <r>
    <s v="ITM00705"/>
    <s v="ORD00407"/>
    <s v="PRD006"/>
    <n v="1"/>
    <n v="129000"/>
    <s v="Charger Fast Charging 33W"/>
    <n v="129000"/>
    <n v="60000"/>
    <n v="69000"/>
    <s v="CUST0191"/>
    <x v="5"/>
  </r>
  <r>
    <s v="ITM00706"/>
    <s v="ORD00407"/>
    <s v="PRD004"/>
    <n v="1"/>
    <n v="199000"/>
    <s v="Speaker Bluetooth Mini"/>
    <n v="199000"/>
    <n v="100000"/>
    <n v="99000"/>
    <s v="CUST0191"/>
    <x v="5"/>
  </r>
  <r>
    <s v="ITM00707"/>
    <s v="ORD00408"/>
    <s v="PRD005"/>
    <n v="1"/>
    <n v="39000"/>
    <s v="Kabel Data USB-C"/>
    <n v="39000"/>
    <n v="15000"/>
    <n v="24000"/>
    <s v="CUST0098"/>
    <x v="2"/>
  </r>
  <r>
    <s v="ITM00708"/>
    <s v="ORD00409"/>
    <s v="PRD008"/>
    <n v="1"/>
    <n v="399000"/>
    <s v="Keyboard Mechanical Mini"/>
    <n v="399000"/>
    <n v="200000"/>
    <n v="199000"/>
    <s v="CUST0167"/>
    <x v="5"/>
  </r>
  <r>
    <s v="ITM00709"/>
    <s v="ORD00409"/>
    <s v="PRD005"/>
    <n v="3"/>
    <n v="39000"/>
    <s v="Kabel Data USB-C"/>
    <n v="117000"/>
    <n v="15000"/>
    <n v="72000"/>
    <s v="CUST0167"/>
    <x v="5"/>
  </r>
  <r>
    <s v="ITM00710"/>
    <s v="ORD00410"/>
    <s v="PRD020"/>
    <n v="1"/>
    <n v="179000"/>
    <s v="Rak Penyimpanan Serbaguna"/>
    <n v="179000"/>
    <n v="90000"/>
    <n v="89000"/>
    <s v="CUST0033"/>
    <x v="2"/>
  </r>
  <r>
    <s v="ITM00711"/>
    <s v="ORD00410"/>
    <s v="PRD023"/>
    <n v="2"/>
    <n v="139000"/>
    <s v="Wajan Anti Lengket 24cm"/>
    <n v="278000"/>
    <n v="65000"/>
    <n v="148000"/>
    <s v="CUST0033"/>
    <x v="2"/>
  </r>
  <r>
    <s v="ITM00712"/>
    <s v="ORD00411"/>
    <s v="PRD021"/>
    <n v="1"/>
    <n v="69000"/>
    <s v="Lampu LED Hias 5m"/>
    <n v="69000"/>
    <n v="30000"/>
    <n v="39000"/>
    <s v="CUST0026"/>
    <x v="3"/>
  </r>
  <r>
    <s v="ITM00713"/>
    <s v="ORD00411"/>
    <s v="PRD009"/>
    <n v="1"/>
    <n v="79000"/>
    <s v="Kaos Polos Cotton Combed"/>
    <n v="79000"/>
    <n v="35000"/>
    <n v="44000"/>
    <s v="CUST0026"/>
    <x v="3"/>
  </r>
  <r>
    <s v="ITM00714"/>
    <s v="ORD00412"/>
    <s v="PRD021"/>
    <n v="1"/>
    <n v="69000"/>
    <s v="Lampu LED Hias 5m"/>
    <n v="69000"/>
    <n v="30000"/>
    <n v="39000"/>
    <s v="CUST0117"/>
    <x v="8"/>
  </r>
  <r>
    <s v="ITM00715"/>
    <s v="ORD00412"/>
    <s v="PRD004"/>
    <n v="3"/>
    <n v="199000"/>
    <s v="Speaker Bluetooth Mini"/>
    <n v="597000"/>
    <n v="100000"/>
    <n v="297000"/>
    <s v="CUST0117"/>
    <x v="8"/>
  </r>
  <r>
    <s v="ITM00716"/>
    <s v="ORD00412"/>
    <s v="PRD008"/>
    <n v="1"/>
    <n v="399000"/>
    <s v="Keyboard Mechanical Mini"/>
    <n v="399000"/>
    <n v="200000"/>
    <n v="199000"/>
    <s v="CUST0117"/>
    <x v="8"/>
  </r>
  <r>
    <s v="ITM00717"/>
    <s v="ORD00412"/>
    <s v="PRD017"/>
    <n v="1"/>
    <n v="329000"/>
    <s v="Rice Cooker Mini 1.5L"/>
    <n v="329000"/>
    <n v="180000"/>
    <n v="149000"/>
    <s v="CUST0117"/>
    <x v="8"/>
  </r>
  <r>
    <s v="ITM00718"/>
    <s v="ORD00413"/>
    <s v="PRD007"/>
    <n v="1"/>
    <n v="99000"/>
    <s v="Mouse Wireless"/>
    <n v="99000"/>
    <n v="45000"/>
    <n v="54000"/>
    <s v="CUST0105"/>
    <x v="5"/>
  </r>
  <r>
    <s v="ITM00719"/>
    <s v="ORD00413"/>
    <s v="PRD005"/>
    <n v="1"/>
    <n v="39000"/>
    <s v="Kabel Data USB-C"/>
    <n v="39000"/>
    <n v="15000"/>
    <n v="24000"/>
    <s v="CUST0105"/>
    <x v="5"/>
  </r>
  <r>
    <s v="ITM00720"/>
    <s v="ORD00414"/>
    <s v="PRD017"/>
    <n v="1"/>
    <n v="329000"/>
    <s v="Rice Cooker Mini 1.5L"/>
    <n v="329000"/>
    <n v="180000"/>
    <n v="149000"/>
    <s v="CUST0040"/>
    <x v="7"/>
  </r>
  <r>
    <s v="ITM00721"/>
    <s v="ORD00414"/>
    <s v="PRD022"/>
    <n v="1"/>
    <n v="55000"/>
    <s v="Sapu + Pengki Set"/>
    <n v="55000"/>
    <n v="25000"/>
    <n v="30000"/>
    <s v="CUST0040"/>
    <x v="7"/>
  </r>
  <r>
    <s v="ITM00722"/>
    <s v="ORD00415"/>
    <s v="PRD021"/>
    <n v="1"/>
    <n v="69000"/>
    <s v="Lampu LED Hias 5m"/>
    <n v="69000"/>
    <n v="30000"/>
    <n v="39000"/>
    <s v="CUST0068"/>
    <x v="3"/>
  </r>
  <r>
    <s v="ITM00723"/>
    <s v="ORD00416"/>
    <s v="PRD020"/>
    <n v="3"/>
    <n v="179000"/>
    <s v="Rak Penyimpanan Serbaguna"/>
    <n v="537000"/>
    <n v="90000"/>
    <n v="267000"/>
    <s v="CUST0178"/>
    <x v="5"/>
  </r>
  <r>
    <s v="ITM00724"/>
    <s v="ORD00417"/>
    <s v="PRD005"/>
    <n v="1"/>
    <n v="39000"/>
    <s v="Kabel Data USB-C"/>
    <n v="39000"/>
    <n v="15000"/>
    <n v="24000"/>
    <s v="CUST0021"/>
    <x v="5"/>
  </r>
  <r>
    <s v="ITM00725"/>
    <s v="ORD00418"/>
    <s v="PRD021"/>
    <n v="1"/>
    <n v="69000"/>
    <s v="Lampu LED Hias 5m"/>
    <n v="69000"/>
    <n v="30000"/>
    <n v="39000"/>
    <s v="CUST0173"/>
    <x v="7"/>
  </r>
  <r>
    <s v="ITM00726"/>
    <s v="ORD00418"/>
    <s v="PRD005"/>
    <n v="2"/>
    <n v="39000"/>
    <s v="Kabel Data USB-C"/>
    <n v="78000"/>
    <n v="15000"/>
    <n v="48000"/>
    <s v="CUST0173"/>
    <x v="7"/>
  </r>
  <r>
    <s v="ITM00727"/>
    <s v="ORD00418"/>
    <s v="PRD022"/>
    <n v="1"/>
    <n v="55000"/>
    <s v="Sapu + Pengki Set"/>
    <n v="55000"/>
    <n v="25000"/>
    <n v="30000"/>
    <s v="CUST0173"/>
    <x v="7"/>
  </r>
  <r>
    <s v="ITM00728"/>
    <s v="ORD00419"/>
    <s v="PRD005"/>
    <n v="1"/>
    <n v="39000"/>
    <s v="Kabel Data USB-C"/>
    <n v="39000"/>
    <n v="15000"/>
    <n v="24000"/>
    <s v="CUST0161"/>
    <x v="9"/>
  </r>
  <r>
    <s v="ITM00729"/>
    <s v="ORD00420"/>
    <s v="PRD009"/>
    <n v="3"/>
    <n v="79000"/>
    <s v="Kaos Polos Cotton Combed"/>
    <n v="237000"/>
    <n v="35000"/>
    <n v="132000"/>
    <s v="CUST0195"/>
    <x v="4"/>
  </r>
  <r>
    <s v="ITM00730"/>
    <s v="ORD00421"/>
    <s v="PRD005"/>
    <n v="1"/>
    <n v="39000"/>
    <s v="Kabel Data USB-C"/>
    <n v="39000"/>
    <n v="15000"/>
    <n v="24000"/>
    <s v="CUST0139"/>
    <x v="0"/>
  </r>
  <r>
    <s v="ITM00731"/>
    <s v="ORD00421"/>
    <s v="PRD009"/>
    <n v="1"/>
    <n v="79000"/>
    <s v="Kaos Polos Cotton Combed"/>
    <n v="79000"/>
    <n v="35000"/>
    <n v="44000"/>
    <s v="CUST0139"/>
    <x v="0"/>
  </r>
  <r>
    <s v="ITM00732"/>
    <s v="ORD00421"/>
    <s v="PRD014"/>
    <n v="1"/>
    <n v="349000"/>
    <s v="Sepatu Sneakers Casual"/>
    <n v="349000"/>
    <n v="180000"/>
    <n v="169000"/>
    <s v="CUST0139"/>
    <x v="0"/>
  </r>
  <r>
    <s v="ITM00733"/>
    <s v="ORD00422"/>
    <s v="PRD023"/>
    <n v="1"/>
    <n v="139000"/>
    <s v="Wajan Anti Lengket 24cm"/>
    <n v="139000"/>
    <n v="65000"/>
    <n v="74000"/>
    <s v="CUST0018"/>
    <x v="3"/>
  </r>
  <r>
    <s v="ITM00734"/>
    <s v="ORD00422"/>
    <s v="PRD005"/>
    <n v="1"/>
    <n v="39000"/>
    <s v="Kabel Data USB-C"/>
    <n v="39000"/>
    <n v="15000"/>
    <n v="24000"/>
    <s v="CUST0018"/>
    <x v="3"/>
  </r>
  <r>
    <s v="ITM00735"/>
    <s v="ORD00423"/>
    <s v="PRD005"/>
    <n v="1"/>
    <n v="39000"/>
    <s v="Kabel Data USB-C"/>
    <n v="39000"/>
    <n v="15000"/>
    <n v="24000"/>
    <s v="CUST0074"/>
    <x v="8"/>
  </r>
  <r>
    <s v="ITM00736"/>
    <s v="ORD00424"/>
    <s v="PRD021"/>
    <n v="1"/>
    <n v="69000"/>
    <s v="Lampu LED Hias 5m"/>
    <n v="69000"/>
    <n v="30000"/>
    <n v="39000"/>
    <s v="CUST0024"/>
    <x v="2"/>
  </r>
  <r>
    <s v="ITM00737"/>
    <s v="ORD00425"/>
    <s v="PRD008"/>
    <n v="2"/>
    <n v="399000"/>
    <s v="Keyboard Mechanical Mini"/>
    <n v="798000"/>
    <n v="200000"/>
    <n v="398000"/>
    <s v="CUST0195"/>
    <x v="4"/>
  </r>
  <r>
    <s v="ITM00738"/>
    <s v="ORD00426"/>
    <s v="PRD008"/>
    <n v="2"/>
    <n v="399000"/>
    <s v="Keyboard Mechanical Mini"/>
    <n v="798000"/>
    <n v="200000"/>
    <n v="398000"/>
    <s v="CUST0026"/>
    <x v="3"/>
  </r>
  <r>
    <s v="ITM00739"/>
    <s v="ORD00426"/>
    <s v="PRD002"/>
    <n v="1"/>
    <n v="159000"/>
    <s v="Power Bank 10000mAh"/>
    <n v="159000"/>
    <n v="80000"/>
    <n v="79000"/>
    <s v="CUST0026"/>
    <x v="3"/>
  </r>
  <r>
    <s v="ITM00740"/>
    <s v="ORD00427"/>
    <s v="PRD005"/>
    <n v="1"/>
    <n v="39000"/>
    <s v="Kabel Data USB-C"/>
    <n v="39000"/>
    <n v="15000"/>
    <n v="24000"/>
    <s v="CUST0077"/>
    <x v="5"/>
  </r>
  <r>
    <s v="ITM00741"/>
    <s v="ORD00427"/>
    <s v="PRD014"/>
    <n v="1"/>
    <n v="349000"/>
    <s v="Sepatu Sneakers Casual"/>
    <n v="349000"/>
    <n v="180000"/>
    <n v="169000"/>
    <s v="CUST0077"/>
    <x v="5"/>
  </r>
  <r>
    <s v="ITM00742"/>
    <s v="ORD00427"/>
    <s v="PRD017"/>
    <n v="2"/>
    <n v="329000"/>
    <s v="Rice Cooker Mini 1.5L"/>
    <n v="658000"/>
    <n v="180000"/>
    <n v="298000"/>
    <s v="CUST0077"/>
    <x v="5"/>
  </r>
  <r>
    <s v="ITM00743"/>
    <s v="ORD00428"/>
    <s v="PRD021"/>
    <n v="1"/>
    <n v="69000"/>
    <s v="Lampu LED Hias 5m"/>
    <n v="69000"/>
    <n v="30000"/>
    <n v="39000"/>
    <s v="CUST0084"/>
    <x v="2"/>
  </r>
  <r>
    <s v="ITM00744"/>
    <s v="ORD00428"/>
    <s v="PRD009"/>
    <n v="1"/>
    <n v="79000"/>
    <s v="Kaos Polos Cotton Combed"/>
    <n v="79000"/>
    <n v="35000"/>
    <n v="44000"/>
    <s v="CUST0084"/>
    <x v="2"/>
  </r>
  <r>
    <s v="ITM00745"/>
    <s v="ORD00428"/>
    <s v="PRD005"/>
    <n v="2"/>
    <n v="39000"/>
    <s v="Kabel Data USB-C"/>
    <n v="78000"/>
    <n v="15000"/>
    <n v="48000"/>
    <s v="CUST0084"/>
    <x v="2"/>
  </r>
  <r>
    <s v="ITM00746"/>
    <s v="ORD00428"/>
    <s v="PRD017"/>
    <n v="1"/>
    <n v="329000"/>
    <s v="Rice Cooker Mini 1.5L"/>
    <n v="329000"/>
    <n v="180000"/>
    <n v="149000"/>
    <s v="CUST0084"/>
    <x v="2"/>
  </r>
  <r>
    <s v="ITM00747"/>
    <s v="ORD00429"/>
    <s v="PRD021"/>
    <n v="1"/>
    <n v="69000"/>
    <s v="Lampu LED Hias 5m"/>
    <n v="69000"/>
    <n v="30000"/>
    <n v="39000"/>
    <s v="CUST0076"/>
    <x v="6"/>
  </r>
  <r>
    <s v="ITM00748"/>
    <s v="ORD00430"/>
    <s v="PRD005"/>
    <n v="1"/>
    <n v="39000"/>
    <s v="Kabel Data USB-C"/>
    <n v="39000"/>
    <n v="15000"/>
    <n v="24000"/>
    <s v="CUST0111"/>
    <x v="1"/>
  </r>
  <r>
    <s v="ITM00749"/>
    <s v="ORD00430"/>
    <s v="PRD020"/>
    <n v="1"/>
    <n v="179000"/>
    <s v="Rak Penyimpanan Serbaguna"/>
    <n v="179000"/>
    <n v="90000"/>
    <n v="89000"/>
    <s v="CUST0111"/>
    <x v="1"/>
  </r>
  <r>
    <s v="ITM00750"/>
    <s v="ORD00430"/>
    <s v="PRD017"/>
    <n v="1"/>
    <n v="329000"/>
    <s v="Rice Cooker Mini 1.5L"/>
    <n v="329000"/>
    <n v="180000"/>
    <n v="149000"/>
    <s v="CUST0111"/>
    <x v="1"/>
  </r>
  <r>
    <s v="ITM00751"/>
    <s v="ORD00430"/>
    <s v="PRD021"/>
    <n v="1"/>
    <n v="69000"/>
    <s v="Lampu LED Hias 5m"/>
    <n v="69000"/>
    <n v="30000"/>
    <n v="39000"/>
    <s v="CUST0111"/>
    <x v="1"/>
  </r>
  <r>
    <s v="ITM00752"/>
    <s v="ORD00431"/>
    <s v="PRD021"/>
    <n v="1"/>
    <n v="69000"/>
    <s v="Lampu LED Hias 5m"/>
    <n v="69000"/>
    <n v="30000"/>
    <n v="39000"/>
    <s v="CUST0136"/>
    <x v="0"/>
  </r>
  <r>
    <s v="ITM00753"/>
    <s v="ORD00432"/>
    <s v="PRD020"/>
    <n v="1"/>
    <n v="179000"/>
    <s v="Rak Penyimpanan Serbaguna"/>
    <n v="179000"/>
    <n v="90000"/>
    <n v="89000"/>
    <s v="CUST0175"/>
    <x v="7"/>
  </r>
  <r>
    <s v="ITM00754"/>
    <s v="ORD00432"/>
    <s v="PRD009"/>
    <n v="3"/>
    <n v="79000"/>
    <s v="Kaos Polos Cotton Combed"/>
    <n v="237000"/>
    <n v="35000"/>
    <n v="132000"/>
    <s v="CUST0175"/>
    <x v="7"/>
  </r>
  <r>
    <s v="ITM00755"/>
    <s v="ORD00433"/>
    <s v="PRD021"/>
    <n v="1"/>
    <n v="69000"/>
    <s v="Lampu LED Hias 5m"/>
    <n v="69000"/>
    <n v="30000"/>
    <n v="39000"/>
    <s v="CUST0044"/>
    <x v="4"/>
  </r>
  <r>
    <s v="ITM00756"/>
    <s v="ORD00433"/>
    <s v="PRD005"/>
    <n v="1"/>
    <n v="39000"/>
    <s v="Kabel Data USB-C"/>
    <n v="39000"/>
    <n v="15000"/>
    <n v="24000"/>
    <s v="CUST0044"/>
    <x v="4"/>
  </r>
  <r>
    <s v="ITM00757"/>
    <s v="ORD00434"/>
    <s v="PRD021"/>
    <n v="1"/>
    <n v="69000"/>
    <s v="Lampu LED Hias 5m"/>
    <n v="69000"/>
    <n v="30000"/>
    <n v="39000"/>
    <s v="CUST0157"/>
    <x v="5"/>
  </r>
  <r>
    <s v="ITM00758"/>
    <s v="ORD00434"/>
    <s v="PRD004"/>
    <n v="1"/>
    <n v="199000"/>
    <s v="Speaker Bluetooth Mini"/>
    <n v="199000"/>
    <n v="100000"/>
    <n v="99000"/>
    <s v="CUST0157"/>
    <x v="5"/>
  </r>
  <r>
    <s v="ITM00759"/>
    <s v="ORD00435"/>
    <s v="PRD017"/>
    <n v="1"/>
    <n v="329000"/>
    <s v="Rice Cooker Mini 1.5L"/>
    <n v="329000"/>
    <n v="180000"/>
    <n v="149000"/>
    <s v="CUST0159"/>
    <x v="7"/>
  </r>
  <r>
    <s v="ITM00760"/>
    <s v="ORD00436"/>
    <s v="PRD021"/>
    <n v="1"/>
    <n v="69000"/>
    <s v="Lampu LED Hias 5m"/>
    <n v="69000"/>
    <n v="30000"/>
    <n v="39000"/>
    <s v="CUST0128"/>
    <x v="5"/>
  </r>
  <r>
    <s v="ITM00761"/>
    <s v="ORD00437"/>
    <s v="PRD020"/>
    <n v="1"/>
    <n v="179000"/>
    <s v="Rak Penyimpanan Serbaguna"/>
    <n v="179000"/>
    <n v="90000"/>
    <n v="89000"/>
    <s v="CUST0060"/>
    <x v="6"/>
  </r>
  <r>
    <s v="ITM00762"/>
    <s v="ORD00437"/>
    <s v="PRD021"/>
    <n v="2"/>
    <n v="69000"/>
    <s v="Lampu LED Hias 5m"/>
    <n v="138000"/>
    <n v="30000"/>
    <n v="78000"/>
    <s v="CUST0060"/>
    <x v="6"/>
  </r>
  <r>
    <s v="ITM00763"/>
    <s v="ORD00438"/>
    <s v="PRD005"/>
    <n v="1"/>
    <n v="39000"/>
    <s v="Kabel Data USB-C"/>
    <n v="39000"/>
    <n v="15000"/>
    <n v="24000"/>
    <s v="CUST0066"/>
    <x v="7"/>
  </r>
  <r>
    <s v="ITM00764"/>
    <s v="ORD00439"/>
    <s v="PRD021"/>
    <n v="1"/>
    <n v="69000"/>
    <s v="Lampu LED Hias 5m"/>
    <n v="69000"/>
    <n v="30000"/>
    <n v="39000"/>
    <s v="CUST0171"/>
    <x v="9"/>
  </r>
  <r>
    <s v="ITM00765"/>
    <s v="ORD00440"/>
    <s v="PRD021"/>
    <n v="1"/>
    <n v="69000"/>
    <s v="Lampu LED Hias 5m"/>
    <n v="69000"/>
    <n v="30000"/>
    <n v="39000"/>
    <s v="CUST0120"/>
    <x v="1"/>
  </r>
  <r>
    <s v="ITM00766"/>
    <s v="ORD00441"/>
    <s v="PRD017"/>
    <n v="3"/>
    <n v="329000"/>
    <s v="Rice Cooker Mini 1.5L"/>
    <n v="987000"/>
    <n v="180000"/>
    <n v="447000"/>
    <s v="CUST0041"/>
    <x v="6"/>
  </r>
  <r>
    <s v="ITM00767"/>
    <s v="ORD00442"/>
    <s v="PRD009"/>
    <n v="1"/>
    <n v="79000"/>
    <s v="Kaos Polos Cotton Combed"/>
    <n v="79000"/>
    <n v="35000"/>
    <n v="44000"/>
    <s v="CUST0089"/>
    <x v="1"/>
  </r>
  <r>
    <s v="ITM00768"/>
    <s v="ORD00443"/>
    <s v="PRD005"/>
    <n v="2"/>
    <n v="39000"/>
    <s v="Kabel Data USB-C"/>
    <n v="78000"/>
    <n v="15000"/>
    <n v="48000"/>
    <s v="CUST0164"/>
    <x v="8"/>
  </r>
  <r>
    <s v="ITM00769"/>
    <s v="ORD00443"/>
    <s v="PRD020"/>
    <n v="3"/>
    <n v="179000"/>
    <s v="Rak Penyimpanan Serbaguna"/>
    <n v="537000"/>
    <n v="90000"/>
    <n v="267000"/>
    <s v="CUST0164"/>
    <x v="8"/>
  </r>
  <r>
    <s v="ITM00770"/>
    <s v="ORD00444"/>
    <s v="PRD021"/>
    <n v="2"/>
    <n v="69000"/>
    <s v="Lampu LED Hias 5m"/>
    <n v="138000"/>
    <n v="30000"/>
    <n v="78000"/>
    <s v="CUST0117"/>
    <x v="8"/>
  </r>
  <r>
    <s v="ITM00771"/>
    <s v="ORD00445"/>
    <s v="PRD009"/>
    <n v="1"/>
    <n v="79000"/>
    <s v="Kaos Polos Cotton Combed"/>
    <n v="79000"/>
    <n v="35000"/>
    <n v="44000"/>
    <s v="CUST0124"/>
    <x v="7"/>
  </r>
  <r>
    <s v="ITM00772"/>
    <s v="ORD00446"/>
    <s v="PRD021"/>
    <n v="3"/>
    <n v="69000"/>
    <s v="Lampu LED Hias 5m"/>
    <n v="207000"/>
    <n v="30000"/>
    <n v="117000"/>
    <s v="CUST0147"/>
    <x v="0"/>
  </r>
  <r>
    <s v="ITM00773"/>
    <s v="ORD00446"/>
    <s v="PRD008"/>
    <n v="2"/>
    <n v="399000"/>
    <s v="Keyboard Mechanical Mini"/>
    <n v="798000"/>
    <n v="200000"/>
    <n v="398000"/>
    <s v="CUST0147"/>
    <x v="0"/>
  </r>
  <r>
    <s v="ITM00774"/>
    <s v="ORD00447"/>
    <s v="PRD009"/>
    <n v="1"/>
    <n v="79000"/>
    <s v="Kaos Polos Cotton Combed"/>
    <n v="79000"/>
    <n v="35000"/>
    <n v="44000"/>
    <s v="CUST0076"/>
    <x v="6"/>
  </r>
  <r>
    <s v="ITM00775"/>
    <s v="ORD00447"/>
    <s v="PRD017"/>
    <n v="1"/>
    <n v="329000"/>
    <s v="Rice Cooker Mini 1.5L"/>
    <n v="329000"/>
    <n v="180000"/>
    <n v="149000"/>
    <s v="CUST0076"/>
    <x v="6"/>
  </r>
  <r>
    <s v="ITM00776"/>
    <s v="ORD00447"/>
    <s v="PRD021"/>
    <n v="2"/>
    <n v="69000"/>
    <s v="Lampu LED Hias 5m"/>
    <n v="138000"/>
    <n v="30000"/>
    <n v="78000"/>
    <s v="CUST0076"/>
    <x v="6"/>
  </r>
  <r>
    <s v="ITM00777"/>
    <s v="ORD00448"/>
    <s v="PRD014"/>
    <n v="1"/>
    <n v="349000"/>
    <s v="Sepatu Sneakers Casual"/>
    <n v="349000"/>
    <n v="180000"/>
    <n v="169000"/>
    <s v="CUST0006"/>
    <x v="5"/>
  </r>
  <r>
    <s v="ITM00778"/>
    <s v="ORD00449"/>
    <s v="PRD009"/>
    <n v="1"/>
    <n v="79000"/>
    <s v="Kaos Polos Cotton Combed"/>
    <n v="79000"/>
    <n v="35000"/>
    <n v="44000"/>
    <s v="CUST0003"/>
    <x v="5"/>
  </r>
  <r>
    <s v="ITM00779"/>
    <s v="ORD00450"/>
    <s v="PRD009"/>
    <n v="3"/>
    <n v="79000"/>
    <s v="Kaos Polos Cotton Combed"/>
    <n v="237000"/>
    <n v="35000"/>
    <n v="132000"/>
    <s v="CUST0176"/>
    <x v="9"/>
  </r>
  <r>
    <s v="ITM00780"/>
    <s v="ORD00451"/>
    <s v="PRD021"/>
    <n v="1"/>
    <n v="69000"/>
    <s v="Lampu LED Hias 5m"/>
    <n v="69000"/>
    <n v="30000"/>
    <n v="39000"/>
    <s v="CUST0128"/>
    <x v="5"/>
  </r>
  <r>
    <s v="ITM00781"/>
    <s v="ORD00452"/>
    <s v="PRD022"/>
    <n v="1"/>
    <n v="55000"/>
    <s v="Sapu + Pengki Set"/>
    <n v="55000"/>
    <n v="25000"/>
    <n v="30000"/>
    <s v="CUST0059"/>
    <x v="0"/>
  </r>
  <r>
    <s v="ITM00782"/>
    <s v="ORD00453"/>
    <s v="PRD012"/>
    <n v="2"/>
    <n v="229000"/>
    <s v="Celana Jeans Slimfit"/>
    <n v="458000"/>
    <n v="110000"/>
    <n v="238000"/>
    <s v="CUST0091"/>
    <x v="2"/>
  </r>
  <r>
    <s v="ITM00783"/>
    <s v="ORD00454"/>
    <s v="PRD021"/>
    <n v="1"/>
    <n v="69000"/>
    <s v="Lampu LED Hias 5m"/>
    <n v="69000"/>
    <n v="30000"/>
    <n v="39000"/>
    <s v="CUST0049"/>
    <x v="9"/>
  </r>
  <r>
    <s v="ITM00784"/>
    <s v="ORD00455"/>
    <s v="PRD021"/>
    <n v="1"/>
    <n v="69000"/>
    <s v="Lampu LED Hias 5m"/>
    <n v="69000"/>
    <n v="30000"/>
    <n v="39000"/>
    <s v="CUST0174"/>
    <x v="1"/>
  </r>
  <r>
    <s v="ITM00785"/>
    <s v="ORD00456"/>
    <s v="PRD021"/>
    <n v="1"/>
    <n v="69000"/>
    <s v="Lampu LED Hias 5m"/>
    <n v="69000"/>
    <n v="30000"/>
    <n v="39000"/>
    <s v="CUST0197"/>
    <x v="7"/>
  </r>
  <r>
    <s v="ITM00786"/>
    <s v="ORD00457"/>
    <s v="PRD009"/>
    <n v="1"/>
    <n v="79000"/>
    <s v="Kaos Polos Cotton Combed"/>
    <n v="79000"/>
    <n v="35000"/>
    <n v="44000"/>
    <s v="CUST0036"/>
    <x v="0"/>
  </r>
  <r>
    <s v="ITM00787"/>
    <s v="ORD00457"/>
    <s v="PRD021"/>
    <n v="1"/>
    <n v="69000"/>
    <s v="Lampu LED Hias 5m"/>
    <n v="69000"/>
    <n v="30000"/>
    <n v="39000"/>
    <s v="CUST0036"/>
    <x v="0"/>
  </r>
  <r>
    <s v="ITM00788"/>
    <s v="ORD00457"/>
    <s v="PRD022"/>
    <n v="2"/>
    <n v="55000"/>
    <s v="Sapu + Pengki Set"/>
    <n v="110000"/>
    <n v="25000"/>
    <n v="60000"/>
    <s v="CUST0036"/>
    <x v="0"/>
  </r>
  <r>
    <s v="ITM00789"/>
    <s v="ORD00458"/>
    <s v="PRD005"/>
    <n v="1"/>
    <n v="39000"/>
    <s v="Kabel Data USB-C"/>
    <n v="39000"/>
    <n v="15000"/>
    <n v="24000"/>
    <s v="CUST0161"/>
    <x v="9"/>
  </r>
  <r>
    <s v="ITM00790"/>
    <s v="ORD00458"/>
    <s v="PRD006"/>
    <n v="1"/>
    <n v="129000"/>
    <s v="Charger Fast Charging 33W"/>
    <n v="129000"/>
    <n v="60000"/>
    <n v="69000"/>
    <s v="CUST0161"/>
    <x v="9"/>
  </r>
  <r>
    <s v="ITM00791"/>
    <s v="ORD00458"/>
    <s v="PRD021"/>
    <n v="1"/>
    <n v="69000"/>
    <s v="Lampu LED Hias 5m"/>
    <n v="69000"/>
    <n v="30000"/>
    <n v="39000"/>
    <s v="CUST0161"/>
    <x v="9"/>
  </r>
  <r>
    <s v="ITM00792"/>
    <s v="ORD00459"/>
    <s v="PRD021"/>
    <n v="1"/>
    <n v="69000"/>
    <s v="Lampu LED Hias 5m"/>
    <n v="69000"/>
    <n v="30000"/>
    <n v="39000"/>
    <s v="CUST0080"/>
    <x v="2"/>
  </r>
  <r>
    <s v="ITM00793"/>
    <s v="ORD00460"/>
    <s v="PRD021"/>
    <n v="2"/>
    <n v="69000"/>
    <s v="Lampu LED Hias 5m"/>
    <n v="138000"/>
    <n v="30000"/>
    <n v="78000"/>
    <s v="CUST0009"/>
    <x v="2"/>
  </r>
  <r>
    <s v="ITM00794"/>
    <s v="ORD00461"/>
    <s v="PRD023"/>
    <n v="1"/>
    <n v="139000"/>
    <s v="Wajan Anti Lengket 24cm"/>
    <n v="139000"/>
    <n v="65000"/>
    <n v="74000"/>
    <s v="CUST0188"/>
    <x v="5"/>
  </r>
  <r>
    <s v="ITM00795"/>
    <s v="ORD00461"/>
    <s v="PRD006"/>
    <n v="1"/>
    <n v="129000"/>
    <s v="Charger Fast Charging 33W"/>
    <n v="129000"/>
    <n v="60000"/>
    <n v="69000"/>
    <s v="CUST0188"/>
    <x v="5"/>
  </r>
  <r>
    <s v="ITM00796"/>
    <s v="ORD00461"/>
    <s v="PRD022"/>
    <n v="1"/>
    <n v="55000"/>
    <s v="Sapu + Pengki Set"/>
    <n v="55000"/>
    <n v="25000"/>
    <n v="30000"/>
    <s v="CUST0188"/>
    <x v="5"/>
  </r>
  <r>
    <s v="ITM00797"/>
    <s v="ORD00462"/>
    <s v="PRD021"/>
    <n v="1"/>
    <n v="69000"/>
    <s v="Lampu LED Hias 5m"/>
    <n v="69000"/>
    <n v="30000"/>
    <n v="39000"/>
    <s v="CUST0076"/>
    <x v="6"/>
  </r>
  <r>
    <s v="ITM00798"/>
    <s v="ORD00463"/>
    <s v="PRD005"/>
    <n v="1"/>
    <n v="39000"/>
    <s v="Kabel Data USB-C"/>
    <n v="39000"/>
    <n v="15000"/>
    <n v="24000"/>
    <s v="CUST0107"/>
    <x v="1"/>
  </r>
  <r>
    <s v="ITM00799"/>
    <s v="ORD00463"/>
    <s v="PRD021"/>
    <n v="1"/>
    <n v="69000"/>
    <s v="Lampu LED Hias 5m"/>
    <n v="69000"/>
    <n v="30000"/>
    <n v="39000"/>
    <s v="CUST0107"/>
    <x v="1"/>
  </r>
  <r>
    <s v="ITM00800"/>
    <s v="ORD00464"/>
    <s v="PRD017"/>
    <n v="2"/>
    <n v="329000"/>
    <s v="Rice Cooker Mini 1.5L"/>
    <n v="658000"/>
    <n v="180000"/>
    <n v="298000"/>
    <s v="CUST0034"/>
    <x v="5"/>
  </r>
  <r>
    <s v="ITM00801"/>
    <s v="ORD00465"/>
    <s v="PRD021"/>
    <n v="1"/>
    <n v="69000"/>
    <s v="Lampu LED Hias 5m"/>
    <n v="69000"/>
    <n v="30000"/>
    <n v="39000"/>
    <s v="CUST0129"/>
    <x v="3"/>
  </r>
  <r>
    <s v="ITM00802"/>
    <s v="ORD00465"/>
    <s v="PRD005"/>
    <n v="1"/>
    <n v="39000"/>
    <s v="Kabel Data USB-C"/>
    <n v="39000"/>
    <n v="15000"/>
    <n v="24000"/>
    <s v="CUST0129"/>
    <x v="3"/>
  </r>
  <r>
    <s v="ITM00803"/>
    <s v="ORD00466"/>
    <s v="PRD022"/>
    <n v="1"/>
    <n v="55000"/>
    <s v="Sapu + Pengki Set"/>
    <n v="55000"/>
    <n v="25000"/>
    <n v="30000"/>
    <s v="CUST0066"/>
    <x v="7"/>
  </r>
  <r>
    <s v="ITM00804"/>
    <s v="ORD00466"/>
    <s v="PRD008"/>
    <n v="1"/>
    <n v="399000"/>
    <s v="Keyboard Mechanical Mini"/>
    <n v="399000"/>
    <n v="200000"/>
    <n v="199000"/>
    <s v="CUST0066"/>
    <x v="7"/>
  </r>
  <r>
    <s v="ITM00805"/>
    <s v="ORD00467"/>
    <s v="PRD005"/>
    <n v="1"/>
    <n v="39000"/>
    <s v="Kabel Data USB-C"/>
    <n v="39000"/>
    <n v="15000"/>
    <n v="24000"/>
    <s v="CUST0076"/>
    <x v="6"/>
  </r>
  <r>
    <s v="ITM00806"/>
    <s v="ORD00467"/>
    <s v="PRD014"/>
    <n v="3"/>
    <n v="349000"/>
    <s v="Sepatu Sneakers Casual"/>
    <n v="1047000"/>
    <n v="180000"/>
    <n v="507000"/>
    <s v="CUST0076"/>
    <x v="6"/>
  </r>
  <r>
    <s v="ITM00807"/>
    <s v="ORD00468"/>
    <s v="PRD005"/>
    <n v="1"/>
    <n v="39000"/>
    <s v="Kabel Data USB-C"/>
    <n v="39000"/>
    <n v="15000"/>
    <n v="24000"/>
    <s v="CUST0087"/>
    <x v="9"/>
  </r>
  <r>
    <s v="ITM00808"/>
    <s v="ORD00468"/>
    <s v="PRD021"/>
    <n v="1"/>
    <n v="69000"/>
    <s v="Lampu LED Hias 5m"/>
    <n v="69000"/>
    <n v="30000"/>
    <n v="39000"/>
    <s v="CUST0087"/>
    <x v="9"/>
  </r>
  <r>
    <s v="ITM00809"/>
    <s v="ORD00469"/>
    <s v="PRD015"/>
    <n v="1"/>
    <n v="139000"/>
    <s v="Tas Selempang Kanvas"/>
    <n v="139000"/>
    <n v="60000"/>
    <n v="79000"/>
    <s v="CUST0120"/>
    <x v="1"/>
  </r>
  <r>
    <s v="ITM00810"/>
    <s v="ORD00469"/>
    <s v="PRD021"/>
    <n v="1"/>
    <n v="69000"/>
    <s v="Lampu LED Hias 5m"/>
    <n v="69000"/>
    <n v="30000"/>
    <n v="39000"/>
    <s v="CUST0120"/>
    <x v="1"/>
  </r>
  <r>
    <s v="ITM00811"/>
    <s v="ORD00469"/>
    <s v="PRD020"/>
    <n v="1"/>
    <n v="179000"/>
    <s v="Rak Penyimpanan Serbaguna"/>
    <n v="179000"/>
    <n v="90000"/>
    <n v="89000"/>
    <s v="CUST0120"/>
    <x v="1"/>
  </r>
  <r>
    <s v="ITM00812"/>
    <s v="ORD00469"/>
    <s v="PRD005"/>
    <n v="3"/>
    <n v="39000"/>
    <s v="Kabel Data USB-C"/>
    <n v="117000"/>
    <n v="15000"/>
    <n v="72000"/>
    <s v="CUST0120"/>
    <x v="1"/>
  </r>
  <r>
    <s v="ITM00813"/>
    <s v="ORD00470"/>
    <s v="PRD021"/>
    <n v="1"/>
    <n v="69000"/>
    <s v="Lampu LED Hias 5m"/>
    <n v="69000"/>
    <n v="30000"/>
    <n v="39000"/>
    <s v="CUST0058"/>
    <x v="1"/>
  </r>
  <r>
    <s v="ITM00814"/>
    <s v="ORD00471"/>
    <s v="PRD008"/>
    <n v="1"/>
    <n v="399000"/>
    <s v="Keyboard Mechanical Mini"/>
    <n v="399000"/>
    <n v="200000"/>
    <n v="199000"/>
    <s v="CUST0102"/>
    <x v="5"/>
  </r>
  <r>
    <s v="ITM00815"/>
    <s v="ORD00472"/>
    <s v="PRD008"/>
    <n v="1"/>
    <n v="399000"/>
    <s v="Keyboard Mechanical Mini"/>
    <n v="399000"/>
    <n v="200000"/>
    <n v="199000"/>
    <s v="CUST0102"/>
    <x v="5"/>
  </r>
  <r>
    <s v="ITM00816"/>
    <s v="ORD00473"/>
    <s v="PRD021"/>
    <n v="1"/>
    <n v="69000"/>
    <s v="Lampu LED Hias 5m"/>
    <n v="69000"/>
    <n v="30000"/>
    <n v="39000"/>
    <s v="CUST0032"/>
    <x v="0"/>
  </r>
  <r>
    <s v="ITM00817"/>
    <s v="ORD00474"/>
    <s v="PRD006"/>
    <n v="1"/>
    <n v="129000"/>
    <s v="Charger Fast Charging 33W"/>
    <n v="129000"/>
    <n v="60000"/>
    <n v="69000"/>
    <s v="CUST0192"/>
    <x v="8"/>
  </r>
  <r>
    <s v="ITM00818"/>
    <s v="ORD00474"/>
    <s v="PRD005"/>
    <n v="1"/>
    <n v="39000"/>
    <s v="Kabel Data USB-C"/>
    <n v="39000"/>
    <n v="15000"/>
    <n v="24000"/>
    <s v="CUST0192"/>
    <x v="8"/>
  </r>
  <r>
    <s v="ITM00819"/>
    <s v="ORD00474"/>
    <s v="PRD021"/>
    <n v="1"/>
    <n v="69000"/>
    <s v="Lampu LED Hias 5m"/>
    <n v="69000"/>
    <n v="30000"/>
    <n v="39000"/>
    <s v="CUST0192"/>
    <x v="8"/>
  </r>
  <r>
    <s v="ITM00820"/>
    <s v="ORD00475"/>
    <s v="PRD009"/>
    <n v="1"/>
    <n v="79000"/>
    <s v="Kaos Polos Cotton Combed"/>
    <n v="79000"/>
    <n v="35000"/>
    <n v="44000"/>
    <s v="CUST0150"/>
    <x v="8"/>
  </r>
  <r>
    <s v="ITM00821"/>
    <s v="ORD00475"/>
    <s v="PRD004"/>
    <n v="3"/>
    <n v="199000"/>
    <s v="Speaker Bluetooth Mini"/>
    <n v="597000"/>
    <n v="100000"/>
    <n v="297000"/>
    <s v="CUST0150"/>
    <x v="8"/>
  </r>
  <r>
    <s v="ITM00822"/>
    <s v="ORD00476"/>
    <s v="PRD005"/>
    <n v="2"/>
    <n v="39000"/>
    <s v="Kabel Data USB-C"/>
    <n v="78000"/>
    <n v="15000"/>
    <n v="48000"/>
    <s v="CUST0164"/>
    <x v="8"/>
  </r>
  <r>
    <s v="ITM00823"/>
    <s v="ORD00477"/>
    <s v="PRD021"/>
    <n v="3"/>
    <n v="69000"/>
    <s v="Lampu LED Hias 5m"/>
    <n v="207000"/>
    <n v="30000"/>
    <n v="117000"/>
    <s v="CUST0060"/>
    <x v="6"/>
  </r>
  <r>
    <s v="ITM00824"/>
    <s v="ORD00478"/>
    <s v="PRD017"/>
    <n v="1"/>
    <n v="329000"/>
    <s v="Rice Cooker Mini 1.5L"/>
    <n v="329000"/>
    <n v="180000"/>
    <n v="149000"/>
    <s v="CUST0159"/>
    <x v="7"/>
  </r>
  <r>
    <s v="ITM00825"/>
    <s v="ORD00479"/>
    <s v="PRD005"/>
    <n v="1"/>
    <n v="39000"/>
    <s v="Kabel Data USB-C"/>
    <n v="39000"/>
    <n v="15000"/>
    <n v="24000"/>
    <s v="CUST0157"/>
    <x v="5"/>
  </r>
  <r>
    <s v="ITM00826"/>
    <s v="ORD00479"/>
    <s v="PRD008"/>
    <n v="1"/>
    <n v="399000"/>
    <s v="Keyboard Mechanical Mini"/>
    <n v="399000"/>
    <n v="200000"/>
    <n v="199000"/>
    <s v="CUST0157"/>
    <x v="5"/>
  </r>
  <r>
    <s v="ITM00827"/>
    <s v="ORD00480"/>
    <s v="PRD021"/>
    <n v="1"/>
    <n v="69000"/>
    <s v="Lampu LED Hias 5m"/>
    <n v="69000"/>
    <n v="30000"/>
    <n v="39000"/>
    <s v="CUST0163"/>
    <x v="3"/>
  </r>
  <r>
    <s v="ITM00828"/>
    <s v="ORD00480"/>
    <s v="PRD005"/>
    <n v="1"/>
    <n v="39000"/>
    <s v="Kabel Data USB-C"/>
    <n v="39000"/>
    <n v="15000"/>
    <n v="24000"/>
    <s v="CUST0163"/>
    <x v="3"/>
  </r>
  <r>
    <s v="ITM00829"/>
    <s v="ORD00481"/>
    <s v="PRD003"/>
    <n v="3"/>
    <n v="499000"/>
    <s v="Smartwatch Lite"/>
    <n v="1497000"/>
    <n v="250000"/>
    <n v="747000"/>
    <s v="CUST0167"/>
    <x v="5"/>
  </r>
  <r>
    <s v="ITM00830"/>
    <s v="ORD00482"/>
    <s v="PRD022"/>
    <n v="1"/>
    <n v="55000"/>
    <s v="Sapu + Pengki Set"/>
    <n v="55000"/>
    <n v="25000"/>
    <n v="30000"/>
    <s v="CUST0036"/>
    <x v="0"/>
  </r>
  <r>
    <s v="ITM00831"/>
    <s v="ORD00482"/>
    <s v="PRD014"/>
    <n v="1"/>
    <n v="349000"/>
    <s v="Sepatu Sneakers Casual"/>
    <n v="349000"/>
    <n v="180000"/>
    <n v="169000"/>
    <s v="CUST0036"/>
    <x v="0"/>
  </r>
  <r>
    <s v="ITM00832"/>
    <s v="ORD00482"/>
    <s v="PRD005"/>
    <n v="1"/>
    <n v="39000"/>
    <s v="Kabel Data USB-C"/>
    <n v="39000"/>
    <n v="15000"/>
    <n v="24000"/>
    <s v="CUST0036"/>
    <x v="0"/>
  </r>
  <r>
    <s v="ITM00833"/>
    <s v="ORD00483"/>
    <s v="PRD008"/>
    <n v="1"/>
    <n v="399000"/>
    <s v="Keyboard Mechanical Mini"/>
    <n v="399000"/>
    <n v="200000"/>
    <n v="199000"/>
    <s v="CUST0127"/>
    <x v="6"/>
  </r>
  <r>
    <s v="ITM00834"/>
    <s v="ORD00483"/>
    <s v="PRD006"/>
    <n v="1"/>
    <n v="129000"/>
    <s v="Charger Fast Charging 33W"/>
    <n v="129000"/>
    <n v="60000"/>
    <n v="69000"/>
    <s v="CUST0127"/>
    <x v="6"/>
  </r>
  <r>
    <s v="ITM00835"/>
    <s v="ORD00484"/>
    <s v="PRD021"/>
    <n v="3"/>
    <n v="69000"/>
    <s v="Lampu LED Hias 5m"/>
    <n v="207000"/>
    <n v="30000"/>
    <n v="117000"/>
    <s v="CUST0138"/>
    <x v="9"/>
  </r>
  <r>
    <s v="ITM00836"/>
    <s v="ORD00485"/>
    <s v="PRD005"/>
    <n v="1"/>
    <n v="39000"/>
    <s v="Kabel Data USB-C"/>
    <n v="39000"/>
    <n v="15000"/>
    <n v="24000"/>
    <s v="CUST0095"/>
    <x v="9"/>
  </r>
  <r>
    <s v="ITM00837"/>
    <s v="ORD00486"/>
    <s v="PRD021"/>
    <n v="1"/>
    <n v="69000"/>
    <s v="Lampu LED Hias 5m"/>
    <n v="69000"/>
    <n v="30000"/>
    <n v="39000"/>
    <s v="CUST0179"/>
    <x v="5"/>
  </r>
  <r>
    <s v="ITM00838"/>
    <s v="ORD00487"/>
    <s v="PRD008"/>
    <n v="2"/>
    <n v="399000"/>
    <s v="Keyboard Mechanical Mini"/>
    <n v="798000"/>
    <n v="200000"/>
    <n v="398000"/>
    <s v="CUST0191"/>
    <x v="5"/>
  </r>
  <r>
    <s v="ITM00839"/>
    <s v="ORD00487"/>
    <s v="PRD009"/>
    <n v="2"/>
    <n v="79000"/>
    <s v="Kaos Polos Cotton Combed"/>
    <n v="158000"/>
    <n v="35000"/>
    <n v="88000"/>
    <s v="CUST0191"/>
    <x v="5"/>
  </r>
  <r>
    <s v="ITM00840"/>
    <s v="ORD00488"/>
    <s v="PRD020"/>
    <n v="1"/>
    <n v="179000"/>
    <s v="Rak Penyimpanan Serbaguna"/>
    <n v="179000"/>
    <n v="90000"/>
    <n v="89000"/>
    <s v="CUST0026"/>
    <x v="3"/>
  </r>
  <r>
    <s v="ITM00841"/>
    <s v="ORD00488"/>
    <s v="PRD005"/>
    <n v="3"/>
    <n v="39000"/>
    <s v="Kabel Data USB-C"/>
    <n v="117000"/>
    <n v="15000"/>
    <n v="72000"/>
    <s v="CUST0026"/>
    <x v="3"/>
  </r>
  <r>
    <s v="ITM00842"/>
    <s v="ORD00489"/>
    <s v="PRD009"/>
    <n v="1"/>
    <n v="79000"/>
    <s v="Kaos Polos Cotton Combed"/>
    <n v="79000"/>
    <n v="35000"/>
    <n v="44000"/>
    <s v="CUST0158"/>
    <x v="0"/>
  </r>
  <r>
    <s v="ITM00843"/>
    <s v="ORD00490"/>
    <s v="PRD009"/>
    <n v="3"/>
    <n v="79000"/>
    <s v="Kaos Polos Cotton Combed"/>
    <n v="237000"/>
    <n v="35000"/>
    <n v="132000"/>
    <s v="CUST0009"/>
    <x v="2"/>
  </r>
  <r>
    <s v="ITM00844"/>
    <s v="ORD00490"/>
    <s v="PRD021"/>
    <n v="1"/>
    <n v="69000"/>
    <s v="Lampu LED Hias 5m"/>
    <n v="69000"/>
    <n v="30000"/>
    <n v="39000"/>
    <s v="CUST0009"/>
    <x v="2"/>
  </r>
  <r>
    <s v="ITM00845"/>
    <s v="ORD00491"/>
    <s v="PRD005"/>
    <n v="2"/>
    <n v="39000"/>
    <s v="Kabel Data USB-C"/>
    <n v="78000"/>
    <n v="15000"/>
    <n v="48000"/>
    <s v="CUST0114"/>
    <x v="3"/>
  </r>
  <r>
    <s v="ITM00846"/>
    <s v="ORD00492"/>
    <s v="PRD021"/>
    <n v="2"/>
    <n v="69000"/>
    <s v="Lampu LED Hias 5m"/>
    <n v="138000"/>
    <n v="30000"/>
    <n v="78000"/>
    <s v="CUST0026"/>
    <x v="3"/>
  </r>
  <r>
    <s v="ITM00847"/>
    <s v="ORD00492"/>
    <s v="PRD012"/>
    <n v="1"/>
    <n v="229000"/>
    <s v="Celana Jeans Slimfit"/>
    <n v="229000"/>
    <n v="110000"/>
    <n v="119000"/>
    <s v="CUST0026"/>
    <x v="3"/>
  </r>
  <r>
    <s v="ITM00848"/>
    <s v="ORD00493"/>
    <s v="PRD003"/>
    <n v="1"/>
    <n v="499000"/>
    <s v="Smartwatch Lite"/>
    <n v="499000"/>
    <n v="250000"/>
    <n v="249000"/>
    <s v="CUST0140"/>
    <x v="4"/>
  </r>
  <r>
    <s v="ITM00849"/>
    <s v="ORD00493"/>
    <s v="PRD015"/>
    <n v="2"/>
    <n v="139000"/>
    <s v="Tas Selempang Kanvas"/>
    <n v="278000"/>
    <n v="60000"/>
    <n v="158000"/>
    <s v="CUST0140"/>
    <x v="4"/>
  </r>
  <r>
    <s v="ITM00850"/>
    <s v="ORD00493"/>
    <s v="PRD019"/>
    <n v="1"/>
    <n v="79000"/>
    <s v="Botol Minum Stainless 1L"/>
    <n v="79000"/>
    <n v="35000"/>
    <n v="44000"/>
    <s v="CUST0140"/>
    <x v="4"/>
  </r>
  <r>
    <s v="ITM00851"/>
    <s v="ORD00493"/>
    <s v="PRD005"/>
    <n v="1"/>
    <n v="39000"/>
    <s v="Kabel Data USB-C"/>
    <n v="39000"/>
    <n v="15000"/>
    <n v="24000"/>
    <s v="CUST0140"/>
    <x v="4"/>
  </r>
  <r>
    <s v="ITM00852"/>
    <s v="ORD00494"/>
    <s v="PRD017"/>
    <n v="1"/>
    <n v="329000"/>
    <s v="Rice Cooker Mini 1.5L"/>
    <n v="329000"/>
    <n v="180000"/>
    <n v="149000"/>
    <s v="CUST0016"/>
    <x v="8"/>
  </r>
  <r>
    <s v="ITM00853"/>
    <s v="ORD00495"/>
    <s v="PRD014"/>
    <n v="1"/>
    <n v="349000"/>
    <s v="Sepatu Sneakers Casual"/>
    <n v="349000"/>
    <n v="180000"/>
    <n v="169000"/>
    <s v="CUST0032"/>
    <x v="0"/>
  </r>
  <r>
    <s v="ITM00854"/>
    <s v="ORD00496"/>
    <s v="PRD006"/>
    <n v="1"/>
    <n v="129000"/>
    <s v="Charger Fast Charging 33W"/>
    <n v="129000"/>
    <n v="60000"/>
    <n v="69000"/>
    <s v="CUST0117"/>
    <x v="8"/>
  </r>
  <r>
    <s v="ITM00855"/>
    <s v="ORD00496"/>
    <s v="PRD017"/>
    <n v="1"/>
    <n v="329000"/>
    <s v="Rice Cooker Mini 1.5L"/>
    <n v="329000"/>
    <n v="180000"/>
    <n v="149000"/>
    <s v="CUST0117"/>
    <x v="8"/>
  </r>
  <r>
    <s v="ITM00856"/>
    <s v="ORD00497"/>
    <s v="PRD020"/>
    <n v="1"/>
    <n v="179000"/>
    <s v="Rak Penyimpanan Serbaguna"/>
    <n v="179000"/>
    <n v="90000"/>
    <n v="89000"/>
    <s v="CUST0165"/>
    <x v="7"/>
  </r>
  <r>
    <s v="ITM00857"/>
    <s v="ORD00497"/>
    <s v="PRD005"/>
    <n v="3"/>
    <n v="39000"/>
    <s v="Kabel Data USB-C"/>
    <n v="117000"/>
    <n v="15000"/>
    <n v="72000"/>
    <s v="CUST0165"/>
    <x v="7"/>
  </r>
  <r>
    <s v="ITM00858"/>
    <s v="ORD00498"/>
    <s v="PRD021"/>
    <n v="1"/>
    <n v="69000"/>
    <s v="Lampu LED Hias 5m"/>
    <n v="69000"/>
    <n v="30000"/>
    <n v="39000"/>
    <s v="CUST0006"/>
    <x v="5"/>
  </r>
  <r>
    <s v="ITM00859"/>
    <s v="ORD00498"/>
    <s v="PRD017"/>
    <n v="1"/>
    <n v="329000"/>
    <s v="Rice Cooker Mini 1.5L"/>
    <n v="329000"/>
    <n v="180000"/>
    <n v="149000"/>
    <s v="CUST0006"/>
    <x v="5"/>
  </r>
  <r>
    <s v="ITM00860"/>
    <s v="ORD00499"/>
    <s v="PRD022"/>
    <n v="1"/>
    <n v="55000"/>
    <s v="Sapu + Pengki Set"/>
    <n v="55000"/>
    <n v="25000"/>
    <n v="30000"/>
    <s v="CUST0063"/>
    <x v="2"/>
  </r>
  <r>
    <s v="ITM00861"/>
    <s v="ORD00500"/>
    <s v="PRD005"/>
    <n v="3"/>
    <n v="39000"/>
    <s v="Kabel Data USB-C"/>
    <n v="117000"/>
    <n v="15000"/>
    <n v="72000"/>
    <s v="CUST0145"/>
    <x v="2"/>
  </r>
  <r>
    <s v="ITM00862"/>
    <s v="ORD00500"/>
    <s v="PRD021"/>
    <n v="1"/>
    <n v="69000"/>
    <s v="Lampu LED Hias 5m"/>
    <n v="69000"/>
    <n v="30000"/>
    <n v="39000"/>
    <s v="CUST0145"/>
    <x v="2"/>
  </r>
  <r>
    <s v="ITM00863"/>
    <s v="ORD00501"/>
    <s v="PRD017"/>
    <n v="1"/>
    <n v="329000"/>
    <s v="Rice Cooker Mini 1.5L"/>
    <n v="329000"/>
    <n v="180000"/>
    <n v="149000"/>
    <s v="CUST0196"/>
    <x v="3"/>
  </r>
  <r>
    <s v="ITM00864"/>
    <s v="ORD00502"/>
    <s v="PRD021"/>
    <n v="2"/>
    <n v="69000"/>
    <s v="Lampu LED Hias 5m"/>
    <n v="138000"/>
    <n v="30000"/>
    <n v="78000"/>
    <s v="CUST0151"/>
    <x v="5"/>
  </r>
  <r>
    <s v="ITM00865"/>
    <s v="ORD00503"/>
    <s v="PRD022"/>
    <n v="1"/>
    <n v="55000"/>
    <s v="Sapu + Pengki Set"/>
    <n v="55000"/>
    <n v="25000"/>
    <n v="30000"/>
    <s v="CUST0060"/>
    <x v="6"/>
  </r>
  <r>
    <s v="ITM00866"/>
    <s v="ORD00503"/>
    <s v="PRD005"/>
    <n v="1"/>
    <n v="39000"/>
    <s v="Kabel Data USB-C"/>
    <n v="39000"/>
    <n v="15000"/>
    <n v="24000"/>
    <s v="CUST0060"/>
    <x v="6"/>
  </r>
  <r>
    <s v="ITM00867"/>
    <s v="ORD00504"/>
    <s v="PRD021"/>
    <n v="2"/>
    <n v="69000"/>
    <s v="Lampu LED Hias 5m"/>
    <n v="138000"/>
    <n v="30000"/>
    <n v="78000"/>
    <s v="CUST0038"/>
    <x v="4"/>
  </r>
  <r>
    <s v="ITM00868"/>
    <s v="ORD00504"/>
    <s v="PRD005"/>
    <n v="1"/>
    <n v="39000"/>
    <s v="Kabel Data USB-C"/>
    <n v="39000"/>
    <n v="15000"/>
    <n v="24000"/>
    <s v="CUST0038"/>
    <x v="4"/>
  </r>
  <r>
    <s v="ITM00869"/>
    <s v="ORD00505"/>
    <s v="PRD020"/>
    <n v="3"/>
    <n v="179000"/>
    <s v="Rak Penyimpanan Serbaguna"/>
    <n v="537000"/>
    <n v="90000"/>
    <n v="267000"/>
    <s v="CUST0038"/>
    <x v="4"/>
  </r>
  <r>
    <s v="ITM00870"/>
    <s v="ORD00506"/>
    <s v="PRD021"/>
    <n v="1"/>
    <n v="69000"/>
    <s v="Lampu LED Hias 5m"/>
    <n v="69000"/>
    <n v="30000"/>
    <n v="39000"/>
    <s v="CUST0045"/>
    <x v="6"/>
  </r>
  <r>
    <s v="ITM00871"/>
    <s v="ORD00506"/>
    <s v="PRD020"/>
    <n v="3"/>
    <n v="179000"/>
    <s v="Rak Penyimpanan Serbaguna"/>
    <n v="537000"/>
    <n v="90000"/>
    <n v="267000"/>
    <s v="CUST0045"/>
    <x v="6"/>
  </r>
  <r>
    <s v="ITM00872"/>
    <s v="ORD00506"/>
    <s v="PRD006"/>
    <n v="1"/>
    <n v="129000"/>
    <s v="Charger Fast Charging 33W"/>
    <n v="129000"/>
    <n v="60000"/>
    <n v="69000"/>
    <s v="CUST0045"/>
    <x v="6"/>
  </r>
  <r>
    <s v="ITM00873"/>
    <s v="ORD00507"/>
    <s v="PRD009"/>
    <n v="1"/>
    <n v="79000"/>
    <s v="Kaos Polos Cotton Combed"/>
    <n v="79000"/>
    <n v="35000"/>
    <n v="44000"/>
    <s v="CUST0007"/>
    <x v="0"/>
  </r>
  <r>
    <s v="ITM00874"/>
    <s v="ORD00507"/>
    <s v="PRD021"/>
    <n v="1"/>
    <n v="69000"/>
    <s v="Lampu LED Hias 5m"/>
    <n v="69000"/>
    <n v="30000"/>
    <n v="39000"/>
    <s v="CUST0007"/>
    <x v="0"/>
  </r>
  <r>
    <s v="ITM00875"/>
    <s v="ORD00508"/>
    <s v="PRD019"/>
    <n v="2"/>
    <n v="79000"/>
    <s v="Botol Minum Stainless 1L"/>
    <n v="158000"/>
    <n v="35000"/>
    <n v="88000"/>
    <s v="CUST0061"/>
    <x v="0"/>
  </r>
  <r>
    <s v="ITM00876"/>
    <s v="ORD00509"/>
    <s v="PRD021"/>
    <n v="1"/>
    <n v="69000"/>
    <s v="Lampu LED Hias 5m"/>
    <n v="69000"/>
    <n v="30000"/>
    <n v="39000"/>
    <s v="CUST0045"/>
    <x v="6"/>
  </r>
  <r>
    <s v="ITM00877"/>
    <s v="ORD00510"/>
    <s v="PRD020"/>
    <n v="3"/>
    <n v="179000"/>
    <s v="Rak Penyimpanan Serbaguna"/>
    <n v="537000"/>
    <n v="90000"/>
    <n v="267000"/>
    <s v="CUST0033"/>
    <x v="2"/>
  </r>
  <r>
    <s v="ITM00878"/>
    <s v="ORD00511"/>
    <s v="PRD021"/>
    <n v="3"/>
    <n v="69000"/>
    <s v="Lampu LED Hias 5m"/>
    <n v="207000"/>
    <n v="30000"/>
    <n v="117000"/>
    <s v="CUST0135"/>
    <x v="7"/>
  </r>
  <r>
    <s v="ITM00879"/>
    <s v="ORD00511"/>
    <s v="PRD009"/>
    <n v="1"/>
    <n v="79000"/>
    <s v="Kaos Polos Cotton Combed"/>
    <n v="79000"/>
    <n v="35000"/>
    <n v="44000"/>
    <s v="CUST0135"/>
    <x v="7"/>
  </r>
  <r>
    <s v="ITM00880"/>
    <s v="ORD00512"/>
    <s v="PRD005"/>
    <n v="3"/>
    <n v="39000"/>
    <s v="Kabel Data USB-C"/>
    <n v="117000"/>
    <n v="15000"/>
    <n v="72000"/>
    <s v="CUST0017"/>
    <x v="5"/>
  </r>
  <r>
    <s v="ITM00881"/>
    <s v="ORD00513"/>
    <s v="PRD005"/>
    <n v="1"/>
    <n v="39000"/>
    <s v="Kabel Data USB-C"/>
    <n v="39000"/>
    <n v="15000"/>
    <n v="24000"/>
    <s v="CUST0200"/>
    <x v="4"/>
  </r>
  <r>
    <s v="ITM00882"/>
    <s v="ORD00514"/>
    <s v="PRD012"/>
    <n v="1"/>
    <n v="229000"/>
    <s v="Celana Jeans Slimfit"/>
    <n v="229000"/>
    <n v="110000"/>
    <n v="119000"/>
    <s v="CUST0028"/>
    <x v="8"/>
  </r>
  <r>
    <s v="ITM00883"/>
    <s v="ORD00515"/>
    <s v="PRD021"/>
    <n v="1"/>
    <n v="69000"/>
    <s v="Lampu LED Hias 5m"/>
    <n v="69000"/>
    <n v="30000"/>
    <n v="39000"/>
    <s v="CUST0158"/>
    <x v="0"/>
  </r>
  <r>
    <s v="ITM00884"/>
    <s v="ORD00516"/>
    <s v="PRD021"/>
    <n v="1"/>
    <n v="69000"/>
    <s v="Lampu LED Hias 5m"/>
    <n v="69000"/>
    <n v="30000"/>
    <n v="39000"/>
    <s v="CUST0169"/>
    <x v="6"/>
  </r>
  <r>
    <s v="ITM00885"/>
    <s v="ORD00516"/>
    <s v="PRD019"/>
    <n v="1"/>
    <n v="79000"/>
    <s v="Botol Minum Stainless 1L"/>
    <n v="79000"/>
    <n v="35000"/>
    <n v="44000"/>
    <s v="CUST0169"/>
    <x v="6"/>
  </r>
  <r>
    <s v="ITM00886"/>
    <s v="ORD00517"/>
    <s v="PRD017"/>
    <n v="1"/>
    <n v="329000"/>
    <s v="Rice Cooker Mini 1.5L"/>
    <n v="329000"/>
    <n v="180000"/>
    <n v="149000"/>
    <s v="CUST0165"/>
    <x v="7"/>
  </r>
  <r>
    <s v="ITM00887"/>
    <s v="ORD00518"/>
    <s v="PRD008"/>
    <n v="1"/>
    <n v="399000"/>
    <s v="Keyboard Mechanical Mini"/>
    <n v="399000"/>
    <n v="200000"/>
    <n v="199000"/>
    <s v="CUST0103"/>
    <x v="8"/>
  </r>
  <r>
    <s v="ITM00888"/>
    <s v="ORD00518"/>
    <s v="PRD006"/>
    <n v="2"/>
    <n v="129000"/>
    <s v="Charger Fast Charging 33W"/>
    <n v="258000"/>
    <n v="60000"/>
    <n v="138000"/>
    <s v="CUST0103"/>
    <x v="8"/>
  </r>
  <r>
    <s v="ITM00889"/>
    <s v="ORD00519"/>
    <s v="PRD008"/>
    <n v="1"/>
    <n v="399000"/>
    <s v="Keyboard Mechanical Mini"/>
    <n v="399000"/>
    <n v="200000"/>
    <n v="199000"/>
    <s v="CUST0126"/>
    <x v="2"/>
  </r>
  <r>
    <s v="ITM00890"/>
    <s v="ORD00520"/>
    <s v="PRD008"/>
    <n v="2"/>
    <n v="399000"/>
    <s v="Keyboard Mechanical Mini"/>
    <n v="798000"/>
    <n v="200000"/>
    <n v="398000"/>
    <s v="CUST0114"/>
    <x v="3"/>
  </r>
  <r>
    <s v="ITM00891"/>
    <s v="ORD00521"/>
    <s v="PRD021"/>
    <n v="3"/>
    <n v="69000"/>
    <s v="Lampu LED Hias 5m"/>
    <n v="207000"/>
    <n v="30000"/>
    <n v="117000"/>
    <s v="CUST0156"/>
    <x v="7"/>
  </r>
  <r>
    <s v="ITM00892"/>
    <s v="ORD00522"/>
    <s v="PRD020"/>
    <n v="1"/>
    <n v="179000"/>
    <s v="Rak Penyimpanan Serbaguna"/>
    <n v="179000"/>
    <n v="90000"/>
    <n v="89000"/>
    <s v="CUST0033"/>
    <x v="2"/>
  </r>
  <r>
    <s v="ITM00893"/>
    <s v="ORD00522"/>
    <s v="PRD009"/>
    <n v="1"/>
    <n v="79000"/>
    <s v="Kaos Polos Cotton Combed"/>
    <n v="79000"/>
    <n v="35000"/>
    <n v="44000"/>
    <s v="CUST0033"/>
    <x v="2"/>
  </r>
  <r>
    <s v="ITM00894"/>
    <s v="ORD00523"/>
    <s v="PRD008"/>
    <n v="1"/>
    <n v="399000"/>
    <s v="Keyboard Mechanical Mini"/>
    <n v="399000"/>
    <n v="200000"/>
    <n v="199000"/>
    <s v="CUST0163"/>
    <x v="3"/>
  </r>
  <r>
    <s v="ITM00895"/>
    <s v="ORD00523"/>
    <s v="PRD022"/>
    <n v="1"/>
    <n v="55000"/>
    <s v="Sapu + Pengki Set"/>
    <n v="55000"/>
    <n v="25000"/>
    <n v="30000"/>
    <s v="CUST0163"/>
    <x v="3"/>
  </r>
  <r>
    <s v="ITM00896"/>
    <s v="ORD00523"/>
    <s v="PRD021"/>
    <n v="1"/>
    <n v="69000"/>
    <s v="Lampu LED Hias 5m"/>
    <n v="69000"/>
    <n v="30000"/>
    <n v="39000"/>
    <s v="CUST0163"/>
    <x v="3"/>
  </r>
  <r>
    <s v="ITM00897"/>
    <s v="ORD00524"/>
    <s v="PRD021"/>
    <n v="1"/>
    <n v="69000"/>
    <s v="Lampu LED Hias 5m"/>
    <n v="69000"/>
    <n v="30000"/>
    <n v="39000"/>
    <s v="CUST0084"/>
    <x v="2"/>
  </r>
  <r>
    <s v="ITM00898"/>
    <s v="ORD00525"/>
    <s v="PRD005"/>
    <n v="1"/>
    <n v="39000"/>
    <s v="Kabel Data USB-C"/>
    <n v="39000"/>
    <n v="15000"/>
    <n v="24000"/>
    <s v="CUST0136"/>
    <x v="0"/>
  </r>
  <r>
    <s v="ITM00899"/>
    <s v="ORD00526"/>
    <s v="PRD012"/>
    <n v="2"/>
    <n v="229000"/>
    <s v="Celana Jeans Slimfit"/>
    <n v="458000"/>
    <n v="110000"/>
    <n v="238000"/>
    <s v="CUST0155"/>
    <x v="0"/>
  </r>
  <r>
    <s v="ITM00900"/>
    <s v="ORD00527"/>
    <s v="PRD021"/>
    <n v="1"/>
    <n v="69000"/>
    <s v="Lampu LED Hias 5m"/>
    <n v="69000"/>
    <n v="30000"/>
    <n v="39000"/>
    <s v="CUST0180"/>
    <x v="3"/>
  </r>
  <r>
    <s v="ITM00901"/>
    <s v="ORD00527"/>
    <s v="PRD017"/>
    <n v="1"/>
    <n v="329000"/>
    <s v="Rice Cooker Mini 1.5L"/>
    <n v="329000"/>
    <n v="180000"/>
    <n v="149000"/>
    <s v="CUST0180"/>
    <x v="3"/>
  </r>
  <r>
    <s v="ITM00902"/>
    <s v="ORD00528"/>
    <s v="PRD005"/>
    <n v="1"/>
    <n v="39000"/>
    <s v="Kabel Data USB-C"/>
    <n v="39000"/>
    <n v="15000"/>
    <n v="24000"/>
    <s v="CUST0168"/>
    <x v="5"/>
  </r>
  <r>
    <s v="ITM00903"/>
    <s v="ORD00528"/>
    <s v="PRD017"/>
    <n v="1"/>
    <n v="329000"/>
    <s v="Rice Cooker Mini 1.5L"/>
    <n v="329000"/>
    <n v="180000"/>
    <n v="149000"/>
    <s v="CUST0168"/>
    <x v="5"/>
  </r>
  <r>
    <s v="ITM00904"/>
    <s v="ORD00528"/>
    <s v="PRD021"/>
    <n v="1"/>
    <n v="69000"/>
    <s v="Lampu LED Hias 5m"/>
    <n v="69000"/>
    <n v="30000"/>
    <n v="39000"/>
    <s v="CUST0168"/>
    <x v="5"/>
  </r>
  <r>
    <s v="ITM00905"/>
    <s v="ORD00528"/>
    <s v="PRD020"/>
    <n v="1"/>
    <n v="179000"/>
    <s v="Rak Penyimpanan Serbaguna"/>
    <n v="179000"/>
    <n v="90000"/>
    <n v="89000"/>
    <s v="CUST0168"/>
    <x v="5"/>
  </r>
  <r>
    <s v="ITM00906"/>
    <s v="ORD00529"/>
    <s v="PRD005"/>
    <n v="1"/>
    <n v="39000"/>
    <s v="Kabel Data USB-C"/>
    <n v="39000"/>
    <n v="15000"/>
    <n v="24000"/>
    <s v="CUST0197"/>
    <x v="7"/>
  </r>
  <r>
    <s v="ITM00907"/>
    <s v="ORD00529"/>
    <s v="PRD004"/>
    <n v="1"/>
    <n v="199000"/>
    <s v="Speaker Bluetooth Mini"/>
    <n v="199000"/>
    <n v="100000"/>
    <n v="99000"/>
    <s v="CUST0197"/>
    <x v="7"/>
  </r>
  <r>
    <s v="ITM00908"/>
    <s v="ORD00530"/>
    <s v="PRD005"/>
    <n v="1"/>
    <n v="39000"/>
    <s v="Kabel Data USB-C"/>
    <n v="39000"/>
    <n v="15000"/>
    <n v="24000"/>
    <s v="CUST0056"/>
    <x v="2"/>
  </r>
  <r>
    <s v="ITM00909"/>
    <s v="ORD00530"/>
    <s v="PRD020"/>
    <n v="1"/>
    <n v="179000"/>
    <s v="Rak Penyimpanan Serbaguna"/>
    <n v="179000"/>
    <n v="90000"/>
    <n v="89000"/>
    <s v="CUST0056"/>
    <x v="2"/>
  </r>
  <r>
    <s v="ITM00910"/>
    <s v="ORD00531"/>
    <s v="PRD021"/>
    <n v="3"/>
    <n v="69000"/>
    <s v="Lampu LED Hias 5m"/>
    <n v="207000"/>
    <n v="30000"/>
    <n v="117000"/>
    <s v="CUST0059"/>
    <x v="0"/>
  </r>
  <r>
    <s v="ITM00911"/>
    <s v="ORD00532"/>
    <s v="PRD005"/>
    <n v="2"/>
    <n v="39000"/>
    <s v="Kabel Data USB-C"/>
    <n v="78000"/>
    <n v="15000"/>
    <n v="48000"/>
    <s v="CUST0117"/>
    <x v="8"/>
  </r>
  <r>
    <s v="ITM00912"/>
    <s v="ORD00532"/>
    <s v="PRD017"/>
    <n v="1"/>
    <n v="329000"/>
    <s v="Rice Cooker Mini 1.5L"/>
    <n v="329000"/>
    <n v="180000"/>
    <n v="149000"/>
    <s v="CUST0117"/>
    <x v="8"/>
  </r>
  <r>
    <s v="ITM00913"/>
    <s v="ORD00532"/>
    <s v="PRD021"/>
    <n v="3"/>
    <n v="69000"/>
    <s v="Lampu LED Hias 5m"/>
    <n v="207000"/>
    <n v="30000"/>
    <n v="117000"/>
    <s v="CUST0117"/>
    <x v="8"/>
  </r>
  <r>
    <s v="ITM00914"/>
    <s v="ORD00533"/>
    <s v="PRD009"/>
    <n v="3"/>
    <n v="79000"/>
    <s v="Kaos Polos Cotton Combed"/>
    <n v="237000"/>
    <n v="35000"/>
    <n v="132000"/>
    <s v="CUST0187"/>
    <x v="5"/>
  </r>
  <r>
    <s v="ITM00915"/>
    <s v="ORD00533"/>
    <s v="PRD012"/>
    <n v="1"/>
    <n v="229000"/>
    <s v="Celana Jeans Slimfit"/>
    <n v="229000"/>
    <n v="110000"/>
    <n v="119000"/>
    <s v="CUST0187"/>
    <x v="5"/>
  </r>
  <r>
    <s v="ITM00916"/>
    <s v="ORD00533"/>
    <s v="PRD021"/>
    <n v="2"/>
    <n v="69000"/>
    <s v="Lampu LED Hias 5m"/>
    <n v="138000"/>
    <n v="30000"/>
    <n v="78000"/>
    <s v="CUST0187"/>
    <x v="5"/>
  </r>
  <r>
    <s v="ITM00917"/>
    <s v="ORD00533"/>
    <s v="PRD007"/>
    <n v="1"/>
    <n v="99000"/>
    <s v="Mouse Wireless"/>
    <n v="99000"/>
    <n v="45000"/>
    <n v="54000"/>
    <s v="CUST0187"/>
    <x v="5"/>
  </r>
  <r>
    <s v="ITM00918"/>
    <s v="ORD00534"/>
    <s v="PRD022"/>
    <n v="2"/>
    <n v="55000"/>
    <s v="Sapu + Pengki Set"/>
    <n v="110000"/>
    <n v="25000"/>
    <n v="60000"/>
    <s v="CUST0081"/>
    <x v="7"/>
  </r>
  <r>
    <s v="ITM00919"/>
    <s v="ORD00535"/>
    <s v="PRD021"/>
    <n v="1"/>
    <n v="69000"/>
    <s v="Lampu LED Hias 5m"/>
    <n v="69000"/>
    <n v="30000"/>
    <n v="39000"/>
    <s v="CUST0040"/>
    <x v="7"/>
  </r>
  <r>
    <s v="ITM00920"/>
    <s v="ORD00536"/>
    <s v="PRD021"/>
    <n v="2"/>
    <n v="69000"/>
    <s v="Lampu LED Hias 5m"/>
    <n v="138000"/>
    <n v="30000"/>
    <n v="78000"/>
    <s v="CUST0024"/>
    <x v="2"/>
  </r>
  <r>
    <s v="ITM00921"/>
    <s v="ORD00537"/>
    <s v="PRD021"/>
    <n v="1"/>
    <n v="69000"/>
    <s v="Lampu LED Hias 5m"/>
    <n v="69000"/>
    <n v="30000"/>
    <n v="39000"/>
    <s v="CUST0025"/>
    <x v="9"/>
  </r>
  <r>
    <s v="ITM00922"/>
    <s v="ORD00537"/>
    <s v="PRD009"/>
    <n v="2"/>
    <n v="79000"/>
    <s v="Kaos Polos Cotton Combed"/>
    <n v="158000"/>
    <n v="35000"/>
    <n v="88000"/>
    <s v="CUST0025"/>
    <x v="9"/>
  </r>
  <r>
    <s v="ITM00923"/>
    <s v="ORD00537"/>
    <s v="PRD012"/>
    <n v="1"/>
    <n v="229000"/>
    <s v="Celana Jeans Slimfit"/>
    <n v="229000"/>
    <n v="110000"/>
    <n v="119000"/>
    <s v="CUST0025"/>
    <x v="9"/>
  </r>
  <r>
    <s v="ITM00924"/>
    <s v="ORD00538"/>
    <s v="PRD014"/>
    <n v="1"/>
    <n v="349000"/>
    <s v="Sepatu Sneakers Casual"/>
    <n v="349000"/>
    <n v="180000"/>
    <n v="169000"/>
    <s v="CUST0143"/>
    <x v="8"/>
  </r>
  <r>
    <s v="ITM00925"/>
    <s v="ORD00539"/>
    <s v="PRD021"/>
    <n v="1"/>
    <n v="69000"/>
    <s v="Lampu LED Hias 5m"/>
    <n v="69000"/>
    <n v="30000"/>
    <n v="39000"/>
    <s v="CUST0144"/>
    <x v="7"/>
  </r>
  <r>
    <s v="ITM00926"/>
    <s v="ORD00540"/>
    <s v="PRD014"/>
    <n v="1"/>
    <n v="349000"/>
    <s v="Sepatu Sneakers Casual"/>
    <n v="349000"/>
    <n v="180000"/>
    <n v="169000"/>
    <s v="CUST0032"/>
    <x v="0"/>
  </r>
  <r>
    <s v="ITM00927"/>
    <s v="ORD00541"/>
    <s v="PRD012"/>
    <n v="1"/>
    <n v="229000"/>
    <s v="Celana Jeans Slimfit"/>
    <n v="229000"/>
    <n v="110000"/>
    <n v="119000"/>
    <s v="CUST0171"/>
    <x v="9"/>
  </r>
  <r>
    <s v="ITM00928"/>
    <s v="ORD00542"/>
    <s v="PRD019"/>
    <n v="1"/>
    <n v="79000"/>
    <s v="Botol Minum Stainless 1L"/>
    <n v="79000"/>
    <n v="35000"/>
    <n v="44000"/>
    <s v="CUST0185"/>
    <x v="5"/>
  </r>
  <r>
    <s v="ITM00929"/>
    <s v="ORD00543"/>
    <s v="PRD005"/>
    <n v="3"/>
    <n v="39000"/>
    <s v="Kabel Data USB-C"/>
    <n v="117000"/>
    <n v="15000"/>
    <n v="72000"/>
    <s v="CUST0080"/>
    <x v="2"/>
  </r>
  <r>
    <s v="ITM00930"/>
    <s v="ORD00543"/>
    <s v="PRD006"/>
    <n v="1"/>
    <n v="129000"/>
    <s v="Charger Fast Charging 33W"/>
    <n v="129000"/>
    <n v="60000"/>
    <n v="69000"/>
    <s v="CUST0080"/>
    <x v="2"/>
  </r>
  <r>
    <s v="ITM00931"/>
    <s v="ORD00543"/>
    <s v="PRD021"/>
    <n v="1"/>
    <n v="69000"/>
    <s v="Lampu LED Hias 5m"/>
    <n v="69000"/>
    <n v="30000"/>
    <n v="39000"/>
    <s v="CUST0080"/>
    <x v="2"/>
  </r>
  <r>
    <s v="ITM00932"/>
    <s v="ORD00543"/>
    <s v="PRD020"/>
    <n v="1"/>
    <n v="179000"/>
    <s v="Rak Penyimpanan Serbaguna"/>
    <n v="179000"/>
    <n v="90000"/>
    <n v="89000"/>
    <s v="CUST0080"/>
    <x v="2"/>
  </r>
  <r>
    <s v="ITM00933"/>
    <s v="ORD00544"/>
    <s v="PRD005"/>
    <n v="1"/>
    <n v="39000"/>
    <s v="Kabel Data USB-C"/>
    <n v="39000"/>
    <n v="15000"/>
    <n v="24000"/>
    <s v="CUST0148"/>
    <x v="5"/>
  </r>
  <r>
    <s v="ITM00934"/>
    <s v="ORD00545"/>
    <s v="PRD005"/>
    <n v="2"/>
    <n v="39000"/>
    <s v="Kabel Data USB-C"/>
    <n v="78000"/>
    <n v="15000"/>
    <n v="48000"/>
    <s v="CUST0040"/>
    <x v="7"/>
  </r>
  <r>
    <s v="ITM00935"/>
    <s v="ORD00546"/>
    <s v="PRD020"/>
    <n v="1"/>
    <n v="179000"/>
    <s v="Rak Penyimpanan Serbaguna"/>
    <n v="179000"/>
    <n v="90000"/>
    <n v="89000"/>
    <s v="CUST0028"/>
    <x v="8"/>
  </r>
  <r>
    <s v="ITM00936"/>
    <s v="ORD00547"/>
    <s v="PRD021"/>
    <n v="1"/>
    <n v="69000"/>
    <s v="Lampu LED Hias 5m"/>
    <n v="69000"/>
    <n v="30000"/>
    <n v="39000"/>
    <s v="CUST0095"/>
    <x v="9"/>
  </r>
  <r>
    <s v="ITM00937"/>
    <s v="ORD00548"/>
    <s v="PRD005"/>
    <n v="1"/>
    <n v="39000"/>
    <s v="Kabel Data USB-C"/>
    <n v="39000"/>
    <n v="15000"/>
    <n v="24000"/>
    <s v="CUST0072"/>
    <x v="9"/>
  </r>
  <r>
    <s v="ITM00938"/>
    <s v="ORD00549"/>
    <s v="PRD005"/>
    <n v="1"/>
    <n v="39000"/>
    <s v="Kabel Data USB-C"/>
    <n v="39000"/>
    <n v="15000"/>
    <n v="24000"/>
    <s v="CUST0110"/>
    <x v="1"/>
  </r>
  <r>
    <s v="ITM00939"/>
    <s v="ORD00550"/>
    <s v="PRD017"/>
    <n v="1"/>
    <n v="329000"/>
    <s v="Rice Cooker Mini 1.5L"/>
    <n v="329000"/>
    <n v="180000"/>
    <n v="149000"/>
    <s v="CUST0197"/>
    <x v="7"/>
  </r>
  <r>
    <s v="ITM00940"/>
    <s v="ORD00550"/>
    <s v="PRD022"/>
    <n v="1"/>
    <n v="55000"/>
    <s v="Sapu + Pengki Set"/>
    <n v="55000"/>
    <n v="25000"/>
    <n v="30000"/>
    <s v="CUST0197"/>
    <x v="7"/>
  </r>
  <r>
    <s v="ITM00941"/>
    <s v="ORD00551"/>
    <s v="PRD021"/>
    <n v="2"/>
    <n v="69000"/>
    <s v="Lampu LED Hias 5m"/>
    <n v="138000"/>
    <n v="30000"/>
    <n v="78000"/>
    <s v="CUST0165"/>
    <x v="7"/>
  </r>
  <r>
    <s v="ITM00942"/>
    <s v="ORD00552"/>
    <s v="PRD022"/>
    <n v="2"/>
    <n v="55000"/>
    <s v="Sapu + Pengki Set"/>
    <n v="110000"/>
    <n v="25000"/>
    <n v="60000"/>
    <s v="CUST0156"/>
    <x v="7"/>
  </r>
  <r>
    <s v="ITM00943"/>
    <s v="ORD00553"/>
    <s v="PRD020"/>
    <n v="2"/>
    <n v="179000"/>
    <s v="Rak Penyimpanan Serbaguna"/>
    <n v="358000"/>
    <n v="90000"/>
    <n v="178000"/>
    <s v="CUST0178"/>
    <x v="5"/>
  </r>
  <r>
    <s v="ITM00944"/>
    <s v="ORD00554"/>
    <s v="PRD021"/>
    <n v="2"/>
    <n v="69000"/>
    <s v="Lampu LED Hias 5m"/>
    <n v="138000"/>
    <n v="30000"/>
    <n v="78000"/>
    <s v="CUST0070"/>
    <x v="7"/>
  </r>
  <r>
    <s v="ITM00945"/>
    <s v="ORD00554"/>
    <s v="PRD017"/>
    <n v="3"/>
    <n v="329000"/>
    <s v="Rice Cooker Mini 1.5L"/>
    <n v="987000"/>
    <n v="180000"/>
    <n v="447000"/>
    <s v="CUST0070"/>
    <x v="7"/>
  </r>
  <r>
    <s v="ITM00946"/>
    <s v="ORD00554"/>
    <s v="PRD009"/>
    <n v="1"/>
    <n v="79000"/>
    <s v="Kaos Polos Cotton Combed"/>
    <n v="79000"/>
    <n v="35000"/>
    <n v="44000"/>
    <s v="CUST0070"/>
    <x v="7"/>
  </r>
  <r>
    <s v="ITM00947"/>
    <s v="ORD00554"/>
    <s v="PRD003"/>
    <n v="2"/>
    <n v="499000"/>
    <s v="Smartwatch Lite"/>
    <n v="998000"/>
    <n v="250000"/>
    <n v="498000"/>
    <s v="CUST0070"/>
    <x v="7"/>
  </r>
  <r>
    <s v="ITM00948"/>
    <s v="ORD00555"/>
    <s v="PRD023"/>
    <n v="1"/>
    <n v="139000"/>
    <s v="Wajan Anti Lengket 24cm"/>
    <n v="139000"/>
    <n v="65000"/>
    <n v="74000"/>
    <s v="CUST0080"/>
    <x v="2"/>
  </r>
  <r>
    <s v="ITM00949"/>
    <s v="ORD00555"/>
    <s v="PRD005"/>
    <n v="1"/>
    <n v="39000"/>
    <s v="Kabel Data USB-C"/>
    <n v="39000"/>
    <n v="15000"/>
    <n v="24000"/>
    <s v="CUST0080"/>
    <x v="2"/>
  </r>
  <r>
    <s v="ITM00950"/>
    <s v="ORD00555"/>
    <s v="PRD009"/>
    <n v="1"/>
    <n v="79000"/>
    <s v="Kaos Polos Cotton Combed"/>
    <n v="79000"/>
    <n v="35000"/>
    <n v="44000"/>
    <s v="CUST0080"/>
    <x v="2"/>
  </r>
  <r>
    <s v="ITM00951"/>
    <s v="ORD00556"/>
    <s v="PRD005"/>
    <n v="1"/>
    <n v="39000"/>
    <s v="Kabel Data USB-C"/>
    <n v="39000"/>
    <n v="15000"/>
    <n v="24000"/>
    <s v="CUST0002"/>
    <x v="4"/>
  </r>
  <r>
    <s v="ITM00952"/>
    <s v="ORD00556"/>
    <s v="PRD008"/>
    <n v="2"/>
    <n v="399000"/>
    <s v="Keyboard Mechanical Mini"/>
    <n v="798000"/>
    <n v="200000"/>
    <n v="398000"/>
    <s v="CUST0002"/>
    <x v="4"/>
  </r>
  <r>
    <s v="ITM00953"/>
    <s v="ORD00557"/>
    <s v="PRD021"/>
    <n v="2"/>
    <n v="69000"/>
    <s v="Lampu LED Hias 5m"/>
    <n v="138000"/>
    <n v="30000"/>
    <n v="78000"/>
    <s v="CUST0037"/>
    <x v="5"/>
  </r>
  <r>
    <s v="ITM00954"/>
    <s v="ORD00558"/>
    <s v="PRD021"/>
    <n v="1"/>
    <n v="69000"/>
    <s v="Lampu LED Hias 5m"/>
    <n v="69000"/>
    <n v="30000"/>
    <n v="39000"/>
    <s v="CUST0018"/>
    <x v="3"/>
  </r>
  <r>
    <s v="ITM00955"/>
    <s v="ORD00558"/>
    <s v="PRD017"/>
    <n v="1"/>
    <n v="329000"/>
    <s v="Rice Cooker Mini 1.5L"/>
    <n v="329000"/>
    <n v="180000"/>
    <n v="149000"/>
    <s v="CUST0018"/>
    <x v="3"/>
  </r>
  <r>
    <s v="ITM00956"/>
    <s v="ORD00559"/>
    <s v="PRD008"/>
    <n v="3"/>
    <n v="399000"/>
    <s v="Keyboard Mechanical Mini"/>
    <n v="1197000"/>
    <n v="200000"/>
    <n v="597000"/>
    <s v="CUST0163"/>
    <x v="3"/>
  </r>
  <r>
    <s v="ITM00957"/>
    <s v="ORD00560"/>
    <s v="PRD021"/>
    <n v="1"/>
    <n v="69000"/>
    <s v="Lampu LED Hias 5m"/>
    <n v="69000"/>
    <n v="30000"/>
    <n v="39000"/>
    <s v="CUST0136"/>
    <x v="0"/>
  </r>
  <r>
    <s v="ITM00958"/>
    <s v="ORD00561"/>
    <s v="PRD020"/>
    <n v="2"/>
    <n v="179000"/>
    <s v="Rak Penyimpanan Serbaguna"/>
    <n v="358000"/>
    <n v="90000"/>
    <n v="178000"/>
    <s v="CUST0117"/>
    <x v="8"/>
  </r>
  <r>
    <s v="ITM00959"/>
    <s v="ORD00561"/>
    <s v="PRD012"/>
    <n v="1"/>
    <n v="229000"/>
    <s v="Celana Jeans Slimfit"/>
    <n v="229000"/>
    <n v="110000"/>
    <n v="119000"/>
    <s v="CUST0117"/>
    <x v="8"/>
  </r>
  <r>
    <s v="ITM00960"/>
    <s v="ORD00562"/>
    <s v="PRD021"/>
    <n v="1"/>
    <n v="69000"/>
    <s v="Lampu LED Hias 5m"/>
    <n v="69000"/>
    <n v="30000"/>
    <n v="39000"/>
    <s v="CUST0080"/>
    <x v="2"/>
  </r>
  <r>
    <s v="ITM00961"/>
    <s v="ORD00563"/>
    <s v="PRD021"/>
    <n v="1"/>
    <n v="69000"/>
    <s v="Lampu LED Hias 5m"/>
    <n v="69000"/>
    <n v="30000"/>
    <n v="39000"/>
    <s v="CUST0153"/>
    <x v="4"/>
  </r>
  <r>
    <s v="ITM00962"/>
    <s v="ORD00563"/>
    <s v="PRD020"/>
    <n v="1"/>
    <n v="179000"/>
    <s v="Rak Penyimpanan Serbaguna"/>
    <n v="179000"/>
    <n v="90000"/>
    <n v="89000"/>
    <s v="CUST0153"/>
    <x v="4"/>
  </r>
  <r>
    <s v="ITM00963"/>
    <s v="ORD00564"/>
    <s v="PRD021"/>
    <n v="1"/>
    <n v="69000"/>
    <s v="Lampu LED Hias 5m"/>
    <n v="69000"/>
    <n v="30000"/>
    <n v="39000"/>
    <s v="CUST0014"/>
    <x v="5"/>
  </r>
  <r>
    <s v="ITM00964"/>
    <s v="ORD00565"/>
    <s v="PRD005"/>
    <n v="1"/>
    <n v="39000"/>
    <s v="Kabel Data USB-C"/>
    <n v="39000"/>
    <n v="15000"/>
    <n v="24000"/>
    <s v="CUST0159"/>
    <x v="7"/>
  </r>
  <r>
    <s v="ITM00965"/>
    <s v="ORD00566"/>
    <s v="PRD021"/>
    <n v="2"/>
    <n v="69000"/>
    <s v="Lampu LED Hias 5m"/>
    <n v="138000"/>
    <n v="30000"/>
    <n v="78000"/>
    <s v="CUST0021"/>
    <x v="5"/>
  </r>
  <r>
    <s v="ITM00966"/>
    <s v="ORD00567"/>
    <s v="PRD002"/>
    <n v="1"/>
    <n v="159000"/>
    <s v="Power Bank 10000mAh"/>
    <n v="159000"/>
    <n v="80000"/>
    <n v="79000"/>
    <s v="CUST0109"/>
    <x v="2"/>
  </r>
  <r>
    <s v="ITM00967"/>
    <s v="ORD00567"/>
    <s v="PRD005"/>
    <n v="1"/>
    <n v="39000"/>
    <s v="Kabel Data USB-C"/>
    <n v="39000"/>
    <n v="15000"/>
    <n v="24000"/>
    <s v="CUST0109"/>
    <x v="2"/>
  </r>
  <r>
    <s v="ITM00968"/>
    <s v="ORD00567"/>
    <s v="PRD021"/>
    <n v="1"/>
    <n v="69000"/>
    <s v="Lampu LED Hias 5m"/>
    <n v="69000"/>
    <n v="30000"/>
    <n v="39000"/>
    <s v="CUST0109"/>
    <x v="2"/>
  </r>
  <r>
    <s v="ITM00969"/>
    <s v="ORD00568"/>
    <s v="PRD005"/>
    <n v="1"/>
    <n v="39000"/>
    <s v="Kabel Data USB-C"/>
    <n v="39000"/>
    <n v="15000"/>
    <n v="24000"/>
    <s v="CUST0114"/>
    <x v="3"/>
  </r>
  <r>
    <s v="ITM00970"/>
    <s v="ORD00568"/>
    <s v="PRD021"/>
    <n v="1"/>
    <n v="69000"/>
    <s v="Lampu LED Hias 5m"/>
    <n v="69000"/>
    <n v="30000"/>
    <n v="39000"/>
    <s v="CUST0114"/>
    <x v="3"/>
  </r>
  <r>
    <s v="ITM00971"/>
    <s v="ORD00569"/>
    <s v="PRD021"/>
    <n v="1"/>
    <n v="69000"/>
    <s v="Lampu LED Hias 5m"/>
    <n v="69000"/>
    <n v="30000"/>
    <n v="39000"/>
    <s v="CUST0056"/>
    <x v="2"/>
  </r>
  <r>
    <s v="ITM00972"/>
    <s v="ORD00570"/>
    <s v="PRD008"/>
    <n v="3"/>
    <n v="399000"/>
    <s v="Keyboard Mechanical Mini"/>
    <n v="1197000"/>
    <n v="200000"/>
    <n v="597000"/>
    <s v="CUST0111"/>
    <x v="1"/>
  </r>
  <r>
    <s v="ITM00973"/>
    <s v="ORD00570"/>
    <s v="PRD014"/>
    <n v="1"/>
    <n v="349000"/>
    <s v="Sepatu Sneakers Casual"/>
    <n v="349000"/>
    <n v="180000"/>
    <n v="169000"/>
    <s v="CUST0111"/>
    <x v="1"/>
  </r>
  <r>
    <s v="ITM00974"/>
    <s v="ORD00571"/>
    <s v="PRD021"/>
    <n v="1"/>
    <n v="69000"/>
    <s v="Lampu LED Hias 5m"/>
    <n v="69000"/>
    <n v="30000"/>
    <n v="39000"/>
    <s v="CUST0174"/>
    <x v="1"/>
  </r>
  <r>
    <s v="ITM00975"/>
    <s v="ORD00572"/>
    <s v="PRD022"/>
    <n v="1"/>
    <n v="55000"/>
    <s v="Sapu + Pengki Set"/>
    <n v="55000"/>
    <n v="25000"/>
    <n v="30000"/>
    <s v="CUST0135"/>
    <x v="7"/>
  </r>
  <r>
    <s v="ITM00976"/>
    <s v="ORD00573"/>
    <s v="PRD014"/>
    <n v="2"/>
    <n v="349000"/>
    <s v="Sepatu Sneakers Casual"/>
    <n v="698000"/>
    <n v="180000"/>
    <n v="338000"/>
    <s v="CUST0057"/>
    <x v="6"/>
  </r>
  <r>
    <s v="ITM00977"/>
    <s v="ORD00574"/>
    <s v="PRD020"/>
    <n v="2"/>
    <n v="179000"/>
    <s v="Rak Penyimpanan Serbaguna"/>
    <n v="358000"/>
    <n v="90000"/>
    <n v="178000"/>
    <s v="CUST0015"/>
    <x v="8"/>
  </r>
  <r>
    <s v="ITM00978"/>
    <s v="ORD00575"/>
    <s v="PRD021"/>
    <n v="1"/>
    <n v="69000"/>
    <s v="Lampu LED Hias 5m"/>
    <n v="69000"/>
    <n v="30000"/>
    <n v="39000"/>
    <s v="CUST0078"/>
    <x v="3"/>
  </r>
  <r>
    <s v="ITM00979"/>
    <s v="ORD00576"/>
    <s v="PRD005"/>
    <n v="1"/>
    <n v="39000"/>
    <s v="Kabel Data USB-C"/>
    <n v="39000"/>
    <n v="15000"/>
    <n v="24000"/>
    <s v="CUST0036"/>
    <x v="0"/>
  </r>
  <r>
    <s v="ITM00980"/>
    <s v="ORD00577"/>
    <s v="PRD017"/>
    <n v="2"/>
    <n v="329000"/>
    <s v="Rice Cooker Mini 1.5L"/>
    <n v="658000"/>
    <n v="180000"/>
    <n v="298000"/>
    <s v="CUST0075"/>
    <x v="5"/>
  </r>
  <r>
    <s v="ITM00981"/>
    <s v="ORD00577"/>
    <s v="PRD020"/>
    <n v="2"/>
    <n v="179000"/>
    <s v="Rak Penyimpanan Serbaguna"/>
    <n v="358000"/>
    <n v="90000"/>
    <n v="178000"/>
    <s v="CUST0075"/>
    <x v="5"/>
  </r>
  <r>
    <s v="ITM00982"/>
    <s v="ORD00578"/>
    <s v="PRD022"/>
    <n v="1"/>
    <n v="55000"/>
    <s v="Sapu + Pengki Set"/>
    <n v="55000"/>
    <n v="25000"/>
    <n v="30000"/>
    <s v="CUST0128"/>
    <x v="5"/>
  </r>
  <r>
    <s v="ITM00983"/>
    <s v="ORD00578"/>
    <s v="PRD021"/>
    <n v="1"/>
    <n v="69000"/>
    <s v="Lampu LED Hias 5m"/>
    <n v="69000"/>
    <n v="30000"/>
    <n v="39000"/>
    <s v="CUST0128"/>
    <x v="5"/>
  </r>
  <r>
    <s v="ITM00984"/>
    <s v="ORD00579"/>
    <s v="PRD005"/>
    <n v="1"/>
    <n v="39000"/>
    <s v="Kabel Data USB-C"/>
    <n v="39000"/>
    <n v="15000"/>
    <n v="24000"/>
    <s v="CUST0045"/>
    <x v="6"/>
  </r>
  <r>
    <s v="ITM00985"/>
    <s v="ORD00580"/>
    <s v="PRD006"/>
    <n v="1"/>
    <n v="129000"/>
    <s v="Charger Fast Charging 33W"/>
    <n v="129000"/>
    <n v="60000"/>
    <n v="69000"/>
    <s v="CUST0181"/>
    <x v="7"/>
  </r>
  <r>
    <s v="ITM00986"/>
    <s v="ORD00580"/>
    <s v="PRD022"/>
    <n v="2"/>
    <n v="55000"/>
    <s v="Sapu + Pengki Set"/>
    <n v="110000"/>
    <n v="25000"/>
    <n v="60000"/>
    <s v="CUST0181"/>
    <x v="7"/>
  </r>
  <r>
    <s v="ITM00987"/>
    <s v="ORD00581"/>
    <s v="PRD021"/>
    <n v="1"/>
    <n v="69000"/>
    <s v="Lampu LED Hias 5m"/>
    <n v="69000"/>
    <n v="30000"/>
    <n v="39000"/>
    <s v="CUST0144"/>
    <x v="7"/>
  </r>
  <r>
    <s v="ITM00988"/>
    <s v="ORD00581"/>
    <s v="PRD005"/>
    <n v="1"/>
    <n v="39000"/>
    <s v="Kabel Data USB-C"/>
    <n v="39000"/>
    <n v="15000"/>
    <n v="24000"/>
    <s v="CUST0144"/>
    <x v="7"/>
  </r>
  <r>
    <s v="ITM00989"/>
    <s v="ORD00582"/>
    <s v="PRD005"/>
    <n v="2"/>
    <n v="39000"/>
    <s v="Kabel Data USB-C"/>
    <n v="78000"/>
    <n v="15000"/>
    <n v="48000"/>
    <s v="CUST0091"/>
    <x v="2"/>
  </r>
  <r>
    <s v="ITM00990"/>
    <s v="ORD00583"/>
    <s v="PRD021"/>
    <n v="1"/>
    <n v="69000"/>
    <s v="Lampu LED Hias 5m"/>
    <n v="69000"/>
    <n v="30000"/>
    <n v="39000"/>
    <s v="CUST0190"/>
    <x v="0"/>
  </r>
  <r>
    <s v="ITM00991"/>
    <s v="ORD00584"/>
    <s v="PRD022"/>
    <n v="1"/>
    <n v="55000"/>
    <s v="Sapu + Pengki Set"/>
    <n v="55000"/>
    <n v="25000"/>
    <n v="30000"/>
    <s v="CUST0005"/>
    <x v="8"/>
  </r>
  <r>
    <s v="ITM00992"/>
    <s v="ORD00584"/>
    <s v="PRD012"/>
    <n v="1"/>
    <n v="229000"/>
    <s v="Celana Jeans Slimfit"/>
    <n v="229000"/>
    <n v="110000"/>
    <n v="119000"/>
    <s v="CUST0005"/>
    <x v="8"/>
  </r>
  <r>
    <s v="ITM00993"/>
    <s v="ORD00584"/>
    <s v="PRD017"/>
    <n v="1"/>
    <n v="329000"/>
    <s v="Rice Cooker Mini 1.5L"/>
    <n v="329000"/>
    <n v="180000"/>
    <n v="149000"/>
    <s v="CUST0005"/>
    <x v="8"/>
  </r>
  <r>
    <s v="ITM00994"/>
    <s v="ORD00584"/>
    <s v="PRD021"/>
    <n v="1"/>
    <n v="69000"/>
    <s v="Lampu LED Hias 5m"/>
    <n v="69000"/>
    <n v="30000"/>
    <n v="39000"/>
    <s v="CUST0005"/>
    <x v="8"/>
  </r>
  <r>
    <s v="ITM00995"/>
    <s v="ORD00585"/>
    <s v="PRD022"/>
    <n v="1"/>
    <n v="55000"/>
    <s v="Sapu + Pengki Set"/>
    <n v="55000"/>
    <n v="25000"/>
    <n v="30000"/>
    <s v="CUST0081"/>
    <x v="7"/>
  </r>
  <r>
    <s v="ITM00996"/>
    <s v="ORD00586"/>
    <s v="PRD021"/>
    <n v="1"/>
    <n v="69000"/>
    <s v="Lampu LED Hias 5m"/>
    <n v="69000"/>
    <n v="30000"/>
    <n v="39000"/>
    <s v="CUST0104"/>
    <x v="5"/>
  </r>
  <r>
    <s v="ITM00997"/>
    <s v="ORD00586"/>
    <s v="PRD005"/>
    <n v="3"/>
    <n v="39000"/>
    <s v="Kabel Data USB-C"/>
    <n v="117000"/>
    <n v="15000"/>
    <n v="72000"/>
    <s v="CUST0104"/>
    <x v="5"/>
  </r>
  <r>
    <s v="ITM00998"/>
    <s v="ORD00587"/>
    <s v="PRD009"/>
    <n v="1"/>
    <n v="79000"/>
    <s v="Kaos Polos Cotton Combed"/>
    <n v="79000"/>
    <n v="35000"/>
    <n v="44000"/>
    <s v="CUST0107"/>
    <x v="1"/>
  </r>
  <r>
    <s v="ITM00999"/>
    <s v="ORD00587"/>
    <s v="PRD020"/>
    <n v="1"/>
    <n v="179000"/>
    <s v="Rak Penyimpanan Serbaguna"/>
    <n v="179000"/>
    <n v="90000"/>
    <n v="89000"/>
    <s v="CUST0107"/>
    <x v="1"/>
  </r>
  <r>
    <s v="ITM01000"/>
    <s v="ORD00587"/>
    <s v="PRD017"/>
    <n v="3"/>
    <n v="329000"/>
    <s v="Rice Cooker Mini 1.5L"/>
    <n v="987000"/>
    <n v="180000"/>
    <n v="447000"/>
    <s v="CUST0107"/>
    <x v="1"/>
  </r>
  <r>
    <s v="ITM01001"/>
    <s v="ORD00587"/>
    <s v="PRD021"/>
    <n v="1"/>
    <n v="69000"/>
    <s v="Lampu LED Hias 5m"/>
    <n v="69000"/>
    <n v="30000"/>
    <n v="39000"/>
    <s v="CUST0107"/>
    <x v="1"/>
  </r>
  <r>
    <s v="ITM01002"/>
    <s v="ORD00588"/>
    <s v="PRD020"/>
    <n v="2"/>
    <n v="179000"/>
    <s v="Rak Penyimpanan Serbaguna"/>
    <n v="358000"/>
    <n v="90000"/>
    <n v="178000"/>
    <s v="CUST0104"/>
    <x v="5"/>
  </r>
  <r>
    <s v="ITM01003"/>
    <s v="ORD00588"/>
    <s v="PRD017"/>
    <n v="2"/>
    <n v="329000"/>
    <s v="Rice Cooker Mini 1.5L"/>
    <n v="658000"/>
    <n v="180000"/>
    <n v="298000"/>
    <s v="CUST0104"/>
    <x v="5"/>
  </r>
  <r>
    <s v="ITM01004"/>
    <s v="ORD00588"/>
    <s v="PRD014"/>
    <n v="1"/>
    <n v="349000"/>
    <s v="Sepatu Sneakers Casual"/>
    <n v="349000"/>
    <n v="180000"/>
    <n v="169000"/>
    <s v="CUST0104"/>
    <x v="5"/>
  </r>
  <r>
    <s v="ITM01005"/>
    <s v="ORD00589"/>
    <s v="PRD022"/>
    <n v="2"/>
    <n v="55000"/>
    <s v="Sapu + Pengki Set"/>
    <n v="110000"/>
    <n v="25000"/>
    <n v="60000"/>
    <s v="CUST0159"/>
    <x v="7"/>
  </r>
  <r>
    <s v="ITM01006"/>
    <s v="ORD00590"/>
    <s v="PRD022"/>
    <n v="1"/>
    <n v="55000"/>
    <s v="Sapu + Pengki Set"/>
    <n v="55000"/>
    <n v="25000"/>
    <n v="30000"/>
    <s v="CUST0177"/>
    <x v="1"/>
  </r>
  <r>
    <s v="ITM01007"/>
    <s v="ORD00591"/>
    <s v="PRD005"/>
    <n v="2"/>
    <n v="39000"/>
    <s v="Kabel Data USB-C"/>
    <n v="78000"/>
    <n v="15000"/>
    <n v="48000"/>
    <s v="CUST0028"/>
    <x v="8"/>
  </r>
  <r>
    <s v="ITM01008"/>
    <s v="ORD00591"/>
    <s v="PRD020"/>
    <n v="2"/>
    <n v="179000"/>
    <s v="Rak Penyimpanan Serbaguna"/>
    <n v="358000"/>
    <n v="90000"/>
    <n v="178000"/>
    <s v="CUST0028"/>
    <x v="8"/>
  </r>
  <r>
    <s v="ITM01009"/>
    <s v="ORD00591"/>
    <s v="PRD012"/>
    <n v="2"/>
    <n v="229000"/>
    <s v="Celana Jeans Slimfit"/>
    <n v="458000"/>
    <n v="110000"/>
    <n v="238000"/>
    <s v="CUST0028"/>
    <x v="8"/>
  </r>
  <r>
    <s v="ITM01010"/>
    <s v="ORD00592"/>
    <s v="PRD008"/>
    <n v="2"/>
    <n v="399000"/>
    <s v="Keyboard Mechanical Mini"/>
    <n v="798000"/>
    <n v="200000"/>
    <n v="398000"/>
    <s v="CUST0103"/>
    <x v="8"/>
  </r>
  <r>
    <s v="ITM01011"/>
    <s v="ORD00592"/>
    <s v="PRD006"/>
    <n v="2"/>
    <n v="129000"/>
    <s v="Charger Fast Charging 33W"/>
    <n v="258000"/>
    <n v="60000"/>
    <n v="138000"/>
    <s v="CUST0103"/>
    <x v="8"/>
  </r>
  <r>
    <s v="ITM01012"/>
    <s v="ORD00593"/>
    <s v="PRD005"/>
    <n v="1"/>
    <n v="39000"/>
    <s v="Kabel Data USB-C"/>
    <n v="39000"/>
    <n v="15000"/>
    <n v="24000"/>
    <s v="CUST0102"/>
    <x v="5"/>
  </r>
  <r>
    <s v="ITM01013"/>
    <s v="ORD00593"/>
    <s v="PRD021"/>
    <n v="1"/>
    <n v="69000"/>
    <s v="Lampu LED Hias 5m"/>
    <n v="69000"/>
    <n v="30000"/>
    <n v="39000"/>
    <s v="CUST0102"/>
    <x v="5"/>
  </r>
  <r>
    <s v="ITM01014"/>
    <s v="ORD00593"/>
    <s v="PRD009"/>
    <n v="2"/>
    <n v="79000"/>
    <s v="Kaos Polos Cotton Combed"/>
    <n v="158000"/>
    <n v="35000"/>
    <n v="88000"/>
    <s v="CUST0102"/>
    <x v="5"/>
  </r>
  <r>
    <s v="ITM01015"/>
    <s v="ORD00594"/>
    <s v="PRD021"/>
    <n v="1"/>
    <n v="69000"/>
    <s v="Lampu LED Hias 5m"/>
    <n v="69000"/>
    <n v="30000"/>
    <n v="39000"/>
    <s v="CUST0057"/>
    <x v="6"/>
  </r>
  <r>
    <s v="ITM01016"/>
    <s v="ORD00594"/>
    <s v="PRD002"/>
    <n v="3"/>
    <n v="159000"/>
    <s v="Power Bank 10000mAh"/>
    <n v="477000"/>
    <n v="80000"/>
    <n v="237000"/>
    <s v="CUST0057"/>
    <x v="6"/>
  </r>
  <r>
    <s v="ITM01017"/>
    <s v="ORD00595"/>
    <s v="PRD008"/>
    <n v="1"/>
    <n v="399000"/>
    <s v="Keyboard Mechanical Mini"/>
    <n v="399000"/>
    <n v="200000"/>
    <n v="199000"/>
    <s v="CUST0044"/>
    <x v="4"/>
  </r>
  <r>
    <s v="ITM01018"/>
    <s v="ORD00595"/>
    <s v="PRD021"/>
    <n v="2"/>
    <n v="69000"/>
    <s v="Lampu LED Hias 5m"/>
    <n v="138000"/>
    <n v="30000"/>
    <n v="78000"/>
    <s v="CUST0044"/>
    <x v="4"/>
  </r>
  <r>
    <s v="ITM01019"/>
    <s v="ORD00596"/>
    <s v="PRD002"/>
    <n v="1"/>
    <n v="159000"/>
    <s v="Power Bank 10000mAh"/>
    <n v="159000"/>
    <n v="80000"/>
    <n v="79000"/>
    <s v="CUST0030"/>
    <x v="5"/>
  </r>
  <r>
    <s v="ITM01020"/>
    <s v="ORD00597"/>
    <s v="PRD001"/>
    <n v="1"/>
    <n v="299000"/>
    <s v="Wireless Earbuds X1"/>
    <n v="299000"/>
    <n v="150000"/>
    <n v="149000"/>
    <s v="CUST0050"/>
    <x v="5"/>
  </r>
  <r>
    <s v="ITM01021"/>
    <s v="ORD00597"/>
    <s v="PRD008"/>
    <n v="1"/>
    <n v="399000"/>
    <s v="Keyboard Mechanical Mini"/>
    <n v="399000"/>
    <n v="200000"/>
    <n v="199000"/>
    <s v="CUST0050"/>
    <x v="5"/>
  </r>
  <r>
    <s v="ITM01022"/>
    <s v="ORD00597"/>
    <s v="PRD006"/>
    <n v="1"/>
    <n v="129000"/>
    <s v="Charger Fast Charging 33W"/>
    <n v="129000"/>
    <n v="60000"/>
    <n v="69000"/>
    <s v="CUST0050"/>
    <x v="5"/>
  </r>
  <r>
    <s v="ITM01023"/>
    <s v="ORD00598"/>
    <s v="PRD014"/>
    <n v="2"/>
    <n v="349000"/>
    <s v="Sepatu Sneakers Casual"/>
    <n v="698000"/>
    <n v="180000"/>
    <n v="338000"/>
    <s v="CUST0090"/>
    <x v="3"/>
  </r>
  <r>
    <s v="ITM01024"/>
    <s v="ORD00599"/>
    <s v="PRD022"/>
    <n v="1"/>
    <n v="55000"/>
    <s v="Sapu + Pengki Set"/>
    <n v="55000"/>
    <n v="25000"/>
    <n v="30000"/>
    <s v="CUST0166"/>
    <x v="7"/>
  </r>
  <r>
    <s v="ITM01025"/>
    <s v="ORD00600"/>
    <s v="PRD021"/>
    <n v="1"/>
    <n v="69000"/>
    <s v="Lampu LED Hias 5m"/>
    <n v="69000"/>
    <n v="30000"/>
    <n v="39000"/>
    <s v="CUST0061"/>
    <x v="0"/>
  </r>
  <r>
    <s v="ITM01026"/>
    <s v="ORD00600"/>
    <s v="PRD017"/>
    <n v="1"/>
    <n v="329000"/>
    <s v="Rice Cooker Mini 1.5L"/>
    <n v="329000"/>
    <n v="180000"/>
    <n v="149000"/>
    <s v="CUST0061"/>
    <x v="0"/>
  </r>
  <r>
    <s v="ITM01027"/>
    <s v="ORD00601"/>
    <s v="PRD020"/>
    <n v="2"/>
    <n v="179000"/>
    <s v="Rak Penyimpanan Serbaguna"/>
    <n v="358000"/>
    <n v="90000"/>
    <n v="178000"/>
    <s v="CUST0066"/>
    <x v="7"/>
  </r>
  <r>
    <s v="ITM01028"/>
    <s v="ORD00601"/>
    <s v="PRD005"/>
    <n v="1"/>
    <n v="39000"/>
    <s v="Kabel Data USB-C"/>
    <n v="39000"/>
    <n v="15000"/>
    <n v="24000"/>
    <s v="CUST0066"/>
    <x v="7"/>
  </r>
  <r>
    <s v="ITM01029"/>
    <s v="ORD00601"/>
    <s v="PRD022"/>
    <n v="2"/>
    <n v="55000"/>
    <s v="Sapu + Pengki Set"/>
    <n v="110000"/>
    <n v="25000"/>
    <n v="60000"/>
    <s v="CUST0066"/>
    <x v="7"/>
  </r>
  <r>
    <s v="ITM01030"/>
    <s v="ORD00602"/>
    <s v="PRD022"/>
    <n v="2"/>
    <n v="55000"/>
    <s v="Sapu + Pengki Set"/>
    <n v="110000"/>
    <n v="25000"/>
    <n v="60000"/>
    <s v="CUST0155"/>
    <x v="0"/>
  </r>
  <r>
    <s v="ITM01031"/>
    <s v="ORD00602"/>
    <s v="PRD021"/>
    <n v="1"/>
    <n v="69000"/>
    <s v="Lampu LED Hias 5m"/>
    <n v="69000"/>
    <n v="30000"/>
    <n v="39000"/>
    <s v="CUST0155"/>
    <x v="0"/>
  </r>
  <r>
    <s v="ITM01032"/>
    <s v="ORD00603"/>
    <s v="PRD012"/>
    <n v="1"/>
    <n v="229000"/>
    <s v="Celana Jeans Slimfit"/>
    <n v="229000"/>
    <n v="110000"/>
    <n v="119000"/>
    <s v="CUST0168"/>
    <x v="5"/>
  </r>
  <r>
    <s v="ITM01033"/>
    <s v="ORD00604"/>
    <s v="PRD017"/>
    <n v="1"/>
    <n v="329000"/>
    <s v="Rice Cooker Mini 1.5L"/>
    <n v="329000"/>
    <n v="180000"/>
    <n v="149000"/>
    <s v="CUST0198"/>
    <x v="2"/>
  </r>
  <r>
    <s v="ITM01034"/>
    <s v="ORD00605"/>
    <s v="PRD020"/>
    <n v="1"/>
    <n v="179000"/>
    <s v="Rak Penyimpanan Serbaguna"/>
    <n v="179000"/>
    <n v="90000"/>
    <n v="89000"/>
    <s v="CUST0119"/>
    <x v="2"/>
  </r>
  <r>
    <s v="ITM01035"/>
    <s v="ORD00606"/>
    <s v="PRD006"/>
    <n v="2"/>
    <n v="129000"/>
    <s v="Charger Fast Charging 33W"/>
    <n v="258000"/>
    <n v="60000"/>
    <n v="138000"/>
    <s v="CUST0115"/>
    <x v="6"/>
  </r>
  <r>
    <s v="ITM01036"/>
    <s v="ORD00607"/>
    <s v="PRD005"/>
    <n v="2"/>
    <n v="39000"/>
    <s v="Kabel Data USB-C"/>
    <n v="78000"/>
    <n v="15000"/>
    <n v="48000"/>
    <s v="CUST0163"/>
    <x v="3"/>
  </r>
  <r>
    <s v="ITM01037"/>
    <s v="ORD00607"/>
    <s v="PRD021"/>
    <n v="1"/>
    <n v="69000"/>
    <s v="Lampu LED Hias 5m"/>
    <n v="69000"/>
    <n v="30000"/>
    <n v="39000"/>
    <s v="CUST0163"/>
    <x v="3"/>
  </r>
  <r>
    <s v="ITM01038"/>
    <s v="ORD00607"/>
    <s v="PRD023"/>
    <n v="1"/>
    <n v="139000"/>
    <s v="Wajan Anti Lengket 24cm"/>
    <n v="139000"/>
    <n v="65000"/>
    <n v="74000"/>
    <s v="CUST0163"/>
    <x v="3"/>
  </r>
  <r>
    <s v="ITM01039"/>
    <s v="ORD00608"/>
    <s v="PRD020"/>
    <n v="2"/>
    <n v="179000"/>
    <s v="Rak Penyimpanan Serbaguna"/>
    <n v="358000"/>
    <n v="90000"/>
    <n v="178000"/>
    <s v="CUST0161"/>
    <x v="9"/>
  </r>
  <r>
    <s v="ITM01040"/>
    <s v="ORD00609"/>
    <s v="PRD009"/>
    <n v="1"/>
    <n v="79000"/>
    <s v="Kaos Polos Cotton Combed"/>
    <n v="79000"/>
    <n v="35000"/>
    <n v="44000"/>
    <s v="CUST0018"/>
    <x v="3"/>
  </r>
  <r>
    <s v="ITM01041"/>
    <s v="ORD00610"/>
    <s v="PRD021"/>
    <n v="1"/>
    <n v="69000"/>
    <s v="Lampu LED Hias 5m"/>
    <n v="69000"/>
    <n v="30000"/>
    <n v="39000"/>
    <s v="CUST0162"/>
    <x v="1"/>
  </r>
  <r>
    <s v="ITM01042"/>
    <s v="ORD00610"/>
    <s v="PRD009"/>
    <n v="1"/>
    <n v="79000"/>
    <s v="Kaos Polos Cotton Combed"/>
    <n v="79000"/>
    <n v="35000"/>
    <n v="44000"/>
    <s v="CUST0162"/>
    <x v="1"/>
  </r>
  <r>
    <s v="ITM01043"/>
    <s v="ORD00611"/>
    <s v="PRD021"/>
    <n v="1"/>
    <n v="69000"/>
    <s v="Lampu LED Hias 5m"/>
    <n v="69000"/>
    <n v="30000"/>
    <n v="39000"/>
    <s v="CUST0152"/>
    <x v="9"/>
  </r>
  <r>
    <s v="ITM01044"/>
    <s v="ORD00611"/>
    <s v="PRD009"/>
    <n v="1"/>
    <n v="79000"/>
    <s v="Kaos Polos Cotton Combed"/>
    <n v="79000"/>
    <n v="35000"/>
    <n v="44000"/>
    <s v="CUST0152"/>
    <x v="9"/>
  </r>
  <r>
    <s v="ITM01045"/>
    <s v="ORD00612"/>
    <s v="PRD020"/>
    <n v="1"/>
    <n v="179000"/>
    <s v="Rak Penyimpanan Serbaguna"/>
    <n v="179000"/>
    <n v="90000"/>
    <n v="89000"/>
    <s v="CUST0019"/>
    <x v="2"/>
  </r>
  <r>
    <s v="ITM01046"/>
    <s v="ORD00613"/>
    <s v="PRD005"/>
    <n v="1"/>
    <n v="39000"/>
    <s v="Kabel Data USB-C"/>
    <n v="39000"/>
    <n v="15000"/>
    <n v="24000"/>
    <s v="CUST0116"/>
    <x v="0"/>
  </r>
  <r>
    <s v="ITM01047"/>
    <s v="ORD00614"/>
    <s v="PRD005"/>
    <n v="2"/>
    <n v="39000"/>
    <s v="Kabel Data USB-C"/>
    <n v="78000"/>
    <n v="15000"/>
    <n v="48000"/>
    <s v="CUST0074"/>
    <x v="8"/>
  </r>
  <r>
    <s v="ITM01048"/>
    <s v="ORD00614"/>
    <s v="PRD020"/>
    <n v="1"/>
    <n v="179000"/>
    <s v="Rak Penyimpanan Serbaguna"/>
    <n v="179000"/>
    <n v="90000"/>
    <n v="89000"/>
    <s v="CUST0074"/>
    <x v="8"/>
  </r>
  <r>
    <s v="ITM01049"/>
    <s v="ORD00615"/>
    <s v="PRD005"/>
    <n v="1"/>
    <n v="39000"/>
    <s v="Kabel Data USB-C"/>
    <n v="39000"/>
    <n v="15000"/>
    <n v="24000"/>
    <s v="CUST0024"/>
    <x v="2"/>
  </r>
  <r>
    <s v="ITM01050"/>
    <s v="ORD00616"/>
    <s v="PRD021"/>
    <n v="1"/>
    <n v="69000"/>
    <s v="Lampu LED Hias 5m"/>
    <n v="69000"/>
    <n v="30000"/>
    <n v="39000"/>
    <s v="CUST0099"/>
    <x v="4"/>
  </r>
  <r>
    <s v="ITM01051"/>
    <s v="ORD00616"/>
    <s v="PRD020"/>
    <n v="1"/>
    <n v="179000"/>
    <s v="Rak Penyimpanan Serbaguna"/>
    <n v="179000"/>
    <n v="90000"/>
    <n v="89000"/>
    <s v="CUST0099"/>
    <x v="4"/>
  </r>
  <r>
    <s v="ITM01052"/>
    <s v="ORD00617"/>
    <s v="PRD021"/>
    <n v="1"/>
    <n v="69000"/>
    <s v="Lampu LED Hias 5m"/>
    <n v="69000"/>
    <n v="30000"/>
    <n v="39000"/>
    <s v="CUST0190"/>
    <x v="0"/>
  </r>
  <r>
    <s v="ITM01053"/>
    <s v="ORD00618"/>
    <s v="PRD008"/>
    <n v="1"/>
    <n v="399000"/>
    <s v="Keyboard Mechanical Mini"/>
    <n v="399000"/>
    <n v="200000"/>
    <n v="199000"/>
    <s v="CUST0147"/>
    <x v="0"/>
  </r>
  <r>
    <s v="ITM01054"/>
    <s v="ORD00619"/>
    <s v="PRD014"/>
    <n v="1"/>
    <n v="349000"/>
    <s v="Sepatu Sneakers Casual"/>
    <n v="349000"/>
    <n v="180000"/>
    <n v="169000"/>
    <s v="CUST0083"/>
    <x v="5"/>
  </r>
  <r>
    <s v="ITM01055"/>
    <s v="ORD00619"/>
    <s v="PRD009"/>
    <n v="1"/>
    <n v="79000"/>
    <s v="Kaos Polos Cotton Combed"/>
    <n v="79000"/>
    <n v="35000"/>
    <n v="44000"/>
    <s v="CUST0083"/>
    <x v="5"/>
  </r>
  <r>
    <s v="ITM01056"/>
    <s v="ORD00619"/>
    <s v="PRD022"/>
    <n v="3"/>
    <n v="55000"/>
    <s v="Sapu + Pengki Set"/>
    <n v="165000"/>
    <n v="25000"/>
    <n v="90000"/>
    <s v="CUST0083"/>
    <x v="5"/>
  </r>
  <r>
    <s v="ITM01057"/>
    <s v="ORD00620"/>
    <s v="PRD008"/>
    <n v="2"/>
    <n v="399000"/>
    <s v="Keyboard Mechanical Mini"/>
    <n v="798000"/>
    <n v="200000"/>
    <n v="398000"/>
    <s v="CUST0039"/>
    <x v="0"/>
  </r>
  <r>
    <s v="ITM01058"/>
    <s v="ORD00621"/>
    <s v="PRD021"/>
    <n v="1"/>
    <n v="69000"/>
    <s v="Lampu LED Hias 5m"/>
    <n v="69000"/>
    <n v="30000"/>
    <n v="39000"/>
    <s v="CUST0027"/>
    <x v="3"/>
  </r>
  <r>
    <s v="ITM01059"/>
    <s v="ORD00621"/>
    <s v="PRD009"/>
    <n v="2"/>
    <n v="79000"/>
    <s v="Kaos Polos Cotton Combed"/>
    <n v="158000"/>
    <n v="35000"/>
    <n v="88000"/>
    <s v="CUST0027"/>
    <x v="3"/>
  </r>
  <r>
    <s v="ITM01060"/>
    <s v="ORD00622"/>
    <s v="PRD021"/>
    <n v="2"/>
    <n v="69000"/>
    <s v="Lampu LED Hias 5m"/>
    <n v="138000"/>
    <n v="30000"/>
    <n v="78000"/>
    <s v="CUST0088"/>
    <x v="1"/>
  </r>
  <r>
    <s v="ITM01061"/>
    <s v="ORD00623"/>
    <s v="PRD021"/>
    <n v="1"/>
    <n v="69000"/>
    <s v="Lampu LED Hias 5m"/>
    <n v="69000"/>
    <n v="30000"/>
    <n v="39000"/>
    <s v="CUST0045"/>
    <x v="6"/>
  </r>
  <r>
    <s v="ITM01062"/>
    <s v="ORD00624"/>
    <s v="PRD009"/>
    <n v="1"/>
    <n v="79000"/>
    <s v="Kaos Polos Cotton Combed"/>
    <n v="79000"/>
    <n v="35000"/>
    <n v="44000"/>
    <s v="CUST0113"/>
    <x v="2"/>
  </r>
  <r>
    <s v="ITM01063"/>
    <s v="ORD00625"/>
    <s v="PRD017"/>
    <n v="1"/>
    <n v="329000"/>
    <s v="Rice Cooker Mini 1.5L"/>
    <n v="329000"/>
    <n v="180000"/>
    <n v="149000"/>
    <s v="CUST0134"/>
    <x v="1"/>
  </r>
  <r>
    <s v="ITM01064"/>
    <s v="ORD00626"/>
    <s v="PRD005"/>
    <n v="1"/>
    <n v="39000"/>
    <s v="Kabel Data USB-C"/>
    <n v="39000"/>
    <n v="15000"/>
    <n v="24000"/>
    <s v="CUST0096"/>
    <x v="5"/>
  </r>
  <r>
    <s v="ITM01065"/>
    <s v="ORD00627"/>
    <s v="PRD009"/>
    <n v="1"/>
    <n v="79000"/>
    <s v="Kaos Polos Cotton Combed"/>
    <n v="79000"/>
    <n v="35000"/>
    <n v="44000"/>
    <s v="CUST0199"/>
    <x v="6"/>
  </r>
  <r>
    <s v="ITM01066"/>
    <s v="ORD00628"/>
    <s v="PRD021"/>
    <n v="1"/>
    <n v="69000"/>
    <s v="Lampu LED Hias 5m"/>
    <n v="69000"/>
    <n v="30000"/>
    <n v="39000"/>
    <s v="CUST0014"/>
    <x v="5"/>
  </r>
  <r>
    <s v="ITM01067"/>
    <s v="ORD00628"/>
    <s v="PRD020"/>
    <n v="1"/>
    <n v="179000"/>
    <s v="Rak Penyimpanan Serbaguna"/>
    <n v="179000"/>
    <n v="90000"/>
    <n v="89000"/>
    <s v="CUST0014"/>
    <x v="5"/>
  </r>
  <r>
    <s v="ITM01068"/>
    <s v="ORD00629"/>
    <s v="PRD005"/>
    <n v="2"/>
    <n v="39000"/>
    <s v="Kabel Data USB-C"/>
    <n v="78000"/>
    <n v="15000"/>
    <n v="48000"/>
    <s v="CUST0166"/>
    <x v="7"/>
  </r>
  <r>
    <s v="ITM01069"/>
    <s v="ORD00630"/>
    <s v="PRD017"/>
    <n v="1"/>
    <n v="329000"/>
    <s v="Rice Cooker Mini 1.5L"/>
    <n v="329000"/>
    <n v="180000"/>
    <n v="149000"/>
    <s v="CUST0085"/>
    <x v="5"/>
  </r>
  <r>
    <s v="ITM01070"/>
    <s v="ORD00631"/>
    <s v="PRD009"/>
    <n v="1"/>
    <n v="79000"/>
    <s v="Kaos Polos Cotton Combed"/>
    <n v="79000"/>
    <n v="35000"/>
    <n v="44000"/>
    <s v="CUST0174"/>
    <x v="1"/>
  </r>
  <r>
    <s v="ITM01071"/>
    <s v="ORD00632"/>
    <s v="PRD020"/>
    <n v="1"/>
    <n v="179000"/>
    <s v="Rak Penyimpanan Serbaguna"/>
    <n v="179000"/>
    <n v="90000"/>
    <n v="89000"/>
    <s v="CUST0065"/>
    <x v="5"/>
  </r>
  <r>
    <s v="ITM01072"/>
    <s v="ORD00632"/>
    <s v="PRD021"/>
    <n v="1"/>
    <n v="69000"/>
    <s v="Lampu LED Hias 5m"/>
    <n v="69000"/>
    <n v="30000"/>
    <n v="39000"/>
    <s v="CUST0065"/>
    <x v="5"/>
  </r>
  <r>
    <s v="ITM01073"/>
    <s v="ORD00633"/>
    <s v="PRD022"/>
    <n v="1"/>
    <n v="55000"/>
    <s v="Sapu + Pengki Set"/>
    <n v="55000"/>
    <n v="25000"/>
    <n v="30000"/>
    <s v="CUST0169"/>
    <x v="6"/>
  </r>
  <r>
    <s v="ITM01074"/>
    <s v="ORD00633"/>
    <s v="PRD021"/>
    <n v="1"/>
    <n v="69000"/>
    <s v="Lampu LED Hias 5m"/>
    <n v="69000"/>
    <n v="30000"/>
    <n v="39000"/>
    <s v="CUST0169"/>
    <x v="6"/>
  </r>
  <r>
    <s v="ITM01075"/>
    <s v="ORD00634"/>
    <s v="PRD021"/>
    <n v="2"/>
    <n v="69000"/>
    <s v="Lampu LED Hias 5m"/>
    <n v="138000"/>
    <n v="30000"/>
    <n v="78000"/>
    <s v="CUST0086"/>
    <x v="1"/>
  </r>
  <r>
    <s v="ITM01076"/>
    <s v="ORD00634"/>
    <s v="PRD005"/>
    <n v="1"/>
    <n v="39000"/>
    <s v="Kabel Data USB-C"/>
    <n v="39000"/>
    <n v="15000"/>
    <n v="24000"/>
    <s v="CUST0086"/>
    <x v="1"/>
  </r>
  <r>
    <s v="ITM01077"/>
    <s v="ORD00635"/>
    <s v="PRD009"/>
    <n v="3"/>
    <n v="79000"/>
    <s v="Kaos Polos Cotton Combed"/>
    <n v="237000"/>
    <n v="35000"/>
    <n v="132000"/>
    <s v="CUST0170"/>
    <x v="9"/>
  </r>
  <r>
    <s v="ITM01078"/>
    <s v="ORD00636"/>
    <s v="PRD021"/>
    <n v="1"/>
    <n v="69000"/>
    <s v="Lampu LED Hias 5m"/>
    <n v="69000"/>
    <n v="30000"/>
    <n v="39000"/>
    <s v="CUST0168"/>
    <x v="5"/>
  </r>
  <r>
    <s v="ITM01079"/>
    <s v="ORD00637"/>
    <s v="PRD017"/>
    <n v="1"/>
    <n v="329000"/>
    <s v="Rice Cooker Mini 1.5L"/>
    <n v="329000"/>
    <n v="180000"/>
    <n v="149000"/>
    <s v="CUST0101"/>
    <x v="1"/>
  </r>
  <r>
    <s v="ITM01080"/>
    <s v="ORD00637"/>
    <s v="PRD020"/>
    <n v="1"/>
    <n v="179000"/>
    <s v="Rak Penyimpanan Serbaguna"/>
    <n v="179000"/>
    <n v="90000"/>
    <n v="89000"/>
    <s v="CUST0101"/>
    <x v="1"/>
  </r>
  <r>
    <s v="ITM01081"/>
    <s v="ORD00638"/>
    <s v="PRD014"/>
    <n v="1"/>
    <n v="349000"/>
    <s v="Sepatu Sneakers Casual"/>
    <n v="349000"/>
    <n v="180000"/>
    <n v="169000"/>
    <s v="CUST0182"/>
    <x v="7"/>
  </r>
  <r>
    <s v="ITM01082"/>
    <s v="ORD00639"/>
    <s v="PRD005"/>
    <n v="1"/>
    <n v="39000"/>
    <s v="Kabel Data USB-C"/>
    <n v="39000"/>
    <n v="15000"/>
    <n v="24000"/>
    <s v="CUST0144"/>
    <x v="7"/>
  </r>
  <r>
    <s v="ITM01083"/>
    <s v="ORD00640"/>
    <s v="PRD004"/>
    <n v="3"/>
    <n v="199000"/>
    <s v="Speaker Bluetooth Mini"/>
    <n v="597000"/>
    <n v="100000"/>
    <n v="297000"/>
    <s v="CUST0085"/>
    <x v="5"/>
  </r>
  <r>
    <s v="ITM01084"/>
    <s v="ORD00640"/>
    <s v="PRD017"/>
    <n v="1"/>
    <n v="329000"/>
    <s v="Rice Cooker Mini 1.5L"/>
    <n v="329000"/>
    <n v="180000"/>
    <n v="149000"/>
    <s v="CUST0085"/>
    <x v="5"/>
  </r>
  <r>
    <s v="ITM01085"/>
    <s v="ORD00641"/>
    <s v="PRD009"/>
    <n v="1"/>
    <n v="79000"/>
    <s v="Kaos Polos Cotton Combed"/>
    <n v="79000"/>
    <n v="35000"/>
    <n v="44000"/>
    <s v="CUST0172"/>
    <x v="5"/>
  </r>
  <r>
    <s v="ITM01086"/>
    <s v="ORD00642"/>
    <s v="PRD017"/>
    <n v="1"/>
    <n v="329000"/>
    <s v="Rice Cooker Mini 1.5L"/>
    <n v="329000"/>
    <n v="180000"/>
    <n v="149000"/>
    <s v="CUST0166"/>
    <x v="7"/>
  </r>
  <r>
    <s v="ITM01087"/>
    <s v="ORD00643"/>
    <s v="PRD005"/>
    <n v="2"/>
    <n v="39000"/>
    <s v="Kabel Data USB-C"/>
    <n v="78000"/>
    <n v="15000"/>
    <n v="48000"/>
    <s v="CUST0093"/>
    <x v="2"/>
  </r>
  <r>
    <s v="ITM01088"/>
    <s v="ORD00644"/>
    <s v="PRD021"/>
    <n v="1"/>
    <n v="69000"/>
    <s v="Lampu LED Hias 5m"/>
    <n v="69000"/>
    <n v="30000"/>
    <n v="39000"/>
    <s v="CUST0080"/>
    <x v="2"/>
  </r>
  <r>
    <s v="ITM01089"/>
    <s v="ORD00645"/>
    <s v="PRD006"/>
    <n v="1"/>
    <n v="129000"/>
    <s v="Charger Fast Charging 33W"/>
    <n v="129000"/>
    <n v="60000"/>
    <n v="69000"/>
    <s v="CUST0197"/>
    <x v="7"/>
  </r>
  <r>
    <s v="ITM01090"/>
    <s v="ORD00645"/>
    <s v="PRD014"/>
    <n v="1"/>
    <n v="349000"/>
    <s v="Sepatu Sneakers Casual"/>
    <n v="349000"/>
    <n v="180000"/>
    <n v="169000"/>
    <s v="CUST0197"/>
    <x v="7"/>
  </r>
  <r>
    <s v="ITM01091"/>
    <s v="ORD00645"/>
    <s v="PRD004"/>
    <n v="1"/>
    <n v="199000"/>
    <s v="Speaker Bluetooth Mini"/>
    <n v="199000"/>
    <n v="100000"/>
    <n v="99000"/>
    <s v="CUST0197"/>
    <x v="7"/>
  </r>
  <r>
    <s v="ITM01092"/>
    <s v="ORD00646"/>
    <s v="PRD005"/>
    <n v="1"/>
    <n v="39000"/>
    <s v="Kabel Data USB-C"/>
    <n v="39000"/>
    <n v="15000"/>
    <n v="24000"/>
    <s v="CUST0058"/>
    <x v="1"/>
  </r>
  <r>
    <s v="ITM01093"/>
    <s v="ORD00646"/>
    <s v="PRD012"/>
    <n v="1"/>
    <n v="229000"/>
    <s v="Celana Jeans Slimfit"/>
    <n v="229000"/>
    <n v="110000"/>
    <n v="119000"/>
    <s v="CUST0058"/>
    <x v="1"/>
  </r>
  <r>
    <s v="ITM01094"/>
    <s v="ORD00646"/>
    <s v="PRD023"/>
    <n v="1"/>
    <n v="139000"/>
    <s v="Wajan Anti Lengket 24cm"/>
    <n v="139000"/>
    <n v="65000"/>
    <n v="74000"/>
    <s v="CUST0058"/>
    <x v="1"/>
  </r>
  <r>
    <s v="ITM01095"/>
    <s v="ORD00647"/>
    <s v="PRD017"/>
    <n v="1"/>
    <n v="329000"/>
    <s v="Rice Cooker Mini 1.5L"/>
    <n v="329000"/>
    <n v="180000"/>
    <n v="149000"/>
    <s v="CUST0076"/>
    <x v="6"/>
  </r>
  <r>
    <s v="ITM01096"/>
    <s v="ORD00647"/>
    <s v="PRD021"/>
    <n v="3"/>
    <n v="69000"/>
    <s v="Lampu LED Hias 5m"/>
    <n v="207000"/>
    <n v="30000"/>
    <n v="117000"/>
    <s v="CUST0076"/>
    <x v="6"/>
  </r>
  <r>
    <s v="ITM01097"/>
    <s v="ORD00648"/>
    <s v="PRD021"/>
    <n v="2"/>
    <n v="69000"/>
    <s v="Lampu LED Hias 5m"/>
    <n v="138000"/>
    <n v="30000"/>
    <n v="78000"/>
    <s v="CUST0026"/>
    <x v="3"/>
  </r>
  <r>
    <s v="ITM01098"/>
    <s v="ORD00648"/>
    <s v="PRD020"/>
    <n v="1"/>
    <n v="179000"/>
    <s v="Rak Penyimpanan Serbaguna"/>
    <n v="179000"/>
    <n v="90000"/>
    <n v="89000"/>
    <s v="CUST0026"/>
    <x v="3"/>
  </r>
  <r>
    <s v="ITM01099"/>
    <s v="ORD00648"/>
    <s v="PRD006"/>
    <n v="1"/>
    <n v="129000"/>
    <s v="Charger Fast Charging 33W"/>
    <n v="129000"/>
    <n v="60000"/>
    <n v="69000"/>
    <s v="CUST0026"/>
    <x v="3"/>
  </r>
  <r>
    <s v="ITM01100"/>
    <s v="ORD00649"/>
    <s v="PRD020"/>
    <n v="1"/>
    <n v="179000"/>
    <s v="Rak Penyimpanan Serbaguna"/>
    <n v="179000"/>
    <n v="90000"/>
    <n v="89000"/>
    <s v="CUST0190"/>
    <x v="0"/>
  </r>
  <r>
    <s v="ITM01101"/>
    <s v="ORD00649"/>
    <s v="PRD021"/>
    <n v="1"/>
    <n v="69000"/>
    <s v="Lampu LED Hias 5m"/>
    <n v="69000"/>
    <n v="30000"/>
    <n v="39000"/>
    <s v="CUST0190"/>
    <x v="0"/>
  </r>
  <r>
    <s v="ITM01102"/>
    <s v="ORD00650"/>
    <s v="PRD020"/>
    <n v="1"/>
    <n v="179000"/>
    <s v="Rak Penyimpanan Serbaguna"/>
    <n v="179000"/>
    <n v="90000"/>
    <n v="89000"/>
    <s v="CUST0087"/>
    <x v="9"/>
  </r>
  <r>
    <s v="ITM01103"/>
    <s v="ORD00651"/>
    <s v="PRD021"/>
    <n v="1"/>
    <n v="69000"/>
    <s v="Lampu LED Hias 5m"/>
    <n v="69000"/>
    <n v="30000"/>
    <n v="39000"/>
    <s v="CUST0034"/>
    <x v="5"/>
  </r>
  <r>
    <s v="ITM01104"/>
    <s v="ORD00652"/>
    <s v="PRD008"/>
    <n v="1"/>
    <n v="399000"/>
    <s v="Keyboard Mechanical Mini"/>
    <n v="399000"/>
    <n v="200000"/>
    <n v="199000"/>
    <s v="CUST0040"/>
    <x v="7"/>
  </r>
  <r>
    <s v="ITM01105"/>
    <s v="ORD00652"/>
    <s v="PRD005"/>
    <n v="1"/>
    <n v="39000"/>
    <s v="Kabel Data USB-C"/>
    <n v="39000"/>
    <n v="15000"/>
    <n v="24000"/>
    <s v="CUST0040"/>
    <x v="7"/>
  </r>
  <r>
    <s v="ITM01106"/>
    <s v="ORD00653"/>
    <s v="PRD017"/>
    <n v="3"/>
    <n v="329000"/>
    <s v="Rice Cooker Mini 1.5L"/>
    <n v="987000"/>
    <n v="180000"/>
    <n v="447000"/>
    <s v="CUST0178"/>
    <x v="5"/>
  </r>
  <r>
    <s v="ITM01107"/>
    <s v="ORD00653"/>
    <s v="PRD006"/>
    <n v="1"/>
    <n v="129000"/>
    <s v="Charger Fast Charging 33W"/>
    <n v="129000"/>
    <n v="60000"/>
    <n v="69000"/>
    <s v="CUST0178"/>
    <x v="5"/>
  </r>
  <r>
    <s v="ITM01108"/>
    <s v="ORD00653"/>
    <s v="PRD014"/>
    <n v="3"/>
    <n v="349000"/>
    <s v="Sepatu Sneakers Casual"/>
    <n v="1047000"/>
    <n v="180000"/>
    <n v="507000"/>
    <s v="CUST0178"/>
    <x v="5"/>
  </r>
  <r>
    <s v="ITM01109"/>
    <s v="ORD00653"/>
    <s v="PRD021"/>
    <n v="2"/>
    <n v="69000"/>
    <s v="Lampu LED Hias 5m"/>
    <n v="138000"/>
    <n v="30000"/>
    <n v="78000"/>
    <s v="CUST0178"/>
    <x v="5"/>
  </r>
  <r>
    <s v="ITM01110"/>
    <s v="ORD00654"/>
    <s v="PRD017"/>
    <n v="2"/>
    <n v="329000"/>
    <s v="Rice Cooker Mini 1.5L"/>
    <n v="658000"/>
    <n v="180000"/>
    <n v="298000"/>
    <s v="CUST0043"/>
    <x v="2"/>
  </r>
  <r>
    <s v="ITM01111"/>
    <s v="ORD00655"/>
    <s v="PRD021"/>
    <n v="1"/>
    <n v="69000"/>
    <s v="Lampu LED Hias 5m"/>
    <n v="69000"/>
    <n v="30000"/>
    <n v="39000"/>
    <s v="CUST0094"/>
    <x v="0"/>
  </r>
  <r>
    <s v="ITM01112"/>
    <s v="ORD00656"/>
    <s v="PRD022"/>
    <n v="3"/>
    <n v="55000"/>
    <s v="Sapu + Pengki Set"/>
    <n v="165000"/>
    <n v="25000"/>
    <n v="90000"/>
    <s v="CUST0114"/>
    <x v="3"/>
  </r>
  <r>
    <s v="ITM01113"/>
    <s v="ORD00656"/>
    <s v="PRD021"/>
    <n v="1"/>
    <n v="69000"/>
    <s v="Lampu LED Hias 5m"/>
    <n v="69000"/>
    <n v="30000"/>
    <n v="39000"/>
    <s v="CUST0114"/>
    <x v="3"/>
  </r>
  <r>
    <s v="ITM01114"/>
    <s v="ORD00657"/>
    <s v="PRD022"/>
    <n v="2"/>
    <n v="55000"/>
    <s v="Sapu + Pengki Set"/>
    <n v="110000"/>
    <n v="25000"/>
    <n v="60000"/>
    <s v="CUST0193"/>
    <x v="4"/>
  </r>
  <r>
    <s v="ITM01115"/>
    <s v="ORD00657"/>
    <s v="PRD005"/>
    <n v="1"/>
    <n v="39000"/>
    <s v="Kabel Data USB-C"/>
    <n v="39000"/>
    <n v="15000"/>
    <n v="24000"/>
    <s v="CUST0193"/>
    <x v="4"/>
  </r>
  <r>
    <s v="ITM01116"/>
    <s v="ORD00658"/>
    <s v="PRD022"/>
    <n v="1"/>
    <n v="55000"/>
    <s v="Sapu + Pengki Set"/>
    <n v="55000"/>
    <n v="25000"/>
    <n v="30000"/>
    <s v="CUST0062"/>
    <x v="2"/>
  </r>
  <r>
    <s v="ITM01117"/>
    <s v="ORD00659"/>
    <s v="PRD021"/>
    <n v="2"/>
    <n v="69000"/>
    <s v="Lampu LED Hias 5m"/>
    <n v="138000"/>
    <n v="30000"/>
    <n v="78000"/>
    <s v="CUST0121"/>
    <x v="3"/>
  </r>
  <r>
    <s v="ITM01118"/>
    <s v="ORD00660"/>
    <s v="PRD009"/>
    <n v="1"/>
    <n v="79000"/>
    <s v="Kaos Polos Cotton Combed"/>
    <n v="79000"/>
    <n v="35000"/>
    <n v="44000"/>
    <s v="CUST0095"/>
    <x v="9"/>
  </r>
  <r>
    <s v="ITM01119"/>
    <s v="ORD00661"/>
    <s v="PRD008"/>
    <n v="1"/>
    <n v="399000"/>
    <s v="Keyboard Mechanical Mini"/>
    <n v="399000"/>
    <n v="200000"/>
    <n v="199000"/>
    <s v="CUST0113"/>
    <x v="2"/>
  </r>
  <r>
    <s v="ITM01120"/>
    <s v="ORD00662"/>
    <s v="PRD009"/>
    <n v="1"/>
    <n v="79000"/>
    <s v="Kaos Polos Cotton Combed"/>
    <n v="79000"/>
    <n v="35000"/>
    <n v="44000"/>
    <s v="CUST0073"/>
    <x v="2"/>
  </r>
  <r>
    <s v="ITM01121"/>
    <s v="ORD00663"/>
    <s v="PRD002"/>
    <n v="1"/>
    <n v="159000"/>
    <s v="Power Bank 10000mAh"/>
    <n v="159000"/>
    <n v="80000"/>
    <n v="79000"/>
    <s v="CUST0108"/>
    <x v="4"/>
  </r>
  <r>
    <s v="ITM01122"/>
    <s v="ORD00663"/>
    <s v="PRD009"/>
    <n v="1"/>
    <n v="79000"/>
    <s v="Kaos Polos Cotton Combed"/>
    <n v="79000"/>
    <n v="35000"/>
    <n v="44000"/>
    <s v="CUST0108"/>
    <x v="4"/>
  </r>
  <r>
    <s v="ITM01123"/>
    <s v="ORD00664"/>
    <s v="PRD005"/>
    <n v="1"/>
    <n v="39000"/>
    <s v="Kabel Data USB-C"/>
    <n v="39000"/>
    <n v="15000"/>
    <n v="24000"/>
    <s v="CUST0052"/>
    <x v="2"/>
  </r>
  <r>
    <s v="ITM01124"/>
    <s v="ORD00664"/>
    <s v="PRD021"/>
    <n v="1"/>
    <n v="69000"/>
    <s v="Lampu LED Hias 5m"/>
    <n v="69000"/>
    <n v="30000"/>
    <n v="39000"/>
    <s v="CUST0052"/>
    <x v="2"/>
  </r>
  <r>
    <s v="ITM01125"/>
    <s v="ORD00664"/>
    <s v="PRD020"/>
    <n v="2"/>
    <n v="179000"/>
    <s v="Rak Penyimpanan Serbaguna"/>
    <n v="358000"/>
    <n v="90000"/>
    <n v="178000"/>
    <s v="CUST0052"/>
    <x v="2"/>
  </r>
  <r>
    <s v="ITM01126"/>
    <s v="ORD00665"/>
    <s v="PRD021"/>
    <n v="1"/>
    <n v="69000"/>
    <s v="Lampu LED Hias 5m"/>
    <n v="69000"/>
    <n v="30000"/>
    <n v="39000"/>
    <s v="CUST0036"/>
    <x v="0"/>
  </r>
  <r>
    <s v="ITM01127"/>
    <s v="ORD00665"/>
    <s v="PRD008"/>
    <n v="3"/>
    <n v="399000"/>
    <s v="Keyboard Mechanical Mini"/>
    <n v="1197000"/>
    <n v="200000"/>
    <n v="597000"/>
    <s v="CUST0036"/>
    <x v="0"/>
  </r>
  <r>
    <s v="ITM01128"/>
    <s v="ORD00666"/>
    <s v="PRD023"/>
    <n v="2"/>
    <n v="139000"/>
    <s v="Wajan Anti Lengket 24cm"/>
    <n v="278000"/>
    <n v="65000"/>
    <n v="148000"/>
    <s v="CUST0014"/>
    <x v="5"/>
  </r>
  <r>
    <s v="ITM01129"/>
    <s v="ORD00666"/>
    <s v="PRD014"/>
    <n v="2"/>
    <n v="349000"/>
    <s v="Sepatu Sneakers Casual"/>
    <n v="698000"/>
    <n v="180000"/>
    <n v="338000"/>
    <s v="CUST0014"/>
    <x v="5"/>
  </r>
  <r>
    <s v="ITM01130"/>
    <s v="ORD00666"/>
    <s v="PRD005"/>
    <n v="1"/>
    <n v="39000"/>
    <s v="Kabel Data USB-C"/>
    <n v="39000"/>
    <n v="15000"/>
    <n v="24000"/>
    <s v="CUST0014"/>
    <x v="5"/>
  </r>
  <r>
    <s v="ITM01131"/>
    <s v="ORD00667"/>
    <s v="PRD022"/>
    <n v="1"/>
    <n v="55000"/>
    <s v="Sapu + Pengki Set"/>
    <n v="55000"/>
    <n v="25000"/>
    <n v="30000"/>
    <s v="CUST0096"/>
    <x v="5"/>
  </r>
  <r>
    <s v="ITM01132"/>
    <s v="ORD00668"/>
    <s v="PRD021"/>
    <n v="2"/>
    <n v="69000"/>
    <s v="Lampu LED Hias 5m"/>
    <n v="138000"/>
    <n v="30000"/>
    <n v="78000"/>
    <s v="CUST0133"/>
    <x v="6"/>
  </r>
  <r>
    <s v="ITM01133"/>
    <s v="ORD00668"/>
    <s v="PRD005"/>
    <n v="3"/>
    <n v="39000"/>
    <s v="Kabel Data USB-C"/>
    <n v="117000"/>
    <n v="15000"/>
    <n v="72000"/>
    <s v="CUST0133"/>
    <x v="6"/>
  </r>
  <r>
    <s v="ITM01134"/>
    <s v="ORD00669"/>
    <s v="PRD009"/>
    <n v="1"/>
    <n v="79000"/>
    <s v="Kaos Polos Cotton Combed"/>
    <n v="79000"/>
    <n v="35000"/>
    <n v="44000"/>
    <s v="CUST0196"/>
    <x v="3"/>
  </r>
  <r>
    <s v="ITM01135"/>
    <s v="ORD00670"/>
    <s v="PRD005"/>
    <n v="1"/>
    <n v="39000"/>
    <s v="Kabel Data USB-C"/>
    <n v="39000"/>
    <n v="15000"/>
    <n v="24000"/>
    <s v="CUST0116"/>
    <x v="0"/>
  </r>
  <r>
    <s v="ITM01136"/>
    <s v="ORD00671"/>
    <s v="PRD005"/>
    <n v="2"/>
    <n v="39000"/>
    <s v="Kabel Data USB-C"/>
    <n v="78000"/>
    <n v="15000"/>
    <n v="48000"/>
    <s v="CUST0112"/>
    <x v="5"/>
  </r>
  <r>
    <s v="ITM01137"/>
    <s v="ORD00671"/>
    <s v="PRD022"/>
    <n v="1"/>
    <n v="55000"/>
    <s v="Sapu + Pengki Set"/>
    <n v="55000"/>
    <n v="25000"/>
    <n v="30000"/>
    <s v="CUST0112"/>
    <x v="5"/>
  </r>
  <r>
    <s v="ITM01138"/>
    <s v="ORD00672"/>
    <s v="PRD017"/>
    <n v="1"/>
    <n v="329000"/>
    <s v="Rice Cooker Mini 1.5L"/>
    <n v="329000"/>
    <n v="180000"/>
    <n v="149000"/>
    <s v="CUST0057"/>
    <x v="6"/>
  </r>
  <r>
    <s v="ITM01139"/>
    <s v="ORD00673"/>
    <s v="PRD005"/>
    <n v="2"/>
    <n v="39000"/>
    <s v="Kabel Data USB-C"/>
    <n v="78000"/>
    <n v="15000"/>
    <n v="48000"/>
    <s v="CUST0007"/>
    <x v="0"/>
  </r>
  <r>
    <s v="ITM01140"/>
    <s v="ORD00673"/>
    <s v="PRD021"/>
    <n v="3"/>
    <n v="69000"/>
    <s v="Lampu LED Hias 5m"/>
    <n v="207000"/>
    <n v="30000"/>
    <n v="117000"/>
    <s v="CUST0007"/>
    <x v="0"/>
  </r>
  <r>
    <s v="ITM01141"/>
    <s v="ORD00674"/>
    <s v="PRD021"/>
    <n v="3"/>
    <n v="69000"/>
    <s v="Lampu LED Hias 5m"/>
    <n v="207000"/>
    <n v="30000"/>
    <n v="117000"/>
    <s v="CUST0129"/>
    <x v="3"/>
  </r>
  <r>
    <s v="ITM01142"/>
    <s v="ORD00674"/>
    <s v="PRD017"/>
    <n v="1"/>
    <n v="329000"/>
    <s v="Rice Cooker Mini 1.5L"/>
    <n v="329000"/>
    <n v="180000"/>
    <n v="149000"/>
    <s v="CUST0129"/>
    <x v="3"/>
  </r>
  <r>
    <s v="ITM01143"/>
    <s v="ORD00674"/>
    <s v="PRD022"/>
    <n v="1"/>
    <n v="55000"/>
    <s v="Sapu + Pengki Set"/>
    <n v="55000"/>
    <n v="25000"/>
    <n v="30000"/>
    <s v="CUST0129"/>
    <x v="3"/>
  </r>
  <r>
    <s v="ITM01144"/>
    <s v="ORD00675"/>
    <s v="PRD020"/>
    <n v="1"/>
    <n v="179000"/>
    <s v="Rak Penyimpanan Serbaguna"/>
    <n v="179000"/>
    <n v="90000"/>
    <n v="89000"/>
    <s v="CUST0021"/>
    <x v="5"/>
  </r>
  <r>
    <s v="ITM01145"/>
    <s v="ORD00676"/>
    <s v="PRD021"/>
    <n v="2"/>
    <n v="69000"/>
    <s v="Lampu LED Hias 5m"/>
    <n v="138000"/>
    <n v="30000"/>
    <n v="78000"/>
    <s v="CUST0008"/>
    <x v="5"/>
  </r>
  <r>
    <s v="ITM01146"/>
    <s v="ORD00676"/>
    <s v="PRD012"/>
    <n v="1"/>
    <n v="229000"/>
    <s v="Celana Jeans Slimfit"/>
    <n v="229000"/>
    <n v="110000"/>
    <n v="119000"/>
    <s v="CUST0008"/>
    <x v="5"/>
  </r>
  <r>
    <s v="ITM01147"/>
    <s v="ORD00677"/>
    <s v="PRD005"/>
    <n v="3"/>
    <n v="39000"/>
    <s v="Kabel Data USB-C"/>
    <n v="117000"/>
    <n v="15000"/>
    <n v="72000"/>
    <s v="CUST0183"/>
    <x v="3"/>
  </r>
  <r>
    <s v="ITM01148"/>
    <s v="ORD00678"/>
    <s v="PRD009"/>
    <n v="1"/>
    <n v="79000"/>
    <s v="Kaos Polos Cotton Combed"/>
    <n v="79000"/>
    <n v="35000"/>
    <n v="44000"/>
    <s v="CUST0038"/>
    <x v="4"/>
  </r>
  <r>
    <s v="ITM01149"/>
    <s v="ORD00679"/>
    <s v="PRD022"/>
    <n v="1"/>
    <n v="55000"/>
    <s v="Sapu + Pengki Set"/>
    <n v="55000"/>
    <n v="25000"/>
    <n v="30000"/>
    <s v="CUST0074"/>
    <x v="8"/>
  </r>
  <r>
    <s v="ITM01150"/>
    <s v="ORD00680"/>
    <s v="PRD021"/>
    <n v="1"/>
    <n v="69000"/>
    <s v="Lampu LED Hias 5m"/>
    <n v="69000"/>
    <n v="30000"/>
    <n v="39000"/>
    <s v="CUST0179"/>
    <x v="5"/>
  </r>
  <r>
    <s v="ITM01151"/>
    <s v="ORD00680"/>
    <s v="PRD023"/>
    <n v="1"/>
    <n v="139000"/>
    <s v="Wajan Anti Lengket 24cm"/>
    <n v="139000"/>
    <n v="65000"/>
    <n v="74000"/>
    <s v="CUST0179"/>
    <x v="5"/>
  </r>
  <r>
    <s v="ITM01152"/>
    <s v="ORD00681"/>
    <s v="PRD005"/>
    <n v="2"/>
    <n v="39000"/>
    <s v="Kabel Data USB-C"/>
    <n v="78000"/>
    <n v="15000"/>
    <n v="48000"/>
    <s v="CUST0121"/>
    <x v="3"/>
  </r>
  <r>
    <s v="ITM01153"/>
    <s v="ORD00682"/>
    <s v="PRD021"/>
    <n v="1"/>
    <n v="69000"/>
    <s v="Lampu LED Hias 5m"/>
    <n v="69000"/>
    <n v="30000"/>
    <n v="39000"/>
    <s v="CUST0002"/>
    <x v="4"/>
  </r>
  <r>
    <s v="ITM01154"/>
    <s v="ORD00682"/>
    <s v="PRD020"/>
    <n v="1"/>
    <n v="179000"/>
    <s v="Rak Penyimpanan Serbaguna"/>
    <n v="179000"/>
    <n v="90000"/>
    <n v="89000"/>
    <s v="CUST0002"/>
    <x v="4"/>
  </r>
  <r>
    <s v="ITM01155"/>
    <s v="ORD00683"/>
    <s v="PRD021"/>
    <n v="1"/>
    <n v="69000"/>
    <s v="Lampu LED Hias 5m"/>
    <n v="69000"/>
    <n v="30000"/>
    <n v="39000"/>
    <s v="CUST0056"/>
    <x v="2"/>
  </r>
  <r>
    <s v="ITM01156"/>
    <s v="ORD00684"/>
    <s v="PRD020"/>
    <n v="1"/>
    <n v="179000"/>
    <s v="Rak Penyimpanan Serbaguna"/>
    <n v="179000"/>
    <n v="90000"/>
    <n v="89000"/>
    <s v="CUST0141"/>
    <x v="6"/>
  </r>
  <r>
    <s v="ITM01157"/>
    <s v="ORD00684"/>
    <s v="PRD009"/>
    <n v="1"/>
    <n v="79000"/>
    <s v="Kaos Polos Cotton Combed"/>
    <n v="79000"/>
    <n v="35000"/>
    <n v="44000"/>
    <s v="CUST0141"/>
    <x v="6"/>
  </r>
  <r>
    <s v="ITM01158"/>
    <s v="ORD00685"/>
    <s v="PRD021"/>
    <n v="1"/>
    <n v="69000"/>
    <s v="Lampu LED Hias 5m"/>
    <n v="69000"/>
    <n v="30000"/>
    <n v="39000"/>
    <s v="CUST0029"/>
    <x v="5"/>
  </r>
  <r>
    <s v="ITM01159"/>
    <s v="ORD00686"/>
    <s v="PRD021"/>
    <n v="3"/>
    <n v="69000"/>
    <s v="Lampu LED Hias 5m"/>
    <n v="207000"/>
    <n v="30000"/>
    <n v="117000"/>
    <s v="CUST0061"/>
    <x v="0"/>
  </r>
  <r>
    <s v="ITM01160"/>
    <s v="ORD00686"/>
    <s v="PRD005"/>
    <n v="1"/>
    <n v="39000"/>
    <s v="Kabel Data USB-C"/>
    <n v="39000"/>
    <n v="15000"/>
    <n v="24000"/>
    <s v="CUST0061"/>
    <x v="0"/>
  </r>
  <r>
    <s v="ITM01161"/>
    <s v="ORD00687"/>
    <s v="PRD012"/>
    <n v="1"/>
    <n v="229000"/>
    <s v="Celana Jeans Slimfit"/>
    <n v="229000"/>
    <n v="110000"/>
    <n v="119000"/>
    <s v="CUST0013"/>
    <x v="7"/>
  </r>
  <r>
    <s v="ITM01162"/>
    <s v="ORD00688"/>
    <s v="PRD020"/>
    <n v="1"/>
    <n v="179000"/>
    <s v="Rak Penyimpanan Serbaguna"/>
    <n v="179000"/>
    <n v="90000"/>
    <n v="89000"/>
    <s v="CUST0164"/>
    <x v="8"/>
  </r>
  <r>
    <s v="ITM01163"/>
    <s v="ORD00688"/>
    <s v="PRD021"/>
    <n v="2"/>
    <n v="69000"/>
    <s v="Lampu LED Hias 5m"/>
    <n v="138000"/>
    <n v="30000"/>
    <n v="78000"/>
    <s v="CUST0164"/>
    <x v="8"/>
  </r>
  <r>
    <s v="ITM01164"/>
    <s v="ORD00689"/>
    <s v="PRD007"/>
    <n v="1"/>
    <n v="99000"/>
    <s v="Mouse Wireless"/>
    <n v="99000"/>
    <n v="45000"/>
    <n v="54000"/>
    <s v="CUST0029"/>
    <x v="5"/>
  </r>
  <r>
    <s v="ITM01165"/>
    <s v="ORD00689"/>
    <s v="PRD021"/>
    <n v="1"/>
    <n v="69000"/>
    <s v="Lampu LED Hias 5m"/>
    <n v="69000"/>
    <n v="30000"/>
    <n v="39000"/>
    <s v="CUST0029"/>
    <x v="5"/>
  </r>
  <r>
    <s v="ITM01166"/>
    <s v="ORD00690"/>
    <s v="PRD022"/>
    <n v="1"/>
    <n v="55000"/>
    <s v="Sapu + Pengki Set"/>
    <n v="55000"/>
    <n v="25000"/>
    <n v="30000"/>
    <s v="CUST0005"/>
    <x v="8"/>
  </r>
  <r>
    <s v="ITM01167"/>
    <s v="ORD00691"/>
    <s v="PRD020"/>
    <n v="1"/>
    <n v="179000"/>
    <s v="Rak Penyimpanan Serbaguna"/>
    <n v="179000"/>
    <n v="90000"/>
    <n v="89000"/>
    <s v="CUST0062"/>
    <x v="2"/>
  </r>
  <r>
    <s v="ITM01168"/>
    <s v="ORD00691"/>
    <s v="PRD021"/>
    <n v="1"/>
    <n v="69000"/>
    <s v="Lampu LED Hias 5m"/>
    <n v="69000"/>
    <n v="30000"/>
    <n v="39000"/>
    <s v="CUST0062"/>
    <x v="2"/>
  </r>
  <r>
    <s v="ITM01169"/>
    <s v="ORD00692"/>
    <s v="PRD021"/>
    <n v="1"/>
    <n v="69000"/>
    <s v="Lampu LED Hias 5m"/>
    <n v="69000"/>
    <n v="30000"/>
    <n v="39000"/>
    <s v="CUST0075"/>
    <x v="5"/>
  </r>
  <r>
    <s v="ITM01170"/>
    <s v="ORD00693"/>
    <s v="PRD021"/>
    <n v="1"/>
    <n v="69000"/>
    <s v="Lampu LED Hias 5m"/>
    <n v="69000"/>
    <n v="30000"/>
    <n v="39000"/>
    <s v="CUST0158"/>
    <x v="0"/>
  </r>
  <r>
    <s v="ITM01171"/>
    <s v="ORD00694"/>
    <s v="PRD022"/>
    <n v="1"/>
    <n v="55000"/>
    <s v="Sapu + Pengki Set"/>
    <n v="55000"/>
    <n v="25000"/>
    <n v="30000"/>
    <s v="CUST0147"/>
    <x v="0"/>
  </r>
  <r>
    <s v="ITM01172"/>
    <s v="ORD00695"/>
    <s v="PRD005"/>
    <n v="1"/>
    <n v="39000"/>
    <s v="Kabel Data USB-C"/>
    <n v="39000"/>
    <n v="15000"/>
    <n v="24000"/>
    <s v="CUST0171"/>
    <x v="9"/>
  </r>
  <r>
    <s v="ITM01173"/>
    <s v="ORD00695"/>
    <s v="PRD008"/>
    <n v="1"/>
    <n v="399000"/>
    <s v="Keyboard Mechanical Mini"/>
    <n v="399000"/>
    <n v="200000"/>
    <n v="199000"/>
    <s v="CUST0171"/>
    <x v="9"/>
  </r>
  <r>
    <s v="ITM01174"/>
    <s v="ORD00696"/>
    <s v="PRD005"/>
    <n v="1"/>
    <n v="39000"/>
    <s v="Kabel Data USB-C"/>
    <n v="39000"/>
    <n v="15000"/>
    <n v="24000"/>
    <s v="CUST0093"/>
    <x v="2"/>
  </r>
  <r>
    <s v="ITM01175"/>
    <s v="ORD00696"/>
    <s v="PRD021"/>
    <n v="1"/>
    <n v="69000"/>
    <s v="Lampu LED Hias 5m"/>
    <n v="69000"/>
    <n v="30000"/>
    <n v="39000"/>
    <s v="CUST0093"/>
    <x v="2"/>
  </r>
  <r>
    <s v="ITM01176"/>
    <s v="ORD00697"/>
    <s v="PRD006"/>
    <n v="1"/>
    <n v="129000"/>
    <s v="Charger Fast Charging 33W"/>
    <n v="129000"/>
    <n v="60000"/>
    <n v="69000"/>
    <s v="CUST0140"/>
    <x v="4"/>
  </r>
  <r>
    <s v="ITM01177"/>
    <s v="ORD00698"/>
    <s v="PRD021"/>
    <n v="1"/>
    <n v="69000"/>
    <s v="Lampu LED Hias 5m"/>
    <n v="69000"/>
    <n v="30000"/>
    <n v="39000"/>
    <s v="CUST0130"/>
    <x v="8"/>
  </r>
  <r>
    <s v="ITM01178"/>
    <s v="ORD00699"/>
    <s v="PRD005"/>
    <n v="1"/>
    <n v="39000"/>
    <s v="Kabel Data USB-C"/>
    <n v="39000"/>
    <n v="15000"/>
    <n v="24000"/>
    <s v="CUST0100"/>
    <x v="6"/>
  </r>
  <r>
    <s v="ITM01179"/>
    <s v="ORD00699"/>
    <s v="PRD021"/>
    <n v="2"/>
    <n v="69000"/>
    <s v="Lampu LED Hias 5m"/>
    <n v="138000"/>
    <n v="30000"/>
    <n v="78000"/>
    <s v="CUST0100"/>
    <x v="6"/>
  </r>
  <r>
    <s v="ITM01180"/>
    <s v="ORD00700"/>
    <s v="PRD021"/>
    <n v="1"/>
    <n v="69000"/>
    <s v="Lampu LED Hias 5m"/>
    <n v="69000"/>
    <n v="30000"/>
    <n v="39000"/>
    <s v="CUST0100"/>
    <x v="6"/>
  </r>
  <r>
    <s v="ITM01181"/>
    <s v="ORD00700"/>
    <s v="PRD023"/>
    <n v="1"/>
    <n v="139000"/>
    <s v="Wajan Anti Lengket 24cm"/>
    <n v="139000"/>
    <n v="65000"/>
    <n v="74000"/>
    <s v="CUST0100"/>
    <x v="6"/>
  </r>
  <r>
    <s v="ITM01182"/>
    <s v="ORD00701"/>
    <s v="PRD014"/>
    <n v="1"/>
    <n v="349000"/>
    <s v="Sepatu Sneakers Casual"/>
    <n v="349000"/>
    <n v="180000"/>
    <n v="169000"/>
    <s v="CUST0005"/>
    <x v="8"/>
  </r>
  <r>
    <s v="ITM01183"/>
    <s v="ORD00702"/>
    <s v="PRD021"/>
    <n v="1"/>
    <n v="69000"/>
    <s v="Lampu LED Hias 5m"/>
    <n v="69000"/>
    <n v="30000"/>
    <n v="39000"/>
    <s v="CUST0018"/>
    <x v="3"/>
  </r>
  <r>
    <s v="ITM01184"/>
    <s v="ORD00702"/>
    <s v="PRD020"/>
    <n v="1"/>
    <n v="179000"/>
    <s v="Rak Penyimpanan Serbaguna"/>
    <n v="179000"/>
    <n v="90000"/>
    <n v="89000"/>
    <s v="CUST0018"/>
    <x v="3"/>
  </r>
  <r>
    <s v="ITM01185"/>
    <s v="ORD00703"/>
    <s v="PRD005"/>
    <n v="1"/>
    <n v="39000"/>
    <s v="Kabel Data USB-C"/>
    <n v="39000"/>
    <n v="15000"/>
    <n v="24000"/>
    <s v="CUST0169"/>
    <x v="6"/>
  </r>
  <r>
    <s v="ITM01186"/>
    <s v="ORD00704"/>
    <s v="PRD008"/>
    <n v="1"/>
    <n v="399000"/>
    <s v="Keyboard Mechanical Mini"/>
    <n v="399000"/>
    <n v="200000"/>
    <n v="199000"/>
    <s v="CUST0149"/>
    <x v="4"/>
  </r>
  <r>
    <s v="ITM01187"/>
    <s v="ORD00704"/>
    <s v="PRD017"/>
    <n v="1"/>
    <n v="329000"/>
    <s v="Rice Cooker Mini 1.5L"/>
    <n v="329000"/>
    <n v="180000"/>
    <n v="149000"/>
    <s v="CUST0149"/>
    <x v="4"/>
  </r>
  <r>
    <s v="ITM01188"/>
    <s v="ORD00705"/>
    <s v="PRD014"/>
    <n v="2"/>
    <n v="349000"/>
    <s v="Sepatu Sneakers Casual"/>
    <n v="698000"/>
    <n v="180000"/>
    <n v="338000"/>
    <s v="CUST0091"/>
    <x v="2"/>
  </r>
  <r>
    <s v="ITM01189"/>
    <s v="ORD00705"/>
    <s v="PRD004"/>
    <n v="1"/>
    <n v="199000"/>
    <s v="Speaker Bluetooth Mini"/>
    <n v="199000"/>
    <n v="100000"/>
    <n v="99000"/>
    <s v="CUST0091"/>
    <x v="2"/>
  </r>
  <r>
    <s v="ITM01190"/>
    <s v="ORD00706"/>
    <s v="PRD021"/>
    <n v="1"/>
    <n v="69000"/>
    <s v="Lampu LED Hias 5m"/>
    <n v="69000"/>
    <n v="30000"/>
    <n v="39000"/>
    <s v="CUST0165"/>
    <x v="7"/>
  </r>
  <r>
    <s v="ITM01191"/>
    <s v="ORD00707"/>
    <s v="PRD014"/>
    <n v="1"/>
    <n v="349000"/>
    <s v="Sepatu Sneakers Casual"/>
    <n v="349000"/>
    <n v="180000"/>
    <n v="169000"/>
    <s v="CUST0200"/>
    <x v="4"/>
  </r>
  <r>
    <s v="ITM01192"/>
    <s v="ORD00708"/>
    <s v="PRD021"/>
    <n v="1"/>
    <n v="69000"/>
    <s v="Lampu LED Hias 5m"/>
    <n v="69000"/>
    <n v="30000"/>
    <n v="39000"/>
    <s v="CUST0123"/>
    <x v="5"/>
  </r>
  <r>
    <s v="ITM01193"/>
    <s v="ORD00709"/>
    <s v="PRD021"/>
    <n v="1"/>
    <n v="69000"/>
    <s v="Lampu LED Hias 5m"/>
    <n v="69000"/>
    <n v="30000"/>
    <n v="39000"/>
    <s v="CUST0035"/>
    <x v="5"/>
  </r>
  <r>
    <s v="ITM01194"/>
    <s v="ORD00709"/>
    <s v="PRD005"/>
    <n v="1"/>
    <n v="39000"/>
    <s v="Kabel Data USB-C"/>
    <n v="39000"/>
    <n v="15000"/>
    <n v="24000"/>
    <s v="CUST0035"/>
    <x v="5"/>
  </r>
  <r>
    <s v="ITM01195"/>
    <s v="ORD00709"/>
    <s v="PRD006"/>
    <n v="1"/>
    <n v="129000"/>
    <s v="Charger Fast Charging 33W"/>
    <n v="129000"/>
    <n v="60000"/>
    <n v="69000"/>
    <s v="CUST0035"/>
    <x v="5"/>
  </r>
  <r>
    <s v="ITM01196"/>
    <s v="ORD00710"/>
    <s v="PRD021"/>
    <n v="1"/>
    <n v="69000"/>
    <s v="Lampu LED Hias 5m"/>
    <n v="69000"/>
    <n v="30000"/>
    <n v="39000"/>
    <s v="CUST0118"/>
    <x v="5"/>
  </r>
  <r>
    <s v="ITM01197"/>
    <s v="ORD00710"/>
    <s v="PRD005"/>
    <n v="1"/>
    <n v="39000"/>
    <s v="Kabel Data USB-C"/>
    <n v="39000"/>
    <n v="15000"/>
    <n v="24000"/>
    <s v="CUST0118"/>
    <x v="5"/>
  </r>
  <r>
    <s v="ITM01198"/>
    <s v="ORD00711"/>
    <s v="PRD021"/>
    <n v="1"/>
    <n v="69000"/>
    <s v="Lampu LED Hias 5m"/>
    <n v="69000"/>
    <n v="30000"/>
    <n v="39000"/>
    <s v="CUST0012"/>
    <x v="2"/>
  </r>
  <r>
    <s v="ITM01199"/>
    <s v="ORD00712"/>
    <s v="PRD021"/>
    <n v="1"/>
    <n v="69000"/>
    <s v="Lampu LED Hias 5m"/>
    <n v="69000"/>
    <n v="30000"/>
    <n v="39000"/>
    <s v="CUST0080"/>
    <x v="2"/>
  </r>
  <r>
    <s v="ITM01200"/>
    <s v="ORD00712"/>
    <s v="PRD022"/>
    <n v="2"/>
    <n v="55000"/>
    <s v="Sapu + Pengki Set"/>
    <n v="110000"/>
    <n v="25000"/>
    <n v="60000"/>
    <s v="CUST0080"/>
    <x v="2"/>
  </r>
  <r>
    <s v="ITM01201"/>
    <s v="ORD00713"/>
    <s v="PRD020"/>
    <n v="2"/>
    <n v="179000"/>
    <s v="Rak Penyimpanan Serbaguna"/>
    <n v="358000"/>
    <n v="90000"/>
    <n v="178000"/>
    <s v="CUST0140"/>
    <x v="4"/>
  </r>
  <r>
    <s v="ITM01202"/>
    <s v="ORD00713"/>
    <s v="PRD006"/>
    <n v="1"/>
    <n v="129000"/>
    <s v="Charger Fast Charging 33W"/>
    <n v="129000"/>
    <n v="60000"/>
    <n v="69000"/>
    <s v="CUST0140"/>
    <x v="4"/>
  </r>
  <r>
    <s v="ITM01203"/>
    <s v="ORD00714"/>
    <s v="PRD021"/>
    <n v="1"/>
    <n v="69000"/>
    <s v="Lampu LED Hias 5m"/>
    <n v="69000"/>
    <n v="30000"/>
    <n v="39000"/>
    <s v="CUST0010"/>
    <x v="7"/>
  </r>
  <r>
    <s v="ITM01204"/>
    <s v="ORD00714"/>
    <s v="PRD017"/>
    <n v="3"/>
    <n v="329000"/>
    <s v="Rice Cooker Mini 1.5L"/>
    <n v="987000"/>
    <n v="180000"/>
    <n v="447000"/>
    <s v="CUST0010"/>
    <x v="7"/>
  </r>
  <r>
    <s v="ITM01205"/>
    <s v="ORD00714"/>
    <s v="PRD005"/>
    <n v="1"/>
    <n v="39000"/>
    <s v="Kabel Data USB-C"/>
    <n v="39000"/>
    <n v="15000"/>
    <n v="24000"/>
    <s v="CUST0010"/>
    <x v="7"/>
  </r>
  <r>
    <s v="ITM01206"/>
    <s v="ORD00715"/>
    <s v="PRD009"/>
    <n v="2"/>
    <n v="79000"/>
    <s v="Kaos Polos Cotton Combed"/>
    <n v="158000"/>
    <n v="35000"/>
    <n v="88000"/>
    <s v="CUST0049"/>
    <x v="9"/>
  </r>
  <r>
    <s v="ITM01207"/>
    <s v="ORD00715"/>
    <s v="PRD021"/>
    <n v="2"/>
    <n v="69000"/>
    <s v="Lampu LED Hias 5m"/>
    <n v="138000"/>
    <n v="30000"/>
    <n v="78000"/>
    <s v="CUST0049"/>
    <x v="9"/>
  </r>
  <r>
    <s v="ITM01208"/>
    <s v="ORD00715"/>
    <s v="PRD022"/>
    <n v="1"/>
    <n v="55000"/>
    <s v="Sapu + Pengki Set"/>
    <n v="55000"/>
    <n v="25000"/>
    <n v="30000"/>
    <s v="CUST0049"/>
    <x v="9"/>
  </r>
  <r>
    <s v="ITM01209"/>
    <s v="ORD00716"/>
    <s v="PRD005"/>
    <n v="1"/>
    <n v="39000"/>
    <s v="Kabel Data USB-C"/>
    <n v="39000"/>
    <n v="15000"/>
    <n v="24000"/>
    <s v="CUST0200"/>
    <x v="4"/>
  </r>
  <r>
    <s v="ITM01210"/>
    <s v="ORD00717"/>
    <s v="PRD022"/>
    <n v="2"/>
    <n v="55000"/>
    <s v="Sapu + Pengki Set"/>
    <n v="110000"/>
    <n v="25000"/>
    <n v="60000"/>
    <s v="CUST0085"/>
    <x v="5"/>
  </r>
  <r>
    <s v="ITM01211"/>
    <s v="ORD00717"/>
    <s v="PRD023"/>
    <n v="2"/>
    <n v="139000"/>
    <s v="Wajan Anti Lengket 24cm"/>
    <n v="278000"/>
    <n v="65000"/>
    <n v="148000"/>
    <s v="CUST0085"/>
    <x v="5"/>
  </r>
  <r>
    <s v="ITM01212"/>
    <s v="ORD00718"/>
    <s v="PRD021"/>
    <n v="1"/>
    <n v="69000"/>
    <s v="Lampu LED Hias 5m"/>
    <n v="69000"/>
    <n v="30000"/>
    <n v="39000"/>
    <s v="CUST0095"/>
    <x v="9"/>
  </r>
  <r>
    <s v="ITM01213"/>
    <s v="ORD00719"/>
    <s v="PRD021"/>
    <n v="2"/>
    <n v="69000"/>
    <s v="Lampu LED Hias 5m"/>
    <n v="138000"/>
    <n v="30000"/>
    <n v="78000"/>
    <s v="CUST0103"/>
    <x v="8"/>
  </r>
  <r>
    <s v="ITM01214"/>
    <s v="ORD00720"/>
    <s v="PRD021"/>
    <n v="1"/>
    <n v="69000"/>
    <s v="Lampu LED Hias 5m"/>
    <n v="69000"/>
    <n v="30000"/>
    <n v="39000"/>
    <s v="CUST0099"/>
    <x v="4"/>
  </r>
  <r>
    <s v="ITM01215"/>
    <s v="ORD00720"/>
    <s v="PRD020"/>
    <n v="2"/>
    <n v="179000"/>
    <s v="Rak Penyimpanan Serbaguna"/>
    <n v="358000"/>
    <n v="90000"/>
    <n v="178000"/>
    <s v="CUST0099"/>
    <x v="4"/>
  </r>
  <r>
    <s v="ITM01216"/>
    <s v="ORD00721"/>
    <s v="PRD005"/>
    <n v="1"/>
    <n v="39000"/>
    <s v="Kabel Data USB-C"/>
    <n v="39000"/>
    <n v="15000"/>
    <n v="24000"/>
    <s v="CUST0178"/>
    <x v="5"/>
  </r>
  <r>
    <s v="ITM01217"/>
    <s v="ORD00722"/>
    <s v="PRD020"/>
    <n v="1"/>
    <n v="179000"/>
    <s v="Rak Penyimpanan Serbaguna"/>
    <n v="179000"/>
    <n v="90000"/>
    <n v="89000"/>
    <s v="CUST0133"/>
    <x v="6"/>
  </r>
  <r>
    <s v="ITM01218"/>
    <s v="ORD00723"/>
    <s v="PRD003"/>
    <n v="1"/>
    <n v="499000"/>
    <s v="Smartwatch Lite"/>
    <n v="499000"/>
    <n v="250000"/>
    <n v="249000"/>
    <s v="CUST0022"/>
    <x v="5"/>
  </r>
  <r>
    <s v="ITM01219"/>
    <s v="ORD00724"/>
    <s v="PRD005"/>
    <n v="1"/>
    <n v="39000"/>
    <s v="Kabel Data USB-C"/>
    <n v="39000"/>
    <n v="15000"/>
    <n v="24000"/>
    <s v="CUST0021"/>
    <x v="5"/>
  </r>
  <r>
    <s v="ITM01220"/>
    <s v="ORD00724"/>
    <s v="PRD009"/>
    <n v="1"/>
    <n v="79000"/>
    <s v="Kaos Polos Cotton Combed"/>
    <n v="79000"/>
    <n v="35000"/>
    <n v="44000"/>
    <s v="CUST0021"/>
    <x v="5"/>
  </r>
  <r>
    <s v="ITM01221"/>
    <s v="ORD00725"/>
    <s v="PRD020"/>
    <n v="1"/>
    <n v="179000"/>
    <s v="Rak Penyimpanan Serbaguna"/>
    <n v="179000"/>
    <n v="90000"/>
    <n v="89000"/>
    <s v="CUST0047"/>
    <x v="4"/>
  </r>
  <r>
    <s v="ITM01222"/>
    <s v="ORD00726"/>
    <s v="PRD021"/>
    <n v="2"/>
    <n v="69000"/>
    <s v="Lampu LED Hias 5m"/>
    <n v="138000"/>
    <n v="30000"/>
    <n v="78000"/>
    <s v="CUST0083"/>
    <x v="5"/>
  </r>
  <r>
    <s v="ITM01223"/>
    <s v="ORD00726"/>
    <s v="PRD020"/>
    <n v="2"/>
    <n v="179000"/>
    <s v="Rak Penyimpanan Serbaguna"/>
    <n v="358000"/>
    <n v="90000"/>
    <n v="178000"/>
    <s v="CUST0083"/>
    <x v="5"/>
  </r>
  <r>
    <s v="ITM01224"/>
    <s v="ORD00727"/>
    <s v="PRD014"/>
    <n v="3"/>
    <n v="349000"/>
    <s v="Sepatu Sneakers Casual"/>
    <n v="1047000"/>
    <n v="180000"/>
    <n v="507000"/>
    <s v="CUST0170"/>
    <x v="9"/>
  </r>
  <r>
    <s v="ITM01225"/>
    <s v="ORD00728"/>
    <s v="PRD005"/>
    <n v="3"/>
    <n v="39000"/>
    <s v="Kabel Data USB-C"/>
    <n v="117000"/>
    <n v="15000"/>
    <n v="72000"/>
    <s v="CUST0155"/>
    <x v="0"/>
  </r>
  <r>
    <s v="ITM01226"/>
    <s v="ORD00728"/>
    <s v="PRD006"/>
    <n v="1"/>
    <n v="129000"/>
    <s v="Charger Fast Charging 33W"/>
    <n v="129000"/>
    <n v="60000"/>
    <n v="69000"/>
    <s v="CUST0155"/>
    <x v="0"/>
  </r>
  <r>
    <s v="ITM01227"/>
    <s v="ORD00729"/>
    <s v="PRD005"/>
    <n v="1"/>
    <n v="39000"/>
    <s v="Kabel Data USB-C"/>
    <n v="39000"/>
    <n v="15000"/>
    <n v="24000"/>
    <s v="CUST0114"/>
    <x v="3"/>
  </r>
  <r>
    <s v="ITM01228"/>
    <s v="ORD00729"/>
    <s v="PRD021"/>
    <n v="2"/>
    <n v="69000"/>
    <s v="Lampu LED Hias 5m"/>
    <n v="138000"/>
    <n v="30000"/>
    <n v="78000"/>
    <s v="CUST0114"/>
    <x v="3"/>
  </r>
  <r>
    <s v="ITM01229"/>
    <s v="ORD00729"/>
    <s v="PRD006"/>
    <n v="1"/>
    <n v="129000"/>
    <s v="Charger Fast Charging 33W"/>
    <n v="129000"/>
    <n v="60000"/>
    <n v="69000"/>
    <s v="CUST0114"/>
    <x v="3"/>
  </r>
  <r>
    <s v="ITM01230"/>
    <s v="ORD00729"/>
    <s v="PRD022"/>
    <n v="3"/>
    <n v="55000"/>
    <s v="Sapu + Pengki Set"/>
    <n v="165000"/>
    <n v="25000"/>
    <n v="90000"/>
    <s v="CUST0114"/>
    <x v="3"/>
  </r>
  <r>
    <s v="ITM01231"/>
    <s v="ORD00730"/>
    <s v="PRD008"/>
    <n v="1"/>
    <n v="399000"/>
    <s v="Keyboard Mechanical Mini"/>
    <n v="399000"/>
    <n v="200000"/>
    <n v="199000"/>
    <s v="CUST0187"/>
    <x v="5"/>
  </r>
  <r>
    <s v="ITM01232"/>
    <s v="ORD00730"/>
    <s v="PRD009"/>
    <n v="2"/>
    <n v="79000"/>
    <s v="Kaos Polos Cotton Combed"/>
    <n v="158000"/>
    <n v="35000"/>
    <n v="88000"/>
    <s v="CUST0187"/>
    <x v="5"/>
  </r>
  <r>
    <s v="ITM01233"/>
    <s v="ORD00730"/>
    <s v="PRD020"/>
    <n v="1"/>
    <n v="179000"/>
    <s v="Rak Penyimpanan Serbaguna"/>
    <n v="179000"/>
    <n v="90000"/>
    <n v="89000"/>
    <s v="CUST0187"/>
    <x v="5"/>
  </r>
  <r>
    <s v="ITM01234"/>
    <s v="ORD00730"/>
    <s v="PRD005"/>
    <n v="1"/>
    <n v="39000"/>
    <s v="Kabel Data USB-C"/>
    <n v="39000"/>
    <n v="15000"/>
    <n v="24000"/>
    <s v="CUST0187"/>
    <x v="5"/>
  </r>
  <r>
    <s v="ITM01235"/>
    <s v="ORD00731"/>
    <s v="PRD021"/>
    <n v="1"/>
    <n v="69000"/>
    <s v="Lampu LED Hias 5m"/>
    <n v="69000"/>
    <n v="30000"/>
    <n v="39000"/>
    <s v="CUST0091"/>
    <x v="2"/>
  </r>
  <r>
    <s v="ITM01236"/>
    <s v="ORD00731"/>
    <s v="PRD005"/>
    <n v="1"/>
    <n v="39000"/>
    <s v="Kabel Data USB-C"/>
    <n v="39000"/>
    <n v="15000"/>
    <n v="24000"/>
    <s v="CUST0091"/>
    <x v="2"/>
  </r>
  <r>
    <s v="ITM01237"/>
    <s v="ORD00732"/>
    <s v="PRD005"/>
    <n v="2"/>
    <n v="39000"/>
    <s v="Kabel Data USB-C"/>
    <n v="78000"/>
    <n v="15000"/>
    <n v="48000"/>
    <s v="CUST0071"/>
    <x v="3"/>
  </r>
  <r>
    <s v="ITM01238"/>
    <s v="ORD00733"/>
    <s v="PRD021"/>
    <n v="1"/>
    <n v="69000"/>
    <s v="Lampu LED Hias 5m"/>
    <n v="69000"/>
    <n v="30000"/>
    <n v="39000"/>
    <s v="CUST0015"/>
    <x v="8"/>
  </r>
  <r>
    <s v="ITM01239"/>
    <s v="ORD00734"/>
    <s v="PRD009"/>
    <n v="1"/>
    <n v="79000"/>
    <s v="Kaos Polos Cotton Combed"/>
    <n v="79000"/>
    <n v="35000"/>
    <n v="44000"/>
    <s v="CUST0164"/>
    <x v="8"/>
  </r>
  <r>
    <s v="ITM01240"/>
    <s v="ORD00734"/>
    <s v="PRD021"/>
    <n v="1"/>
    <n v="69000"/>
    <s v="Lampu LED Hias 5m"/>
    <n v="69000"/>
    <n v="30000"/>
    <n v="39000"/>
    <s v="CUST0164"/>
    <x v="8"/>
  </r>
  <r>
    <s v="ITM01241"/>
    <s v="ORD00734"/>
    <s v="PRD020"/>
    <n v="1"/>
    <n v="179000"/>
    <s v="Rak Penyimpanan Serbaguna"/>
    <n v="179000"/>
    <n v="90000"/>
    <n v="89000"/>
    <s v="CUST0164"/>
    <x v="8"/>
  </r>
  <r>
    <s v="ITM01242"/>
    <s v="ORD00735"/>
    <s v="PRD020"/>
    <n v="1"/>
    <n v="179000"/>
    <s v="Rak Penyimpanan Serbaguna"/>
    <n v="179000"/>
    <n v="90000"/>
    <n v="89000"/>
    <s v="CUST0192"/>
    <x v="8"/>
  </r>
  <r>
    <s v="ITM01243"/>
    <s v="ORD00736"/>
    <s v="PRD021"/>
    <n v="1"/>
    <n v="69000"/>
    <s v="Lampu LED Hias 5m"/>
    <n v="69000"/>
    <n v="30000"/>
    <n v="39000"/>
    <s v="CUST0037"/>
    <x v="5"/>
  </r>
  <r>
    <s v="ITM01244"/>
    <s v="ORD00736"/>
    <s v="PRD022"/>
    <n v="1"/>
    <n v="55000"/>
    <s v="Sapu + Pengki Set"/>
    <n v="55000"/>
    <n v="25000"/>
    <n v="30000"/>
    <s v="CUST0037"/>
    <x v="5"/>
  </r>
  <r>
    <s v="ITM01245"/>
    <s v="ORD00737"/>
    <s v="PRD021"/>
    <n v="1"/>
    <n v="69000"/>
    <s v="Lampu LED Hias 5m"/>
    <n v="69000"/>
    <n v="30000"/>
    <n v="39000"/>
    <s v="CUST0113"/>
    <x v="2"/>
  </r>
  <r>
    <s v="ITM01246"/>
    <s v="ORD00738"/>
    <s v="PRD008"/>
    <n v="3"/>
    <n v="399000"/>
    <s v="Keyboard Mechanical Mini"/>
    <n v="1197000"/>
    <n v="200000"/>
    <n v="597000"/>
    <s v="CUST0018"/>
    <x v="3"/>
  </r>
  <r>
    <s v="ITM01247"/>
    <s v="ORD00739"/>
    <s v="PRD006"/>
    <n v="1"/>
    <n v="129000"/>
    <s v="Charger Fast Charging 33W"/>
    <n v="129000"/>
    <n v="60000"/>
    <n v="69000"/>
    <s v="CUST0166"/>
    <x v="7"/>
  </r>
  <r>
    <s v="ITM01248"/>
    <s v="ORD00739"/>
    <s v="PRD021"/>
    <n v="1"/>
    <n v="69000"/>
    <s v="Lampu LED Hias 5m"/>
    <n v="69000"/>
    <n v="30000"/>
    <n v="39000"/>
    <s v="CUST0166"/>
    <x v="7"/>
  </r>
  <r>
    <s v="ITM01249"/>
    <s v="ORD00739"/>
    <s v="PRD017"/>
    <n v="1"/>
    <n v="329000"/>
    <s v="Rice Cooker Mini 1.5L"/>
    <n v="329000"/>
    <n v="180000"/>
    <n v="149000"/>
    <s v="CUST0166"/>
    <x v="7"/>
  </r>
  <r>
    <s v="ITM01250"/>
    <s v="ORD00739"/>
    <s v="PRD005"/>
    <n v="2"/>
    <n v="39000"/>
    <s v="Kabel Data USB-C"/>
    <n v="78000"/>
    <n v="15000"/>
    <n v="48000"/>
    <s v="CUST0166"/>
    <x v="7"/>
  </r>
  <r>
    <s v="ITM01251"/>
    <s v="ORD00740"/>
    <s v="PRD005"/>
    <n v="1"/>
    <n v="39000"/>
    <s v="Kabel Data USB-C"/>
    <n v="39000"/>
    <n v="15000"/>
    <n v="24000"/>
    <s v="CUST0099"/>
    <x v="4"/>
  </r>
  <r>
    <s v="ITM01252"/>
    <s v="ORD00740"/>
    <s v="PRD021"/>
    <n v="1"/>
    <n v="69000"/>
    <s v="Lampu LED Hias 5m"/>
    <n v="69000"/>
    <n v="30000"/>
    <n v="39000"/>
    <s v="CUST0099"/>
    <x v="4"/>
  </r>
  <r>
    <s v="ITM01253"/>
    <s v="ORD00741"/>
    <s v="PRD021"/>
    <n v="2"/>
    <n v="69000"/>
    <s v="Lampu LED Hias 5m"/>
    <n v="138000"/>
    <n v="30000"/>
    <n v="78000"/>
    <s v="CUST0040"/>
    <x v="7"/>
  </r>
  <r>
    <s v="ITM01254"/>
    <s v="ORD00742"/>
    <s v="PRD014"/>
    <n v="1"/>
    <n v="349000"/>
    <s v="Sepatu Sneakers Casual"/>
    <n v="349000"/>
    <n v="180000"/>
    <n v="169000"/>
    <s v="CUST0096"/>
    <x v="5"/>
  </r>
  <r>
    <s v="ITM01255"/>
    <s v="ORD00743"/>
    <s v="PRD005"/>
    <n v="1"/>
    <n v="39000"/>
    <s v="Kabel Data USB-C"/>
    <n v="39000"/>
    <n v="15000"/>
    <n v="24000"/>
    <s v="CUST0020"/>
    <x v="1"/>
  </r>
  <r>
    <s v="ITM01256"/>
    <s v="ORD00743"/>
    <s v="PRD022"/>
    <n v="1"/>
    <n v="55000"/>
    <s v="Sapu + Pengki Set"/>
    <n v="55000"/>
    <n v="25000"/>
    <n v="30000"/>
    <s v="CUST0020"/>
    <x v="1"/>
  </r>
  <r>
    <s v="ITM01257"/>
    <s v="ORD00744"/>
    <s v="PRD005"/>
    <n v="1"/>
    <n v="39000"/>
    <s v="Kabel Data USB-C"/>
    <n v="39000"/>
    <n v="15000"/>
    <n v="24000"/>
    <s v="CUST0094"/>
    <x v="0"/>
  </r>
  <r>
    <s v="ITM01258"/>
    <s v="ORD00744"/>
    <s v="PRD006"/>
    <n v="1"/>
    <n v="129000"/>
    <s v="Charger Fast Charging 33W"/>
    <n v="129000"/>
    <n v="60000"/>
    <n v="69000"/>
    <s v="CUST0094"/>
    <x v="0"/>
  </r>
  <r>
    <s v="ITM01259"/>
    <s v="ORD00745"/>
    <s v="PRD023"/>
    <n v="1"/>
    <n v="139000"/>
    <s v="Wajan Anti Lengket 24cm"/>
    <n v="139000"/>
    <n v="65000"/>
    <n v="74000"/>
    <s v="CUST0072"/>
    <x v="9"/>
  </r>
  <r>
    <s v="ITM01260"/>
    <s v="ORD00746"/>
    <s v="PRD021"/>
    <n v="1"/>
    <n v="69000"/>
    <s v="Lampu LED Hias 5m"/>
    <n v="69000"/>
    <n v="30000"/>
    <n v="39000"/>
    <s v="CUST0007"/>
    <x v="0"/>
  </r>
  <r>
    <s v="ITM01261"/>
    <s v="ORD00746"/>
    <s v="PRD005"/>
    <n v="1"/>
    <n v="39000"/>
    <s v="Kabel Data USB-C"/>
    <n v="39000"/>
    <n v="15000"/>
    <n v="24000"/>
    <s v="CUST0007"/>
    <x v="0"/>
  </r>
  <r>
    <s v="ITM01262"/>
    <s v="ORD00747"/>
    <s v="PRD021"/>
    <n v="1"/>
    <n v="69000"/>
    <s v="Lampu LED Hias 5m"/>
    <n v="69000"/>
    <n v="30000"/>
    <n v="39000"/>
    <s v="CUST0100"/>
    <x v="6"/>
  </r>
  <r>
    <s v="ITM01263"/>
    <s v="ORD00748"/>
    <s v="PRD017"/>
    <n v="1"/>
    <n v="329000"/>
    <s v="Rice Cooker Mini 1.5L"/>
    <n v="329000"/>
    <n v="180000"/>
    <n v="149000"/>
    <s v="CUST0199"/>
    <x v="6"/>
  </r>
  <r>
    <s v="ITM01264"/>
    <s v="ORD00748"/>
    <s v="PRD021"/>
    <n v="1"/>
    <n v="69000"/>
    <s v="Lampu LED Hias 5m"/>
    <n v="69000"/>
    <n v="30000"/>
    <n v="39000"/>
    <s v="CUST0199"/>
    <x v="6"/>
  </r>
  <r>
    <s v="ITM01265"/>
    <s v="ORD00748"/>
    <s v="PRD014"/>
    <n v="1"/>
    <n v="349000"/>
    <s v="Sepatu Sneakers Casual"/>
    <n v="349000"/>
    <n v="180000"/>
    <n v="169000"/>
    <s v="CUST0199"/>
    <x v="6"/>
  </r>
  <r>
    <s v="ITM01266"/>
    <s v="ORD00748"/>
    <s v="PRD009"/>
    <n v="1"/>
    <n v="79000"/>
    <s v="Kaos Polos Cotton Combed"/>
    <n v="79000"/>
    <n v="35000"/>
    <n v="44000"/>
    <s v="CUST0199"/>
    <x v="6"/>
  </r>
  <r>
    <s v="ITM01267"/>
    <s v="ORD00749"/>
    <s v="PRD021"/>
    <n v="1"/>
    <n v="69000"/>
    <s v="Lampu LED Hias 5m"/>
    <n v="69000"/>
    <n v="30000"/>
    <n v="39000"/>
    <s v="CUST0115"/>
    <x v="6"/>
  </r>
  <r>
    <s v="ITM01268"/>
    <s v="ORD00750"/>
    <s v="PRD021"/>
    <n v="2"/>
    <n v="69000"/>
    <s v="Lampu LED Hias 5m"/>
    <n v="138000"/>
    <n v="30000"/>
    <n v="78000"/>
    <s v="CUST0178"/>
    <x v="5"/>
  </r>
  <r>
    <s v="ITM01269"/>
    <s v="ORD00750"/>
    <s v="PRD022"/>
    <n v="1"/>
    <n v="55000"/>
    <s v="Sapu + Pengki Set"/>
    <n v="55000"/>
    <n v="25000"/>
    <n v="30000"/>
    <s v="CUST0178"/>
    <x v="5"/>
  </r>
  <r>
    <s v="ITM01270"/>
    <s v="ORD00751"/>
    <s v="PRD002"/>
    <n v="1"/>
    <n v="159000"/>
    <s v="Power Bank 10000mAh"/>
    <n v="159000"/>
    <n v="80000"/>
    <n v="79000"/>
    <s v="CUST0032"/>
    <x v="0"/>
  </r>
  <r>
    <s v="ITM01271"/>
    <s v="ORD00752"/>
    <s v="PRD021"/>
    <n v="1"/>
    <n v="69000"/>
    <s v="Lampu LED Hias 5m"/>
    <n v="69000"/>
    <n v="30000"/>
    <n v="39000"/>
    <s v="CUST0116"/>
    <x v="0"/>
  </r>
  <r>
    <s v="ITM01272"/>
    <s v="ORD00752"/>
    <s v="PRD005"/>
    <n v="3"/>
    <n v="39000"/>
    <s v="Kabel Data USB-C"/>
    <n v="117000"/>
    <n v="15000"/>
    <n v="72000"/>
    <s v="CUST0116"/>
    <x v="0"/>
  </r>
  <r>
    <s v="ITM01273"/>
    <s v="ORD00753"/>
    <s v="PRD014"/>
    <n v="1"/>
    <n v="349000"/>
    <s v="Sepatu Sneakers Casual"/>
    <n v="349000"/>
    <n v="180000"/>
    <n v="169000"/>
    <s v="CUST0023"/>
    <x v="2"/>
  </r>
  <r>
    <s v="ITM01274"/>
    <s v="ORD00754"/>
    <s v="PRD020"/>
    <n v="2"/>
    <n v="179000"/>
    <s v="Rak Penyimpanan Serbaguna"/>
    <n v="358000"/>
    <n v="90000"/>
    <n v="178000"/>
    <s v="CUST0082"/>
    <x v="1"/>
  </r>
  <r>
    <s v="ITM01275"/>
    <s v="ORD00755"/>
    <s v="PRD023"/>
    <n v="1"/>
    <n v="139000"/>
    <s v="Wajan Anti Lengket 24cm"/>
    <n v="139000"/>
    <n v="65000"/>
    <n v="74000"/>
    <s v="CUST0182"/>
    <x v="7"/>
  </r>
  <r>
    <s v="ITM01276"/>
    <s v="ORD00756"/>
    <s v="PRD021"/>
    <n v="1"/>
    <n v="69000"/>
    <s v="Lampu LED Hias 5m"/>
    <n v="69000"/>
    <n v="30000"/>
    <n v="39000"/>
    <s v="CUST0075"/>
    <x v="5"/>
  </r>
  <r>
    <s v="ITM01277"/>
    <s v="ORD00756"/>
    <s v="PRD001"/>
    <n v="1"/>
    <n v="299000"/>
    <s v="Wireless Earbuds X1"/>
    <n v="299000"/>
    <n v="150000"/>
    <n v="149000"/>
    <s v="CUST0075"/>
    <x v="5"/>
  </r>
  <r>
    <s v="ITM01278"/>
    <s v="ORD00756"/>
    <s v="PRD017"/>
    <n v="1"/>
    <n v="329000"/>
    <s v="Rice Cooker Mini 1.5L"/>
    <n v="329000"/>
    <n v="180000"/>
    <n v="149000"/>
    <s v="CUST0075"/>
    <x v="5"/>
  </r>
  <r>
    <s v="ITM01279"/>
    <s v="ORD00757"/>
    <s v="PRD020"/>
    <n v="1"/>
    <n v="179000"/>
    <s v="Rak Penyimpanan Serbaguna"/>
    <n v="179000"/>
    <n v="90000"/>
    <n v="89000"/>
    <s v="CUST0041"/>
    <x v="6"/>
  </r>
  <r>
    <s v="ITM01280"/>
    <s v="ORD00757"/>
    <s v="PRD021"/>
    <n v="1"/>
    <n v="69000"/>
    <s v="Lampu LED Hias 5m"/>
    <n v="69000"/>
    <n v="30000"/>
    <n v="39000"/>
    <s v="CUST0041"/>
    <x v="6"/>
  </r>
  <r>
    <s v="ITM01281"/>
    <s v="ORD00757"/>
    <s v="PRD005"/>
    <n v="2"/>
    <n v="39000"/>
    <s v="Kabel Data USB-C"/>
    <n v="78000"/>
    <n v="15000"/>
    <n v="48000"/>
    <s v="CUST0041"/>
    <x v="6"/>
  </r>
  <r>
    <s v="ITM01282"/>
    <s v="ORD00757"/>
    <s v="PRD009"/>
    <n v="1"/>
    <n v="79000"/>
    <s v="Kaos Polos Cotton Combed"/>
    <n v="79000"/>
    <n v="35000"/>
    <n v="44000"/>
    <s v="CUST0041"/>
    <x v="6"/>
  </r>
  <r>
    <s v="ITM01283"/>
    <s v="ORD00758"/>
    <s v="PRD022"/>
    <n v="2"/>
    <n v="55000"/>
    <s v="Sapu + Pengki Set"/>
    <n v="110000"/>
    <n v="25000"/>
    <n v="60000"/>
    <s v="CUST0180"/>
    <x v="3"/>
  </r>
  <r>
    <s v="ITM01284"/>
    <s v="ORD00758"/>
    <s v="PRD005"/>
    <n v="1"/>
    <n v="39000"/>
    <s v="Kabel Data USB-C"/>
    <n v="39000"/>
    <n v="15000"/>
    <n v="24000"/>
    <s v="CUST0180"/>
    <x v="3"/>
  </r>
  <r>
    <s v="ITM01285"/>
    <s v="ORD00758"/>
    <s v="PRD017"/>
    <n v="1"/>
    <n v="329000"/>
    <s v="Rice Cooker Mini 1.5L"/>
    <n v="329000"/>
    <n v="180000"/>
    <n v="149000"/>
    <s v="CUST0180"/>
    <x v="3"/>
  </r>
  <r>
    <s v="ITM01286"/>
    <s v="ORD00759"/>
    <s v="PRD005"/>
    <n v="1"/>
    <n v="39000"/>
    <s v="Kabel Data USB-C"/>
    <n v="39000"/>
    <n v="15000"/>
    <n v="24000"/>
    <s v="CUST0093"/>
    <x v="2"/>
  </r>
  <r>
    <s v="ITM01287"/>
    <s v="ORD00759"/>
    <s v="PRD021"/>
    <n v="2"/>
    <n v="69000"/>
    <s v="Lampu LED Hias 5m"/>
    <n v="138000"/>
    <n v="30000"/>
    <n v="78000"/>
    <s v="CUST0093"/>
    <x v="2"/>
  </r>
  <r>
    <s v="ITM01288"/>
    <s v="ORD00759"/>
    <s v="PRD006"/>
    <n v="1"/>
    <n v="129000"/>
    <s v="Charger Fast Charging 33W"/>
    <n v="129000"/>
    <n v="60000"/>
    <n v="69000"/>
    <s v="CUST0093"/>
    <x v="2"/>
  </r>
  <r>
    <s v="ITM01289"/>
    <s v="ORD00759"/>
    <s v="PRD020"/>
    <n v="1"/>
    <n v="179000"/>
    <s v="Rak Penyimpanan Serbaguna"/>
    <n v="179000"/>
    <n v="90000"/>
    <n v="89000"/>
    <s v="CUST0093"/>
    <x v="2"/>
  </r>
  <r>
    <s v="ITM01290"/>
    <s v="ORD00760"/>
    <s v="PRD023"/>
    <n v="1"/>
    <n v="139000"/>
    <s v="Wajan Anti Lengket 24cm"/>
    <n v="139000"/>
    <n v="65000"/>
    <n v="74000"/>
    <s v="CUST0032"/>
    <x v="0"/>
  </r>
  <r>
    <s v="ITM01291"/>
    <s v="ORD00760"/>
    <s v="PRD021"/>
    <n v="1"/>
    <n v="69000"/>
    <s v="Lampu LED Hias 5m"/>
    <n v="69000"/>
    <n v="30000"/>
    <n v="39000"/>
    <s v="CUST0032"/>
    <x v="0"/>
  </r>
  <r>
    <s v="ITM01292"/>
    <s v="ORD00761"/>
    <s v="PRD021"/>
    <n v="1"/>
    <n v="69000"/>
    <s v="Lampu LED Hias 5m"/>
    <n v="69000"/>
    <n v="30000"/>
    <n v="39000"/>
    <s v="CUST0061"/>
    <x v="0"/>
  </r>
  <r>
    <s v="ITM01293"/>
    <s v="ORD00762"/>
    <s v="PRD021"/>
    <n v="2"/>
    <n v="69000"/>
    <s v="Lampu LED Hias 5m"/>
    <n v="138000"/>
    <n v="30000"/>
    <n v="78000"/>
    <s v="CUST0007"/>
    <x v="0"/>
  </r>
  <r>
    <s v="ITM01294"/>
    <s v="ORD00762"/>
    <s v="PRD005"/>
    <n v="1"/>
    <n v="39000"/>
    <s v="Kabel Data USB-C"/>
    <n v="39000"/>
    <n v="15000"/>
    <n v="24000"/>
    <s v="CUST0007"/>
    <x v="0"/>
  </r>
  <r>
    <s v="ITM01295"/>
    <s v="ORD00763"/>
    <s v="PRD021"/>
    <n v="2"/>
    <n v="69000"/>
    <s v="Lampu LED Hias 5m"/>
    <n v="138000"/>
    <n v="30000"/>
    <n v="78000"/>
    <s v="CUST0095"/>
    <x v="9"/>
  </r>
  <r>
    <s v="ITM01296"/>
    <s v="ORD00763"/>
    <s v="PRD005"/>
    <n v="1"/>
    <n v="39000"/>
    <s v="Kabel Data USB-C"/>
    <n v="39000"/>
    <n v="15000"/>
    <n v="24000"/>
    <s v="CUST0095"/>
    <x v="9"/>
  </r>
  <r>
    <s v="ITM01297"/>
    <s v="ORD00764"/>
    <s v="PRD021"/>
    <n v="1"/>
    <n v="69000"/>
    <s v="Lampu LED Hias 5m"/>
    <n v="69000"/>
    <n v="30000"/>
    <n v="39000"/>
    <s v="CUST0034"/>
    <x v="5"/>
  </r>
  <r>
    <s v="ITM01298"/>
    <s v="ORD00765"/>
    <s v="PRD005"/>
    <n v="3"/>
    <n v="39000"/>
    <s v="Kabel Data USB-C"/>
    <n v="117000"/>
    <n v="15000"/>
    <n v="72000"/>
    <s v="CUST0080"/>
    <x v="2"/>
  </r>
  <r>
    <s v="ITM01299"/>
    <s v="ORD00765"/>
    <s v="PRD020"/>
    <n v="1"/>
    <n v="179000"/>
    <s v="Rak Penyimpanan Serbaguna"/>
    <n v="179000"/>
    <n v="90000"/>
    <n v="89000"/>
    <s v="CUST0080"/>
    <x v="2"/>
  </r>
  <r>
    <s v="ITM01300"/>
    <s v="ORD00765"/>
    <s v="PRD022"/>
    <n v="1"/>
    <n v="55000"/>
    <s v="Sapu + Pengki Set"/>
    <n v="55000"/>
    <n v="25000"/>
    <n v="30000"/>
    <s v="CUST0080"/>
    <x v="2"/>
  </r>
  <r>
    <s v="ITM01301"/>
    <s v="ORD00766"/>
    <s v="PRD012"/>
    <n v="1"/>
    <n v="229000"/>
    <s v="Celana Jeans Slimfit"/>
    <n v="229000"/>
    <n v="110000"/>
    <n v="119000"/>
    <s v="CUST0185"/>
    <x v="5"/>
  </r>
  <r>
    <s v="ITM01302"/>
    <s v="ORD00767"/>
    <s v="PRD020"/>
    <n v="1"/>
    <n v="179000"/>
    <s v="Rak Penyimpanan Serbaguna"/>
    <n v="179000"/>
    <n v="90000"/>
    <n v="89000"/>
    <s v="CUST0197"/>
    <x v="7"/>
  </r>
  <r>
    <s v="ITM01303"/>
    <s v="ORD00768"/>
    <s v="PRD021"/>
    <n v="1"/>
    <n v="69000"/>
    <s v="Lampu LED Hias 5m"/>
    <n v="69000"/>
    <n v="30000"/>
    <n v="39000"/>
    <s v="CUST0148"/>
    <x v="5"/>
  </r>
  <r>
    <s v="ITM01304"/>
    <s v="ORD00768"/>
    <s v="PRD005"/>
    <n v="2"/>
    <n v="39000"/>
    <s v="Kabel Data USB-C"/>
    <n v="78000"/>
    <n v="15000"/>
    <n v="48000"/>
    <s v="CUST0148"/>
    <x v="5"/>
  </r>
  <r>
    <s v="ITM01305"/>
    <s v="ORD00768"/>
    <s v="PRD020"/>
    <n v="1"/>
    <n v="179000"/>
    <s v="Rak Penyimpanan Serbaguna"/>
    <n v="179000"/>
    <n v="90000"/>
    <n v="89000"/>
    <s v="CUST0148"/>
    <x v="5"/>
  </r>
  <r>
    <s v="ITM01306"/>
    <s v="ORD00768"/>
    <s v="PRD009"/>
    <n v="1"/>
    <n v="79000"/>
    <s v="Kaos Polos Cotton Combed"/>
    <n v="79000"/>
    <n v="35000"/>
    <n v="44000"/>
    <s v="CUST0148"/>
    <x v="5"/>
  </r>
  <r>
    <s v="ITM01307"/>
    <s v="ORD00769"/>
    <s v="PRD005"/>
    <n v="2"/>
    <n v="39000"/>
    <s v="Kabel Data USB-C"/>
    <n v="78000"/>
    <n v="15000"/>
    <n v="48000"/>
    <s v="CUST0082"/>
    <x v="1"/>
  </r>
  <r>
    <s v="ITM01308"/>
    <s v="ORD00769"/>
    <s v="PRD021"/>
    <n v="2"/>
    <n v="69000"/>
    <s v="Lampu LED Hias 5m"/>
    <n v="138000"/>
    <n v="30000"/>
    <n v="78000"/>
    <s v="CUST0082"/>
    <x v="1"/>
  </r>
  <r>
    <s v="ITM01309"/>
    <s v="ORD00770"/>
    <s v="PRD021"/>
    <n v="1"/>
    <n v="69000"/>
    <s v="Lampu LED Hias 5m"/>
    <n v="69000"/>
    <n v="30000"/>
    <n v="39000"/>
    <s v="CUST0120"/>
    <x v="1"/>
  </r>
  <r>
    <s v="ITM01310"/>
    <s v="ORD00771"/>
    <s v="PRD008"/>
    <n v="3"/>
    <n v="399000"/>
    <s v="Keyboard Mechanical Mini"/>
    <n v="1197000"/>
    <n v="200000"/>
    <n v="597000"/>
    <s v="CUST0089"/>
    <x v="1"/>
  </r>
  <r>
    <s v="ITM01311"/>
    <s v="ORD00772"/>
    <s v="PRD021"/>
    <n v="2"/>
    <n v="69000"/>
    <s v="Lampu LED Hias 5m"/>
    <n v="138000"/>
    <n v="30000"/>
    <n v="78000"/>
    <s v="CUST0200"/>
    <x v="4"/>
  </r>
  <r>
    <s v="ITM01312"/>
    <s v="ORD00773"/>
    <s v="PRD021"/>
    <n v="2"/>
    <n v="69000"/>
    <s v="Lampu LED Hias 5m"/>
    <n v="138000"/>
    <n v="30000"/>
    <n v="78000"/>
    <s v="CUST0047"/>
    <x v="4"/>
  </r>
  <r>
    <s v="ITM01313"/>
    <s v="ORD00773"/>
    <s v="PRD005"/>
    <n v="1"/>
    <n v="39000"/>
    <s v="Kabel Data USB-C"/>
    <n v="39000"/>
    <n v="15000"/>
    <n v="24000"/>
    <s v="CUST0047"/>
    <x v="4"/>
  </r>
  <r>
    <s v="ITM01314"/>
    <s v="ORD00773"/>
    <s v="PRD007"/>
    <n v="1"/>
    <n v="99000"/>
    <s v="Mouse Wireless"/>
    <n v="99000"/>
    <n v="45000"/>
    <n v="54000"/>
    <s v="CUST0047"/>
    <x v="4"/>
  </r>
  <r>
    <s v="ITM01315"/>
    <s v="ORD00773"/>
    <s v="PRD009"/>
    <n v="1"/>
    <n v="79000"/>
    <s v="Kaos Polos Cotton Combed"/>
    <n v="79000"/>
    <n v="35000"/>
    <n v="44000"/>
    <s v="CUST0047"/>
    <x v="4"/>
  </r>
  <r>
    <s v="ITM01316"/>
    <s v="ORD00774"/>
    <s v="PRD021"/>
    <n v="1"/>
    <n v="69000"/>
    <s v="Lampu LED Hias 5m"/>
    <n v="69000"/>
    <n v="30000"/>
    <n v="39000"/>
    <s v="CUST0015"/>
    <x v="8"/>
  </r>
  <r>
    <s v="ITM01317"/>
    <s v="ORD00775"/>
    <s v="PRD017"/>
    <n v="1"/>
    <n v="329000"/>
    <s v="Rice Cooker Mini 1.5L"/>
    <n v="329000"/>
    <n v="180000"/>
    <n v="149000"/>
    <s v="CUST0133"/>
    <x v="6"/>
  </r>
  <r>
    <s v="ITM01318"/>
    <s v="ORD00776"/>
    <s v="PRD017"/>
    <n v="1"/>
    <n v="329000"/>
    <s v="Rice Cooker Mini 1.5L"/>
    <n v="329000"/>
    <n v="180000"/>
    <n v="149000"/>
    <s v="CUST0043"/>
    <x v="2"/>
  </r>
  <r>
    <s v="ITM01319"/>
    <s v="ORD00776"/>
    <s v="PRD021"/>
    <n v="1"/>
    <n v="69000"/>
    <s v="Lampu LED Hias 5m"/>
    <n v="69000"/>
    <n v="30000"/>
    <n v="39000"/>
    <s v="CUST0043"/>
    <x v="2"/>
  </r>
  <r>
    <s v="ITM01320"/>
    <s v="ORD00776"/>
    <s v="PRD006"/>
    <n v="1"/>
    <n v="129000"/>
    <s v="Charger Fast Charging 33W"/>
    <n v="129000"/>
    <n v="60000"/>
    <n v="69000"/>
    <s v="CUST0043"/>
    <x v="2"/>
  </r>
  <r>
    <s v="ITM01321"/>
    <s v="ORD00777"/>
    <s v="PRD020"/>
    <n v="1"/>
    <n v="179000"/>
    <s v="Rak Penyimpanan Serbaguna"/>
    <n v="179000"/>
    <n v="90000"/>
    <n v="89000"/>
    <s v="CUST0182"/>
    <x v="7"/>
  </r>
  <r>
    <s v="ITM01322"/>
    <s v="ORD00777"/>
    <s v="PRD022"/>
    <n v="2"/>
    <n v="55000"/>
    <s v="Sapu + Pengki Set"/>
    <n v="110000"/>
    <n v="25000"/>
    <n v="60000"/>
    <s v="CUST0182"/>
    <x v="7"/>
  </r>
  <r>
    <s v="ITM01323"/>
    <s v="ORD00778"/>
    <s v="PRD004"/>
    <n v="1"/>
    <n v="199000"/>
    <s v="Speaker Bluetooth Mini"/>
    <n v="199000"/>
    <n v="100000"/>
    <n v="99000"/>
    <s v="CUST0133"/>
    <x v="6"/>
  </r>
  <r>
    <s v="ITM01324"/>
    <s v="ORD00779"/>
    <s v="PRD021"/>
    <n v="1"/>
    <n v="69000"/>
    <s v="Lampu LED Hias 5m"/>
    <n v="69000"/>
    <n v="30000"/>
    <n v="39000"/>
    <s v="CUST0065"/>
    <x v="5"/>
  </r>
  <r>
    <s v="ITM01325"/>
    <s v="ORD00780"/>
    <s v="PRD021"/>
    <n v="2"/>
    <n v="69000"/>
    <s v="Lampu LED Hias 5m"/>
    <n v="138000"/>
    <n v="30000"/>
    <n v="78000"/>
    <s v="CUST0071"/>
    <x v="3"/>
  </r>
  <r>
    <s v="ITM01326"/>
    <s v="ORD00781"/>
    <s v="PRD008"/>
    <n v="3"/>
    <n v="399000"/>
    <s v="Keyboard Mechanical Mini"/>
    <n v="1197000"/>
    <n v="200000"/>
    <n v="597000"/>
    <s v="CUST0078"/>
    <x v="3"/>
  </r>
  <r>
    <s v="ITM01327"/>
    <s v="ORD00782"/>
    <s v="PRD005"/>
    <n v="1"/>
    <n v="39000"/>
    <s v="Kabel Data USB-C"/>
    <n v="39000"/>
    <n v="15000"/>
    <n v="24000"/>
    <s v="CUST0129"/>
    <x v="3"/>
  </r>
  <r>
    <s v="ITM01328"/>
    <s v="ORD00782"/>
    <s v="PRD021"/>
    <n v="3"/>
    <n v="69000"/>
    <s v="Lampu LED Hias 5m"/>
    <n v="207000"/>
    <n v="30000"/>
    <n v="117000"/>
    <s v="CUST0129"/>
    <x v="3"/>
  </r>
  <r>
    <s v="ITM01329"/>
    <s v="ORD00782"/>
    <s v="PRD009"/>
    <n v="1"/>
    <n v="79000"/>
    <s v="Kaos Polos Cotton Combed"/>
    <n v="79000"/>
    <n v="35000"/>
    <n v="44000"/>
    <s v="CUST0129"/>
    <x v="3"/>
  </r>
  <r>
    <s v="ITM01330"/>
    <s v="ORD00783"/>
    <s v="PRD005"/>
    <n v="3"/>
    <n v="39000"/>
    <s v="Kabel Data USB-C"/>
    <n v="117000"/>
    <n v="15000"/>
    <n v="72000"/>
    <s v="CUST0152"/>
    <x v="9"/>
  </r>
  <r>
    <s v="ITM01331"/>
    <s v="ORD00784"/>
    <s v="PRD007"/>
    <n v="3"/>
    <n v="99000"/>
    <s v="Mouse Wireless"/>
    <n v="297000"/>
    <n v="45000"/>
    <n v="162000"/>
    <s v="CUST0169"/>
    <x v="6"/>
  </r>
  <r>
    <s v="ITM01332"/>
    <s v="ORD00784"/>
    <s v="PRD021"/>
    <n v="1"/>
    <n v="69000"/>
    <s v="Lampu LED Hias 5m"/>
    <n v="69000"/>
    <n v="30000"/>
    <n v="39000"/>
    <s v="CUST0169"/>
    <x v="6"/>
  </r>
  <r>
    <s v="ITM01333"/>
    <s v="ORD00785"/>
    <s v="PRD005"/>
    <n v="2"/>
    <n v="39000"/>
    <s v="Kabel Data USB-C"/>
    <n v="78000"/>
    <n v="15000"/>
    <n v="48000"/>
    <s v="CUST0155"/>
    <x v="0"/>
  </r>
  <r>
    <s v="ITM01334"/>
    <s v="ORD00786"/>
    <s v="PRD005"/>
    <n v="1"/>
    <n v="39000"/>
    <s v="Kabel Data USB-C"/>
    <n v="39000"/>
    <n v="15000"/>
    <n v="24000"/>
    <s v="CUST0145"/>
    <x v="2"/>
  </r>
  <r>
    <s v="ITM01335"/>
    <s v="ORD00786"/>
    <s v="PRD021"/>
    <n v="2"/>
    <n v="69000"/>
    <s v="Lampu LED Hias 5m"/>
    <n v="138000"/>
    <n v="30000"/>
    <n v="78000"/>
    <s v="CUST0145"/>
    <x v="2"/>
  </r>
  <r>
    <s v="ITM01336"/>
    <s v="ORD00787"/>
    <s v="PRD005"/>
    <n v="3"/>
    <n v="39000"/>
    <s v="Kabel Data USB-C"/>
    <n v="117000"/>
    <n v="15000"/>
    <n v="72000"/>
    <s v="CUST0008"/>
    <x v="5"/>
  </r>
  <r>
    <s v="ITM01337"/>
    <s v="ORD00788"/>
    <s v="PRD017"/>
    <n v="1"/>
    <n v="329000"/>
    <s v="Rice Cooker Mini 1.5L"/>
    <n v="329000"/>
    <n v="180000"/>
    <n v="149000"/>
    <s v="CUST0198"/>
    <x v="2"/>
  </r>
  <r>
    <s v="ITM01338"/>
    <s v="ORD00788"/>
    <s v="PRD022"/>
    <n v="2"/>
    <n v="55000"/>
    <s v="Sapu + Pengki Set"/>
    <n v="110000"/>
    <n v="25000"/>
    <n v="60000"/>
    <s v="CUST0198"/>
    <x v="2"/>
  </r>
  <r>
    <s v="ITM01339"/>
    <s v="ORD00789"/>
    <s v="PRD021"/>
    <n v="1"/>
    <n v="69000"/>
    <s v="Lampu LED Hias 5m"/>
    <n v="69000"/>
    <n v="30000"/>
    <n v="39000"/>
    <s v="CUST0167"/>
    <x v="5"/>
  </r>
  <r>
    <s v="ITM01340"/>
    <s v="ORD00790"/>
    <s v="PRD019"/>
    <n v="2"/>
    <n v="79000"/>
    <s v="Botol Minum Stainless 1L"/>
    <n v="158000"/>
    <n v="35000"/>
    <n v="88000"/>
    <s v="CUST0147"/>
    <x v="0"/>
  </r>
  <r>
    <s v="ITM01341"/>
    <s v="ORD00790"/>
    <s v="PRD021"/>
    <n v="3"/>
    <n v="69000"/>
    <s v="Lampu LED Hias 5m"/>
    <n v="207000"/>
    <n v="30000"/>
    <n v="117000"/>
    <s v="CUST0147"/>
    <x v="0"/>
  </r>
  <r>
    <s v="ITM01342"/>
    <s v="ORD00791"/>
    <s v="PRD008"/>
    <n v="1"/>
    <n v="399000"/>
    <s v="Keyboard Mechanical Mini"/>
    <n v="399000"/>
    <n v="200000"/>
    <n v="199000"/>
    <s v="CUST0164"/>
    <x v="8"/>
  </r>
  <r>
    <s v="ITM01343"/>
    <s v="ORD00792"/>
    <s v="PRD005"/>
    <n v="1"/>
    <n v="39000"/>
    <s v="Kabel Data USB-C"/>
    <n v="39000"/>
    <n v="15000"/>
    <n v="24000"/>
    <s v="CUST0161"/>
    <x v="9"/>
  </r>
  <r>
    <s v="ITM01344"/>
    <s v="ORD00793"/>
    <s v="PRD009"/>
    <n v="2"/>
    <n v="79000"/>
    <s v="Kaos Polos Cotton Combed"/>
    <n v="158000"/>
    <n v="35000"/>
    <n v="88000"/>
    <s v="CUST0165"/>
    <x v="7"/>
  </r>
  <r>
    <s v="ITM01345"/>
    <s v="ORD00794"/>
    <s v="PRD005"/>
    <n v="1"/>
    <n v="39000"/>
    <s v="Kabel Data USB-C"/>
    <n v="39000"/>
    <n v="15000"/>
    <n v="24000"/>
    <s v="CUST0063"/>
    <x v="2"/>
  </r>
  <r>
    <s v="ITM01346"/>
    <s v="ORD00795"/>
    <s v="PRD002"/>
    <n v="1"/>
    <n v="159000"/>
    <s v="Power Bank 10000mAh"/>
    <n v="159000"/>
    <n v="80000"/>
    <n v="79000"/>
    <s v="CUST0117"/>
    <x v="8"/>
  </r>
  <r>
    <s v="ITM01347"/>
    <s v="ORD00795"/>
    <s v="PRD021"/>
    <n v="1"/>
    <n v="69000"/>
    <s v="Lampu LED Hias 5m"/>
    <n v="69000"/>
    <n v="30000"/>
    <n v="39000"/>
    <s v="CUST0117"/>
    <x v="8"/>
  </r>
  <r>
    <s v="ITM01348"/>
    <s v="ORD00795"/>
    <s v="PRD008"/>
    <n v="2"/>
    <n v="399000"/>
    <s v="Keyboard Mechanical Mini"/>
    <n v="798000"/>
    <n v="200000"/>
    <n v="398000"/>
    <s v="CUST0117"/>
    <x v="8"/>
  </r>
  <r>
    <s v="ITM01349"/>
    <s v="ORD00795"/>
    <s v="PRD005"/>
    <n v="3"/>
    <n v="39000"/>
    <s v="Kabel Data USB-C"/>
    <n v="117000"/>
    <n v="15000"/>
    <n v="72000"/>
    <s v="CUST0117"/>
    <x v="8"/>
  </r>
  <r>
    <s v="ITM01350"/>
    <s v="ORD00796"/>
    <s v="PRD022"/>
    <n v="3"/>
    <n v="55000"/>
    <s v="Sapu + Pengki Set"/>
    <n v="165000"/>
    <n v="25000"/>
    <n v="90000"/>
    <s v="CUST0041"/>
    <x v="6"/>
  </r>
  <r>
    <s v="ITM01351"/>
    <s v="ORD00797"/>
    <s v="PRD021"/>
    <n v="1"/>
    <n v="69000"/>
    <s v="Lampu LED Hias 5m"/>
    <n v="69000"/>
    <n v="30000"/>
    <n v="39000"/>
    <s v="CUST0124"/>
    <x v="7"/>
  </r>
  <r>
    <s v="ITM01352"/>
    <s v="ORD00797"/>
    <s v="PRD005"/>
    <n v="1"/>
    <n v="39000"/>
    <s v="Kabel Data USB-C"/>
    <n v="39000"/>
    <n v="15000"/>
    <n v="24000"/>
    <s v="CUST0124"/>
    <x v="7"/>
  </r>
  <r>
    <s v="ITM01353"/>
    <s v="ORD00797"/>
    <s v="PRD022"/>
    <n v="1"/>
    <n v="55000"/>
    <s v="Sapu + Pengki Set"/>
    <n v="55000"/>
    <n v="25000"/>
    <n v="30000"/>
    <s v="CUST0124"/>
    <x v="7"/>
  </r>
  <r>
    <s v="ITM01354"/>
    <s v="ORD00798"/>
    <s v="PRD006"/>
    <n v="1"/>
    <n v="129000"/>
    <s v="Charger Fast Charging 33W"/>
    <n v="129000"/>
    <n v="60000"/>
    <n v="69000"/>
    <s v="CUST0156"/>
    <x v="7"/>
  </r>
  <r>
    <s v="ITM01355"/>
    <s v="ORD00798"/>
    <s v="PRD022"/>
    <n v="1"/>
    <n v="55000"/>
    <s v="Sapu + Pengki Set"/>
    <n v="55000"/>
    <n v="25000"/>
    <n v="30000"/>
    <s v="CUST0156"/>
    <x v="7"/>
  </r>
  <r>
    <s v="ITM01356"/>
    <s v="ORD00799"/>
    <s v="PRD021"/>
    <n v="1"/>
    <n v="69000"/>
    <s v="Lampu LED Hias 5m"/>
    <n v="69000"/>
    <n v="30000"/>
    <n v="39000"/>
    <s v="CUST0184"/>
    <x v="3"/>
  </r>
  <r>
    <s v="ITM01357"/>
    <s v="ORD00800"/>
    <s v="PRD005"/>
    <n v="1"/>
    <n v="39000"/>
    <s v="Kabel Data USB-C"/>
    <n v="39000"/>
    <n v="15000"/>
    <n v="24000"/>
    <s v="CUST0089"/>
    <x v="1"/>
  </r>
  <r>
    <s v="ITM00824"/>
    <s v="ORD00478"/>
    <s v="PRD017"/>
    <n v="1"/>
    <n v="329000"/>
    <s v="Rice Cooker Mini 1.5L"/>
    <n v="329000"/>
    <n v="180000"/>
    <n v="149000"/>
    <s v="CUST0159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4353A-C4C9-4DA8-8A40-16F1FB2B19D7}" name="PivotTable1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6" firstHeaderRow="1" firstDataRow="1" firstDataCol="1"/>
  <pivotFields count="5">
    <pivotField dataField="1" showAll="0"/>
    <pivotField showAll="0"/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9"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C38F1-98DF-4153-B9A0-B1ECAD242905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6">
    <pivotField showAll="0"/>
    <pivotField showAll="0"/>
    <pivotField showAll="0"/>
    <pivotField dataField="1" showAll="0"/>
    <pivotField numFmtId="3" showAll="0"/>
    <pivotField axis="axisRow" showAll="0" sortType="descending">
      <items count="22">
        <item x="13"/>
        <item x="5"/>
        <item x="10"/>
        <item x="17"/>
        <item x="2"/>
        <item x="3"/>
        <item x="12"/>
        <item x="0"/>
        <item x="6"/>
        <item x="14"/>
        <item x="1"/>
        <item x="7"/>
        <item x="4"/>
        <item x="9"/>
        <item x="15"/>
        <item x="11"/>
        <item x="19"/>
        <item x="18"/>
        <item x="16"/>
        <item x="8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22">
    <i>
      <x v="7"/>
    </i>
    <i>
      <x v="4"/>
    </i>
    <i>
      <x v="10"/>
    </i>
    <i>
      <x v="12"/>
    </i>
    <i>
      <x v="11"/>
    </i>
    <i>
      <x v="5"/>
    </i>
    <i>
      <x v="6"/>
    </i>
    <i>
      <x v="2"/>
    </i>
    <i>
      <x v="13"/>
    </i>
    <i>
      <x v="1"/>
    </i>
    <i>
      <x v="9"/>
    </i>
    <i>
      <x/>
    </i>
    <i>
      <x v="19"/>
    </i>
    <i>
      <x v="8"/>
    </i>
    <i>
      <x v="16"/>
    </i>
    <i>
      <x v="15"/>
    </i>
    <i>
      <x v="3"/>
    </i>
    <i>
      <x v="17"/>
    </i>
    <i>
      <x v="20"/>
    </i>
    <i>
      <x v="14"/>
    </i>
    <i>
      <x v="18"/>
    </i>
    <i t="grand">
      <x/>
    </i>
  </rowItems>
  <colItems count="1">
    <i/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EED50-9764-4B95-B094-C88C13860DD1}" name="PivotTable4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7">
    <pivotField showAll="0"/>
    <pivotField showAll="0"/>
    <pivotField showAll="0"/>
    <pivotField showAll="0"/>
    <pivotField numFmtId="3" showAll="0"/>
    <pivotField axis="axisRow" showAll="0" sortType="descending">
      <items count="22">
        <item x="13"/>
        <item x="5"/>
        <item x="10"/>
        <item x="17"/>
        <item x="2"/>
        <item x="3"/>
        <item x="12"/>
        <item x="0"/>
        <item x="6"/>
        <item x="14"/>
        <item x="1"/>
        <item x="7"/>
        <item x="4"/>
        <item x="9"/>
        <item x="15"/>
        <item x="11"/>
        <item x="19"/>
        <item x="18"/>
        <item x="16"/>
        <item x="8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22">
    <i>
      <x v="11"/>
    </i>
    <i>
      <x v="6"/>
    </i>
    <i>
      <x v="7"/>
    </i>
    <i>
      <x v="13"/>
    </i>
    <i>
      <x v="10"/>
    </i>
    <i>
      <x v="4"/>
    </i>
    <i>
      <x v="2"/>
    </i>
    <i>
      <x v="1"/>
    </i>
    <i>
      <x v="5"/>
    </i>
    <i>
      <x v="15"/>
    </i>
    <i>
      <x v="12"/>
    </i>
    <i>
      <x v="9"/>
    </i>
    <i>
      <x v="16"/>
    </i>
    <i>
      <x v="19"/>
    </i>
    <i>
      <x v="8"/>
    </i>
    <i>
      <x/>
    </i>
    <i>
      <x v="3"/>
    </i>
    <i>
      <x v="20"/>
    </i>
    <i>
      <x v="17"/>
    </i>
    <i>
      <x v="14"/>
    </i>
    <i>
      <x v="18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7090B-48D1-4821-8391-7FB71CBB8807}" name="PivotTable6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9">
    <pivotField showAll="0"/>
    <pivotField showAll="0"/>
    <pivotField showAll="0"/>
    <pivotField showAll="0"/>
    <pivotField numFmtId="3" showAll="0"/>
    <pivotField axis="axisRow" showAll="0" sortType="descending">
      <items count="22">
        <item x="13"/>
        <item x="5"/>
        <item x="10"/>
        <item x="17"/>
        <item x="2"/>
        <item x="3"/>
        <item x="12"/>
        <item x="0"/>
        <item x="6"/>
        <item x="14"/>
        <item x="1"/>
        <item x="7"/>
        <item x="4"/>
        <item x="9"/>
        <item x="15"/>
        <item x="11"/>
        <item x="19"/>
        <item x="18"/>
        <item x="16"/>
        <item x="8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22">
    <i>
      <x v="7"/>
    </i>
    <i>
      <x v="6"/>
    </i>
    <i>
      <x v="11"/>
    </i>
    <i>
      <x v="13"/>
    </i>
    <i>
      <x v="10"/>
    </i>
    <i>
      <x v="4"/>
    </i>
    <i>
      <x v="2"/>
    </i>
    <i>
      <x v="1"/>
    </i>
    <i>
      <x v="5"/>
    </i>
    <i>
      <x v="15"/>
    </i>
    <i>
      <x v="12"/>
    </i>
    <i>
      <x v="9"/>
    </i>
    <i>
      <x v="16"/>
    </i>
    <i>
      <x v="19"/>
    </i>
    <i>
      <x v="8"/>
    </i>
    <i>
      <x/>
    </i>
    <i>
      <x v="3"/>
    </i>
    <i>
      <x v="20"/>
    </i>
    <i>
      <x v="17"/>
    </i>
    <i>
      <x v="14"/>
    </i>
    <i>
      <x v="18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89A86-88E6-4DE0-AF9E-87CFF8953F14}" name="PivotTable8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/>
  <pivotFields count="2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8"/>
    </i>
    <i>
      <x/>
    </i>
    <i>
      <x v="9"/>
    </i>
    <i>
      <x v="1"/>
    </i>
    <i>
      <x v="6"/>
    </i>
    <i>
      <x v="4"/>
    </i>
    <i>
      <x v="7"/>
    </i>
    <i>
      <x v="2"/>
    </i>
    <i>
      <x v="5"/>
    </i>
    <i t="grand">
      <x/>
    </i>
  </rowItems>
  <colItems count="1">
    <i/>
  </colItems>
  <dataFields count="1">
    <dataField name="Count of order_id" fld="1" subtotal="count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koBerkah_Dummy Project_Data Analysi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E9CAE-74B5-4BFA-8594-93D4FD36C185}" name="PivotTable9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/>
  <pivotFields count="11">
    <pivotField showAll="0"/>
    <pivotField showAll="0"/>
    <pivotField showAll="0"/>
    <pivotField showAll="0"/>
    <pivotField numFmtId="3" showAll="0"/>
    <pivotField showAll="0"/>
    <pivotField dataField="1" showAll="0"/>
    <pivotField showAll="0"/>
    <pivotField showAll="0"/>
    <pivotField showAll="0"/>
    <pivotField axis="axisRow" showAll="0" sortType="descending">
      <items count="11">
        <item x="7"/>
        <item x="3"/>
        <item x="4"/>
        <item x="5"/>
        <item x="1"/>
        <item x="9"/>
        <item x="6"/>
        <item x="8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">
    <i>
      <x v="3"/>
    </i>
    <i>
      <x v="8"/>
    </i>
    <i>
      <x v="1"/>
    </i>
    <i>
      <x/>
    </i>
    <i>
      <x v="9"/>
    </i>
    <i>
      <x v="6"/>
    </i>
    <i>
      <x v="4"/>
    </i>
    <i>
      <x v="7"/>
    </i>
    <i>
      <x v="2"/>
    </i>
    <i>
      <x v="5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78332-8236-41A1-8EAF-05D49880FED9}" name="Table1" displayName="Table1" ref="A1:F801" totalsRowShown="0" headerRowDxfId="1" headerRowBorderDxfId="8" tableBorderDxfId="9" totalsRowBorderDxfId="7">
  <autoFilter ref="A1:F801" xr:uid="{F2778332-8236-41A1-8EAF-05D49880FED9}"/>
  <tableColumns count="6">
    <tableColumn id="1" xr3:uid="{D94F89CE-CF7C-47FA-A850-656854811EFC}" name="order_id" dataDxfId="6"/>
    <tableColumn id="2" xr3:uid="{10CA1965-860D-4AD8-B8A4-C42E8267846A}" name="customer_id" dataDxfId="5"/>
    <tableColumn id="3" xr3:uid="{7F9A0F00-135C-4EBC-8B38-E5C83FCEEDF6}" name="tanggal_order" dataDxfId="4"/>
    <tableColumn id="4" xr3:uid="{7D3E70F3-5B8B-4E85-A03F-409EBFE6C27B}" name="status" dataDxfId="3"/>
    <tableColumn id="5" xr3:uid="{BCA57E52-D800-46CB-BA18-D498EC063676}" name="diskon_persen" dataDxfId="2"/>
    <tableColumn id="6" xr3:uid="{1C11C3CE-1193-477A-A5A2-8BA03A79CB1E}" name="kota" dataDxfId="0">
      <calculatedColumnFormula>VLOOKUP(B2,customers!A:F,6,FALSE)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="63" zoomScaleNormal="63" workbookViewId="0"/>
  </sheetViews>
  <sheetFormatPr defaultRowHeight="14.5" x14ac:dyDescent="0.35"/>
  <cols>
    <col min="1" max="1" width="80" customWidth="1"/>
  </cols>
  <sheetData>
    <row r="1" spans="1:1" ht="18" x14ac:dyDescent="0.4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/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/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/>
    </row>
    <row r="16" spans="1:1" x14ac:dyDescent="0.35">
      <c r="A16" s="2" t="s">
        <v>11</v>
      </c>
    </row>
    <row r="17" spans="1:1" x14ac:dyDescent="0.35">
      <c r="A17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1"/>
  <sheetViews>
    <sheetView zoomScale="76" zoomScaleNormal="76" workbookViewId="0">
      <pane ySplit="1" topLeftCell="A8" activePane="bottomLeft" state="frozen"/>
      <selection pane="bottomLeft" activeCell="C2" sqref="C2"/>
    </sheetView>
  </sheetViews>
  <sheetFormatPr defaultRowHeight="14.5" x14ac:dyDescent="0.35"/>
  <cols>
    <col min="1" max="1" width="13" customWidth="1"/>
    <col min="2" max="2" width="14.7265625" customWidth="1"/>
    <col min="3" max="3" width="22" customWidth="1"/>
    <col min="4" max="4" width="13" customWidth="1"/>
    <col min="5" max="5" width="16" customWidth="1"/>
    <col min="6" max="6" width="12.453125" customWidth="1"/>
  </cols>
  <sheetData>
    <row r="1" spans="1:6" x14ac:dyDescent="0.35">
      <c r="A1" s="10" t="s">
        <v>13</v>
      </c>
      <c r="B1" s="11" t="s">
        <v>14</v>
      </c>
      <c r="C1" s="11" t="s">
        <v>15</v>
      </c>
      <c r="D1" s="11" t="s">
        <v>16</v>
      </c>
      <c r="E1" s="12" t="s">
        <v>17</v>
      </c>
      <c r="F1" s="11" t="s">
        <v>2435</v>
      </c>
    </row>
    <row r="2" spans="1:6" x14ac:dyDescent="0.35">
      <c r="A2" s="8" t="s">
        <v>18</v>
      </c>
      <c r="B2" s="4" t="s">
        <v>19</v>
      </c>
      <c r="C2" s="5">
        <v>45685.833333333343</v>
      </c>
      <c r="D2" s="14" t="s">
        <v>20</v>
      </c>
      <c r="E2" s="9">
        <v>0</v>
      </c>
      <c r="F2" t="str">
        <f>VLOOKUP(B2,customers!A:F,6,FALSE)</f>
        <v>Jakarta</v>
      </c>
    </row>
    <row r="3" spans="1:6" x14ac:dyDescent="0.35">
      <c r="A3" s="8" t="s">
        <v>21</v>
      </c>
      <c r="B3" s="4" t="s">
        <v>19</v>
      </c>
      <c r="C3" s="5">
        <v>45687.833333333343</v>
      </c>
      <c r="D3" s="14" t="s">
        <v>20</v>
      </c>
      <c r="E3" s="9">
        <v>0</v>
      </c>
      <c r="F3" t="str">
        <f>VLOOKUP(B3,customers!A:F,6,FALSE)</f>
        <v>Jakarta</v>
      </c>
    </row>
    <row r="4" spans="1:6" x14ac:dyDescent="0.35">
      <c r="A4" s="8" t="s">
        <v>22</v>
      </c>
      <c r="B4" s="4" t="s">
        <v>23</v>
      </c>
      <c r="C4" s="5">
        <v>45690.333333333343</v>
      </c>
      <c r="D4" s="14" t="s">
        <v>20</v>
      </c>
      <c r="E4" s="9">
        <v>0</v>
      </c>
      <c r="F4" t="str">
        <f>VLOOKUP(B4,customers!A:F,6,FALSE)</f>
        <v>Bandung</v>
      </c>
    </row>
    <row r="5" spans="1:6" x14ac:dyDescent="0.35">
      <c r="A5" s="8" t="s">
        <v>24</v>
      </c>
      <c r="B5" s="4" t="s">
        <v>25</v>
      </c>
      <c r="C5" s="5">
        <v>45696.416666666657</v>
      </c>
      <c r="D5" s="14" t="s">
        <v>20</v>
      </c>
      <c r="E5" s="9">
        <v>0.1</v>
      </c>
      <c r="F5" t="str">
        <f>VLOOKUP(B5,customers!A:F,6,FALSE)</f>
        <v>Palembang</v>
      </c>
    </row>
    <row r="6" spans="1:6" x14ac:dyDescent="0.35">
      <c r="A6" s="8" t="s">
        <v>26</v>
      </c>
      <c r="B6" s="4" t="s">
        <v>27</v>
      </c>
      <c r="C6" s="5">
        <v>45697.625</v>
      </c>
      <c r="D6" s="4" t="s">
        <v>28</v>
      </c>
      <c r="E6" s="9">
        <v>0.05</v>
      </c>
      <c r="F6" t="str">
        <f>VLOOKUP(B6,customers!A:F,6,FALSE)</f>
        <v>Bandung</v>
      </c>
    </row>
    <row r="7" spans="1:6" x14ac:dyDescent="0.35">
      <c r="A7" s="8" t="s">
        <v>29</v>
      </c>
      <c r="B7" s="4" t="s">
        <v>30</v>
      </c>
      <c r="C7" s="5">
        <v>45698.458333333343</v>
      </c>
      <c r="D7" s="4" t="s">
        <v>28</v>
      </c>
      <c r="E7" s="9">
        <v>0</v>
      </c>
      <c r="F7" t="str">
        <f>VLOOKUP(B7,customers!A:F,6,FALSE)</f>
        <v>Surabaya</v>
      </c>
    </row>
    <row r="8" spans="1:6" x14ac:dyDescent="0.35">
      <c r="A8" s="8" t="s">
        <v>31</v>
      </c>
      <c r="B8" s="4" t="s">
        <v>32</v>
      </c>
      <c r="C8" s="5">
        <v>45698.458333333343</v>
      </c>
      <c r="D8" s="14" t="s">
        <v>20</v>
      </c>
      <c r="E8" s="9">
        <v>0</v>
      </c>
      <c r="F8" t="str">
        <f>VLOOKUP(B8,customers!A:F,6,FALSE)</f>
        <v>Semarang</v>
      </c>
    </row>
    <row r="9" spans="1:6" x14ac:dyDescent="0.35">
      <c r="A9" s="8" t="s">
        <v>33</v>
      </c>
      <c r="B9" s="4" t="s">
        <v>34</v>
      </c>
      <c r="C9" s="5">
        <v>45699.333333333343</v>
      </c>
      <c r="D9" s="4" t="s">
        <v>28</v>
      </c>
      <c r="E9" s="9">
        <v>0</v>
      </c>
      <c r="F9" t="str">
        <f>VLOOKUP(B9,customers!A:F,6,FALSE)</f>
        <v>Makassar</v>
      </c>
    </row>
    <row r="10" spans="1:6" x14ac:dyDescent="0.35">
      <c r="A10" s="8" t="s">
        <v>35</v>
      </c>
      <c r="B10" s="4" t="s">
        <v>30</v>
      </c>
      <c r="C10" s="5">
        <v>45702.666666666657</v>
      </c>
      <c r="D10" s="14" t="s">
        <v>20</v>
      </c>
      <c r="E10" s="9">
        <v>0</v>
      </c>
      <c r="F10" t="str">
        <f>VLOOKUP(B10,customers!A:F,6,FALSE)</f>
        <v>Surabaya</v>
      </c>
    </row>
    <row r="11" spans="1:6" x14ac:dyDescent="0.35">
      <c r="A11" s="8" t="s">
        <v>36</v>
      </c>
      <c r="B11" s="4" t="s">
        <v>37</v>
      </c>
      <c r="C11" s="5">
        <v>45705.5</v>
      </c>
      <c r="D11" s="4" t="s">
        <v>28</v>
      </c>
      <c r="E11" s="9">
        <v>0.15</v>
      </c>
      <c r="F11" t="str">
        <f>VLOOKUP(B11,customers!A:F,6,FALSE)</f>
        <v>Palembang</v>
      </c>
    </row>
    <row r="12" spans="1:6" x14ac:dyDescent="0.35">
      <c r="A12" s="8" t="s">
        <v>38</v>
      </c>
      <c r="B12" s="4" t="s">
        <v>39</v>
      </c>
      <c r="C12" s="5">
        <v>45705.791666666657</v>
      </c>
      <c r="D12" s="4" t="s">
        <v>28</v>
      </c>
      <c r="E12" s="9">
        <v>0</v>
      </c>
      <c r="F12" t="str">
        <f>VLOOKUP(B12,customers!A:F,6,FALSE)</f>
        <v>Bandung</v>
      </c>
    </row>
    <row r="13" spans="1:6" x14ac:dyDescent="0.35">
      <c r="A13" s="8" t="s">
        <v>40</v>
      </c>
      <c r="B13" s="4" t="s">
        <v>19</v>
      </c>
      <c r="C13" s="5">
        <v>45707.5</v>
      </c>
      <c r="D13" s="4" t="s">
        <v>28</v>
      </c>
      <c r="E13" s="9">
        <v>0.15</v>
      </c>
      <c r="F13" t="str">
        <f>VLOOKUP(B13,customers!A:F,6,FALSE)</f>
        <v>Jakarta</v>
      </c>
    </row>
    <row r="14" spans="1:6" x14ac:dyDescent="0.35">
      <c r="A14" s="8" t="s">
        <v>41</v>
      </c>
      <c r="B14" s="4" t="s">
        <v>42</v>
      </c>
      <c r="C14" s="5">
        <v>45709.458333333343</v>
      </c>
      <c r="D14" s="14" t="s">
        <v>20</v>
      </c>
      <c r="E14" s="9">
        <v>0.1</v>
      </c>
      <c r="F14" t="str">
        <f>VLOOKUP(B14,customers!A:F,6,FALSE)</f>
        <v>Denpasar</v>
      </c>
    </row>
    <row r="15" spans="1:6" x14ac:dyDescent="0.35">
      <c r="A15" s="8" t="s">
        <v>43</v>
      </c>
      <c r="B15" s="4" t="s">
        <v>44</v>
      </c>
      <c r="C15" s="5">
        <v>45711.708333333343</v>
      </c>
      <c r="D15" s="14" t="s">
        <v>20</v>
      </c>
      <c r="E15" s="9">
        <v>0</v>
      </c>
      <c r="F15" t="str">
        <f>VLOOKUP(B15,customers!A:F,6,FALSE)</f>
        <v>Medan</v>
      </c>
    </row>
    <row r="16" spans="1:6" x14ac:dyDescent="0.35">
      <c r="A16" s="8" t="s">
        <v>45</v>
      </c>
      <c r="B16" s="4" t="s">
        <v>42</v>
      </c>
      <c r="C16" s="5">
        <v>45712.666666666657</v>
      </c>
      <c r="D16" s="4" t="s">
        <v>46</v>
      </c>
      <c r="E16" s="9">
        <v>0.05</v>
      </c>
      <c r="F16" t="str">
        <f>VLOOKUP(B16,customers!A:F,6,FALSE)</f>
        <v>Denpasar</v>
      </c>
    </row>
    <row r="17" spans="1:6" x14ac:dyDescent="0.35">
      <c r="A17" s="8" t="s">
        <v>47</v>
      </c>
      <c r="B17" s="4" t="s">
        <v>48</v>
      </c>
      <c r="C17" s="5">
        <v>45714.75</v>
      </c>
      <c r="D17" s="4" t="s">
        <v>28</v>
      </c>
      <c r="E17" s="9">
        <v>0.05</v>
      </c>
      <c r="F17" t="str">
        <f>VLOOKUP(B17,customers!A:F,6,FALSE)</f>
        <v>Surabaya</v>
      </c>
    </row>
    <row r="18" spans="1:6" x14ac:dyDescent="0.35">
      <c r="A18" s="8" t="s">
        <v>49</v>
      </c>
      <c r="B18" s="4" t="s">
        <v>50</v>
      </c>
      <c r="C18" s="5">
        <v>45715.416666666657</v>
      </c>
      <c r="D18" s="14" t="s">
        <v>20</v>
      </c>
      <c r="E18" s="9">
        <v>0</v>
      </c>
      <c r="F18" t="str">
        <f>VLOOKUP(B18,customers!A:F,6,FALSE)</f>
        <v>Bandung</v>
      </c>
    </row>
    <row r="19" spans="1:6" x14ac:dyDescent="0.35">
      <c r="A19" s="8" t="s">
        <v>51</v>
      </c>
      <c r="B19" s="4" t="s">
        <v>52</v>
      </c>
      <c r="C19" s="5">
        <v>45716.75</v>
      </c>
      <c r="D19" s="4" t="s">
        <v>46</v>
      </c>
      <c r="E19" s="9">
        <v>0</v>
      </c>
      <c r="F19" t="str">
        <f>VLOOKUP(B19,customers!A:F,6,FALSE)</f>
        <v>Medan</v>
      </c>
    </row>
    <row r="20" spans="1:6" x14ac:dyDescent="0.35">
      <c r="A20" s="8" t="s">
        <v>53</v>
      </c>
      <c r="B20" s="4" t="s">
        <v>34</v>
      </c>
      <c r="C20" s="5">
        <v>45719.625</v>
      </c>
      <c r="D20" s="14" t="s">
        <v>20</v>
      </c>
      <c r="E20" s="9">
        <v>0.1</v>
      </c>
      <c r="F20" t="str">
        <f>VLOOKUP(B20,customers!A:F,6,FALSE)</f>
        <v>Makassar</v>
      </c>
    </row>
    <row r="21" spans="1:6" x14ac:dyDescent="0.35">
      <c r="A21" s="8" t="s">
        <v>54</v>
      </c>
      <c r="B21" s="4" t="s">
        <v>55</v>
      </c>
      <c r="C21" s="5">
        <v>45722.708333333343</v>
      </c>
      <c r="D21" s="14" t="s">
        <v>20</v>
      </c>
      <c r="E21" s="9">
        <v>0</v>
      </c>
      <c r="F21" t="str">
        <f>VLOOKUP(B21,customers!A:F,6,FALSE)</f>
        <v>Surabaya</v>
      </c>
    </row>
    <row r="22" spans="1:6" x14ac:dyDescent="0.35">
      <c r="A22" s="8" t="s">
        <v>56</v>
      </c>
      <c r="B22" s="4" t="s">
        <v>25</v>
      </c>
      <c r="C22" s="5">
        <v>45723.5</v>
      </c>
      <c r="D22" s="14" t="s">
        <v>20</v>
      </c>
      <c r="E22" s="9">
        <v>0</v>
      </c>
      <c r="F22" t="str">
        <f>VLOOKUP(B22,customers!A:F,6,FALSE)</f>
        <v>Palembang</v>
      </c>
    </row>
    <row r="23" spans="1:6" x14ac:dyDescent="0.35">
      <c r="A23" s="8" t="s">
        <v>57</v>
      </c>
      <c r="B23" s="4" t="s">
        <v>58</v>
      </c>
      <c r="C23" s="5">
        <v>45723.666666666657</v>
      </c>
      <c r="D23" s="14" t="s">
        <v>20</v>
      </c>
      <c r="E23" s="9">
        <v>0</v>
      </c>
      <c r="F23" t="str">
        <f>VLOOKUP(B23,customers!A:F,6,FALSE)</f>
        <v>Denpasar</v>
      </c>
    </row>
    <row r="24" spans="1:6" x14ac:dyDescent="0.35">
      <c r="A24" s="8" t="s">
        <v>59</v>
      </c>
      <c r="B24" s="4" t="s">
        <v>60</v>
      </c>
      <c r="C24" s="5">
        <v>45725.416666666657</v>
      </c>
      <c r="D24" s="14" t="s">
        <v>20</v>
      </c>
      <c r="E24" s="9">
        <v>0</v>
      </c>
      <c r="F24" t="str">
        <f>VLOOKUP(B24,customers!A:F,6,FALSE)</f>
        <v>Makassar</v>
      </c>
    </row>
    <row r="25" spans="1:6" x14ac:dyDescent="0.35">
      <c r="A25" s="8" t="s">
        <v>61</v>
      </c>
      <c r="B25" s="4" t="s">
        <v>42</v>
      </c>
      <c r="C25" s="5">
        <v>45726.375</v>
      </c>
      <c r="D25" s="14" t="s">
        <v>20</v>
      </c>
      <c r="E25" s="9">
        <v>0.15</v>
      </c>
      <c r="F25" t="str">
        <f>VLOOKUP(B25,customers!A:F,6,FALSE)</f>
        <v>Denpasar</v>
      </c>
    </row>
    <row r="26" spans="1:6" x14ac:dyDescent="0.35">
      <c r="A26" s="8" t="s">
        <v>62</v>
      </c>
      <c r="B26" s="4" t="s">
        <v>55</v>
      </c>
      <c r="C26" s="5">
        <v>45726.75</v>
      </c>
      <c r="D26" s="14" t="s">
        <v>20</v>
      </c>
      <c r="E26" s="9">
        <v>0.05</v>
      </c>
      <c r="F26" t="str">
        <f>VLOOKUP(B26,customers!A:F,6,FALSE)</f>
        <v>Surabaya</v>
      </c>
    </row>
    <row r="27" spans="1:6" x14ac:dyDescent="0.35">
      <c r="A27" s="8" t="s">
        <v>63</v>
      </c>
      <c r="B27" s="4" t="s">
        <v>23</v>
      </c>
      <c r="C27" s="5">
        <v>45727.416666666657</v>
      </c>
      <c r="D27" s="14" t="s">
        <v>20</v>
      </c>
      <c r="E27" s="9">
        <v>0.05</v>
      </c>
      <c r="F27" t="str">
        <f>VLOOKUP(B27,customers!A:F,6,FALSE)</f>
        <v>Bandung</v>
      </c>
    </row>
    <row r="28" spans="1:6" x14ac:dyDescent="0.35">
      <c r="A28" s="8" t="s">
        <v>64</v>
      </c>
      <c r="B28" s="4" t="s">
        <v>65</v>
      </c>
      <c r="C28" s="5">
        <v>45730.375</v>
      </c>
      <c r="D28" s="4" t="s">
        <v>46</v>
      </c>
      <c r="E28" s="9">
        <v>0</v>
      </c>
      <c r="F28" t="str">
        <f>VLOOKUP(B28,customers!A:F,6,FALSE)</f>
        <v>Makassar</v>
      </c>
    </row>
    <row r="29" spans="1:6" x14ac:dyDescent="0.35">
      <c r="A29" s="8" t="s">
        <v>66</v>
      </c>
      <c r="B29" s="4" t="s">
        <v>67</v>
      </c>
      <c r="C29" s="5">
        <v>45731.75</v>
      </c>
      <c r="D29" s="14" t="s">
        <v>20</v>
      </c>
      <c r="E29" s="9">
        <v>0</v>
      </c>
      <c r="F29" t="str">
        <f>VLOOKUP(B29,customers!A:F,6,FALSE)</f>
        <v>Palembang</v>
      </c>
    </row>
    <row r="30" spans="1:6" x14ac:dyDescent="0.35">
      <c r="A30" s="8" t="s">
        <v>68</v>
      </c>
      <c r="B30" s="4" t="s">
        <v>69</v>
      </c>
      <c r="C30" s="5">
        <v>45731.916666666657</v>
      </c>
      <c r="D30" s="14" t="s">
        <v>20</v>
      </c>
      <c r="E30" s="9">
        <v>0</v>
      </c>
      <c r="F30" t="str">
        <f>VLOOKUP(B30,customers!A:F,6,FALSE)</f>
        <v>Yogyakarta</v>
      </c>
    </row>
    <row r="31" spans="1:6" x14ac:dyDescent="0.35">
      <c r="A31" s="8" t="s">
        <v>70</v>
      </c>
      <c r="B31" s="4" t="s">
        <v>71</v>
      </c>
      <c r="C31" s="5">
        <v>45732.5</v>
      </c>
      <c r="D31" s="14" t="s">
        <v>20</v>
      </c>
      <c r="E31" s="9">
        <v>0</v>
      </c>
      <c r="F31" t="str">
        <f>VLOOKUP(B31,customers!A:F,6,FALSE)</f>
        <v>Bandung</v>
      </c>
    </row>
    <row r="32" spans="1:6" x14ac:dyDescent="0.35">
      <c r="A32" s="8" t="s">
        <v>72</v>
      </c>
      <c r="B32" s="4" t="s">
        <v>19</v>
      </c>
      <c r="C32" s="5">
        <v>45732.666666666657</v>
      </c>
      <c r="D32" s="4" t="s">
        <v>28</v>
      </c>
      <c r="E32" s="9">
        <v>0</v>
      </c>
      <c r="F32" t="str">
        <f>VLOOKUP(B32,customers!A:F,6,FALSE)</f>
        <v>Jakarta</v>
      </c>
    </row>
    <row r="33" spans="1:6" x14ac:dyDescent="0.35">
      <c r="A33" s="8" t="s">
        <v>73</v>
      </c>
      <c r="B33" s="4" t="s">
        <v>58</v>
      </c>
      <c r="C33" s="5">
        <v>45732.833333333343</v>
      </c>
      <c r="D33" s="14" t="s">
        <v>20</v>
      </c>
      <c r="E33" s="9">
        <v>0.15</v>
      </c>
      <c r="F33" t="str">
        <f>VLOOKUP(B33,customers!A:F,6,FALSE)</f>
        <v>Denpasar</v>
      </c>
    </row>
    <row r="34" spans="1:6" x14ac:dyDescent="0.35">
      <c r="A34" s="8" t="s">
        <v>74</v>
      </c>
      <c r="B34" s="4" t="s">
        <v>75</v>
      </c>
      <c r="C34" s="5">
        <v>45733.541666666657</v>
      </c>
      <c r="D34" s="4" t="s">
        <v>28</v>
      </c>
      <c r="E34" s="9">
        <v>0</v>
      </c>
      <c r="F34" t="str">
        <f>VLOOKUP(B34,customers!A:F,6,FALSE)</f>
        <v>Jakarta</v>
      </c>
    </row>
    <row r="35" spans="1:6" x14ac:dyDescent="0.35">
      <c r="A35" s="8" t="s">
        <v>76</v>
      </c>
      <c r="B35" s="4" t="s">
        <v>77</v>
      </c>
      <c r="C35" s="5">
        <v>45733.541666666657</v>
      </c>
      <c r="D35" s="14" t="s">
        <v>20</v>
      </c>
      <c r="E35" s="9">
        <v>0</v>
      </c>
      <c r="F35" t="str">
        <f>VLOOKUP(B35,customers!A:F,6,FALSE)</f>
        <v>Yogyakarta</v>
      </c>
    </row>
    <row r="36" spans="1:6" x14ac:dyDescent="0.35">
      <c r="A36" s="8" t="s">
        <v>78</v>
      </c>
      <c r="B36" s="4" t="s">
        <v>44</v>
      </c>
      <c r="C36" s="5">
        <v>45734.333333333343</v>
      </c>
      <c r="D36" s="14" t="s">
        <v>20</v>
      </c>
      <c r="E36" s="9">
        <v>0.05</v>
      </c>
      <c r="F36" t="str">
        <f>VLOOKUP(B36,customers!A:F,6,FALSE)</f>
        <v>Medan</v>
      </c>
    </row>
    <row r="37" spans="1:6" x14ac:dyDescent="0.35">
      <c r="A37" s="8" t="s">
        <v>79</v>
      </c>
      <c r="B37" s="4" t="s">
        <v>80</v>
      </c>
      <c r="C37" s="5">
        <v>45734.5</v>
      </c>
      <c r="D37" s="14" t="s">
        <v>20</v>
      </c>
      <c r="E37" s="9">
        <v>0</v>
      </c>
      <c r="F37" t="str">
        <f>VLOOKUP(B37,customers!A:F,6,FALSE)</f>
        <v>Denpasar</v>
      </c>
    </row>
    <row r="38" spans="1:6" x14ac:dyDescent="0.35">
      <c r="A38" s="8" t="s">
        <v>81</v>
      </c>
      <c r="B38" s="4" t="s">
        <v>23</v>
      </c>
      <c r="C38" s="5">
        <v>45736.708333333343</v>
      </c>
      <c r="D38" s="14" t="s">
        <v>20</v>
      </c>
      <c r="E38" s="9">
        <v>0</v>
      </c>
      <c r="F38" t="str">
        <f>VLOOKUP(B38,customers!A:F,6,FALSE)</f>
        <v>Bandung</v>
      </c>
    </row>
    <row r="39" spans="1:6" x14ac:dyDescent="0.35">
      <c r="A39" s="8" t="s">
        <v>82</v>
      </c>
      <c r="B39" s="4" t="s">
        <v>83</v>
      </c>
      <c r="C39" s="5">
        <v>45737.541666666657</v>
      </c>
      <c r="D39" s="14" t="s">
        <v>20</v>
      </c>
      <c r="E39" s="9">
        <v>0</v>
      </c>
      <c r="F39" t="str">
        <f>VLOOKUP(B39,customers!A:F,6,FALSE)</f>
        <v>Surabaya</v>
      </c>
    </row>
    <row r="40" spans="1:6" x14ac:dyDescent="0.35">
      <c r="A40" s="8" t="s">
        <v>84</v>
      </c>
      <c r="B40" s="4" t="s">
        <v>85</v>
      </c>
      <c r="C40" s="5">
        <v>45737.666666666657</v>
      </c>
      <c r="D40" s="4" t="s">
        <v>28</v>
      </c>
      <c r="E40" s="9">
        <v>0</v>
      </c>
      <c r="F40" t="str">
        <f>VLOOKUP(B40,customers!A:F,6,FALSE)</f>
        <v>Denpasar</v>
      </c>
    </row>
    <row r="41" spans="1:6" x14ac:dyDescent="0.35">
      <c r="A41" s="8" t="s">
        <v>86</v>
      </c>
      <c r="B41" s="4" t="s">
        <v>87</v>
      </c>
      <c r="C41" s="5">
        <v>45737.708333333343</v>
      </c>
      <c r="D41" s="14" t="s">
        <v>20</v>
      </c>
      <c r="E41" s="9">
        <v>0.05</v>
      </c>
      <c r="F41" t="str">
        <f>VLOOKUP(B41,customers!A:F,6,FALSE)</f>
        <v>Jakarta</v>
      </c>
    </row>
    <row r="42" spans="1:6" x14ac:dyDescent="0.35">
      <c r="A42" s="8" t="s">
        <v>88</v>
      </c>
      <c r="B42" s="4" t="s">
        <v>89</v>
      </c>
      <c r="C42" s="5">
        <v>45737.75</v>
      </c>
      <c r="D42" s="4" t="s">
        <v>46</v>
      </c>
      <c r="E42" s="9">
        <v>0</v>
      </c>
      <c r="F42" t="str">
        <f>VLOOKUP(B42,customers!A:F,6,FALSE)</f>
        <v>Semarang</v>
      </c>
    </row>
    <row r="43" spans="1:6" x14ac:dyDescent="0.35">
      <c r="A43" s="8" t="s">
        <v>90</v>
      </c>
      <c r="B43" s="4" t="s">
        <v>32</v>
      </c>
      <c r="C43" s="5">
        <v>45737.833333333343</v>
      </c>
      <c r="D43" s="4" t="s">
        <v>28</v>
      </c>
      <c r="E43" s="9">
        <v>0.1</v>
      </c>
      <c r="F43" t="str">
        <f>VLOOKUP(B43,customers!A:F,6,FALSE)</f>
        <v>Semarang</v>
      </c>
    </row>
    <row r="44" spans="1:6" x14ac:dyDescent="0.35">
      <c r="A44" s="8" t="s">
        <v>91</v>
      </c>
      <c r="B44" s="4" t="s">
        <v>92</v>
      </c>
      <c r="C44" s="5">
        <v>45738.375</v>
      </c>
      <c r="D44" s="4" t="s">
        <v>28</v>
      </c>
      <c r="E44" s="9">
        <v>0.1</v>
      </c>
      <c r="F44" t="str">
        <f>VLOOKUP(B44,customers!A:F,6,FALSE)</f>
        <v>Jakarta</v>
      </c>
    </row>
    <row r="45" spans="1:6" x14ac:dyDescent="0.35">
      <c r="A45" s="8" t="s">
        <v>93</v>
      </c>
      <c r="B45" s="4" t="s">
        <v>94</v>
      </c>
      <c r="C45" s="5">
        <v>45738.791666666657</v>
      </c>
      <c r="D45" s="4" t="s">
        <v>46</v>
      </c>
      <c r="E45" s="9">
        <v>0</v>
      </c>
      <c r="F45" t="str">
        <f>VLOOKUP(B45,customers!A:F,6,FALSE)</f>
        <v>Jakarta</v>
      </c>
    </row>
    <row r="46" spans="1:6" x14ac:dyDescent="0.35">
      <c r="A46" s="8" t="s">
        <v>95</v>
      </c>
      <c r="B46" s="4" t="s">
        <v>39</v>
      </c>
      <c r="C46" s="5">
        <v>45739.583333333343</v>
      </c>
      <c r="D46" s="14" t="s">
        <v>20</v>
      </c>
      <c r="E46" s="9">
        <v>0.2</v>
      </c>
      <c r="F46" t="str">
        <f>VLOOKUP(B46,customers!A:F,6,FALSE)</f>
        <v>Bandung</v>
      </c>
    </row>
    <row r="47" spans="1:6" x14ac:dyDescent="0.35">
      <c r="A47" s="8" t="s">
        <v>96</v>
      </c>
      <c r="B47" s="4" t="s">
        <v>80</v>
      </c>
      <c r="C47" s="5">
        <v>45739.791666666657</v>
      </c>
      <c r="D47" s="14" t="s">
        <v>20</v>
      </c>
      <c r="E47" s="9">
        <v>0</v>
      </c>
      <c r="F47" t="str">
        <f>VLOOKUP(B47,customers!A:F,6,FALSE)</f>
        <v>Denpasar</v>
      </c>
    </row>
    <row r="48" spans="1:6" x14ac:dyDescent="0.35">
      <c r="A48" s="8" t="s">
        <v>97</v>
      </c>
      <c r="B48" s="4" t="s">
        <v>83</v>
      </c>
      <c r="C48" s="5">
        <v>45740.541666666657</v>
      </c>
      <c r="D48" s="14" t="s">
        <v>20</v>
      </c>
      <c r="E48" s="9">
        <v>0</v>
      </c>
      <c r="F48" t="str">
        <f>VLOOKUP(B48,customers!A:F,6,FALSE)</f>
        <v>Surabaya</v>
      </c>
    </row>
    <row r="49" spans="1:6" x14ac:dyDescent="0.35">
      <c r="A49" s="8" t="s">
        <v>98</v>
      </c>
      <c r="B49" s="4" t="s">
        <v>99</v>
      </c>
      <c r="C49" s="5">
        <v>45741.708333333343</v>
      </c>
      <c r="D49" s="4" t="s">
        <v>28</v>
      </c>
      <c r="E49" s="9">
        <v>0.05</v>
      </c>
      <c r="F49" t="str">
        <f>VLOOKUP(B49,customers!A:F,6,FALSE)</f>
        <v>Bandung</v>
      </c>
    </row>
    <row r="50" spans="1:6" x14ac:dyDescent="0.35">
      <c r="A50" s="8" t="s">
        <v>100</v>
      </c>
      <c r="B50" s="4" t="s">
        <v>69</v>
      </c>
      <c r="C50" s="5">
        <v>45741.833333333343</v>
      </c>
      <c r="D50" s="4" t="s">
        <v>46</v>
      </c>
      <c r="E50" s="9">
        <v>0.05</v>
      </c>
      <c r="F50" t="str">
        <f>VLOOKUP(B50,customers!A:F,6,FALSE)</f>
        <v>Yogyakarta</v>
      </c>
    </row>
    <row r="51" spans="1:6" x14ac:dyDescent="0.35">
      <c r="A51" s="8" t="s">
        <v>101</v>
      </c>
      <c r="B51" s="4" t="s">
        <v>77</v>
      </c>
      <c r="C51" s="5">
        <v>45742.416666666657</v>
      </c>
      <c r="D51" s="14" t="s">
        <v>20</v>
      </c>
      <c r="E51" s="9">
        <v>0.2</v>
      </c>
      <c r="F51" t="str">
        <f>VLOOKUP(B51,customers!A:F,6,FALSE)</f>
        <v>Yogyakarta</v>
      </c>
    </row>
    <row r="52" spans="1:6" x14ac:dyDescent="0.35">
      <c r="A52" s="8" t="s">
        <v>102</v>
      </c>
      <c r="B52" s="4" t="s">
        <v>92</v>
      </c>
      <c r="C52" s="5">
        <v>45742.541666666657</v>
      </c>
      <c r="D52" s="14" t="s">
        <v>20</v>
      </c>
      <c r="E52" s="9">
        <v>0</v>
      </c>
      <c r="F52" t="str">
        <f>VLOOKUP(B52,customers!A:F,6,FALSE)</f>
        <v>Jakarta</v>
      </c>
    </row>
    <row r="53" spans="1:6" x14ac:dyDescent="0.35">
      <c r="A53" s="8" t="s">
        <v>103</v>
      </c>
      <c r="B53" s="4" t="s">
        <v>104</v>
      </c>
      <c r="C53" s="5">
        <v>45743.375</v>
      </c>
      <c r="D53" s="4" t="s">
        <v>46</v>
      </c>
      <c r="E53" s="9">
        <v>0</v>
      </c>
      <c r="F53" t="str">
        <f>VLOOKUP(B53,customers!A:F,6,FALSE)</f>
        <v>Depok</v>
      </c>
    </row>
    <row r="54" spans="1:6" x14ac:dyDescent="0.35">
      <c r="A54" s="8" t="s">
        <v>105</v>
      </c>
      <c r="B54" s="4" t="s">
        <v>23</v>
      </c>
      <c r="C54" s="5">
        <v>45743.75</v>
      </c>
      <c r="D54" s="14" t="s">
        <v>20</v>
      </c>
      <c r="E54" s="9">
        <v>0</v>
      </c>
      <c r="F54" t="str">
        <f>VLOOKUP(B54,customers!A:F,6,FALSE)</f>
        <v>Bandung</v>
      </c>
    </row>
    <row r="55" spans="1:6" x14ac:dyDescent="0.35">
      <c r="A55" s="8" t="s">
        <v>106</v>
      </c>
      <c r="B55" s="4" t="s">
        <v>107</v>
      </c>
      <c r="C55" s="5">
        <v>45744.416666666657</v>
      </c>
      <c r="D55" s="4" t="s">
        <v>28</v>
      </c>
      <c r="E55" s="9">
        <v>0.05</v>
      </c>
      <c r="F55" t="str">
        <f>VLOOKUP(B55,customers!A:F,6,FALSE)</f>
        <v>Makassar</v>
      </c>
    </row>
    <row r="56" spans="1:6" x14ac:dyDescent="0.35">
      <c r="A56" s="8" t="s">
        <v>108</v>
      </c>
      <c r="B56" s="4" t="s">
        <v>109</v>
      </c>
      <c r="C56" s="5">
        <v>45748.458333333343</v>
      </c>
      <c r="D56" s="14" t="s">
        <v>20</v>
      </c>
      <c r="E56" s="9">
        <v>0</v>
      </c>
      <c r="F56" t="str">
        <f>VLOOKUP(B56,customers!A:F,6,FALSE)</f>
        <v>Yogyakarta</v>
      </c>
    </row>
    <row r="57" spans="1:6" x14ac:dyDescent="0.35">
      <c r="A57" s="8" t="s">
        <v>110</v>
      </c>
      <c r="B57" s="4" t="s">
        <v>111</v>
      </c>
      <c r="C57" s="5">
        <v>45748.708333333343</v>
      </c>
      <c r="D57" s="14" t="s">
        <v>20</v>
      </c>
      <c r="E57" s="9">
        <v>0.2</v>
      </c>
      <c r="F57" t="str">
        <f>VLOOKUP(B57,customers!A:F,6,FALSE)</f>
        <v>Depok</v>
      </c>
    </row>
    <row r="58" spans="1:6" x14ac:dyDescent="0.35">
      <c r="A58" s="8" t="s">
        <v>112</v>
      </c>
      <c r="B58" s="4" t="s">
        <v>113</v>
      </c>
      <c r="C58" s="5">
        <v>45749.541666666657</v>
      </c>
      <c r="D58" s="14" t="s">
        <v>20</v>
      </c>
      <c r="E58" s="9">
        <v>0.05</v>
      </c>
      <c r="F58" t="str">
        <f>VLOOKUP(B58,customers!A:F,6,FALSE)</f>
        <v>Medan</v>
      </c>
    </row>
    <row r="59" spans="1:6" x14ac:dyDescent="0.35">
      <c r="A59" s="8" t="s">
        <v>114</v>
      </c>
      <c r="B59" s="4" t="s">
        <v>109</v>
      </c>
      <c r="C59" s="5">
        <v>45749.666666666657</v>
      </c>
      <c r="D59" s="14" t="s">
        <v>20</v>
      </c>
      <c r="E59" s="9">
        <v>0.05</v>
      </c>
      <c r="F59" t="str">
        <f>VLOOKUP(B59,customers!A:F,6,FALSE)</f>
        <v>Yogyakarta</v>
      </c>
    </row>
    <row r="60" spans="1:6" x14ac:dyDescent="0.35">
      <c r="A60" s="8" t="s">
        <v>115</v>
      </c>
      <c r="B60" s="4" t="s">
        <v>99</v>
      </c>
      <c r="C60" s="5">
        <v>45750.5</v>
      </c>
      <c r="D60" s="4" t="s">
        <v>46</v>
      </c>
      <c r="E60" s="9">
        <v>0.1</v>
      </c>
      <c r="F60" t="str">
        <f>VLOOKUP(B60,customers!A:F,6,FALSE)</f>
        <v>Bandung</v>
      </c>
    </row>
    <row r="61" spans="1:6" x14ac:dyDescent="0.35">
      <c r="A61" s="8" t="s">
        <v>116</v>
      </c>
      <c r="B61" s="4" t="s">
        <v>117</v>
      </c>
      <c r="C61" s="5">
        <v>45751.333333333343</v>
      </c>
      <c r="D61" s="4" t="s">
        <v>28</v>
      </c>
      <c r="E61" s="9">
        <v>0</v>
      </c>
      <c r="F61" t="str">
        <f>VLOOKUP(B61,customers!A:F,6,FALSE)</f>
        <v>Jakarta</v>
      </c>
    </row>
    <row r="62" spans="1:6" x14ac:dyDescent="0.35">
      <c r="A62" s="8" t="s">
        <v>118</v>
      </c>
      <c r="B62" s="4" t="s">
        <v>117</v>
      </c>
      <c r="C62" s="5">
        <v>45751.416666666657</v>
      </c>
      <c r="D62" s="14" t="s">
        <v>20</v>
      </c>
      <c r="E62" s="9">
        <v>0.15</v>
      </c>
      <c r="F62" t="str">
        <f>VLOOKUP(B62,customers!A:F,6,FALSE)</f>
        <v>Jakarta</v>
      </c>
    </row>
    <row r="63" spans="1:6" x14ac:dyDescent="0.35">
      <c r="A63" s="8" t="s">
        <v>119</v>
      </c>
      <c r="B63" s="4" t="s">
        <v>117</v>
      </c>
      <c r="C63" s="5">
        <v>45751.791666666657</v>
      </c>
      <c r="D63" s="4" t="s">
        <v>28</v>
      </c>
      <c r="E63" s="9">
        <v>0</v>
      </c>
      <c r="F63" t="str">
        <f>VLOOKUP(B63,customers!A:F,6,FALSE)</f>
        <v>Jakarta</v>
      </c>
    </row>
    <row r="64" spans="1:6" x14ac:dyDescent="0.35">
      <c r="A64" s="8" t="s">
        <v>120</v>
      </c>
      <c r="B64" s="4" t="s">
        <v>121</v>
      </c>
      <c r="C64" s="5">
        <v>45752.458333333343</v>
      </c>
      <c r="D64" s="4" t="s">
        <v>46</v>
      </c>
      <c r="E64" s="9">
        <v>0</v>
      </c>
      <c r="F64" t="str">
        <f>VLOOKUP(B64,customers!A:F,6,FALSE)</f>
        <v>Surabaya</v>
      </c>
    </row>
    <row r="65" spans="1:6" x14ac:dyDescent="0.35">
      <c r="A65" s="8" t="s">
        <v>122</v>
      </c>
      <c r="B65" s="4" t="s">
        <v>89</v>
      </c>
      <c r="C65" s="5">
        <v>45752.916666666657</v>
      </c>
      <c r="D65" s="14" t="s">
        <v>20</v>
      </c>
      <c r="E65" s="9">
        <v>0.05</v>
      </c>
      <c r="F65" t="str">
        <f>VLOOKUP(B65,customers!A:F,6,FALSE)</f>
        <v>Semarang</v>
      </c>
    </row>
    <row r="66" spans="1:6" x14ac:dyDescent="0.35">
      <c r="A66" s="8" t="s">
        <v>123</v>
      </c>
      <c r="B66" s="4" t="s">
        <v>124</v>
      </c>
      <c r="C66" s="5">
        <v>45753.5</v>
      </c>
      <c r="D66" s="14" t="s">
        <v>20</v>
      </c>
      <c r="E66" s="9">
        <v>0</v>
      </c>
      <c r="F66" t="str">
        <f>VLOOKUP(B66,customers!A:F,6,FALSE)</f>
        <v>Jakarta</v>
      </c>
    </row>
    <row r="67" spans="1:6" x14ac:dyDescent="0.35">
      <c r="A67" s="8" t="s">
        <v>125</v>
      </c>
      <c r="B67" s="4" t="s">
        <v>126</v>
      </c>
      <c r="C67" s="5">
        <v>45754.416666666657</v>
      </c>
      <c r="D67" s="14" t="s">
        <v>20</v>
      </c>
      <c r="E67" s="9">
        <v>0.1</v>
      </c>
      <c r="F67" t="str">
        <f>VLOOKUP(B67,customers!A:F,6,FALSE)</f>
        <v>Yogyakarta</v>
      </c>
    </row>
    <row r="68" spans="1:6" x14ac:dyDescent="0.35">
      <c r="A68" s="8" t="s">
        <v>127</v>
      </c>
      <c r="B68" s="4" t="s">
        <v>128</v>
      </c>
      <c r="C68" s="5">
        <v>45757.791666666657</v>
      </c>
      <c r="D68" s="14" t="s">
        <v>20</v>
      </c>
      <c r="E68" s="9">
        <v>0</v>
      </c>
      <c r="F68" t="str">
        <f>VLOOKUP(B68,customers!A:F,6,FALSE)</f>
        <v>Yogyakarta</v>
      </c>
    </row>
    <row r="69" spans="1:6" x14ac:dyDescent="0.35">
      <c r="A69" s="8" t="s">
        <v>129</v>
      </c>
      <c r="B69" s="4" t="s">
        <v>126</v>
      </c>
      <c r="C69" s="5">
        <v>45758.625</v>
      </c>
      <c r="D69" s="14" t="s">
        <v>20</v>
      </c>
      <c r="E69" s="9">
        <v>0</v>
      </c>
      <c r="F69" t="str">
        <f>VLOOKUP(B69,customers!A:F,6,FALSE)</f>
        <v>Yogyakarta</v>
      </c>
    </row>
    <row r="70" spans="1:6" x14ac:dyDescent="0.35">
      <c r="A70" s="8" t="s">
        <v>130</v>
      </c>
      <c r="B70" s="4" t="s">
        <v>126</v>
      </c>
      <c r="C70" s="5">
        <v>45758.666666666657</v>
      </c>
      <c r="D70" s="4" t="s">
        <v>28</v>
      </c>
      <c r="E70" s="9">
        <v>0</v>
      </c>
      <c r="F70" t="str">
        <f>VLOOKUP(B70,customers!A:F,6,FALSE)</f>
        <v>Yogyakarta</v>
      </c>
    </row>
    <row r="71" spans="1:6" x14ac:dyDescent="0.35">
      <c r="A71" s="8" t="s">
        <v>131</v>
      </c>
      <c r="B71" s="4" t="s">
        <v>128</v>
      </c>
      <c r="C71" s="5">
        <v>45758.916666666657</v>
      </c>
      <c r="D71" s="4" t="s">
        <v>46</v>
      </c>
      <c r="E71" s="9">
        <v>0.15</v>
      </c>
      <c r="F71" t="str">
        <f>VLOOKUP(B71,customers!A:F,6,FALSE)</f>
        <v>Yogyakarta</v>
      </c>
    </row>
    <row r="72" spans="1:6" x14ac:dyDescent="0.35">
      <c r="A72" s="8" t="s">
        <v>132</v>
      </c>
      <c r="B72" s="4" t="s">
        <v>32</v>
      </c>
      <c r="C72" s="5">
        <v>45760.708333333343</v>
      </c>
      <c r="D72" s="14" t="s">
        <v>20</v>
      </c>
      <c r="E72" s="9">
        <v>0.15</v>
      </c>
      <c r="F72" t="str">
        <f>VLOOKUP(B72,customers!A:F,6,FALSE)</f>
        <v>Semarang</v>
      </c>
    </row>
    <row r="73" spans="1:6" x14ac:dyDescent="0.35">
      <c r="A73" s="8" t="s">
        <v>133</v>
      </c>
      <c r="B73" s="4" t="s">
        <v>128</v>
      </c>
      <c r="C73" s="5">
        <v>45760.916666666657</v>
      </c>
      <c r="D73" s="4" t="s">
        <v>46</v>
      </c>
      <c r="E73" s="9">
        <v>0.15</v>
      </c>
      <c r="F73" t="str">
        <f>VLOOKUP(B73,customers!A:F,6,FALSE)</f>
        <v>Yogyakarta</v>
      </c>
    </row>
    <row r="74" spans="1:6" x14ac:dyDescent="0.35">
      <c r="A74" s="8" t="s">
        <v>134</v>
      </c>
      <c r="B74" s="4" t="s">
        <v>92</v>
      </c>
      <c r="C74" s="5">
        <v>45761.708333333343</v>
      </c>
      <c r="D74" s="14" t="s">
        <v>20</v>
      </c>
      <c r="E74" s="9">
        <v>0.2</v>
      </c>
      <c r="F74" t="str">
        <f>VLOOKUP(B74,customers!A:F,6,FALSE)</f>
        <v>Jakarta</v>
      </c>
    </row>
    <row r="75" spans="1:6" x14ac:dyDescent="0.35">
      <c r="A75" s="8" t="s">
        <v>135</v>
      </c>
      <c r="B75" s="4" t="s">
        <v>136</v>
      </c>
      <c r="C75" s="5">
        <v>45763.541666666657</v>
      </c>
      <c r="D75" s="14" t="s">
        <v>20</v>
      </c>
      <c r="E75" s="9">
        <v>0</v>
      </c>
      <c r="F75" t="str">
        <f>VLOOKUP(B75,customers!A:F,6,FALSE)</f>
        <v>Jakarta</v>
      </c>
    </row>
    <row r="76" spans="1:6" x14ac:dyDescent="0.35">
      <c r="A76" s="8" t="s">
        <v>137</v>
      </c>
      <c r="B76" s="4" t="s">
        <v>113</v>
      </c>
      <c r="C76" s="5">
        <v>45763.916666666657</v>
      </c>
      <c r="D76" s="4" t="s">
        <v>28</v>
      </c>
      <c r="E76" s="9">
        <v>0</v>
      </c>
      <c r="F76" t="str">
        <f>VLOOKUP(B76,customers!A:F,6,FALSE)</f>
        <v>Medan</v>
      </c>
    </row>
    <row r="77" spans="1:6" x14ac:dyDescent="0.35">
      <c r="A77" s="8" t="s">
        <v>138</v>
      </c>
      <c r="B77" s="4" t="s">
        <v>94</v>
      </c>
      <c r="C77" s="5">
        <v>45764.75</v>
      </c>
      <c r="D77" s="14" t="s">
        <v>20</v>
      </c>
      <c r="E77" s="9">
        <v>0</v>
      </c>
      <c r="F77" t="str">
        <f>VLOOKUP(B77,customers!A:F,6,FALSE)</f>
        <v>Jakarta</v>
      </c>
    </row>
    <row r="78" spans="1:6" x14ac:dyDescent="0.35">
      <c r="A78" s="8" t="s">
        <v>139</v>
      </c>
      <c r="B78" s="4" t="s">
        <v>140</v>
      </c>
      <c r="C78" s="5">
        <v>45766.75</v>
      </c>
      <c r="D78" s="14" t="s">
        <v>20</v>
      </c>
      <c r="E78" s="9">
        <v>0.2</v>
      </c>
      <c r="F78" t="str">
        <f>VLOOKUP(B78,customers!A:F,6,FALSE)</f>
        <v>Surabaya</v>
      </c>
    </row>
    <row r="79" spans="1:6" x14ac:dyDescent="0.35">
      <c r="A79" s="8" t="s">
        <v>141</v>
      </c>
      <c r="B79" s="4" t="s">
        <v>142</v>
      </c>
      <c r="C79" s="5">
        <v>45768.583333333343</v>
      </c>
      <c r="D79" s="14" t="s">
        <v>20</v>
      </c>
      <c r="E79" s="9">
        <v>0.05</v>
      </c>
      <c r="F79" t="str">
        <f>VLOOKUP(B79,customers!A:F,6,FALSE)</f>
        <v>Denpasar</v>
      </c>
    </row>
    <row r="80" spans="1:6" x14ac:dyDescent="0.35">
      <c r="A80" s="8" t="s">
        <v>143</v>
      </c>
      <c r="B80" s="4" t="s">
        <v>144</v>
      </c>
      <c r="C80" s="5">
        <v>45769.5</v>
      </c>
      <c r="D80" s="14" t="s">
        <v>20</v>
      </c>
      <c r="E80" s="9">
        <v>0</v>
      </c>
      <c r="F80" t="str">
        <f>VLOOKUP(B80,customers!A:F,6,FALSE)</f>
        <v>Semarang</v>
      </c>
    </row>
    <row r="81" spans="1:6" x14ac:dyDescent="0.35">
      <c r="A81" s="8" t="s">
        <v>145</v>
      </c>
      <c r="B81" s="4" t="s">
        <v>146</v>
      </c>
      <c r="C81" s="5">
        <v>45769.5</v>
      </c>
      <c r="D81" s="14" t="s">
        <v>20</v>
      </c>
      <c r="E81" s="9">
        <v>0</v>
      </c>
      <c r="F81" t="str">
        <f>VLOOKUP(B81,customers!A:F,6,FALSE)</f>
        <v>Bandung</v>
      </c>
    </row>
    <row r="82" spans="1:6" x14ac:dyDescent="0.35">
      <c r="A82" s="8" t="s">
        <v>147</v>
      </c>
      <c r="B82" s="4" t="s">
        <v>77</v>
      </c>
      <c r="C82" s="5">
        <v>45771.416666666657</v>
      </c>
      <c r="D82" s="4" t="s">
        <v>28</v>
      </c>
      <c r="E82" s="9">
        <v>0</v>
      </c>
      <c r="F82" t="str">
        <f>VLOOKUP(B82,customers!A:F,6,FALSE)</f>
        <v>Yogyakarta</v>
      </c>
    </row>
    <row r="83" spans="1:6" x14ac:dyDescent="0.35">
      <c r="A83" s="8" t="s">
        <v>148</v>
      </c>
      <c r="B83" s="4" t="s">
        <v>149</v>
      </c>
      <c r="C83" s="5">
        <v>45772.583333333343</v>
      </c>
      <c r="D83" s="4" t="s">
        <v>46</v>
      </c>
      <c r="E83" s="9">
        <v>0.05</v>
      </c>
      <c r="F83" t="str">
        <f>VLOOKUP(B83,customers!A:F,6,FALSE)</f>
        <v>Jakarta</v>
      </c>
    </row>
    <row r="84" spans="1:6" x14ac:dyDescent="0.35">
      <c r="A84" s="8" t="s">
        <v>150</v>
      </c>
      <c r="B84" s="4" t="s">
        <v>151</v>
      </c>
      <c r="C84" s="5">
        <v>45772.833333333343</v>
      </c>
      <c r="D84" s="14" t="s">
        <v>20</v>
      </c>
      <c r="E84" s="9">
        <v>0</v>
      </c>
      <c r="F84" t="str">
        <f>VLOOKUP(B84,customers!A:F,6,FALSE)</f>
        <v>Jakarta</v>
      </c>
    </row>
    <row r="85" spans="1:6" x14ac:dyDescent="0.35">
      <c r="A85" s="8" t="s">
        <v>152</v>
      </c>
      <c r="B85" s="4" t="s">
        <v>146</v>
      </c>
      <c r="C85" s="5">
        <v>45773.666666666657</v>
      </c>
      <c r="D85" s="14" t="s">
        <v>20</v>
      </c>
      <c r="E85" s="9">
        <v>0</v>
      </c>
      <c r="F85" t="str">
        <f>VLOOKUP(B85,customers!A:F,6,FALSE)</f>
        <v>Bandung</v>
      </c>
    </row>
    <row r="86" spans="1:6" x14ac:dyDescent="0.35">
      <c r="A86" s="8" t="s">
        <v>153</v>
      </c>
      <c r="B86" s="4" t="s">
        <v>154</v>
      </c>
      <c r="C86" s="5">
        <v>45774.916666666657</v>
      </c>
      <c r="D86" s="14" t="s">
        <v>20</v>
      </c>
      <c r="E86" s="9">
        <v>0.05</v>
      </c>
      <c r="F86" t="str">
        <f>VLOOKUP(B86,customers!A:F,6,FALSE)</f>
        <v>Surabaya</v>
      </c>
    </row>
    <row r="87" spans="1:6" x14ac:dyDescent="0.35">
      <c r="A87" s="8" t="s">
        <v>155</v>
      </c>
      <c r="B87" s="4" t="s">
        <v>156</v>
      </c>
      <c r="C87" s="5">
        <v>45780.666666666657</v>
      </c>
      <c r="D87" s="4" t="s">
        <v>28</v>
      </c>
      <c r="E87" s="9">
        <v>0</v>
      </c>
      <c r="F87" t="str">
        <f>VLOOKUP(B87,customers!A:F,6,FALSE)</f>
        <v>Depok</v>
      </c>
    </row>
    <row r="88" spans="1:6" x14ac:dyDescent="0.35">
      <c r="A88" s="8" t="s">
        <v>157</v>
      </c>
      <c r="B88" s="4" t="s">
        <v>158</v>
      </c>
      <c r="C88" s="5">
        <v>45780.666666666657</v>
      </c>
      <c r="D88" s="14" t="s">
        <v>20</v>
      </c>
      <c r="E88" s="9">
        <v>0</v>
      </c>
      <c r="F88" t="str">
        <f>VLOOKUP(B88,customers!A:F,6,FALSE)</f>
        <v>Palembang</v>
      </c>
    </row>
    <row r="89" spans="1:6" x14ac:dyDescent="0.35">
      <c r="A89" s="8" t="s">
        <v>159</v>
      </c>
      <c r="B89" s="4" t="s">
        <v>160</v>
      </c>
      <c r="C89" s="5">
        <v>45782.625</v>
      </c>
      <c r="D89" s="4" t="s">
        <v>28</v>
      </c>
      <c r="E89" s="9">
        <v>0</v>
      </c>
      <c r="F89" t="str">
        <f>VLOOKUP(B89,customers!A:F,6,FALSE)</f>
        <v>Jakarta</v>
      </c>
    </row>
    <row r="90" spans="1:6" x14ac:dyDescent="0.35">
      <c r="A90" s="8" t="s">
        <v>161</v>
      </c>
      <c r="B90" s="4" t="s">
        <v>162</v>
      </c>
      <c r="C90" s="5">
        <v>45782.75</v>
      </c>
      <c r="D90" s="14" t="s">
        <v>20</v>
      </c>
      <c r="E90" s="9">
        <v>0.05</v>
      </c>
      <c r="F90" t="str">
        <f>VLOOKUP(B90,customers!A:F,6,FALSE)</f>
        <v>Denpasar</v>
      </c>
    </row>
    <row r="91" spans="1:6" x14ac:dyDescent="0.35">
      <c r="A91" s="8" t="s">
        <v>163</v>
      </c>
      <c r="B91" s="4" t="s">
        <v>160</v>
      </c>
      <c r="C91" s="5">
        <v>45784.375</v>
      </c>
      <c r="D91" s="4" t="s">
        <v>46</v>
      </c>
      <c r="E91" s="9">
        <v>0</v>
      </c>
      <c r="F91" t="str">
        <f>VLOOKUP(B91,customers!A:F,6,FALSE)</f>
        <v>Jakarta</v>
      </c>
    </row>
    <row r="92" spans="1:6" x14ac:dyDescent="0.35">
      <c r="A92" s="8" t="s">
        <v>164</v>
      </c>
      <c r="B92" s="4" t="s">
        <v>107</v>
      </c>
      <c r="C92" s="5">
        <v>45785.5</v>
      </c>
      <c r="D92" s="4" t="s">
        <v>46</v>
      </c>
      <c r="E92" s="9">
        <v>0.05</v>
      </c>
      <c r="F92" t="str">
        <f>VLOOKUP(B92,customers!A:F,6,FALSE)</f>
        <v>Makassar</v>
      </c>
    </row>
    <row r="93" spans="1:6" x14ac:dyDescent="0.35">
      <c r="A93" s="8" t="s">
        <v>165</v>
      </c>
      <c r="B93" s="4" t="s">
        <v>166</v>
      </c>
      <c r="C93" s="5">
        <v>45785.666666666657</v>
      </c>
      <c r="D93" s="4" t="s">
        <v>28</v>
      </c>
      <c r="E93" s="9">
        <v>0</v>
      </c>
      <c r="F93" t="str">
        <f>VLOOKUP(B93,customers!A:F,6,FALSE)</f>
        <v>Bandung</v>
      </c>
    </row>
    <row r="94" spans="1:6" x14ac:dyDescent="0.35">
      <c r="A94" s="8" t="s">
        <v>167</v>
      </c>
      <c r="B94" s="4" t="s">
        <v>168</v>
      </c>
      <c r="C94" s="5">
        <v>45785.791666666657</v>
      </c>
      <c r="D94" s="14" t="s">
        <v>20</v>
      </c>
      <c r="E94" s="9">
        <v>0</v>
      </c>
      <c r="F94" t="str">
        <f>VLOOKUP(B94,customers!A:F,6,FALSE)</f>
        <v>Surabaya</v>
      </c>
    </row>
    <row r="95" spans="1:6" x14ac:dyDescent="0.35">
      <c r="A95" s="8" t="s">
        <v>169</v>
      </c>
      <c r="B95" s="4" t="s">
        <v>94</v>
      </c>
      <c r="C95" s="5">
        <v>45785.875</v>
      </c>
      <c r="D95" s="4" t="s">
        <v>28</v>
      </c>
      <c r="E95" s="9">
        <v>0</v>
      </c>
      <c r="F95" t="str">
        <f>VLOOKUP(B95,customers!A:F,6,FALSE)</f>
        <v>Jakarta</v>
      </c>
    </row>
    <row r="96" spans="1:6" x14ac:dyDescent="0.35">
      <c r="A96" s="8" t="s">
        <v>170</v>
      </c>
      <c r="B96" s="4" t="s">
        <v>171</v>
      </c>
      <c r="C96" s="5">
        <v>45786.5</v>
      </c>
      <c r="D96" s="14" t="s">
        <v>20</v>
      </c>
      <c r="E96" s="9">
        <v>0</v>
      </c>
      <c r="F96" t="str">
        <f>VLOOKUP(B96,customers!A:F,6,FALSE)</f>
        <v>Surabaya</v>
      </c>
    </row>
    <row r="97" spans="1:6" x14ac:dyDescent="0.35">
      <c r="A97" s="8" t="s">
        <v>172</v>
      </c>
      <c r="B97" s="4" t="s">
        <v>173</v>
      </c>
      <c r="C97" s="5">
        <v>45786.708333333343</v>
      </c>
      <c r="D97" s="4" t="s">
        <v>46</v>
      </c>
      <c r="E97" s="9">
        <v>0.1</v>
      </c>
      <c r="F97" t="str">
        <f>VLOOKUP(B97,customers!A:F,6,FALSE)</f>
        <v>Bandung</v>
      </c>
    </row>
    <row r="98" spans="1:6" x14ac:dyDescent="0.35">
      <c r="A98" s="8" t="s">
        <v>174</v>
      </c>
      <c r="B98" s="4" t="s">
        <v>175</v>
      </c>
      <c r="C98" s="5">
        <v>45786.833333333343</v>
      </c>
      <c r="D98" s="14" t="s">
        <v>20</v>
      </c>
      <c r="E98" s="9">
        <v>0.05</v>
      </c>
      <c r="F98" t="str">
        <f>VLOOKUP(B98,customers!A:F,6,FALSE)</f>
        <v>Jakarta</v>
      </c>
    </row>
    <row r="99" spans="1:6" x14ac:dyDescent="0.35">
      <c r="A99" s="8" t="s">
        <v>176</v>
      </c>
      <c r="B99" s="4" t="s">
        <v>160</v>
      </c>
      <c r="C99" s="5">
        <v>45788.791666666657</v>
      </c>
      <c r="D99" s="14" t="s">
        <v>20</v>
      </c>
      <c r="E99" s="9">
        <v>0.15</v>
      </c>
      <c r="F99" t="str">
        <f>VLOOKUP(B99,customers!A:F,6,FALSE)</f>
        <v>Jakarta</v>
      </c>
    </row>
    <row r="100" spans="1:6" x14ac:dyDescent="0.35">
      <c r="A100" s="8" t="s">
        <v>177</v>
      </c>
      <c r="B100" s="4" t="s">
        <v>178</v>
      </c>
      <c r="C100" s="5">
        <v>45789.458333333343</v>
      </c>
      <c r="D100" s="14" t="s">
        <v>20</v>
      </c>
      <c r="E100" s="9">
        <v>0</v>
      </c>
      <c r="F100" t="str">
        <f>VLOOKUP(B100,customers!A:F,6,FALSE)</f>
        <v>Yogyakarta</v>
      </c>
    </row>
    <row r="101" spans="1:6" x14ac:dyDescent="0.35">
      <c r="A101" s="8" t="s">
        <v>179</v>
      </c>
      <c r="B101" s="4" t="s">
        <v>180</v>
      </c>
      <c r="C101" s="5">
        <v>45790.75</v>
      </c>
      <c r="D101" s="14" t="s">
        <v>20</v>
      </c>
      <c r="E101" s="9">
        <v>0</v>
      </c>
      <c r="F101" t="str">
        <f>VLOOKUP(B101,customers!A:F,6,FALSE)</f>
        <v>Jakarta</v>
      </c>
    </row>
    <row r="102" spans="1:6" x14ac:dyDescent="0.35">
      <c r="A102" s="8" t="s">
        <v>181</v>
      </c>
      <c r="B102" s="4" t="s">
        <v>182</v>
      </c>
      <c r="C102" s="5">
        <v>45790.833333333343</v>
      </c>
      <c r="D102" s="14" t="s">
        <v>20</v>
      </c>
      <c r="E102" s="9">
        <v>0.1</v>
      </c>
      <c r="F102" t="str">
        <f>VLOOKUP(B102,customers!A:F,6,FALSE)</f>
        <v>Makassar</v>
      </c>
    </row>
    <row r="103" spans="1:6" x14ac:dyDescent="0.35">
      <c r="A103" s="8" t="s">
        <v>183</v>
      </c>
      <c r="B103" s="4" t="s">
        <v>32</v>
      </c>
      <c r="C103" s="5">
        <v>45791.666666666657</v>
      </c>
      <c r="D103" s="14" t="s">
        <v>20</v>
      </c>
      <c r="E103" s="9">
        <v>0.05</v>
      </c>
      <c r="F103" t="str">
        <f>VLOOKUP(B103,customers!A:F,6,FALSE)</f>
        <v>Semarang</v>
      </c>
    </row>
    <row r="104" spans="1:6" x14ac:dyDescent="0.35">
      <c r="A104" s="8" t="s">
        <v>184</v>
      </c>
      <c r="B104" s="4" t="s">
        <v>185</v>
      </c>
      <c r="C104" s="5">
        <v>45791.791666666657</v>
      </c>
      <c r="D104" s="4" t="s">
        <v>28</v>
      </c>
      <c r="E104" s="9">
        <v>0</v>
      </c>
      <c r="F104" t="str">
        <f>VLOOKUP(B104,customers!A:F,6,FALSE)</f>
        <v>Jakarta</v>
      </c>
    </row>
    <row r="105" spans="1:6" x14ac:dyDescent="0.35">
      <c r="A105" s="8" t="s">
        <v>186</v>
      </c>
      <c r="B105" s="4" t="s">
        <v>187</v>
      </c>
      <c r="C105" s="5">
        <v>45791.916666666657</v>
      </c>
      <c r="D105" s="4" t="s">
        <v>28</v>
      </c>
      <c r="E105" s="9">
        <v>0</v>
      </c>
      <c r="F105" t="str">
        <f>VLOOKUP(B105,customers!A:F,6,FALSE)</f>
        <v>Denpasar</v>
      </c>
    </row>
    <row r="106" spans="1:6" x14ac:dyDescent="0.35">
      <c r="A106" s="8" t="s">
        <v>188</v>
      </c>
      <c r="B106" s="4" t="s">
        <v>55</v>
      </c>
      <c r="C106" s="5">
        <v>45792.75</v>
      </c>
      <c r="D106" s="14" t="s">
        <v>20</v>
      </c>
      <c r="E106" s="9">
        <v>0</v>
      </c>
      <c r="F106" t="str">
        <f>VLOOKUP(B106,customers!A:F,6,FALSE)</f>
        <v>Surabaya</v>
      </c>
    </row>
    <row r="107" spans="1:6" x14ac:dyDescent="0.35">
      <c r="A107" s="8" t="s">
        <v>189</v>
      </c>
      <c r="B107" s="4" t="s">
        <v>187</v>
      </c>
      <c r="C107" s="5">
        <v>45793.625</v>
      </c>
      <c r="D107" s="14" t="s">
        <v>20</v>
      </c>
      <c r="E107" s="9">
        <v>0</v>
      </c>
      <c r="F107" t="str">
        <f>VLOOKUP(B107,customers!A:F,6,FALSE)</f>
        <v>Denpasar</v>
      </c>
    </row>
    <row r="108" spans="1:6" x14ac:dyDescent="0.35">
      <c r="A108" s="8" t="s">
        <v>190</v>
      </c>
      <c r="B108" s="4" t="s">
        <v>87</v>
      </c>
      <c r="C108" s="5">
        <v>45794.416666666657</v>
      </c>
      <c r="D108" s="14" t="s">
        <v>20</v>
      </c>
      <c r="E108" s="9">
        <v>0</v>
      </c>
      <c r="F108" t="str">
        <f>VLOOKUP(B108,customers!A:F,6,FALSE)</f>
        <v>Jakarta</v>
      </c>
    </row>
    <row r="109" spans="1:6" x14ac:dyDescent="0.35">
      <c r="A109" s="8" t="s">
        <v>191</v>
      </c>
      <c r="B109" s="4" t="s">
        <v>192</v>
      </c>
      <c r="C109" s="5">
        <v>45794.458333333343</v>
      </c>
      <c r="D109" s="14" t="s">
        <v>20</v>
      </c>
      <c r="E109" s="9">
        <v>0.05</v>
      </c>
      <c r="F109" t="str">
        <f>VLOOKUP(B109,customers!A:F,6,FALSE)</f>
        <v>Yogyakarta</v>
      </c>
    </row>
    <row r="110" spans="1:6" x14ac:dyDescent="0.35">
      <c r="A110" s="8" t="s">
        <v>193</v>
      </c>
      <c r="B110" s="4" t="s">
        <v>194</v>
      </c>
      <c r="C110" s="5">
        <v>45794.625</v>
      </c>
      <c r="D110" s="14" t="s">
        <v>20</v>
      </c>
      <c r="E110" s="9">
        <v>0</v>
      </c>
      <c r="F110" t="str">
        <f>VLOOKUP(B110,customers!A:F,6,FALSE)</f>
        <v>Bandung</v>
      </c>
    </row>
    <row r="111" spans="1:6" x14ac:dyDescent="0.35">
      <c r="A111" s="8" t="s">
        <v>195</v>
      </c>
      <c r="B111" s="4" t="s">
        <v>187</v>
      </c>
      <c r="C111" s="5">
        <v>45794.625</v>
      </c>
      <c r="D111" s="14" t="s">
        <v>20</v>
      </c>
      <c r="E111" s="9">
        <v>0.05</v>
      </c>
      <c r="F111" t="str">
        <f>VLOOKUP(B111,customers!A:F,6,FALSE)</f>
        <v>Denpasar</v>
      </c>
    </row>
    <row r="112" spans="1:6" x14ac:dyDescent="0.35">
      <c r="A112" s="8" t="s">
        <v>196</v>
      </c>
      <c r="B112" s="4" t="s">
        <v>27</v>
      </c>
      <c r="C112" s="5">
        <v>45795.5</v>
      </c>
      <c r="D112" s="14" t="s">
        <v>20</v>
      </c>
      <c r="E112" s="9">
        <v>0</v>
      </c>
      <c r="F112" t="str">
        <f>VLOOKUP(B112,customers!A:F,6,FALSE)</f>
        <v>Bandung</v>
      </c>
    </row>
    <row r="113" spans="1:6" x14ac:dyDescent="0.35">
      <c r="A113" s="8" t="s">
        <v>197</v>
      </c>
      <c r="B113" s="4" t="s">
        <v>198</v>
      </c>
      <c r="C113" s="5">
        <v>45795.708333333343</v>
      </c>
      <c r="D113" s="4" t="s">
        <v>46</v>
      </c>
      <c r="E113" s="9">
        <v>0</v>
      </c>
      <c r="F113" t="str">
        <f>VLOOKUP(B113,customers!A:F,6,FALSE)</f>
        <v>Denpasar</v>
      </c>
    </row>
    <row r="114" spans="1:6" x14ac:dyDescent="0.35">
      <c r="A114" s="8" t="s">
        <v>199</v>
      </c>
      <c r="B114" s="4" t="s">
        <v>187</v>
      </c>
      <c r="C114" s="5">
        <v>45795.791666666657</v>
      </c>
      <c r="D114" s="14" t="s">
        <v>20</v>
      </c>
      <c r="E114" s="9">
        <v>0</v>
      </c>
      <c r="F114" t="str">
        <f>VLOOKUP(B114,customers!A:F,6,FALSE)</f>
        <v>Denpasar</v>
      </c>
    </row>
    <row r="115" spans="1:6" x14ac:dyDescent="0.35">
      <c r="A115" s="8" t="s">
        <v>200</v>
      </c>
      <c r="B115" s="4" t="s">
        <v>124</v>
      </c>
      <c r="C115" s="5">
        <v>45795.875</v>
      </c>
      <c r="D115" s="14" t="s">
        <v>20</v>
      </c>
      <c r="E115" s="9">
        <v>0</v>
      </c>
      <c r="F115" t="str">
        <f>VLOOKUP(B115,customers!A:F,6,FALSE)</f>
        <v>Jakarta</v>
      </c>
    </row>
    <row r="116" spans="1:6" x14ac:dyDescent="0.35">
      <c r="A116" s="8" t="s">
        <v>201</v>
      </c>
      <c r="B116" s="4" t="s">
        <v>42</v>
      </c>
      <c r="C116" s="5">
        <v>45796.333333333343</v>
      </c>
      <c r="D116" s="14" t="s">
        <v>20</v>
      </c>
      <c r="E116" s="9">
        <v>0</v>
      </c>
      <c r="F116" t="str">
        <f>VLOOKUP(B116,customers!A:F,6,FALSE)</f>
        <v>Denpasar</v>
      </c>
    </row>
    <row r="117" spans="1:6" x14ac:dyDescent="0.35">
      <c r="A117" s="8" t="s">
        <v>202</v>
      </c>
      <c r="B117" s="4" t="s">
        <v>203</v>
      </c>
      <c r="C117" s="5">
        <v>45796.375</v>
      </c>
      <c r="D117" s="4" t="s">
        <v>28</v>
      </c>
      <c r="E117" s="9">
        <v>0</v>
      </c>
      <c r="F117" t="str">
        <f>VLOOKUP(B117,customers!A:F,6,FALSE)</f>
        <v>Jakarta</v>
      </c>
    </row>
    <row r="118" spans="1:6" x14ac:dyDescent="0.35">
      <c r="A118" s="8" t="s">
        <v>204</v>
      </c>
      <c r="B118" s="4" t="s">
        <v>128</v>
      </c>
      <c r="C118" s="5">
        <v>45796.791666666657</v>
      </c>
      <c r="D118" s="14" t="s">
        <v>20</v>
      </c>
      <c r="E118" s="9">
        <v>0</v>
      </c>
      <c r="F118" t="str">
        <f>VLOOKUP(B118,customers!A:F,6,FALSE)</f>
        <v>Yogyakarta</v>
      </c>
    </row>
    <row r="119" spans="1:6" x14ac:dyDescent="0.35">
      <c r="A119" s="8" t="s">
        <v>205</v>
      </c>
      <c r="B119" s="4" t="s">
        <v>206</v>
      </c>
      <c r="C119" s="5">
        <v>45797.375</v>
      </c>
      <c r="D119" s="4" t="s">
        <v>46</v>
      </c>
      <c r="E119" s="9">
        <v>0</v>
      </c>
      <c r="F119" t="str">
        <f>VLOOKUP(B119,customers!A:F,6,FALSE)</f>
        <v>Depok</v>
      </c>
    </row>
    <row r="120" spans="1:6" x14ac:dyDescent="0.35">
      <c r="A120" s="8" t="s">
        <v>207</v>
      </c>
      <c r="B120" s="4" t="s">
        <v>208</v>
      </c>
      <c r="C120" s="5">
        <v>45797.458333333343</v>
      </c>
      <c r="D120" s="14" t="s">
        <v>20</v>
      </c>
      <c r="E120" s="9">
        <v>0</v>
      </c>
      <c r="F120" t="str">
        <f>VLOOKUP(B120,customers!A:F,6,FALSE)</f>
        <v>Jakarta</v>
      </c>
    </row>
    <row r="121" spans="1:6" x14ac:dyDescent="0.35">
      <c r="A121" s="8" t="s">
        <v>209</v>
      </c>
      <c r="B121" s="4" t="s">
        <v>198</v>
      </c>
      <c r="C121" s="5">
        <v>45797.833333333343</v>
      </c>
      <c r="D121" s="14" t="s">
        <v>20</v>
      </c>
      <c r="E121" s="9">
        <v>0</v>
      </c>
      <c r="F121" t="str">
        <f>VLOOKUP(B121,customers!A:F,6,FALSE)</f>
        <v>Denpasar</v>
      </c>
    </row>
    <row r="122" spans="1:6" x14ac:dyDescent="0.35">
      <c r="A122" s="8" t="s">
        <v>210</v>
      </c>
      <c r="B122" s="4" t="s">
        <v>187</v>
      </c>
      <c r="C122" s="5">
        <v>45798.791666666657</v>
      </c>
      <c r="D122" s="14" t="s">
        <v>20</v>
      </c>
      <c r="E122" s="9">
        <v>0</v>
      </c>
      <c r="F122" t="str">
        <f>VLOOKUP(B122,customers!A:F,6,FALSE)</f>
        <v>Denpasar</v>
      </c>
    </row>
    <row r="123" spans="1:6" x14ac:dyDescent="0.35">
      <c r="A123" s="8" t="s">
        <v>211</v>
      </c>
      <c r="B123" s="4" t="s">
        <v>117</v>
      </c>
      <c r="C123" s="5">
        <v>45799.458333333343</v>
      </c>
      <c r="D123" s="14" t="s">
        <v>20</v>
      </c>
      <c r="E123" s="9">
        <v>0</v>
      </c>
      <c r="F123" t="str">
        <f>VLOOKUP(B123,customers!A:F,6,FALSE)</f>
        <v>Jakarta</v>
      </c>
    </row>
    <row r="124" spans="1:6" x14ac:dyDescent="0.35">
      <c r="A124" s="8" t="s">
        <v>212</v>
      </c>
      <c r="B124" s="4" t="s">
        <v>19</v>
      </c>
      <c r="C124" s="5">
        <v>45800.5</v>
      </c>
      <c r="D124" s="14" t="s">
        <v>20</v>
      </c>
      <c r="E124" s="9">
        <v>0.1</v>
      </c>
      <c r="F124" t="str">
        <f>VLOOKUP(B124,customers!A:F,6,FALSE)</f>
        <v>Jakarta</v>
      </c>
    </row>
    <row r="125" spans="1:6" x14ac:dyDescent="0.35">
      <c r="A125" s="8" t="s">
        <v>213</v>
      </c>
      <c r="B125" s="4" t="s">
        <v>214</v>
      </c>
      <c r="C125" s="5">
        <v>45802.541666666657</v>
      </c>
      <c r="D125" s="14" t="s">
        <v>20</v>
      </c>
      <c r="E125" s="9">
        <v>0.2</v>
      </c>
      <c r="F125" t="str">
        <f>VLOOKUP(B125,customers!A:F,6,FALSE)</f>
        <v>Denpasar</v>
      </c>
    </row>
    <row r="126" spans="1:6" x14ac:dyDescent="0.35">
      <c r="A126" s="8" t="s">
        <v>215</v>
      </c>
      <c r="B126" s="4" t="s">
        <v>216</v>
      </c>
      <c r="C126" s="5">
        <v>45803.625</v>
      </c>
      <c r="D126" s="14" t="s">
        <v>20</v>
      </c>
      <c r="E126" s="9">
        <v>0.05</v>
      </c>
      <c r="F126" t="str">
        <f>VLOOKUP(B126,customers!A:F,6,FALSE)</f>
        <v>Semarang</v>
      </c>
    </row>
    <row r="127" spans="1:6" x14ac:dyDescent="0.35">
      <c r="A127" s="8" t="s">
        <v>217</v>
      </c>
      <c r="B127" s="4" t="s">
        <v>218</v>
      </c>
      <c r="C127" s="5">
        <v>45803.833333333343</v>
      </c>
      <c r="D127" s="14" t="s">
        <v>20</v>
      </c>
      <c r="E127" s="9">
        <v>0</v>
      </c>
      <c r="F127" t="str">
        <f>VLOOKUP(B127,customers!A:F,6,FALSE)</f>
        <v>Denpasar</v>
      </c>
    </row>
    <row r="128" spans="1:6" x14ac:dyDescent="0.35">
      <c r="A128" s="8" t="s">
        <v>219</v>
      </c>
      <c r="B128" s="4" t="s">
        <v>220</v>
      </c>
      <c r="C128" s="5">
        <v>45804.333333333343</v>
      </c>
      <c r="D128" s="4" t="s">
        <v>46</v>
      </c>
      <c r="E128" s="9">
        <v>0.15</v>
      </c>
      <c r="F128" t="str">
        <f>VLOOKUP(B128,customers!A:F,6,FALSE)</f>
        <v>Surabaya</v>
      </c>
    </row>
    <row r="129" spans="1:6" x14ac:dyDescent="0.35">
      <c r="A129" s="8" t="s">
        <v>221</v>
      </c>
      <c r="B129" s="4" t="s">
        <v>77</v>
      </c>
      <c r="C129" s="5">
        <v>45804.416666666657</v>
      </c>
      <c r="D129" s="4" t="s">
        <v>28</v>
      </c>
      <c r="E129" s="9">
        <v>0</v>
      </c>
      <c r="F129" t="str">
        <f>VLOOKUP(B129,customers!A:F,6,FALSE)</f>
        <v>Yogyakarta</v>
      </c>
    </row>
    <row r="130" spans="1:6" x14ac:dyDescent="0.35">
      <c r="A130" s="8" t="s">
        <v>222</v>
      </c>
      <c r="B130" s="4" t="s">
        <v>158</v>
      </c>
      <c r="C130" s="5">
        <v>45804.625</v>
      </c>
      <c r="D130" s="14" t="s">
        <v>20</v>
      </c>
      <c r="E130" s="9">
        <v>0</v>
      </c>
      <c r="F130" t="str">
        <f>VLOOKUP(B130,customers!A:F,6,FALSE)</f>
        <v>Palembang</v>
      </c>
    </row>
    <row r="131" spans="1:6" x14ac:dyDescent="0.35">
      <c r="A131" s="8" t="s">
        <v>223</v>
      </c>
      <c r="B131" s="4" t="s">
        <v>77</v>
      </c>
      <c r="C131" s="5">
        <v>45804.833333333343</v>
      </c>
      <c r="D131" s="4" t="s">
        <v>46</v>
      </c>
      <c r="E131" s="9">
        <v>0</v>
      </c>
      <c r="F131" t="str">
        <f>VLOOKUP(B131,customers!A:F,6,FALSE)</f>
        <v>Yogyakarta</v>
      </c>
    </row>
    <row r="132" spans="1:6" x14ac:dyDescent="0.35">
      <c r="A132" s="8" t="s">
        <v>224</v>
      </c>
      <c r="B132" s="4" t="s">
        <v>225</v>
      </c>
      <c r="C132" s="5">
        <v>45805.375</v>
      </c>
      <c r="D132" s="14" t="s">
        <v>20</v>
      </c>
      <c r="E132" s="9">
        <v>0.15</v>
      </c>
      <c r="F132" t="str">
        <f>VLOOKUP(B132,customers!A:F,6,FALSE)</f>
        <v>Surabaya</v>
      </c>
    </row>
    <row r="133" spans="1:6" x14ac:dyDescent="0.35">
      <c r="A133" s="8" t="s">
        <v>226</v>
      </c>
      <c r="B133" s="4" t="s">
        <v>37</v>
      </c>
      <c r="C133" s="5">
        <v>45805.666666666657</v>
      </c>
      <c r="D133" s="14" t="s">
        <v>20</v>
      </c>
      <c r="E133" s="9">
        <v>0</v>
      </c>
      <c r="F133" t="str">
        <f>VLOOKUP(B133,customers!A:F,6,FALSE)</f>
        <v>Palembang</v>
      </c>
    </row>
    <row r="134" spans="1:6" x14ac:dyDescent="0.35">
      <c r="A134" s="8" t="s">
        <v>227</v>
      </c>
      <c r="B134" s="4" t="s">
        <v>206</v>
      </c>
      <c r="C134" s="5">
        <v>45805.916666666657</v>
      </c>
      <c r="D134" s="14" t="s">
        <v>20</v>
      </c>
      <c r="E134" s="9">
        <v>0.1</v>
      </c>
      <c r="F134" t="str">
        <f>VLOOKUP(B134,customers!A:F,6,FALSE)</f>
        <v>Depok</v>
      </c>
    </row>
    <row r="135" spans="1:6" x14ac:dyDescent="0.35">
      <c r="A135" s="8" t="s">
        <v>228</v>
      </c>
      <c r="B135" s="4" t="s">
        <v>225</v>
      </c>
      <c r="C135" s="5">
        <v>45807.333333333343</v>
      </c>
      <c r="D135" s="4" t="s">
        <v>46</v>
      </c>
      <c r="E135" s="9">
        <v>0</v>
      </c>
      <c r="F135" t="str">
        <f>VLOOKUP(B135,customers!A:F,6,FALSE)</f>
        <v>Surabaya</v>
      </c>
    </row>
    <row r="136" spans="1:6" x14ac:dyDescent="0.35">
      <c r="A136" s="8" t="s">
        <v>229</v>
      </c>
      <c r="B136" s="4" t="s">
        <v>83</v>
      </c>
      <c r="C136" s="5">
        <v>45809.916666666657</v>
      </c>
      <c r="D136" s="4" t="s">
        <v>46</v>
      </c>
      <c r="E136" s="9">
        <v>0.05</v>
      </c>
      <c r="F136" t="str">
        <f>VLOOKUP(B136,customers!A:F,6,FALSE)</f>
        <v>Surabaya</v>
      </c>
    </row>
    <row r="137" spans="1:6" x14ac:dyDescent="0.35">
      <c r="A137" s="8" t="s">
        <v>230</v>
      </c>
      <c r="B137" s="4" t="s">
        <v>89</v>
      </c>
      <c r="C137" s="5">
        <v>45810.541666666657</v>
      </c>
      <c r="D137" s="4" t="s">
        <v>46</v>
      </c>
      <c r="E137" s="9">
        <v>0</v>
      </c>
      <c r="F137" t="str">
        <f>VLOOKUP(B137,customers!A:F,6,FALSE)</f>
        <v>Semarang</v>
      </c>
    </row>
    <row r="138" spans="1:6" x14ac:dyDescent="0.35">
      <c r="A138" s="8" t="s">
        <v>231</v>
      </c>
      <c r="B138" s="4" t="s">
        <v>109</v>
      </c>
      <c r="C138" s="5">
        <v>45810.708333333343</v>
      </c>
      <c r="D138" s="14" t="s">
        <v>20</v>
      </c>
      <c r="E138" s="9">
        <v>0.1</v>
      </c>
      <c r="F138" t="str">
        <f>VLOOKUP(B138,customers!A:F,6,FALSE)</f>
        <v>Yogyakarta</v>
      </c>
    </row>
    <row r="139" spans="1:6" x14ac:dyDescent="0.35">
      <c r="A139" s="8" t="s">
        <v>232</v>
      </c>
      <c r="B139" s="4" t="s">
        <v>220</v>
      </c>
      <c r="C139" s="5">
        <v>45810.833333333343</v>
      </c>
      <c r="D139" s="14" t="s">
        <v>20</v>
      </c>
      <c r="E139" s="9">
        <v>0</v>
      </c>
      <c r="F139" t="str">
        <f>VLOOKUP(B139,customers!A:F,6,FALSE)</f>
        <v>Surabaya</v>
      </c>
    </row>
    <row r="140" spans="1:6" x14ac:dyDescent="0.35">
      <c r="A140" s="8" t="s">
        <v>233</v>
      </c>
      <c r="B140" s="4" t="s">
        <v>182</v>
      </c>
      <c r="C140" s="5">
        <v>45811.625</v>
      </c>
      <c r="D140" s="14" t="s">
        <v>20</v>
      </c>
      <c r="E140" s="9">
        <v>0</v>
      </c>
      <c r="F140" t="str">
        <f>VLOOKUP(B140,customers!A:F,6,FALSE)</f>
        <v>Makassar</v>
      </c>
    </row>
    <row r="141" spans="1:6" x14ac:dyDescent="0.35">
      <c r="A141" s="8" t="s">
        <v>234</v>
      </c>
      <c r="B141" s="4" t="s">
        <v>142</v>
      </c>
      <c r="C141" s="5">
        <v>45811.791666666657</v>
      </c>
      <c r="D141" s="14" t="s">
        <v>20</v>
      </c>
      <c r="E141" s="9">
        <v>0</v>
      </c>
      <c r="F141" t="str">
        <f>VLOOKUP(B141,customers!A:F,6,FALSE)</f>
        <v>Denpasar</v>
      </c>
    </row>
    <row r="142" spans="1:6" x14ac:dyDescent="0.35">
      <c r="A142" s="8" t="s">
        <v>235</v>
      </c>
      <c r="B142" s="4" t="s">
        <v>236</v>
      </c>
      <c r="C142" s="5">
        <v>45812.791666666657</v>
      </c>
      <c r="D142" s="14" t="s">
        <v>20</v>
      </c>
      <c r="E142" s="9">
        <v>0</v>
      </c>
      <c r="F142" t="str">
        <f>VLOOKUP(B142,customers!A:F,6,FALSE)</f>
        <v>Jakarta</v>
      </c>
    </row>
    <row r="143" spans="1:6" x14ac:dyDescent="0.35">
      <c r="A143" s="8" t="s">
        <v>237</v>
      </c>
      <c r="B143" s="4" t="s">
        <v>80</v>
      </c>
      <c r="C143" s="5">
        <v>45812.833333333343</v>
      </c>
      <c r="D143" s="14" t="s">
        <v>20</v>
      </c>
      <c r="E143" s="9">
        <v>0</v>
      </c>
      <c r="F143" t="str">
        <f>VLOOKUP(B143,customers!A:F,6,FALSE)</f>
        <v>Denpasar</v>
      </c>
    </row>
    <row r="144" spans="1:6" x14ac:dyDescent="0.35">
      <c r="A144" s="8" t="s">
        <v>238</v>
      </c>
      <c r="B144" s="4" t="s">
        <v>239</v>
      </c>
      <c r="C144" s="5">
        <v>45813.458333333343</v>
      </c>
      <c r="D144" s="14" t="s">
        <v>20</v>
      </c>
      <c r="E144" s="9">
        <v>0</v>
      </c>
      <c r="F144" t="str">
        <f>VLOOKUP(B144,customers!A:F,6,FALSE)</f>
        <v>Yogyakarta</v>
      </c>
    </row>
    <row r="145" spans="1:6" x14ac:dyDescent="0.35">
      <c r="A145" s="8" t="s">
        <v>240</v>
      </c>
      <c r="B145" s="4" t="s">
        <v>220</v>
      </c>
      <c r="C145" s="5">
        <v>45813.5</v>
      </c>
      <c r="D145" s="4" t="s">
        <v>28</v>
      </c>
      <c r="E145" s="9">
        <v>0</v>
      </c>
      <c r="F145" t="str">
        <f>VLOOKUP(B145,customers!A:F,6,FALSE)</f>
        <v>Surabaya</v>
      </c>
    </row>
    <row r="146" spans="1:6" x14ac:dyDescent="0.35">
      <c r="A146" s="8" t="s">
        <v>241</v>
      </c>
      <c r="B146" s="4" t="s">
        <v>225</v>
      </c>
      <c r="C146" s="5">
        <v>45813.75</v>
      </c>
      <c r="D146" s="14" t="s">
        <v>20</v>
      </c>
      <c r="E146" s="9">
        <v>0</v>
      </c>
      <c r="F146" t="str">
        <f>VLOOKUP(B146,customers!A:F,6,FALSE)</f>
        <v>Surabaya</v>
      </c>
    </row>
    <row r="147" spans="1:6" x14ac:dyDescent="0.35">
      <c r="A147" s="8" t="s">
        <v>242</v>
      </c>
      <c r="B147" s="4" t="s">
        <v>136</v>
      </c>
      <c r="C147" s="5">
        <v>45814.333333333343</v>
      </c>
      <c r="D147" s="14" t="s">
        <v>20</v>
      </c>
      <c r="E147" s="9">
        <v>0</v>
      </c>
      <c r="F147" t="str">
        <f>VLOOKUP(B147,customers!A:F,6,FALSE)</f>
        <v>Jakarta</v>
      </c>
    </row>
    <row r="148" spans="1:6" x14ac:dyDescent="0.35">
      <c r="A148" s="8" t="s">
        <v>243</v>
      </c>
      <c r="B148" s="4" t="s">
        <v>239</v>
      </c>
      <c r="C148" s="5">
        <v>45814.458333333343</v>
      </c>
      <c r="D148" s="14" t="s">
        <v>20</v>
      </c>
      <c r="E148" s="9">
        <v>0.1</v>
      </c>
      <c r="F148" t="str">
        <f>VLOOKUP(B148,customers!A:F,6,FALSE)</f>
        <v>Yogyakarta</v>
      </c>
    </row>
    <row r="149" spans="1:6" x14ac:dyDescent="0.35">
      <c r="A149" s="8" t="s">
        <v>244</v>
      </c>
      <c r="B149" s="4" t="s">
        <v>160</v>
      </c>
      <c r="C149" s="5">
        <v>45814.833333333343</v>
      </c>
      <c r="D149" s="14" t="s">
        <v>20</v>
      </c>
      <c r="E149" s="9">
        <v>0</v>
      </c>
      <c r="F149" t="str">
        <f>VLOOKUP(B149,customers!A:F,6,FALSE)</f>
        <v>Jakarta</v>
      </c>
    </row>
    <row r="150" spans="1:6" x14ac:dyDescent="0.35">
      <c r="A150" s="8" t="s">
        <v>245</v>
      </c>
      <c r="B150" s="4" t="s">
        <v>246</v>
      </c>
      <c r="C150" s="5">
        <v>45814.916666666657</v>
      </c>
      <c r="D150" s="4" t="s">
        <v>46</v>
      </c>
      <c r="E150" s="9">
        <v>0</v>
      </c>
      <c r="F150" t="str">
        <f>VLOOKUP(B150,customers!A:F,6,FALSE)</f>
        <v>Medan</v>
      </c>
    </row>
    <row r="151" spans="1:6" x14ac:dyDescent="0.35">
      <c r="A151" s="8" t="s">
        <v>247</v>
      </c>
      <c r="B151" s="4" t="s">
        <v>146</v>
      </c>
      <c r="C151" s="5">
        <v>45815.541666666657</v>
      </c>
      <c r="D151" s="14" t="s">
        <v>20</v>
      </c>
      <c r="E151" s="9">
        <v>0</v>
      </c>
      <c r="F151" t="str">
        <f>VLOOKUP(B151,customers!A:F,6,FALSE)</f>
        <v>Bandung</v>
      </c>
    </row>
    <row r="152" spans="1:6" x14ac:dyDescent="0.35">
      <c r="A152" s="8" t="s">
        <v>248</v>
      </c>
      <c r="B152" s="4" t="s">
        <v>246</v>
      </c>
      <c r="C152" s="5">
        <v>45815.708333333343</v>
      </c>
      <c r="D152" s="14" t="s">
        <v>20</v>
      </c>
      <c r="E152" s="9">
        <v>0</v>
      </c>
      <c r="F152" t="str">
        <f>VLOOKUP(B152,customers!A:F,6,FALSE)</f>
        <v>Medan</v>
      </c>
    </row>
    <row r="153" spans="1:6" x14ac:dyDescent="0.35">
      <c r="A153" s="8" t="s">
        <v>249</v>
      </c>
      <c r="B153" s="4" t="s">
        <v>250</v>
      </c>
      <c r="C153" s="5">
        <v>45816.375</v>
      </c>
      <c r="D153" s="4" t="s">
        <v>28</v>
      </c>
      <c r="E153" s="9">
        <v>0</v>
      </c>
      <c r="F153" t="str">
        <f>VLOOKUP(B153,customers!A:F,6,FALSE)</f>
        <v>Yogyakarta</v>
      </c>
    </row>
    <row r="154" spans="1:6" x14ac:dyDescent="0.35">
      <c r="A154" s="8" t="s">
        <v>251</v>
      </c>
      <c r="B154" s="4" t="s">
        <v>250</v>
      </c>
      <c r="C154" s="5">
        <v>45816.458333333343</v>
      </c>
      <c r="D154" s="14" t="s">
        <v>20</v>
      </c>
      <c r="E154" s="9">
        <v>0</v>
      </c>
      <c r="F154" t="str">
        <f>VLOOKUP(B154,customers!A:F,6,FALSE)</f>
        <v>Yogyakarta</v>
      </c>
    </row>
    <row r="155" spans="1:6" x14ac:dyDescent="0.35">
      <c r="A155" s="8" t="s">
        <v>252</v>
      </c>
      <c r="B155" s="4" t="s">
        <v>253</v>
      </c>
      <c r="C155" s="5">
        <v>45816.875</v>
      </c>
      <c r="D155" s="14" t="s">
        <v>20</v>
      </c>
      <c r="E155" s="9">
        <v>0</v>
      </c>
      <c r="F155" t="str">
        <f>VLOOKUP(B155,customers!A:F,6,FALSE)</f>
        <v>Medan</v>
      </c>
    </row>
    <row r="156" spans="1:6" x14ac:dyDescent="0.35">
      <c r="A156" s="8" t="s">
        <v>254</v>
      </c>
      <c r="B156" s="4" t="s">
        <v>255</v>
      </c>
      <c r="C156" s="5">
        <v>45817.541666666657</v>
      </c>
      <c r="D156" s="14" t="s">
        <v>20</v>
      </c>
      <c r="E156" s="9">
        <v>0</v>
      </c>
      <c r="F156" t="str">
        <f>VLOOKUP(B156,customers!A:F,6,FALSE)</f>
        <v>Makassar</v>
      </c>
    </row>
    <row r="157" spans="1:6" x14ac:dyDescent="0.35">
      <c r="A157" s="8" t="s">
        <v>256</v>
      </c>
      <c r="B157" s="4" t="s">
        <v>246</v>
      </c>
      <c r="C157" s="5">
        <v>45817.541666666657</v>
      </c>
      <c r="D157" s="14" t="s">
        <v>20</v>
      </c>
      <c r="E157" s="9">
        <v>0</v>
      </c>
      <c r="F157" t="str">
        <f>VLOOKUP(B157,customers!A:F,6,FALSE)</f>
        <v>Medan</v>
      </c>
    </row>
    <row r="158" spans="1:6" x14ac:dyDescent="0.35">
      <c r="A158" s="8" t="s">
        <v>257</v>
      </c>
      <c r="B158" s="4" t="s">
        <v>142</v>
      </c>
      <c r="C158" s="5">
        <v>45817.583333333343</v>
      </c>
      <c r="D158" s="4" t="s">
        <v>28</v>
      </c>
      <c r="E158" s="9">
        <v>0</v>
      </c>
      <c r="F158" t="str">
        <f>VLOOKUP(B158,customers!A:F,6,FALSE)</f>
        <v>Denpasar</v>
      </c>
    </row>
    <row r="159" spans="1:6" x14ac:dyDescent="0.35">
      <c r="A159" s="8" t="s">
        <v>258</v>
      </c>
      <c r="B159" s="4" t="s">
        <v>239</v>
      </c>
      <c r="C159" s="5">
        <v>45817.75</v>
      </c>
      <c r="D159" s="14" t="s">
        <v>20</v>
      </c>
      <c r="E159" s="9">
        <v>0</v>
      </c>
      <c r="F159" t="str">
        <f>VLOOKUP(B159,customers!A:F,6,FALSE)</f>
        <v>Yogyakarta</v>
      </c>
    </row>
    <row r="160" spans="1:6" x14ac:dyDescent="0.35">
      <c r="A160" s="8" t="s">
        <v>259</v>
      </c>
      <c r="B160" s="4" t="s">
        <v>260</v>
      </c>
      <c r="C160" s="5">
        <v>45818.375</v>
      </c>
      <c r="D160" s="14" t="s">
        <v>20</v>
      </c>
      <c r="E160" s="9">
        <v>0.1</v>
      </c>
      <c r="F160" t="str">
        <f>VLOOKUP(B160,customers!A:F,6,FALSE)</f>
        <v>Bandung</v>
      </c>
    </row>
    <row r="161" spans="1:6" x14ac:dyDescent="0.35">
      <c r="A161" s="8" t="s">
        <v>261</v>
      </c>
      <c r="B161" s="4" t="s">
        <v>262</v>
      </c>
      <c r="C161" s="5">
        <v>45818.583333333343</v>
      </c>
      <c r="D161" s="4" t="s">
        <v>46</v>
      </c>
      <c r="E161" s="9">
        <v>0.05</v>
      </c>
      <c r="F161" t="str">
        <f>VLOOKUP(B161,customers!A:F,6,FALSE)</f>
        <v>Jakarta</v>
      </c>
    </row>
    <row r="162" spans="1:6" x14ac:dyDescent="0.35">
      <c r="A162" s="8" t="s">
        <v>263</v>
      </c>
      <c r="B162" s="4" t="s">
        <v>239</v>
      </c>
      <c r="C162" s="5">
        <v>45818.625</v>
      </c>
      <c r="D162" s="4" t="s">
        <v>28</v>
      </c>
      <c r="E162" s="9">
        <v>0</v>
      </c>
      <c r="F162" t="str">
        <f>VLOOKUP(B162,customers!A:F,6,FALSE)</f>
        <v>Yogyakarta</v>
      </c>
    </row>
    <row r="163" spans="1:6" x14ac:dyDescent="0.35">
      <c r="A163" s="8" t="s">
        <v>264</v>
      </c>
      <c r="B163" s="4" t="s">
        <v>239</v>
      </c>
      <c r="C163" s="5">
        <v>45818.666666666657</v>
      </c>
      <c r="D163" s="4" t="s">
        <v>46</v>
      </c>
      <c r="E163" s="9">
        <v>0.1</v>
      </c>
      <c r="F163" t="str">
        <f>VLOOKUP(B163,customers!A:F,6,FALSE)</f>
        <v>Yogyakarta</v>
      </c>
    </row>
    <row r="164" spans="1:6" x14ac:dyDescent="0.35">
      <c r="A164" s="8" t="s">
        <v>265</v>
      </c>
      <c r="B164" s="4" t="s">
        <v>216</v>
      </c>
      <c r="C164" s="5">
        <v>45818.75</v>
      </c>
      <c r="D164" s="14" t="s">
        <v>20</v>
      </c>
      <c r="E164" s="9">
        <v>0</v>
      </c>
      <c r="F164" t="str">
        <f>VLOOKUP(B164,customers!A:F,6,FALSE)</f>
        <v>Semarang</v>
      </c>
    </row>
    <row r="165" spans="1:6" x14ac:dyDescent="0.35">
      <c r="A165" s="8" t="s">
        <v>266</v>
      </c>
      <c r="B165" s="4" t="s">
        <v>182</v>
      </c>
      <c r="C165" s="5">
        <v>45819.791666666657</v>
      </c>
      <c r="D165" s="4" t="s">
        <v>46</v>
      </c>
      <c r="E165" s="9">
        <v>0.05</v>
      </c>
      <c r="F165" t="str">
        <f>VLOOKUP(B165,customers!A:F,6,FALSE)</f>
        <v>Makassar</v>
      </c>
    </row>
    <row r="166" spans="1:6" x14ac:dyDescent="0.35">
      <c r="A166" s="8" t="s">
        <v>267</v>
      </c>
      <c r="B166" s="4" t="s">
        <v>44</v>
      </c>
      <c r="C166" s="5">
        <v>45821.625</v>
      </c>
      <c r="D166" s="4" t="s">
        <v>28</v>
      </c>
      <c r="E166" s="9">
        <v>0</v>
      </c>
      <c r="F166" t="str">
        <f>VLOOKUP(B166,customers!A:F,6,FALSE)</f>
        <v>Medan</v>
      </c>
    </row>
    <row r="167" spans="1:6" x14ac:dyDescent="0.35">
      <c r="A167" s="8" t="s">
        <v>268</v>
      </c>
      <c r="B167" s="4" t="s">
        <v>269</v>
      </c>
      <c r="C167" s="5">
        <v>45821.708333333343</v>
      </c>
      <c r="D167" s="14" t="s">
        <v>20</v>
      </c>
      <c r="E167" s="9">
        <v>0</v>
      </c>
      <c r="F167" t="str">
        <f>VLOOKUP(B167,customers!A:F,6,FALSE)</f>
        <v>Palembang</v>
      </c>
    </row>
    <row r="168" spans="1:6" x14ac:dyDescent="0.35">
      <c r="A168" s="8" t="s">
        <v>270</v>
      </c>
      <c r="B168" s="4" t="s">
        <v>271</v>
      </c>
      <c r="C168" s="5">
        <v>45821.833333333343</v>
      </c>
      <c r="D168" s="14" t="s">
        <v>20</v>
      </c>
      <c r="E168" s="9">
        <v>0</v>
      </c>
      <c r="F168" t="str">
        <f>VLOOKUP(B168,customers!A:F,6,FALSE)</f>
        <v>Surabaya</v>
      </c>
    </row>
    <row r="169" spans="1:6" x14ac:dyDescent="0.35">
      <c r="A169" s="8" t="s">
        <v>272</v>
      </c>
      <c r="B169" s="4" t="s">
        <v>44</v>
      </c>
      <c r="C169" s="5">
        <v>45822.75</v>
      </c>
      <c r="D169" s="14" t="s">
        <v>20</v>
      </c>
      <c r="E169" s="9">
        <v>0</v>
      </c>
      <c r="F169" t="str">
        <f>VLOOKUP(B169,customers!A:F,6,FALSE)</f>
        <v>Medan</v>
      </c>
    </row>
    <row r="170" spans="1:6" x14ac:dyDescent="0.35">
      <c r="A170" s="8" t="s">
        <v>273</v>
      </c>
      <c r="B170" s="4" t="s">
        <v>274</v>
      </c>
      <c r="C170" s="5">
        <v>45823.375</v>
      </c>
      <c r="D170" s="14" t="s">
        <v>20</v>
      </c>
      <c r="E170" s="9">
        <v>0</v>
      </c>
      <c r="F170" t="str">
        <f>VLOOKUP(B170,customers!A:F,6,FALSE)</f>
        <v>Yogyakarta</v>
      </c>
    </row>
    <row r="171" spans="1:6" x14ac:dyDescent="0.35">
      <c r="A171" s="8" t="s">
        <v>275</v>
      </c>
      <c r="B171" s="4" t="s">
        <v>271</v>
      </c>
      <c r="C171" s="5">
        <v>45823.666666666657</v>
      </c>
      <c r="D171" s="14" t="s">
        <v>20</v>
      </c>
      <c r="E171" s="9">
        <v>0.15</v>
      </c>
      <c r="F171" t="str">
        <f>VLOOKUP(B171,customers!A:F,6,FALSE)</f>
        <v>Surabaya</v>
      </c>
    </row>
    <row r="172" spans="1:6" x14ac:dyDescent="0.35">
      <c r="A172" s="8" t="s">
        <v>276</v>
      </c>
      <c r="B172" s="4" t="s">
        <v>274</v>
      </c>
      <c r="C172" s="5">
        <v>45823.75</v>
      </c>
      <c r="D172" s="4" t="s">
        <v>28</v>
      </c>
      <c r="E172" s="9">
        <v>0</v>
      </c>
      <c r="F172" t="str">
        <f>VLOOKUP(B172,customers!A:F,6,FALSE)</f>
        <v>Yogyakarta</v>
      </c>
    </row>
    <row r="173" spans="1:6" x14ac:dyDescent="0.35">
      <c r="A173" s="8" t="s">
        <v>277</v>
      </c>
      <c r="B173" s="4" t="s">
        <v>278</v>
      </c>
      <c r="C173" s="5">
        <v>45823.791666666657</v>
      </c>
      <c r="D173" s="4" t="s">
        <v>28</v>
      </c>
      <c r="E173" s="9">
        <v>0.15</v>
      </c>
      <c r="F173" t="str">
        <f>VLOOKUP(B173,customers!A:F,6,FALSE)</f>
        <v>Yogyakarta</v>
      </c>
    </row>
    <row r="174" spans="1:6" x14ac:dyDescent="0.35">
      <c r="A174" s="8" t="s">
        <v>279</v>
      </c>
      <c r="B174" s="4" t="s">
        <v>160</v>
      </c>
      <c r="C174" s="5">
        <v>45823.916666666657</v>
      </c>
      <c r="D174" s="14" t="s">
        <v>20</v>
      </c>
      <c r="E174" s="9">
        <v>0</v>
      </c>
      <c r="F174" t="str">
        <f>VLOOKUP(B174,customers!A:F,6,FALSE)</f>
        <v>Jakarta</v>
      </c>
    </row>
    <row r="175" spans="1:6" x14ac:dyDescent="0.35">
      <c r="A175" s="8" t="s">
        <v>280</v>
      </c>
      <c r="B175" s="4" t="s">
        <v>278</v>
      </c>
      <c r="C175" s="5">
        <v>45824.708333333343</v>
      </c>
      <c r="D175" s="14" t="s">
        <v>20</v>
      </c>
      <c r="E175" s="9">
        <v>0</v>
      </c>
      <c r="F175" t="str">
        <f>VLOOKUP(B175,customers!A:F,6,FALSE)</f>
        <v>Yogyakarta</v>
      </c>
    </row>
    <row r="176" spans="1:6" x14ac:dyDescent="0.35">
      <c r="A176" s="8" t="s">
        <v>281</v>
      </c>
      <c r="B176" s="4" t="s">
        <v>274</v>
      </c>
      <c r="C176" s="5">
        <v>45825.375</v>
      </c>
      <c r="D176" s="14" t="s">
        <v>20</v>
      </c>
      <c r="E176" s="9">
        <v>0.05</v>
      </c>
      <c r="F176" t="str">
        <f>VLOOKUP(B176,customers!A:F,6,FALSE)</f>
        <v>Yogyakarta</v>
      </c>
    </row>
    <row r="177" spans="1:6" x14ac:dyDescent="0.35">
      <c r="A177" s="8" t="s">
        <v>282</v>
      </c>
      <c r="B177" s="4" t="s">
        <v>283</v>
      </c>
      <c r="C177" s="5">
        <v>45825.541666666657</v>
      </c>
      <c r="D177" s="14" t="s">
        <v>20</v>
      </c>
      <c r="E177" s="9">
        <v>0.1</v>
      </c>
      <c r="F177" t="str">
        <f>VLOOKUP(B177,customers!A:F,6,FALSE)</f>
        <v>Jakarta</v>
      </c>
    </row>
    <row r="178" spans="1:6" x14ac:dyDescent="0.35">
      <c r="A178" s="8" t="s">
        <v>284</v>
      </c>
      <c r="B178" s="4" t="s">
        <v>274</v>
      </c>
      <c r="C178" s="5">
        <v>45825.708333333343</v>
      </c>
      <c r="D178" s="14" t="s">
        <v>20</v>
      </c>
      <c r="E178" s="9">
        <v>0.2</v>
      </c>
      <c r="F178" t="str">
        <f>VLOOKUP(B178,customers!A:F,6,FALSE)</f>
        <v>Yogyakarta</v>
      </c>
    </row>
    <row r="179" spans="1:6" x14ac:dyDescent="0.35">
      <c r="A179" s="8" t="s">
        <v>285</v>
      </c>
      <c r="B179" s="4" t="s">
        <v>274</v>
      </c>
      <c r="C179" s="5">
        <v>45826.625</v>
      </c>
      <c r="D179" s="14" t="s">
        <v>20</v>
      </c>
      <c r="E179" s="9">
        <v>0</v>
      </c>
      <c r="F179" t="str">
        <f>VLOOKUP(B179,customers!A:F,6,FALSE)</f>
        <v>Yogyakarta</v>
      </c>
    </row>
    <row r="180" spans="1:6" x14ac:dyDescent="0.35">
      <c r="A180" s="8" t="s">
        <v>286</v>
      </c>
      <c r="B180" s="4" t="s">
        <v>58</v>
      </c>
      <c r="C180" s="5">
        <v>45826.666666666657</v>
      </c>
      <c r="D180" s="14" t="s">
        <v>20</v>
      </c>
      <c r="E180" s="9">
        <v>0</v>
      </c>
      <c r="F180" t="str">
        <f>VLOOKUP(B180,customers!A:F,6,FALSE)</f>
        <v>Denpasar</v>
      </c>
    </row>
    <row r="181" spans="1:6" x14ac:dyDescent="0.35">
      <c r="A181" s="8" t="s">
        <v>287</v>
      </c>
      <c r="B181" s="4" t="s">
        <v>262</v>
      </c>
      <c r="C181" s="5">
        <v>45826.708333333343</v>
      </c>
      <c r="D181" s="4" t="s">
        <v>28</v>
      </c>
      <c r="E181" s="9">
        <v>0</v>
      </c>
      <c r="F181" t="str">
        <f>VLOOKUP(B181,customers!A:F,6,FALSE)</f>
        <v>Jakarta</v>
      </c>
    </row>
    <row r="182" spans="1:6" x14ac:dyDescent="0.35">
      <c r="A182" s="8" t="s">
        <v>288</v>
      </c>
      <c r="B182" s="4" t="s">
        <v>289</v>
      </c>
      <c r="C182" s="5">
        <v>45826.75</v>
      </c>
      <c r="D182" s="4" t="s">
        <v>28</v>
      </c>
      <c r="E182" s="9">
        <v>0.05</v>
      </c>
      <c r="F182" t="str">
        <f>VLOOKUP(B182,customers!A:F,6,FALSE)</f>
        <v>Medan</v>
      </c>
    </row>
    <row r="183" spans="1:6" x14ac:dyDescent="0.35">
      <c r="A183" s="8" t="s">
        <v>290</v>
      </c>
      <c r="B183" s="4" t="s">
        <v>182</v>
      </c>
      <c r="C183" s="5">
        <v>45826.833333333343</v>
      </c>
      <c r="D183" s="14" t="s">
        <v>20</v>
      </c>
      <c r="E183" s="9">
        <v>0</v>
      </c>
      <c r="F183" t="str">
        <f>VLOOKUP(B183,customers!A:F,6,FALSE)</f>
        <v>Makassar</v>
      </c>
    </row>
    <row r="184" spans="1:6" x14ac:dyDescent="0.35">
      <c r="A184" s="8" t="s">
        <v>291</v>
      </c>
      <c r="B184" s="4" t="s">
        <v>292</v>
      </c>
      <c r="C184" s="5">
        <v>45827.666666666657</v>
      </c>
      <c r="D184" s="4" t="s">
        <v>46</v>
      </c>
      <c r="E184" s="9">
        <v>0</v>
      </c>
      <c r="F184" t="str">
        <f>VLOOKUP(B184,customers!A:F,6,FALSE)</f>
        <v>Denpasar</v>
      </c>
    </row>
    <row r="185" spans="1:6" x14ac:dyDescent="0.35">
      <c r="A185" s="8" t="s">
        <v>293</v>
      </c>
      <c r="B185" s="4" t="s">
        <v>274</v>
      </c>
      <c r="C185" s="5">
        <v>45827.916666666657</v>
      </c>
      <c r="D185" s="14" t="s">
        <v>20</v>
      </c>
      <c r="E185" s="9">
        <v>0</v>
      </c>
      <c r="F185" t="str">
        <f>VLOOKUP(B185,customers!A:F,6,FALSE)</f>
        <v>Yogyakarta</v>
      </c>
    </row>
    <row r="186" spans="1:6" x14ac:dyDescent="0.35">
      <c r="A186" s="8" t="s">
        <v>294</v>
      </c>
      <c r="B186" s="4" t="s">
        <v>292</v>
      </c>
      <c r="C186" s="5">
        <v>45828.583333333343</v>
      </c>
      <c r="D186" s="4" t="s">
        <v>28</v>
      </c>
      <c r="E186" s="9">
        <v>0</v>
      </c>
      <c r="F186" t="str">
        <f>VLOOKUP(B186,customers!A:F,6,FALSE)</f>
        <v>Denpasar</v>
      </c>
    </row>
    <row r="187" spans="1:6" x14ac:dyDescent="0.35">
      <c r="A187" s="8" t="s">
        <v>295</v>
      </c>
      <c r="B187" s="4" t="s">
        <v>296</v>
      </c>
      <c r="C187" s="5">
        <v>45828.666666666657</v>
      </c>
      <c r="D187" s="14" t="s">
        <v>20</v>
      </c>
      <c r="E187" s="9">
        <v>0.2</v>
      </c>
      <c r="F187" t="str">
        <f>VLOOKUP(B187,customers!A:F,6,FALSE)</f>
        <v>Jakarta</v>
      </c>
    </row>
    <row r="188" spans="1:6" x14ac:dyDescent="0.35">
      <c r="A188" s="8" t="s">
        <v>297</v>
      </c>
      <c r="B188" s="4" t="s">
        <v>262</v>
      </c>
      <c r="C188" s="5">
        <v>45828.791666666657</v>
      </c>
      <c r="D188" s="4" t="s">
        <v>28</v>
      </c>
      <c r="E188" s="9">
        <v>0</v>
      </c>
      <c r="F188" t="str">
        <f>VLOOKUP(B188,customers!A:F,6,FALSE)</f>
        <v>Jakarta</v>
      </c>
    </row>
    <row r="189" spans="1:6" x14ac:dyDescent="0.35">
      <c r="A189" s="8" t="s">
        <v>298</v>
      </c>
      <c r="B189" s="4" t="s">
        <v>113</v>
      </c>
      <c r="C189" s="5">
        <v>45829.375</v>
      </c>
      <c r="D189" s="14" t="s">
        <v>20</v>
      </c>
      <c r="E189" s="9">
        <v>0</v>
      </c>
      <c r="F189" t="str">
        <f>VLOOKUP(B189,customers!A:F,6,FALSE)</f>
        <v>Medan</v>
      </c>
    </row>
    <row r="190" spans="1:6" x14ac:dyDescent="0.35">
      <c r="A190" s="8" t="s">
        <v>299</v>
      </c>
      <c r="B190" s="4" t="s">
        <v>300</v>
      </c>
      <c r="C190" s="5">
        <v>45829.458333333343</v>
      </c>
      <c r="D190" s="4" t="s">
        <v>46</v>
      </c>
      <c r="E190" s="9">
        <v>0.1</v>
      </c>
      <c r="F190" t="str">
        <f>VLOOKUP(B190,customers!A:F,6,FALSE)</f>
        <v>Makassar</v>
      </c>
    </row>
    <row r="191" spans="1:6" x14ac:dyDescent="0.35">
      <c r="A191" s="8" t="s">
        <v>301</v>
      </c>
      <c r="B191" s="4" t="s">
        <v>300</v>
      </c>
      <c r="C191" s="5">
        <v>45830.5</v>
      </c>
      <c r="D191" s="14" t="s">
        <v>20</v>
      </c>
      <c r="E191" s="9">
        <v>0.05</v>
      </c>
      <c r="F191" t="str">
        <f>VLOOKUP(B191,customers!A:F,6,FALSE)</f>
        <v>Makassar</v>
      </c>
    </row>
    <row r="192" spans="1:6" x14ac:dyDescent="0.35">
      <c r="A192" s="8" t="s">
        <v>302</v>
      </c>
      <c r="B192" s="4" t="s">
        <v>198</v>
      </c>
      <c r="C192" s="5">
        <v>45830.583333333343</v>
      </c>
      <c r="D192" s="4" t="s">
        <v>46</v>
      </c>
      <c r="E192" s="9">
        <v>0</v>
      </c>
      <c r="F192" t="str">
        <f>VLOOKUP(B192,customers!A:F,6,FALSE)</f>
        <v>Denpasar</v>
      </c>
    </row>
    <row r="193" spans="1:6" x14ac:dyDescent="0.35">
      <c r="A193" s="8" t="s">
        <v>303</v>
      </c>
      <c r="B193" s="4" t="s">
        <v>44</v>
      </c>
      <c r="C193" s="5">
        <v>45830.708333333343</v>
      </c>
      <c r="D193" s="14" t="s">
        <v>20</v>
      </c>
      <c r="E193" s="9">
        <v>0</v>
      </c>
      <c r="F193" t="str">
        <f>VLOOKUP(B193,customers!A:F,6,FALSE)</f>
        <v>Medan</v>
      </c>
    </row>
    <row r="194" spans="1:6" x14ac:dyDescent="0.35">
      <c r="A194" s="8" t="s">
        <v>304</v>
      </c>
      <c r="B194" s="4" t="s">
        <v>296</v>
      </c>
      <c r="C194" s="5">
        <v>45830.75</v>
      </c>
      <c r="D194" s="14" t="s">
        <v>20</v>
      </c>
      <c r="E194" s="9">
        <v>0</v>
      </c>
      <c r="F194" t="str">
        <f>VLOOKUP(B194,customers!A:F,6,FALSE)</f>
        <v>Jakarta</v>
      </c>
    </row>
    <row r="195" spans="1:6" x14ac:dyDescent="0.35">
      <c r="A195" s="8" t="s">
        <v>305</v>
      </c>
      <c r="B195" s="4" t="s">
        <v>250</v>
      </c>
      <c r="C195" s="5">
        <v>45830.75</v>
      </c>
      <c r="D195" s="4" t="s">
        <v>28</v>
      </c>
      <c r="E195" s="9">
        <v>0.1</v>
      </c>
      <c r="F195" t="str">
        <f>VLOOKUP(B195,customers!A:F,6,FALSE)</f>
        <v>Yogyakarta</v>
      </c>
    </row>
    <row r="196" spans="1:6" x14ac:dyDescent="0.35">
      <c r="A196" s="8" t="s">
        <v>306</v>
      </c>
      <c r="B196" s="4" t="s">
        <v>289</v>
      </c>
      <c r="C196" s="5">
        <v>45831.583333333343</v>
      </c>
      <c r="D196" s="14" t="s">
        <v>20</v>
      </c>
      <c r="E196" s="9">
        <v>0</v>
      </c>
      <c r="F196" t="str">
        <f>VLOOKUP(B196,customers!A:F,6,FALSE)</f>
        <v>Medan</v>
      </c>
    </row>
    <row r="197" spans="1:6" x14ac:dyDescent="0.35">
      <c r="A197" s="8" t="s">
        <v>307</v>
      </c>
      <c r="B197" s="4" t="s">
        <v>154</v>
      </c>
      <c r="C197" s="5">
        <v>45831.625</v>
      </c>
      <c r="D197" s="14" t="s">
        <v>20</v>
      </c>
      <c r="E197" s="9">
        <v>0</v>
      </c>
      <c r="F197" t="str">
        <f>VLOOKUP(B197,customers!A:F,6,FALSE)</f>
        <v>Surabaya</v>
      </c>
    </row>
    <row r="198" spans="1:6" x14ac:dyDescent="0.35">
      <c r="A198" s="8" t="s">
        <v>308</v>
      </c>
      <c r="B198" s="4" t="s">
        <v>34</v>
      </c>
      <c r="C198" s="5">
        <v>45832.875</v>
      </c>
      <c r="D198" s="14" t="s">
        <v>20</v>
      </c>
      <c r="E198" s="9">
        <v>0.15</v>
      </c>
      <c r="F198" t="str">
        <f>VLOOKUP(B198,customers!A:F,6,FALSE)</f>
        <v>Makassar</v>
      </c>
    </row>
    <row r="199" spans="1:6" x14ac:dyDescent="0.35">
      <c r="A199" s="8" t="s">
        <v>309</v>
      </c>
      <c r="B199" s="4" t="s">
        <v>310</v>
      </c>
      <c r="C199" s="5">
        <v>45833.583333333343</v>
      </c>
      <c r="D199" s="14" t="s">
        <v>20</v>
      </c>
      <c r="E199" s="9">
        <v>0</v>
      </c>
      <c r="F199" t="str">
        <f>VLOOKUP(B199,customers!A:F,6,FALSE)</f>
        <v>Palembang</v>
      </c>
    </row>
    <row r="200" spans="1:6" x14ac:dyDescent="0.35">
      <c r="A200" s="8" t="s">
        <v>311</v>
      </c>
      <c r="B200" s="4" t="s">
        <v>218</v>
      </c>
      <c r="C200" s="5">
        <v>45833.791666666657</v>
      </c>
      <c r="D200" s="4" t="s">
        <v>46</v>
      </c>
      <c r="E200" s="9">
        <v>0</v>
      </c>
      <c r="F200" t="str">
        <f>VLOOKUP(B200,customers!A:F,6,FALSE)</f>
        <v>Denpasar</v>
      </c>
    </row>
    <row r="201" spans="1:6" x14ac:dyDescent="0.35">
      <c r="A201" s="8" t="s">
        <v>312</v>
      </c>
      <c r="B201" s="4" t="s">
        <v>296</v>
      </c>
      <c r="C201" s="5">
        <v>45833.875</v>
      </c>
      <c r="D201" s="4" t="s">
        <v>28</v>
      </c>
      <c r="E201" s="9">
        <v>0</v>
      </c>
      <c r="F201" t="str">
        <f>VLOOKUP(B201,customers!A:F,6,FALSE)</f>
        <v>Jakarta</v>
      </c>
    </row>
    <row r="202" spans="1:6" x14ac:dyDescent="0.35">
      <c r="A202" s="8" t="s">
        <v>313</v>
      </c>
      <c r="B202" s="4" t="s">
        <v>314</v>
      </c>
      <c r="C202" s="5">
        <v>45834.416666666657</v>
      </c>
      <c r="D202" s="4" t="s">
        <v>28</v>
      </c>
      <c r="E202" s="9">
        <v>0</v>
      </c>
      <c r="F202" t="str">
        <f>VLOOKUP(B202,customers!A:F,6,FALSE)</f>
        <v>Semarang</v>
      </c>
    </row>
    <row r="203" spans="1:6" x14ac:dyDescent="0.35">
      <c r="A203" s="8" t="s">
        <v>315</v>
      </c>
      <c r="B203" s="4" t="s">
        <v>310</v>
      </c>
      <c r="C203" s="5">
        <v>45834.458333333343</v>
      </c>
      <c r="D203" s="4" t="s">
        <v>46</v>
      </c>
      <c r="E203" s="9">
        <v>0</v>
      </c>
      <c r="F203" t="str">
        <f>VLOOKUP(B203,customers!A:F,6,FALSE)</f>
        <v>Palembang</v>
      </c>
    </row>
    <row r="204" spans="1:6" x14ac:dyDescent="0.35">
      <c r="A204" s="8" t="s">
        <v>316</v>
      </c>
      <c r="B204" s="4" t="s">
        <v>216</v>
      </c>
      <c r="C204" s="5">
        <v>45834.541666666657</v>
      </c>
      <c r="D204" s="14" t="s">
        <v>20</v>
      </c>
      <c r="E204" s="9">
        <v>0.05</v>
      </c>
      <c r="F204" t="str">
        <f>VLOOKUP(B204,customers!A:F,6,FALSE)</f>
        <v>Semarang</v>
      </c>
    </row>
    <row r="205" spans="1:6" x14ac:dyDescent="0.35">
      <c r="A205" s="8" t="s">
        <v>317</v>
      </c>
      <c r="B205" s="4" t="s">
        <v>246</v>
      </c>
      <c r="C205" s="5">
        <v>45834.666666666657</v>
      </c>
      <c r="D205" s="14" t="s">
        <v>20</v>
      </c>
      <c r="E205" s="9">
        <v>0</v>
      </c>
      <c r="F205" t="str">
        <f>VLOOKUP(B205,customers!A:F,6,FALSE)</f>
        <v>Medan</v>
      </c>
    </row>
    <row r="206" spans="1:6" x14ac:dyDescent="0.35">
      <c r="A206" s="8" t="s">
        <v>318</v>
      </c>
      <c r="B206" s="4" t="s">
        <v>319</v>
      </c>
      <c r="C206" s="5">
        <v>45834.916666666657</v>
      </c>
      <c r="D206" s="4" t="s">
        <v>28</v>
      </c>
      <c r="E206" s="9">
        <v>0</v>
      </c>
      <c r="F206" t="str">
        <f>VLOOKUP(B206,customers!A:F,6,FALSE)</f>
        <v>Medan</v>
      </c>
    </row>
    <row r="207" spans="1:6" x14ac:dyDescent="0.35">
      <c r="A207" s="8" t="s">
        <v>320</v>
      </c>
      <c r="B207" s="4" t="s">
        <v>55</v>
      </c>
      <c r="C207" s="5">
        <v>45836.708333333343</v>
      </c>
      <c r="D207" s="14" t="s">
        <v>20</v>
      </c>
      <c r="E207" s="9">
        <v>0</v>
      </c>
      <c r="F207" t="str">
        <f>VLOOKUP(B207,customers!A:F,6,FALSE)</f>
        <v>Surabaya</v>
      </c>
    </row>
    <row r="208" spans="1:6" x14ac:dyDescent="0.35">
      <c r="A208" s="8" t="s">
        <v>321</v>
      </c>
      <c r="B208" s="4" t="s">
        <v>300</v>
      </c>
      <c r="C208" s="5">
        <v>45837.833333333343</v>
      </c>
      <c r="D208" s="14" t="s">
        <v>20</v>
      </c>
      <c r="E208" s="9">
        <v>0</v>
      </c>
      <c r="F208" t="str">
        <f>VLOOKUP(B208,customers!A:F,6,FALSE)</f>
        <v>Makassar</v>
      </c>
    </row>
    <row r="209" spans="1:6" x14ac:dyDescent="0.35">
      <c r="A209" s="8" t="s">
        <v>322</v>
      </c>
      <c r="B209" s="4" t="s">
        <v>107</v>
      </c>
      <c r="C209" s="5">
        <v>45840.333333333343</v>
      </c>
      <c r="D209" s="14" t="s">
        <v>20</v>
      </c>
      <c r="E209" s="9">
        <v>0</v>
      </c>
      <c r="F209" t="str">
        <f>VLOOKUP(B209,customers!A:F,6,FALSE)</f>
        <v>Makassar</v>
      </c>
    </row>
    <row r="210" spans="1:6" x14ac:dyDescent="0.35">
      <c r="A210" s="8" t="s">
        <v>323</v>
      </c>
      <c r="B210" s="4" t="s">
        <v>198</v>
      </c>
      <c r="C210" s="5">
        <v>45840.416666666657</v>
      </c>
      <c r="D210" s="4" t="s">
        <v>28</v>
      </c>
      <c r="E210" s="9">
        <v>0.05</v>
      </c>
      <c r="F210" t="str">
        <f>VLOOKUP(B210,customers!A:F,6,FALSE)</f>
        <v>Denpasar</v>
      </c>
    </row>
    <row r="211" spans="1:6" x14ac:dyDescent="0.35">
      <c r="A211" s="8" t="s">
        <v>324</v>
      </c>
      <c r="B211" s="4" t="s">
        <v>178</v>
      </c>
      <c r="C211" s="5">
        <v>45840.625</v>
      </c>
      <c r="D211" s="14" t="s">
        <v>20</v>
      </c>
      <c r="E211" s="9">
        <v>0</v>
      </c>
      <c r="F211" t="str">
        <f>VLOOKUP(B211,customers!A:F,6,FALSE)</f>
        <v>Yogyakarta</v>
      </c>
    </row>
    <row r="212" spans="1:6" x14ac:dyDescent="0.35">
      <c r="A212" s="8" t="s">
        <v>325</v>
      </c>
      <c r="B212" s="4" t="s">
        <v>151</v>
      </c>
      <c r="C212" s="5">
        <v>45840.75</v>
      </c>
      <c r="D212" s="14" t="s">
        <v>20</v>
      </c>
      <c r="E212" s="9">
        <v>0</v>
      </c>
      <c r="F212" t="str">
        <f>VLOOKUP(B212,customers!A:F,6,FALSE)</f>
        <v>Jakarta</v>
      </c>
    </row>
    <row r="213" spans="1:6" x14ac:dyDescent="0.35">
      <c r="A213" s="8" t="s">
        <v>326</v>
      </c>
      <c r="B213" s="4" t="s">
        <v>327</v>
      </c>
      <c r="C213" s="5">
        <v>45840.833333333343</v>
      </c>
      <c r="D213" s="14" t="s">
        <v>20</v>
      </c>
      <c r="E213" s="9">
        <v>0</v>
      </c>
      <c r="F213" t="str">
        <f>VLOOKUP(B213,customers!A:F,6,FALSE)</f>
        <v>Depok</v>
      </c>
    </row>
    <row r="214" spans="1:6" x14ac:dyDescent="0.35">
      <c r="A214" s="8" t="s">
        <v>328</v>
      </c>
      <c r="B214" s="4" t="s">
        <v>136</v>
      </c>
      <c r="C214" s="5">
        <v>45841.583333333343</v>
      </c>
      <c r="D214" s="14" t="s">
        <v>20</v>
      </c>
      <c r="E214" s="9">
        <v>0</v>
      </c>
      <c r="F214" t="str">
        <f>VLOOKUP(B214,customers!A:F,6,FALSE)</f>
        <v>Jakarta</v>
      </c>
    </row>
    <row r="215" spans="1:6" x14ac:dyDescent="0.35">
      <c r="A215" s="8" t="s">
        <v>329</v>
      </c>
      <c r="B215" s="4" t="s">
        <v>180</v>
      </c>
      <c r="C215" s="5">
        <v>45841.75</v>
      </c>
      <c r="D215" s="14" t="s">
        <v>20</v>
      </c>
      <c r="E215" s="9">
        <v>0.15</v>
      </c>
      <c r="F215" t="str">
        <f>VLOOKUP(B215,customers!A:F,6,FALSE)</f>
        <v>Jakarta</v>
      </c>
    </row>
    <row r="216" spans="1:6" x14ac:dyDescent="0.35">
      <c r="A216" s="8" t="s">
        <v>330</v>
      </c>
      <c r="B216" s="4" t="s">
        <v>260</v>
      </c>
      <c r="C216" s="5">
        <v>45841.833333333343</v>
      </c>
      <c r="D216" s="14" t="s">
        <v>20</v>
      </c>
      <c r="E216" s="9">
        <v>0</v>
      </c>
      <c r="F216" t="str">
        <f>VLOOKUP(B216,customers!A:F,6,FALSE)</f>
        <v>Bandung</v>
      </c>
    </row>
    <row r="217" spans="1:6" x14ac:dyDescent="0.35">
      <c r="A217" s="8" t="s">
        <v>331</v>
      </c>
      <c r="B217" s="4" t="s">
        <v>332</v>
      </c>
      <c r="C217" s="5">
        <v>45842.5</v>
      </c>
      <c r="D217" s="14" t="s">
        <v>20</v>
      </c>
      <c r="E217" s="9">
        <v>0</v>
      </c>
      <c r="F217" t="str">
        <f>VLOOKUP(B217,customers!A:F,6,FALSE)</f>
        <v>Denpasar</v>
      </c>
    </row>
    <row r="218" spans="1:6" x14ac:dyDescent="0.35">
      <c r="A218" s="8" t="s">
        <v>333</v>
      </c>
      <c r="B218" s="4" t="s">
        <v>67</v>
      </c>
      <c r="C218" s="5">
        <v>45842.75</v>
      </c>
      <c r="D218" s="14" t="s">
        <v>20</v>
      </c>
      <c r="E218" s="9">
        <v>0</v>
      </c>
      <c r="F218" t="str">
        <f>VLOOKUP(B218,customers!A:F,6,FALSE)</f>
        <v>Palembang</v>
      </c>
    </row>
    <row r="219" spans="1:6" x14ac:dyDescent="0.35">
      <c r="A219" s="8" t="s">
        <v>334</v>
      </c>
      <c r="B219" s="4" t="s">
        <v>158</v>
      </c>
      <c r="C219" s="5">
        <v>45843.375</v>
      </c>
      <c r="D219" s="14" t="s">
        <v>20</v>
      </c>
      <c r="E219" s="9">
        <v>0</v>
      </c>
      <c r="F219" t="str">
        <f>VLOOKUP(B219,customers!A:F,6,FALSE)</f>
        <v>Palembang</v>
      </c>
    </row>
    <row r="220" spans="1:6" x14ac:dyDescent="0.35">
      <c r="A220" s="8" t="s">
        <v>335</v>
      </c>
      <c r="B220" s="4" t="s">
        <v>173</v>
      </c>
      <c r="C220" s="5">
        <v>45845.541666666657</v>
      </c>
      <c r="D220" s="4" t="s">
        <v>46</v>
      </c>
      <c r="E220" s="9">
        <v>0</v>
      </c>
      <c r="F220" t="str">
        <f>VLOOKUP(B220,customers!A:F,6,FALSE)</f>
        <v>Bandung</v>
      </c>
    </row>
    <row r="221" spans="1:6" x14ac:dyDescent="0.35">
      <c r="A221" s="8" t="s">
        <v>336</v>
      </c>
      <c r="B221" s="4" t="s">
        <v>140</v>
      </c>
      <c r="C221" s="5">
        <v>45845.625</v>
      </c>
      <c r="D221" s="14" t="s">
        <v>20</v>
      </c>
      <c r="E221" s="9">
        <v>0</v>
      </c>
      <c r="F221" t="str">
        <f>VLOOKUP(B221,customers!A:F,6,FALSE)</f>
        <v>Surabaya</v>
      </c>
    </row>
    <row r="222" spans="1:6" x14ac:dyDescent="0.35">
      <c r="A222" s="8" t="s">
        <v>337</v>
      </c>
      <c r="B222" s="4" t="s">
        <v>117</v>
      </c>
      <c r="C222" s="5">
        <v>45845.75</v>
      </c>
      <c r="D222" s="4" t="s">
        <v>28</v>
      </c>
      <c r="E222" s="9">
        <v>0.15</v>
      </c>
      <c r="F222" t="str">
        <f>VLOOKUP(B222,customers!A:F,6,FALSE)</f>
        <v>Jakarta</v>
      </c>
    </row>
    <row r="223" spans="1:6" x14ac:dyDescent="0.35">
      <c r="A223" s="8" t="s">
        <v>338</v>
      </c>
      <c r="B223" s="4" t="s">
        <v>216</v>
      </c>
      <c r="C223" s="5">
        <v>45845.875</v>
      </c>
      <c r="D223" s="4" t="s">
        <v>28</v>
      </c>
      <c r="E223" s="9">
        <v>0</v>
      </c>
      <c r="F223" t="str">
        <f>VLOOKUP(B223,customers!A:F,6,FALSE)</f>
        <v>Semarang</v>
      </c>
    </row>
    <row r="224" spans="1:6" x14ac:dyDescent="0.35">
      <c r="A224" s="8" t="s">
        <v>339</v>
      </c>
      <c r="B224" s="4" t="s">
        <v>332</v>
      </c>
      <c r="C224" s="5">
        <v>45846.541666666657</v>
      </c>
      <c r="D224" s="14" t="s">
        <v>20</v>
      </c>
      <c r="E224" s="9">
        <v>0</v>
      </c>
      <c r="F224" t="str">
        <f>VLOOKUP(B224,customers!A:F,6,FALSE)</f>
        <v>Denpasar</v>
      </c>
    </row>
    <row r="225" spans="1:6" x14ac:dyDescent="0.35">
      <c r="A225" s="8" t="s">
        <v>340</v>
      </c>
      <c r="B225" s="4" t="s">
        <v>332</v>
      </c>
      <c r="C225" s="5">
        <v>45846.791666666657</v>
      </c>
      <c r="D225" s="4" t="s">
        <v>28</v>
      </c>
      <c r="E225" s="9">
        <v>0</v>
      </c>
      <c r="F225" t="str">
        <f>VLOOKUP(B225,customers!A:F,6,FALSE)</f>
        <v>Denpasar</v>
      </c>
    </row>
    <row r="226" spans="1:6" x14ac:dyDescent="0.35">
      <c r="A226" s="8" t="s">
        <v>341</v>
      </c>
      <c r="B226" s="4" t="s">
        <v>44</v>
      </c>
      <c r="C226" s="5">
        <v>45847.375</v>
      </c>
      <c r="D226" s="4" t="s">
        <v>28</v>
      </c>
      <c r="E226" s="9">
        <v>0.1</v>
      </c>
      <c r="F226" t="str">
        <f>VLOOKUP(B226,customers!A:F,6,FALSE)</f>
        <v>Medan</v>
      </c>
    </row>
    <row r="227" spans="1:6" x14ac:dyDescent="0.35">
      <c r="A227" s="8" t="s">
        <v>342</v>
      </c>
      <c r="B227" s="4" t="s">
        <v>239</v>
      </c>
      <c r="C227" s="5">
        <v>45847.458333333343</v>
      </c>
      <c r="D227" s="4" t="s">
        <v>28</v>
      </c>
      <c r="E227" s="9">
        <v>0</v>
      </c>
      <c r="F227" t="str">
        <f>VLOOKUP(B227,customers!A:F,6,FALSE)</f>
        <v>Yogyakarta</v>
      </c>
    </row>
    <row r="228" spans="1:6" x14ac:dyDescent="0.35">
      <c r="A228" s="8" t="s">
        <v>343</v>
      </c>
      <c r="B228" s="4" t="s">
        <v>344</v>
      </c>
      <c r="C228" s="5">
        <v>45847.541666666657</v>
      </c>
      <c r="D228" s="14" t="s">
        <v>20</v>
      </c>
      <c r="E228" s="9">
        <v>0</v>
      </c>
      <c r="F228" t="str">
        <f>VLOOKUP(B228,customers!A:F,6,FALSE)</f>
        <v>Bandung</v>
      </c>
    </row>
    <row r="229" spans="1:6" x14ac:dyDescent="0.35">
      <c r="A229" s="8" t="s">
        <v>345</v>
      </c>
      <c r="B229" s="4" t="s">
        <v>332</v>
      </c>
      <c r="C229" s="5">
        <v>45847.833333333343</v>
      </c>
      <c r="D229" s="14" t="s">
        <v>20</v>
      </c>
      <c r="E229" s="9">
        <v>0</v>
      </c>
      <c r="F229" t="str">
        <f>VLOOKUP(B229,customers!A:F,6,FALSE)</f>
        <v>Denpasar</v>
      </c>
    </row>
    <row r="230" spans="1:6" x14ac:dyDescent="0.35">
      <c r="A230" s="8" t="s">
        <v>346</v>
      </c>
      <c r="B230" s="4" t="s">
        <v>347</v>
      </c>
      <c r="C230" s="5">
        <v>45848.583333333343</v>
      </c>
      <c r="D230" s="4" t="s">
        <v>46</v>
      </c>
      <c r="E230" s="9">
        <v>0.15</v>
      </c>
      <c r="F230" t="str">
        <f>VLOOKUP(B230,customers!A:F,6,FALSE)</f>
        <v>Semarang</v>
      </c>
    </row>
    <row r="231" spans="1:6" x14ac:dyDescent="0.35">
      <c r="A231" s="8" t="s">
        <v>348</v>
      </c>
      <c r="B231" s="4" t="s">
        <v>37</v>
      </c>
      <c r="C231" s="5">
        <v>45848.583333333343</v>
      </c>
      <c r="D231" s="4" t="s">
        <v>28</v>
      </c>
      <c r="E231" s="9">
        <v>0.05</v>
      </c>
      <c r="F231" t="str">
        <f>VLOOKUP(B231,customers!A:F,6,FALSE)</f>
        <v>Palembang</v>
      </c>
    </row>
    <row r="232" spans="1:6" x14ac:dyDescent="0.35">
      <c r="A232" s="8" t="s">
        <v>349</v>
      </c>
      <c r="B232" s="4" t="s">
        <v>69</v>
      </c>
      <c r="C232" s="5">
        <v>45848.875</v>
      </c>
      <c r="D232" s="14" t="s">
        <v>20</v>
      </c>
      <c r="E232" s="9">
        <v>0</v>
      </c>
      <c r="F232" t="str">
        <f>VLOOKUP(B232,customers!A:F,6,FALSE)</f>
        <v>Yogyakarta</v>
      </c>
    </row>
    <row r="233" spans="1:6" x14ac:dyDescent="0.35">
      <c r="A233" s="8" t="s">
        <v>350</v>
      </c>
      <c r="B233" s="4" t="s">
        <v>206</v>
      </c>
      <c r="C233" s="5">
        <v>45849.333333333343</v>
      </c>
      <c r="D233" s="4" t="s">
        <v>46</v>
      </c>
      <c r="E233" s="9">
        <v>0</v>
      </c>
      <c r="F233" t="str">
        <f>VLOOKUP(B233,customers!A:F,6,FALSE)</f>
        <v>Depok</v>
      </c>
    </row>
    <row r="234" spans="1:6" x14ac:dyDescent="0.35">
      <c r="A234" s="8" t="s">
        <v>351</v>
      </c>
      <c r="B234" s="4" t="s">
        <v>80</v>
      </c>
      <c r="C234" s="5">
        <v>45849.541666666657</v>
      </c>
      <c r="D234" s="14" t="s">
        <v>20</v>
      </c>
      <c r="E234" s="9">
        <v>0.05</v>
      </c>
      <c r="F234" t="str">
        <f>VLOOKUP(B234,customers!A:F,6,FALSE)</f>
        <v>Denpasar</v>
      </c>
    </row>
    <row r="235" spans="1:6" x14ac:dyDescent="0.35">
      <c r="A235" s="8" t="s">
        <v>352</v>
      </c>
      <c r="B235" s="4" t="s">
        <v>353</v>
      </c>
      <c r="C235" s="5">
        <v>45849.75</v>
      </c>
      <c r="D235" s="14" t="s">
        <v>20</v>
      </c>
      <c r="E235" s="9">
        <v>0.1</v>
      </c>
      <c r="F235" t="str">
        <f>VLOOKUP(B235,customers!A:F,6,FALSE)</f>
        <v>Medan</v>
      </c>
    </row>
    <row r="236" spans="1:6" x14ac:dyDescent="0.35">
      <c r="A236" s="8" t="s">
        <v>354</v>
      </c>
      <c r="B236" s="4" t="s">
        <v>19</v>
      </c>
      <c r="C236" s="5">
        <v>45850.458333333343</v>
      </c>
      <c r="D236" s="4" t="s">
        <v>46</v>
      </c>
      <c r="E236" s="9">
        <v>0</v>
      </c>
      <c r="F236" t="str">
        <f>VLOOKUP(B236,customers!A:F,6,FALSE)</f>
        <v>Jakarta</v>
      </c>
    </row>
    <row r="237" spans="1:6" x14ac:dyDescent="0.35">
      <c r="A237" s="8" t="s">
        <v>355</v>
      </c>
      <c r="B237" s="4" t="s">
        <v>166</v>
      </c>
      <c r="C237" s="5">
        <v>45851.666666666657</v>
      </c>
      <c r="D237" s="4" t="s">
        <v>46</v>
      </c>
      <c r="E237" s="9">
        <v>0.1</v>
      </c>
      <c r="F237" t="str">
        <f>VLOOKUP(B237,customers!A:F,6,FALSE)</f>
        <v>Bandung</v>
      </c>
    </row>
    <row r="238" spans="1:6" x14ac:dyDescent="0.35">
      <c r="A238" s="8" t="s">
        <v>356</v>
      </c>
      <c r="B238" s="4" t="s">
        <v>347</v>
      </c>
      <c r="C238" s="5">
        <v>45851.666666666657</v>
      </c>
      <c r="D238" s="14" t="s">
        <v>20</v>
      </c>
      <c r="E238" s="9">
        <v>0.05</v>
      </c>
      <c r="F238" t="str">
        <f>VLOOKUP(B238,customers!A:F,6,FALSE)</f>
        <v>Semarang</v>
      </c>
    </row>
    <row r="239" spans="1:6" x14ac:dyDescent="0.35">
      <c r="A239" s="8" t="s">
        <v>357</v>
      </c>
      <c r="B239" s="4" t="s">
        <v>289</v>
      </c>
      <c r="C239" s="5">
        <v>45852.333333333343</v>
      </c>
      <c r="D239" s="4" t="s">
        <v>28</v>
      </c>
      <c r="E239" s="9">
        <v>0</v>
      </c>
      <c r="F239" t="str">
        <f>VLOOKUP(B239,customers!A:F,6,FALSE)</f>
        <v>Medan</v>
      </c>
    </row>
    <row r="240" spans="1:6" x14ac:dyDescent="0.35">
      <c r="A240" s="8" t="s">
        <v>358</v>
      </c>
      <c r="B240" s="4" t="s">
        <v>344</v>
      </c>
      <c r="C240" s="5">
        <v>45852.333333333343</v>
      </c>
      <c r="D240" s="14" t="s">
        <v>20</v>
      </c>
      <c r="E240" s="9">
        <v>0.05</v>
      </c>
      <c r="F240" t="str">
        <f>VLOOKUP(B240,customers!A:F,6,FALSE)</f>
        <v>Bandung</v>
      </c>
    </row>
    <row r="241" spans="1:6" x14ac:dyDescent="0.35">
      <c r="A241" s="8" t="s">
        <v>359</v>
      </c>
      <c r="B241" s="4" t="s">
        <v>55</v>
      </c>
      <c r="C241" s="5">
        <v>45852.541666666657</v>
      </c>
      <c r="D241" s="4" t="s">
        <v>46</v>
      </c>
      <c r="E241" s="9">
        <v>0.1</v>
      </c>
      <c r="F241" t="str">
        <f>VLOOKUP(B241,customers!A:F,6,FALSE)</f>
        <v>Surabaya</v>
      </c>
    </row>
    <row r="242" spans="1:6" x14ac:dyDescent="0.35">
      <c r="A242" s="8" t="s">
        <v>360</v>
      </c>
      <c r="B242" s="4" t="s">
        <v>50</v>
      </c>
      <c r="C242" s="5">
        <v>45853.75</v>
      </c>
      <c r="D242" s="14" t="s">
        <v>20</v>
      </c>
      <c r="E242" s="9">
        <v>0</v>
      </c>
      <c r="F242" t="str">
        <f>VLOOKUP(B242,customers!A:F,6,FALSE)</f>
        <v>Bandung</v>
      </c>
    </row>
    <row r="243" spans="1:6" x14ac:dyDescent="0.35">
      <c r="A243" s="8" t="s">
        <v>361</v>
      </c>
      <c r="B243" s="4" t="s">
        <v>104</v>
      </c>
      <c r="C243" s="5">
        <v>45854.666666666657</v>
      </c>
      <c r="D243" s="14" t="s">
        <v>20</v>
      </c>
      <c r="E243" s="9">
        <v>0</v>
      </c>
      <c r="F243" t="str">
        <f>VLOOKUP(B243,customers!A:F,6,FALSE)</f>
        <v>Depok</v>
      </c>
    </row>
    <row r="244" spans="1:6" x14ac:dyDescent="0.35">
      <c r="A244" s="8" t="s">
        <v>362</v>
      </c>
      <c r="B244" s="4" t="s">
        <v>203</v>
      </c>
      <c r="C244" s="5">
        <v>45855.583333333343</v>
      </c>
      <c r="D244" s="14" t="s">
        <v>20</v>
      </c>
      <c r="E244" s="9">
        <v>0</v>
      </c>
      <c r="F244" t="str">
        <f>VLOOKUP(B244,customers!A:F,6,FALSE)</f>
        <v>Jakarta</v>
      </c>
    </row>
    <row r="245" spans="1:6" x14ac:dyDescent="0.35">
      <c r="A245" s="8" t="s">
        <v>363</v>
      </c>
      <c r="B245" s="4" t="s">
        <v>146</v>
      </c>
      <c r="C245" s="5">
        <v>45855.583333333343</v>
      </c>
      <c r="D245" s="14" t="s">
        <v>20</v>
      </c>
      <c r="E245" s="9">
        <v>0.15</v>
      </c>
      <c r="F245" t="str">
        <f>VLOOKUP(B245,customers!A:F,6,FALSE)</f>
        <v>Bandung</v>
      </c>
    </row>
    <row r="246" spans="1:6" x14ac:dyDescent="0.35">
      <c r="A246" s="8" t="s">
        <v>364</v>
      </c>
      <c r="B246" s="4" t="s">
        <v>173</v>
      </c>
      <c r="C246" s="5">
        <v>45856.333333333343</v>
      </c>
      <c r="D246" s="14" t="s">
        <v>20</v>
      </c>
      <c r="E246" s="9">
        <v>0</v>
      </c>
      <c r="F246" t="str">
        <f>VLOOKUP(B246,customers!A:F,6,FALSE)</f>
        <v>Bandung</v>
      </c>
    </row>
    <row r="247" spans="1:6" x14ac:dyDescent="0.35">
      <c r="A247" s="8" t="s">
        <v>365</v>
      </c>
      <c r="B247" s="4" t="s">
        <v>366</v>
      </c>
      <c r="C247" s="5">
        <v>45856.416666666657</v>
      </c>
      <c r="D247" s="14" t="s">
        <v>20</v>
      </c>
      <c r="E247" s="9">
        <v>0.05</v>
      </c>
      <c r="F247" t="str">
        <f>VLOOKUP(B247,customers!A:F,6,FALSE)</f>
        <v>Jakarta</v>
      </c>
    </row>
    <row r="248" spans="1:6" x14ac:dyDescent="0.35">
      <c r="A248" s="8" t="s">
        <v>367</v>
      </c>
      <c r="B248" s="4" t="s">
        <v>368</v>
      </c>
      <c r="C248" s="5">
        <v>45856.541666666657</v>
      </c>
      <c r="D248" s="14" t="s">
        <v>20</v>
      </c>
      <c r="E248" s="9">
        <v>0</v>
      </c>
      <c r="F248" t="str">
        <f>VLOOKUP(B248,customers!A:F,6,FALSE)</f>
        <v>Jakarta</v>
      </c>
    </row>
    <row r="249" spans="1:6" x14ac:dyDescent="0.35">
      <c r="A249" s="8" t="s">
        <v>369</v>
      </c>
      <c r="B249" s="4" t="s">
        <v>368</v>
      </c>
      <c r="C249" s="5">
        <v>45856.583333333343</v>
      </c>
      <c r="D249" s="14" t="s">
        <v>20</v>
      </c>
      <c r="E249" s="9">
        <v>0.05</v>
      </c>
      <c r="F249" t="str">
        <f>VLOOKUP(B249,customers!A:F,6,FALSE)</f>
        <v>Jakarta</v>
      </c>
    </row>
    <row r="250" spans="1:6" x14ac:dyDescent="0.35">
      <c r="A250" s="8" t="s">
        <v>370</v>
      </c>
      <c r="B250" s="4" t="s">
        <v>162</v>
      </c>
      <c r="C250" s="5">
        <v>45858.708333333343</v>
      </c>
      <c r="D250" s="14" t="s">
        <v>20</v>
      </c>
      <c r="E250" s="9">
        <v>0.1</v>
      </c>
      <c r="F250" t="str">
        <f>VLOOKUP(B250,customers!A:F,6,FALSE)</f>
        <v>Denpasar</v>
      </c>
    </row>
    <row r="251" spans="1:6" x14ac:dyDescent="0.35">
      <c r="A251" s="8" t="s">
        <v>371</v>
      </c>
      <c r="B251" s="4" t="s">
        <v>173</v>
      </c>
      <c r="C251" s="5">
        <v>45859.375</v>
      </c>
      <c r="D251" s="14" t="s">
        <v>20</v>
      </c>
      <c r="E251" s="9">
        <v>0</v>
      </c>
      <c r="F251" t="str">
        <f>VLOOKUP(B251,customers!A:F,6,FALSE)</f>
        <v>Bandung</v>
      </c>
    </row>
    <row r="252" spans="1:6" x14ac:dyDescent="0.35">
      <c r="A252" s="8" t="s">
        <v>372</v>
      </c>
      <c r="B252" s="4" t="s">
        <v>216</v>
      </c>
      <c r="C252" s="5">
        <v>45859.666666666657</v>
      </c>
      <c r="D252" s="14" t="s">
        <v>20</v>
      </c>
      <c r="E252" s="9">
        <v>0</v>
      </c>
      <c r="F252" t="str">
        <f>VLOOKUP(B252,customers!A:F,6,FALSE)</f>
        <v>Semarang</v>
      </c>
    </row>
    <row r="253" spans="1:6" x14ac:dyDescent="0.35">
      <c r="A253" s="8" t="s">
        <v>373</v>
      </c>
      <c r="B253" s="4" t="s">
        <v>374</v>
      </c>
      <c r="C253" s="5">
        <v>45859.833333333343</v>
      </c>
      <c r="D253" s="14" t="s">
        <v>20</v>
      </c>
      <c r="E253" s="9">
        <v>0.05</v>
      </c>
      <c r="F253" t="str">
        <f>VLOOKUP(B253,customers!A:F,6,FALSE)</f>
        <v>Jakarta</v>
      </c>
    </row>
    <row r="254" spans="1:6" x14ac:dyDescent="0.35">
      <c r="A254" s="8" t="s">
        <v>375</v>
      </c>
      <c r="B254" s="4" t="s">
        <v>37</v>
      </c>
      <c r="C254" s="5">
        <v>45860.666666666657</v>
      </c>
      <c r="D254" s="14" t="s">
        <v>20</v>
      </c>
      <c r="E254" s="9">
        <v>0.05</v>
      </c>
      <c r="F254" t="str">
        <f>VLOOKUP(B254,customers!A:F,6,FALSE)</f>
        <v>Palembang</v>
      </c>
    </row>
    <row r="255" spans="1:6" x14ac:dyDescent="0.35">
      <c r="A255" s="8" t="s">
        <v>376</v>
      </c>
      <c r="B255" s="4" t="s">
        <v>216</v>
      </c>
      <c r="C255" s="5">
        <v>45861.5</v>
      </c>
      <c r="D255" s="14" t="s">
        <v>20</v>
      </c>
      <c r="E255" s="9">
        <v>0</v>
      </c>
      <c r="F255" t="str">
        <f>VLOOKUP(B255,customers!A:F,6,FALSE)</f>
        <v>Semarang</v>
      </c>
    </row>
    <row r="256" spans="1:6" x14ac:dyDescent="0.35">
      <c r="A256" s="8" t="s">
        <v>377</v>
      </c>
      <c r="B256" s="4" t="s">
        <v>99</v>
      </c>
      <c r="C256" s="5">
        <v>45861.583333333343</v>
      </c>
      <c r="D256" s="14" t="s">
        <v>20</v>
      </c>
      <c r="E256" s="9">
        <v>0</v>
      </c>
      <c r="F256" t="str">
        <f>VLOOKUP(B256,customers!A:F,6,FALSE)</f>
        <v>Bandung</v>
      </c>
    </row>
    <row r="257" spans="1:6" x14ac:dyDescent="0.35">
      <c r="A257" s="8" t="s">
        <v>378</v>
      </c>
      <c r="B257" s="4" t="s">
        <v>379</v>
      </c>
      <c r="C257" s="5">
        <v>45861.75</v>
      </c>
      <c r="D257" s="14" t="s">
        <v>20</v>
      </c>
      <c r="E257" s="9">
        <v>0</v>
      </c>
      <c r="F257" t="str">
        <f>VLOOKUP(B257,customers!A:F,6,FALSE)</f>
        <v>Makassar</v>
      </c>
    </row>
    <row r="258" spans="1:6" x14ac:dyDescent="0.35">
      <c r="A258" s="8" t="s">
        <v>380</v>
      </c>
      <c r="B258" s="4" t="s">
        <v>381</v>
      </c>
      <c r="C258" s="5">
        <v>45861.791666666657</v>
      </c>
      <c r="D258" s="4" t="s">
        <v>46</v>
      </c>
      <c r="E258" s="9">
        <v>0</v>
      </c>
      <c r="F258" t="str">
        <f>VLOOKUP(B258,customers!A:F,6,FALSE)</f>
        <v>Palembang</v>
      </c>
    </row>
    <row r="259" spans="1:6" x14ac:dyDescent="0.35">
      <c r="A259" s="8" t="s">
        <v>382</v>
      </c>
      <c r="B259" s="4" t="s">
        <v>381</v>
      </c>
      <c r="C259" s="5">
        <v>45863.333333333343</v>
      </c>
      <c r="D259" s="14" t="s">
        <v>20</v>
      </c>
      <c r="E259" s="9">
        <v>0.1</v>
      </c>
      <c r="F259" t="str">
        <f>VLOOKUP(B259,customers!A:F,6,FALSE)</f>
        <v>Palembang</v>
      </c>
    </row>
    <row r="260" spans="1:6" x14ac:dyDescent="0.35">
      <c r="A260" s="8" t="s">
        <v>383</v>
      </c>
      <c r="B260" s="4" t="s">
        <v>146</v>
      </c>
      <c r="C260" s="5">
        <v>45863.791666666657</v>
      </c>
      <c r="D260" s="14" t="s">
        <v>20</v>
      </c>
      <c r="E260" s="9">
        <v>0</v>
      </c>
      <c r="F260" t="str">
        <f>VLOOKUP(B260,customers!A:F,6,FALSE)</f>
        <v>Bandung</v>
      </c>
    </row>
    <row r="261" spans="1:6" x14ac:dyDescent="0.35">
      <c r="A261" s="8" t="s">
        <v>384</v>
      </c>
      <c r="B261" s="4" t="s">
        <v>374</v>
      </c>
      <c r="C261" s="5">
        <v>45864.458333333343</v>
      </c>
      <c r="D261" s="4" t="s">
        <v>28</v>
      </c>
      <c r="E261" s="9">
        <v>0.1</v>
      </c>
      <c r="F261" t="str">
        <f>VLOOKUP(B261,customers!A:F,6,FALSE)</f>
        <v>Jakarta</v>
      </c>
    </row>
    <row r="262" spans="1:6" x14ac:dyDescent="0.35">
      <c r="A262" s="8" t="s">
        <v>385</v>
      </c>
      <c r="B262" s="4" t="s">
        <v>381</v>
      </c>
      <c r="C262" s="5">
        <v>45864.541666666657</v>
      </c>
      <c r="D262" s="4" t="s">
        <v>28</v>
      </c>
      <c r="E262" s="9">
        <v>0</v>
      </c>
      <c r="F262" t="str">
        <f>VLOOKUP(B262,customers!A:F,6,FALSE)</f>
        <v>Palembang</v>
      </c>
    </row>
    <row r="263" spans="1:6" x14ac:dyDescent="0.35">
      <c r="A263" s="8" t="s">
        <v>386</v>
      </c>
      <c r="B263" s="4" t="s">
        <v>250</v>
      </c>
      <c r="C263" s="5">
        <v>45864.708333333343</v>
      </c>
      <c r="D263" s="14" t="s">
        <v>20</v>
      </c>
      <c r="E263" s="9">
        <v>0</v>
      </c>
      <c r="F263" t="str">
        <f>VLOOKUP(B263,customers!A:F,6,FALSE)</f>
        <v>Yogyakarta</v>
      </c>
    </row>
    <row r="264" spans="1:6" x14ac:dyDescent="0.35">
      <c r="A264" s="8" t="s">
        <v>387</v>
      </c>
      <c r="B264" s="4" t="s">
        <v>381</v>
      </c>
      <c r="C264" s="5">
        <v>45865.375</v>
      </c>
      <c r="D264" s="14" t="s">
        <v>20</v>
      </c>
      <c r="E264" s="9">
        <v>0</v>
      </c>
      <c r="F264" t="str">
        <f>VLOOKUP(B264,customers!A:F,6,FALSE)</f>
        <v>Palembang</v>
      </c>
    </row>
    <row r="265" spans="1:6" x14ac:dyDescent="0.35">
      <c r="A265" s="8" t="s">
        <v>388</v>
      </c>
      <c r="B265" s="4" t="s">
        <v>389</v>
      </c>
      <c r="C265" s="5">
        <v>45865.75</v>
      </c>
      <c r="D265" s="4" t="s">
        <v>28</v>
      </c>
      <c r="E265" s="9">
        <v>0.15</v>
      </c>
      <c r="F265" t="str">
        <f>VLOOKUP(B265,customers!A:F,6,FALSE)</f>
        <v>Semarang</v>
      </c>
    </row>
    <row r="266" spans="1:6" x14ac:dyDescent="0.35">
      <c r="A266" s="8" t="s">
        <v>390</v>
      </c>
      <c r="B266" s="4" t="s">
        <v>67</v>
      </c>
      <c r="C266" s="5">
        <v>45865.875</v>
      </c>
      <c r="D266" s="14" t="s">
        <v>20</v>
      </c>
      <c r="E266" s="9">
        <v>0.1</v>
      </c>
      <c r="F266" t="str">
        <f>VLOOKUP(B266,customers!A:F,6,FALSE)</f>
        <v>Palembang</v>
      </c>
    </row>
    <row r="267" spans="1:6" x14ac:dyDescent="0.35">
      <c r="A267" s="8" t="s">
        <v>391</v>
      </c>
      <c r="B267" s="4" t="s">
        <v>392</v>
      </c>
      <c r="C267" s="5">
        <v>45866.375</v>
      </c>
      <c r="D267" s="14" t="s">
        <v>20</v>
      </c>
      <c r="E267" s="9">
        <v>0</v>
      </c>
      <c r="F267" t="str">
        <f>VLOOKUP(B267,customers!A:F,6,FALSE)</f>
        <v>Makassar</v>
      </c>
    </row>
    <row r="268" spans="1:6" x14ac:dyDescent="0.35">
      <c r="A268" s="8" t="s">
        <v>393</v>
      </c>
      <c r="B268" s="4" t="s">
        <v>332</v>
      </c>
      <c r="C268" s="5">
        <v>45866.458333333343</v>
      </c>
      <c r="D268" s="14" t="s">
        <v>20</v>
      </c>
      <c r="E268" s="9">
        <v>0.05</v>
      </c>
      <c r="F268" t="str">
        <f>VLOOKUP(B268,customers!A:F,6,FALSE)</f>
        <v>Denpasar</v>
      </c>
    </row>
    <row r="269" spans="1:6" x14ac:dyDescent="0.35">
      <c r="A269" s="8" t="s">
        <v>394</v>
      </c>
      <c r="B269" s="4" t="s">
        <v>395</v>
      </c>
      <c r="C269" s="5">
        <v>45867.625</v>
      </c>
      <c r="D269" s="14" t="s">
        <v>20</v>
      </c>
      <c r="E269" s="9">
        <v>0</v>
      </c>
      <c r="F269" t="str">
        <f>VLOOKUP(B269,customers!A:F,6,FALSE)</f>
        <v>Makassar</v>
      </c>
    </row>
    <row r="270" spans="1:6" x14ac:dyDescent="0.35">
      <c r="A270" s="8" t="s">
        <v>396</v>
      </c>
      <c r="B270" s="4" t="s">
        <v>392</v>
      </c>
      <c r="C270" s="5">
        <v>45869.916666666657</v>
      </c>
      <c r="D270" s="14" t="s">
        <v>20</v>
      </c>
      <c r="E270" s="9">
        <v>0</v>
      </c>
      <c r="F270" t="str">
        <f>VLOOKUP(B270,customers!A:F,6,FALSE)</f>
        <v>Makassar</v>
      </c>
    </row>
    <row r="271" spans="1:6" x14ac:dyDescent="0.35">
      <c r="A271" s="8" t="s">
        <v>397</v>
      </c>
      <c r="B271" s="4" t="s">
        <v>398</v>
      </c>
      <c r="C271" s="5">
        <v>45870.458333333343</v>
      </c>
      <c r="D271" s="14" t="s">
        <v>20</v>
      </c>
      <c r="E271" s="9">
        <v>0</v>
      </c>
      <c r="F271" t="str">
        <f>VLOOKUP(B271,customers!A:F,6,FALSE)</f>
        <v>Medan</v>
      </c>
    </row>
    <row r="272" spans="1:6" x14ac:dyDescent="0.35">
      <c r="A272" s="8" t="s">
        <v>399</v>
      </c>
      <c r="B272" s="4" t="s">
        <v>400</v>
      </c>
      <c r="C272" s="5">
        <v>45870.583333333343</v>
      </c>
      <c r="D272" s="14" t="s">
        <v>20</v>
      </c>
      <c r="E272" s="9">
        <v>0</v>
      </c>
      <c r="F272" t="str">
        <f>VLOOKUP(B272,customers!A:F,6,FALSE)</f>
        <v>Jakarta</v>
      </c>
    </row>
    <row r="273" spans="1:6" x14ac:dyDescent="0.35">
      <c r="A273" s="8" t="s">
        <v>401</v>
      </c>
      <c r="B273" s="4" t="s">
        <v>392</v>
      </c>
      <c r="C273" s="5">
        <v>45871.625</v>
      </c>
      <c r="D273" s="4" t="s">
        <v>28</v>
      </c>
      <c r="E273" s="9">
        <v>0</v>
      </c>
      <c r="F273" t="str">
        <f>VLOOKUP(B273,customers!A:F,6,FALSE)</f>
        <v>Makassar</v>
      </c>
    </row>
    <row r="274" spans="1:6" x14ac:dyDescent="0.35">
      <c r="A274" s="8" t="s">
        <v>402</v>
      </c>
      <c r="B274" s="4" t="s">
        <v>403</v>
      </c>
      <c r="C274" s="5">
        <v>45871.833333333343</v>
      </c>
      <c r="D274" s="4" t="s">
        <v>46</v>
      </c>
      <c r="E274" s="9">
        <v>0</v>
      </c>
      <c r="F274" t="str">
        <f>VLOOKUP(B274,customers!A:F,6,FALSE)</f>
        <v>Jakarta</v>
      </c>
    </row>
    <row r="275" spans="1:6" x14ac:dyDescent="0.35">
      <c r="A275" s="8" t="s">
        <v>404</v>
      </c>
      <c r="B275" s="4" t="s">
        <v>310</v>
      </c>
      <c r="C275" s="5">
        <v>45873.5</v>
      </c>
      <c r="D275" s="14" t="s">
        <v>20</v>
      </c>
      <c r="E275" s="9">
        <v>0.1</v>
      </c>
      <c r="F275" t="str">
        <f>VLOOKUP(B275,customers!A:F,6,FALSE)</f>
        <v>Palembang</v>
      </c>
    </row>
    <row r="276" spans="1:6" x14ac:dyDescent="0.35">
      <c r="A276" s="8" t="s">
        <v>405</v>
      </c>
      <c r="B276" s="4" t="s">
        <v>406</v>
      </c>
      <c r="C276" s="5">
        <v>45873.708333333343</v>
      </c>
      <c r="D276" s="14" t="s">
        <v>20</v>
      </c>
      <c r="E276" s="9">
        <v>0</v>
      </c>
      <c r="F276" t="str">
        <f>VLOOKUP(B276,customers!A:F,6,FALSE)</f>
        <v>Depok</v>
      </c>
    </row>
    <row r="277" spans="1:6" x14ac:dyDescent="0.35">
      <c r="A277" s="8" t="s">
        <v>407</v>
      </c>
      <c r="B277" s="4" t="s">
        <v>353</v>
      </c>
      <c r="C277" s="5">
        <v>45873.833333333343</v>
      </c>
      <c r="D277" s="14" t="s">
        <v>20</v>
      </c>
      <c r="E277" s="9">
        <v>0.15</v>
      </c>
      <c r="F277" t="str">
        <f>VLOOKUP(B277,customers!A:F,6,FALSE)</f>
        <v>Medan</v>
      </c>
    </row>
    <row r="278" spans="1:6" x14ac:dyDescent="0.35">
      <c r="A278" s="8" t="s">
        <v>408</v>
      </c>
      <c r="B278" s="4" t="s">
        <v>67</v>
      </c>
      <c r="C278" s="5">
        <v>45874.416666666657</v>
      </c>
      <c r="D278" s="14" t="s">
        <v>20</v>
      </c>
      <c r="E278" s="9">
        <v>0.15</v>
      </c>
      <c r="F278" t="str">
        <f>VLOOKUP(B278,customers!A:F,6,FALSE)</f>
        <v>Palembang</v>
      </c>
    </row>
    <row r="279" spans="1:6" x14ac:dyDescent="0.35">
      <c r="A279" s="8" t="s">
        <v>409</v>
      </c>
      <c r="B279" s="4" t="s">
        <v>278</v>
      </c>
      <c r="C279" s="5">
        <v>45874.458333333343</v>
      </c>
      <c r="D279" s="14" t="s">
        <v>20</v>
      </c>
      <c r="E279" s="9">
        <v>0</v>
      </c>
      <c r="F279" t="str">
        <f>VLOOKUP(B279,customers!A:F,6,FALSE)</f>
        <v>Yogyakarta</v>
      </c>
    </row>
    <row r="280" spans="1:6" x14ac:dyDescent="0.35">
      <c r="A280" s="8" t="s">
        <v>410</v>
      </c>
      <c r="B280" s="4" t="s">
        <v>400</v>
      </c>
      <c r="C280" s="5">
        <v>45874.541666666657</v>
      </c>
      <c r="D280" s="14" t="s">
        <v>20</v>
      </c>
      <c r="E280" s="9">
        <v>0</v>
      </c>
      <c r="F280" t="str">
        <f>VLOOKUP(B280,customers!A:F,6,FALSE)</f>
        <v>Jakarta</v>
      </c>
    </row>
    <row r="281" spans="1:6" x14ac:dyDescent="0.35">
      <c r="A281" s="8" t="s">
        <v>411</v>
      </c>
      <c r="B281" s="4" t="s">
        <v>214</v>
      </c>
      <c r="C281" s="5">
        <v>45874.916666666657</v>
      </c>
      <c r="D281" s="14" t="s">
        <v>20</v>
      </c>
      <c r="E281" s="9">
        <v>0.05</v>
      </c>
      <c r="F281" t="str">
        <f>VLOOKUP(B281,customers!A:F,6,FALSE)</f>
        <v>Denpasar</v>
      </c>
    </row>
    <row r="282" spans="1:6" x14ac:dyDescent="0.35">
      <c r="A282" s="8" t="s">
        <v>412</v>
      </c>
      <c r="B282" s="4" t="s">
        <v>403</v>
      </c>
      <c r="C282" s="5">
        <v>45875.5</v>
      </c>
      <c r="D282" s="14" t="s">
        <v>20</v>
      </c>
      <c r="E282" s="9">
        <v>0.15</v>
      </c>
      <c r="F282" t="str">
        <f>VLOOKUP(B282,customers!A:F,6,FALSE)</f>
        <v>Jakarta</v>
      </c>
    </row>
    <row r="283" spans="1:6" x14ac:dyDescent="0.35">
      <c r="A283" s="8" t="s">
        <v>413</v>
      </c>
      <c r="B283" s="4" t="s">
        <v>58</v>
      </c>
      <c r="C283" s="5">
        <v>45875.708333333343</v>
      </c>
      <c r="D283" s="14" t="s">
        <v>20</v>
      </c>
      <c r="E283" s="9">
        <v>0.2</v>
      </c>
      <c r="F283" t="str">
        <f>VLOOKUP(B283,customers!A:F,6,FALSE)</f>
        <v>Denpasar</v>
      </c>
    </row>
    <row r="284" spans="1:6" x14ac:dyDescent="0.35">
      <c r="A284" s="8" t="s">
        <v>414</v>
      </c>
      <c r="B284" s="4" t="s">
        <v>415</v>
      </c>
      <c r="C284" s="5">
        <v>45875.875</v>
      </c>
      <c r="D284" s="14" t="s">
        <v>20</v>
      </c>
      <c r="E284" s="9">
        <v>0.05</v>
      </c>
      <c r="F284" t="str">
        <f>VLOOKUP(B284,customers!A:F,6,FALSE)</f>
        <v>Surabaya</v>
      </c>
    </row>
    <row r="285" spans="1:6" x14ac:dyDescent="0.35">
      <c r="A285" s="8" t="s">
        <v>416</v>
      </c>
      <c r="B285" s="4" t="s">
        <v>178</v>
      </c>
      <c r="C285" s="5">
        <v>45876.833333333343</v>
      </c>
      <c r="D285" s="4" t="s">
        <v>46</v>
      </c>
      <c r="E285" s="9">
        <v>0</v>
      </c>
      <c r="F285" t="str">
        <f>VLOOKUP(B285,customers!A:F,6,FALSE)</f>
        <v>Yogyakarta</v>
      </c>
    </row>
    <row r="286" spans="1:6" x14ac:dyDescent="0.35">
      <c r="A286" s="8" t="s">
        <v>417</v>
      </c>
      <c r="B286" s="4" t="s">
        <v>418</v>
      </c>
      <c r="C286" s="5">
        <v>45876.833333333343</v>
      </c>
      <c r="D286" s="14" t="s">
        <v>20</v>
      </c>
      <c r="E286" s="9">
        <v>0</v>
      </c>
      <c r="F286" t="str">
        <f>VLOOKUP(B286,customers!A:F,6,FALSE)</f>
        <v>Surabaya</v>
      </c>
    </row>
    <row r="287" spans="1:6" x14ac:dyDescent="0.35">
      <c r="A287" s="8" t="s">
        <v>419</v>
      </c>
      <c r="B287" s="4" t="s">
        <v>420</v>
      </c>
      <c r="C287" s="5">
        <v>45877.375</v>
      </c>
      <c r="D287" s="14" t="s">
        <v>20</v>
      </c>
      <c r="E287" s="9">
        <v>0</v>
      </c>
      <c r="F287" t="str">
        <f>VLOOKUP(B287,customers!A:F,6,FALSE)</f>
        <v>Bandung</v>
      </c>
    </row>
    <row r="288" spans="1:6" x14ac:dyDescent="0.35">
      <c r="A288" s="8" t="s">
        <v>421</v>
      </c>
      <c r="B288" s="4" t="s">
        <v>406</v>
      </c>
      <c r="C288" s="5">
        <v>45877.5</v>
      </c>
      <c r="D288" s="14" t="s">
        <v>20</v>
      </c>
      <c r="E288" s="9">
        <v>0.1</v>
      </c>
      <c r="F288" t="str">
        <f>VLOOKUP(B288,customers!A:F,6,FALSE)</f>
        <v>Depok</v>
      </c>
    </row>
    <row r="289" spans="1:6" x14ac:dyDescent="0.35">
      <c r="A289" s="8" t="s">
        <v>422</v>
      </c>
      <c r="B289" s="4" t="s">
        <v>423</v>
      </c>
      <c r="C289" s="5">
        <v>45877.75</v>
      </c>
      <c r="D289" s="14" t="s">
        <v>20</v>
      </c>
      <c r="E289" s="9">
        <v>0</v>
      </c>
      <c r="F289" t="str">
        <f>VLOOKUP(B289,customers!A:F,6,FALSE)</f>
        <v>Yogyakarta</v>
      </c>
    </row>
    <row r="290" spans="1:6" x14ac:dyDescent="0.35">
      <c r="A290" s="8" t="s">
        <v>424</v>
      </c>
      <c r="B290" s="4" t="s">
        <v>398</v>
      </c>
      <c r="C290" s="5">
        <v>45877.875</v>
      </c>
      <c r="D290" s="4" t="s">
        <v>46</v>
      </c>
      <c r="E290" s="9">
        <v>0.05</v>
      </c>
      <c r="F290" t="str">
        <f>VLOOKUP(B290,customers!A:F,6,FALSE)</f>
        <v>Medan</v>
      </c>
    </row>
    <row r="291" spans="1:6" x14ac:dyDescent="0.35">
      <c r="A291" s="8" t="s">
        <v>425</v>
      </c>
      <c r="B291" s="4" t="s">
        <v>418</v>
      </c>
      <c r="C291" s="5">
        <v>45878.333333333343</v>
      </c>
      <c r="D291" s="4" t="s">
        <v>28</v>
      </c>
      <c r="E291" s="9">
        <v>0.1</v>
      </c>
      <c r="F291" t="str">
        <f>VLOOKUP(B291,customers!A:F,6,FALSE)</f>
        <v>Surabaya</v>
      </c>
    </row>
    <row r="292" spans="1:6" x14ac:dyDescent="0.35">
      <c r="A292" s="8" t="s">
        <v>426</v>
      </c>
      <c r="B292" s="4" t="s">
        <v>67</v>
      </c>
      <c r="C292" s="5">
        <v>45879.333333333343</v>
      </c>
      <c r="D292" s="14" t="s">
        <v>20</v>
      </c>
      <c r="E292" s="9">
        <v>0</v>
      </c>
      <c r="F292" t="str">
        <f>VLOOKUP(B292,customers!A:F,6,FALSE)</f>
        <v>Palembang</v>
      </c>
    </row>
    <row r="293" spans="1:6" x14ac:dyDescent="0.35">
      <c r="A293" s="8" t="s">
        <v>427</v>
      </c>
      <c r="B293" s="4" t="s">
        <v>327</v>
      </c>
      <c r="C293" s="5">
        <v>45879.375</v>
      </c>
      <c r="D293" s="14" t="s">
        <v>20</v>
      </c>
      <c r="E293" s="9">
        <v>0.1</v>
      </c>
      <c r="F293" t="str">
        <f>VLOOKUP(B293,customers!A:F,6,FALSE)</f>
        <v>Depok</v>
      </c>
    </row>
    <row r="294" spans="1:6" x14ac:dyDescent="0.35">
      <c r="A294" s="8" t="s">
        <v>428</v>
      </c>
      <c r="B294" s="4" t="s">
        <v>124</v>
      </c>
      <c r="C294" s="5">
        <v>45879.666666666657</v>
      </c>
      <c r="D294" s="4" t="s">
        <v>46</v>
      </c>
      <c r="E294" s="9">
        <v>0.1</v>
      </c>
      <c r="F294" t="str">
        <f>VLOOKUP(B294,customers!A:F,6,FALSE)</f>
        <v>Jakarta</v>
      </c>
    </row>
    <row r="295" spans="1:6" x14ac:dyDescent="0.35">
      <c r="A295" s="8" t="s">
        <v>429</v>
      </c>
      <c r="B295" s="4" t="s">
        <v>83</v>
      </c>
      <c r="C295" s="5">
        <v>45879.708333333343</v>
      </c>
      <c r="D295" s="4" t="s">
        <v>46</v>
      </c>
      <c r="E295" s="9">
        <v>0.1</v>
      </c>
      <c r="F295" t="str">
        <f>VLOOKUP(B295,customers!A:F,6,FALSE)</f>
        <v>Surabaya</v>
      </c>
    </row>
    <row r="296" spans="1:6" x14ac:dyDescent="0.35">
      <c r="A296" s="8" t="s">
        <v>430</v>
      </c>
      <c r="B296" s="4" t="s">
        <v>392</v>
      </c>
      <c r="C296" s="5">
        <v>45880.666666666657</v>
      </c>
      <c r="D296" s="4" t="s">
        <v>46</v>
      </c>
      <c r="E296" s="9">
        <v>0</v>
      </c>
      <c r="F296" t="str">
        <f>VLOOKUP(B296,customers!A:F,6,FALSE)</f>
        <v>Makassar</v>
      </c>
    </row>
    <row r="297" spans="1:6" x14ac:dyDescent="0.35">
      <c r="A297" s="8" t="s">
        <v>431</v>
      </c>
      <c r="B297" s="4" t="s">
        <v>406</v>
      </c>
      <c r="C297" s="5">
        <v>45880.791666666657</v>
      </c>
      <c r="D297" s="4" t="s">
        <v>28</v>
      </c>
      <c r="E297" s="9">
        <v>0.05</v>
      </c>
      <c r="F297" t="str">
        <f>VLOOKUP(B297,customers!A:F,6,FALSE)</f>
        <v>Depok</v>
      </c>
    </row>
    <row r="298" spans="1:6" x14ac:dyDescent="0.35">
      <c r="A298" s="8" t="s">
        <v>432</v>
      </c>
      <c r="B298" s="4" t="s">
        <v>368</v>
      </c>
      <c r="C298" s="5">
        <v>45881.375</v>
      </c>
      <c r="D298" s="14" t="s">
        <v>20</v>
      </c>
      <c r="E298" s="9">
        <v>0</v>
      </c>
      <c r="F298" t="str">
        <f>VLOOKUP(B298,customers!A:F,6,FALSE)</f>
        <v>Jakarta</v>
      </c>
    </row>
    <row r="299" spans="1:6" x14ac:dyDescent="0.35">
      <c r="A299" s="8" t="s">
        <v>433</v>
      </c>
      <c r="B299" s="4" t="s">
        <v>418</v>
      </c>
      <c r="C299" s="5">
        <v>45882.333333333343</v>
      </c>
      <c r="D299" s="4" t="s">
        <v>46</v>
      </c>
      <c r="E299" s="9">
        <v>0.05</v>
      </c>
      <c r="F299" t="str">
        <f>VLOOKUP(B299,customers!A:F,6,FALSE)</f>
        <v>Surabaya</v>
      </c>
    </row>
    <row r="300" spans="1:6" x14ac:dyDescent="0.35">
      <c r="A300" s="8" t="s">
        <v>434</v>
      </c>
      <c r="B300" s="4" t="s">
        <v>296</v>
      </c>
      <c r="C300" s="5">
        <v>45882.75</v>
      </c>
      <c r="D300" s="14" t="s">
        <v>20</v>
      </c>
      <c r="E300" s="9">
        <v>0</v>
      </c>
      <c r="F300" t="str">
        <f>VLOOKUP(B300,customers!A:F,6,FALSE)</f>
        <v>Jakarta</v>
      </c>
    </row>
    <row r="301" spans="1:6" x14ac:dyDescent="0.35">
      <c r="A301" s="8" t="s">
        <v>435</v>
      </c>
      <c r="B301" s="4" t="s">
        <v>216</v>
      </c>
      <c r="C301" s="5">
        <v>45883.916666666657</v>
      </c>
      <c r="D301" s="4" t="s">
        <v>28</v>
      </c>
      <c r="E301" s="9">
        <v>0.1</v>
      </c>
      <c r="F301" t="str">
        <f>VLOOKUP(B301,customers!A:F,6,FALSE)</f>
        <v>Semarang</v>
      </c>
    </row>
    <row r="302" spans="1:6" x14ac:dyDescent="0.35">
      <c r="A302" s="8" t="s">
        <v>436</v>
      </c>
      <c r="B302" s="4" t="s">
        <v>25</v>
      </c>
      <c r="C302" s="5">
        <v>45884.833333333343</v>
      </c>
      <c r="D302" s="14" t="s">
        <v>20</v>
      </c>
      <c r="E302" s="9">
        <v>0</v>
      </c>
      <c r="F302" t="str">
        <f>VLOOKUP(B302,customers!A:F,6,FALSE)</f>
        <v>Palembang</v>
      </c>
    </row>
    <row r="303" spans="1:6" x14ac:dyDescent="0.35">
      <c r="A303" s="8" t="s">
        <v>437</v>
      </c>
      <c r="B303" s="4" t="s">
        <v>423</v>
      </c>
      <c r="C303" s="5">
        <v>45885.666666666657</v>
      </c>
      <c r="D303" s="14" t="s">
        <v>20</v>
      </c>
      <c r="E303" s="9">
        <v>0.05</v>
      </c>
      <c r="F303" t="str">
        <f>VLOOKUP(B303,customers!A:F,6,FALSE)</f>
        <v>Yogyakarta</v>
      </c>
    </row>
    <row r="304" spans="1:6" x14ac:dyDescent="0.35">
      <c r="A304" s="8" t="s">
        <v>438</v>
      </c>
      <c r="B304" s="4" t="s">
        <v>439</v>
      </c>
      <c r="C304" s="5">
        <v>45885.75</v>
      </c>
      <c r="D304" s="14" t="s">
        <v>20</v>
      </c>
      <c r="E304" s="9">
        <v>0</v>
      </c>
      <c r="F304" t="str">
        <f>VLOOKUP(B304,customers!A:F,6,FALSE)</f>
        <v>Jakarta</v>
      </c>
    </row>
    <row r="305" spans="1:6" x14ac:dyDescent="0.35">
      <c r="A305" s="8" t="s">
        <v>440</v>
      </c>
      <c r="B305" s="4" t="s">
        <v>439</v>
      </c>
      <c r="C305" s="5">
        <v>45885.916666666657</v>
      </c>
      <c r="D305" s="14" t="s">
        <v>20</v>
      </c>
      <c r="E305" s="9">
        <v>0</v>
      </c>
      <c r="F305" t="str">
        <f>VLOOKUP(B305,customers!A:F,6,FALSE)</f>
        <v>Jakarta</v>
      </c>
    </row>
    <row r="306" spans="1:6" x14ac:dyDescent="0.35">
      <c r="A306" s="8" t="s">
        <v>441</v>
      </c>
      <c r="B306" s="4" t="s">
        <v>25</v>
      </c>
      <c r="C306" s="5">
        <v>45886.583333333343</v>
      </c>
      <c r="D306" s="4" t="s">
        <v>46</v>
      </c>
      <c r="E306" s="9">
        <v>0.1</v>
      </c>
      <c r="F306" t="str">
        <f>VLOOKUP(B306,customers!A:F,6,FALSE)</f>
        <v>Palembang</v>
      </c>
    </row>
    <row r="307" spans="1:6" x14ac:dyDescent="0.35">
      <c r="A307" s="8" t="s">
        <v>442</v>
      </c>
      <c r="B307" s="4" t="s">
        <v>206</v>
      </c>
      <c r="C307" s="5">
        <v>45886.666666666657</v>
      </c>
      <c r="D307" s="14" t="s">
        <v>20</v>
      </c>
      <c r="E307" s="9">
        <v>0.05</v>
      </c>
      <c r="F307" t="str">
        <f>VLOOKUP(B307,customers!A:F,6,FALSE)</f>
        <v>Depok</v>
      </c>
    </row>
    <row r="308" spans="1:6" x14ac:dyDescent="0.35">
      <c r="A308" s="8" t="s">
        <v>443</v>
      </c>
      <c r="B308" s="4" t="s">
        <v>403</v>
      </c>
      <c r="C308" s="5">
        <v>45887.666666666657</v>
      </c>
      <c r="D308" s="14" t="s">
        <v>20</v>
      </c>
      <c r="E308" s="9">
        <v>0</v>
      </c>
      <c r="F308" t="str">
        <f>VLOOKUP(B308,customers!A:F,6,FALSE)</f>
        <v>Jakarta</v>
      </c>
    </row>
    <row r="309" spans="1:6" x14ac:dyDescent="0.35">
      <c r="A309" s="8" t="s">
        <v>444</v>
      </c>
      <c r="B309" s="4" t="s">
        <v>140</v>
      </c>
      <c r="C309" s="5">
        <v>45887.791666666657</v>
      </c>
      <c r="D309" s="4" t="s">
        <v>46</v>
      </c>
      <c r="E309" s="9">
        <v>0.2</v>
      </c>
      <c r="F309" t="str">
        <f>VLOOKUP(B309,customers!A:F,6,FALSE)</f>
        <v>Surabaya</v>
      </c>
    </row>
    <row r="310" spans="1:6" x14ac:dyDescent="0.35">
      <c r="A310" s="8" t="s">
        <v>445</v>
      </c>
      <c r="B310" s="4" t="s">
        <v>185</v>
      </c>
      <c r="C310" s="5">
        <v>45888.541666666657</v>
      </c>
      <c r="D310" s="4" t="s">
        <v>46</v>
      </c>
      <c r="E310" s="9">
        <v>0</v>
      </c>
      <c r="F310" t="str">
        <f>VLOOKUP(B310,customers!A:F,6,FALSE)</f>
        <v>Jakarta</v>
      </c>
    </row>
    <row r="311" spans="1:6" x14ac:dyDescent="0.35">
      <c r="A311" s="8" t="s">
        <v>446</v>
      </c>
      <c r="B311" s="4" t="s">
        <v>447</v>
      </c>
      <c r="C311" s="5">
        <v>45888.791666666657</v>
      </c>
      <c r="D311" s="14" t="s">
        <v>20</v>
      </c>
      <c r="E311" s="9">
        <v>0</v>
      </c>
      <c r="F311" t="str">
        <f>VLOOKUP(B311,customers!A:F,6,FALSE)</f>
        <v>Palembang</v>
      </c>
    </row>
    <row r="312" spans="1:6" x14ac:dyDescent="0.35">
      <c r="A312" s="8" t="s">
        <v>448</v>
      </c>
      <c r="B312" s="4" t="s">
        <v>83</v>
      </c>
      <c r="C312" s="5">
        <v>45890.333333333343</v>
      </c>
      <c r="D312" s="4" t="s">
        <v>46</v>
      </c>
      <c r="E312" s="9">
        <v>0.05</v>
      </c>
      <c r="F312" t="str">
        <f>VLOOKUP(B312,customers!A:F,6,FALSE)</f>
        <v>Surabaya</v>
      </c>
    </row>
    <row r="313" spans="1:6" x14ac:dyDescent="0.35">
      <c r="A313" s="8" t="s">
        <v>449</v>
      </c>
      <c r="B313" s="4" t="s">
        <v>58</v>
      </c>
      <c r="C313" s="5">
        <v>45890.458333333343</v>
      </c>
      <c r="D313" s="14" t="s">
        <v>20</v>
      </c>
      <c r="E313" s="9">
        <v>0</v>
      </c>
      <c r="F313" t="str">
        <f>VLOOKUP(B313,customers!A:F,6,FALSE)</f>
        <v>Denpasar</v>
      </c>
    </row>
    <row r="314" spans="1:6" x14ac:dyDescent="0.35">
      <c r="A314" s="8" t="s">
        <v>450</v>
      </c>
      <c r="B314" s="4" t="s">
        <v>192</v>
      </c>
      <c r="C314" s="5">
        <v>45890.5</v>
      </c>
      <c r="D314" s="14" t="s">
        <v>20</v>
      </c>
      <c r="E314" s="9">
        <v>0</v>
      </c>
      <c r="F314" t="str">
        <f>VLOOKUP(B314,customers!A:F,6,FALSE)</f>
        <v>Yogyakarta</v>
      </c>
    </row>
    <row r="315" spans="1:6" x14ac:dyDescent="0.35">
      <c r="A315" s="8" t="s">
        <v>451</v>
      </c>
      <c r="B315" s="4" t="s">
        <v>366</v>
      </c>
      <c r="C315" s="5">
        <v>45890.708333333343</v>
      </c>
      <c r="D315" s="4" t="s">
        <v>28</v>
      </c>
      <c r="E315" s="9">
        <v>0</v>
      </c>
      <c r="F315" t="str">
        <f>VLOOKUP(B315,customers!A:F,6,FALSE)</f>
        <v>Jakarta</v>
      </c>
    </row>
    <row r="316" spans="1:6" x14ac:dyDescent="0.35">
      <c r="A316" s="8" t="s">
        <v>452</v>
      </c>
      <c r="B316" s="4" t="s">
        <v>439</v>
      </c>
      <c r="C316" s="5">
        <v>45891.333333333343</v>
      </c>
      <c r="D316" s="4" t="s">
        <v>28</v>
      </c>
      <c r="E316" s="9">
        <v>0.05</v>
      </c>
      <c r="F316" t="str">
        <f>VLOOKUP(B316,customers!A:F,6,FALSE)</f>
        <v>Jakarta</v>
      </c>
    </row>
    <row r="317" spans="1:6" x14ac:dyDescent="0.35">
      <c r="A317" s="8" t="s">
        <v>453</v>
      </c>
      <c r="B317" s="4" t="s">
        <v>220</v>
      </c>
      <c r="C317" s="5">
        <v>45891.375</v>
      </c>
      <c r="D317" s="4" t="s">
        <v>46</v>
      </c>
      <c r="E317" s="9">
        <v>0</v>
      </c>
      <c r="F317" t="str">
        <f>VLOOKUP(B317,customers!A:F,6,FALSE)</f>
        <v>Surabaya</v>
      </c>
    </row>
    <row r="318" spans="1:6" x14ac:dyDescent="0.35">
      <c r="A318" s="8" t="s">
        <v>454</v>
      </c>
      <c r="B318" s="4" t="s">
        <v>423</v>
      </c>
      <c r="C318" s="5">
        <v>45891.625</v>
      </c>
      <c r="D318" s="14" t="s">
        <v>20</v>
      </c>
      <c r="E318" s="9">
        <v>0</v>
      </c>
      <c r="F318" t="str">
        <f>VLOOKUP(B318,customers!A:F,6,FALSE)</f>
        <v>Yogyakarta</v>
      </c>
    </row>
    <row r="319" spans="1:6" x14ac:dyDescent="0.35">
      <c r="A319" s="8" t="s">
        <v>455</v>
      </c>
      <c r="B319" s="4" t="s">
        <v>456</v>
      </c>
      <c r="C319" s="5">
        <v>45891.625</v>
      </c>
      <c r="D319" s="14" t="s">
        <v>20</v>
      </c>
      <c r="E319" s="9">
        <v>0</v>
      </c>
      <c r="F319" t="str">
        <f>VLOOKUP(B319,customers!A:F,6,FALSE)</f>
        <v>Bandung</v>
      </c>
    </row>
    <row r="320" spans="1:6" x14ac:dyDescent="0.35">
      <c r="A320" s="8" t="s">
        <v>457</v>
      </c>
      <c r="B320" s="4" t="s">
        <v>34</v>
      </c>
      <c r="C320" s="5">
        <v>45891.666666666657</v>
      </c>
      <c r="D320" s="14" t="s">
        <v>20</v>
      </c>
      <c r="E320" s="9">
        <v>0</v>
      </c>
      <c r="F320" t="str">
        <f>VLOOKUP(B320,customers!A:F,6,FALSE)</f>
        <v>Makassar</v>
      </c>
    </row>
    <row r="321" spans="1:6" x14ac:dyDescent="0.35">
      <c r="A321" s="8" t="s">
        <v>458</v>
      </c>
      <c r="B321" s="4" t="s">
        <v>87</v>
      </c>
      <c r="C321" s="5">
        <v>45892.416666666657</v>
      </c>
      <c r="D321" s="14" t="s">
        <v>20</v>
      </c>
      <c r="E321" s="9">
        <v>0</v>
      </c>
      <c r="F321" t="str">
        <f>VLOOKUP(B321,customers!A:F,6,FALSE)</f>
        <v>Jakarta</v>
      </c>
    </row>
    <row r="322" spans="1:6" x14ac:dyDescent="0.35">
      <c r="A322" s="8" t="s">
        <v>459</v>
      </c>
      <c r="B322" s="4" t="s">
        <v>206</v>
      </c>
      <c r="C322" s="5">
        <v>45892.666666666657</v>
      </c>
      <c r="D322" s="14" t="s">
        <v>20</v>
      </c>
      <c r="E322" s="9">
        <v>0.1</v>
      </c>
      <c r="F322" t="str">
        <f>VLOOKUP(B322,customers!A:F,6,FALSE)</f>
        <v>Depok</v>
      </c>
    </row>
    <row r="323" spans="1:6" x14ac:dyDescent="0.35">
      <c r="A323" s="8" t="s">
        <v>460</v>
      </c>
      <c r="B323" s="4" t="s">
        <v>83</v>
      </c>
      <c r="C323" s="5">
        <v>45892.833333333343</v>
      </c>
      <c r="D323" s="14" t="s">
        <v>20</v>
      </c>
      <c r="E323" s="9">
        <v>0.05</v>
      </c>
      <c r="F323" t="str">
        <f>VLOOKUP(B323,customers!A:F,6,FALSE)</f>
        <v>Surabaya</v>
      </c>
    </row>
    <row r="324" spans="1:6" x14ac:dyDescent="0.35">
      <c r="A324" s="8" t="s">
        <v>461</v>
      </c>
      <c r="B324" s="4" t="s">
        <v>296</v>
      </c>
      <c r="C324" s="5">
        <v>45893.583333333343</v>
      </c>
      <c r="D324" s="4" t="s">
        <v>46</v>
      </c>
      <c r="E324" s="9">
        <v>0</v>
      </c>
      <c r="F324" t="str">
        <f>VLOOKUP(B324,customers!A:F,6,FALSE)</f>
        <v>Jakarta</v>
      </c>
    </row>
    <row r="325" spans="1:6" x14ac:dyDescent="0.35">
      <c r="A325" s="8" t="s">
        <v>462</v>
      </c>
      <c r="B325" s="4" t="s">
        <v>456</v>
      </c>
      <c r="C325" s="5">
        <v>45893.583333333343</v>
      </c>
      <c r="D325" s="14" t="s">
        <v>20</v>
      </c>
      <c r="E325" s="9">
        <v>0.05</v>
      </c>
      <c r="F325" t="str">
        <f>VLOOKUP(B325,customers!A:F,6,FALSE)</f>
        <v>Bandung</v>
      </c>
    </row>
    <row r="326" spans="1:6" x14ac:dyDescent="0.35">
      <c r="A326" s="8" t="s">
        <v>463</v>
      </c>
      <c r="B326" s="4" t="s">
        <v>464</v>
      </c>
      <c r="C326" s="5">
        <v>45894.666666666657</v>
      </c>
      <c r="D326" s="14" t="s">
        <v>20</v>
      </c>
      <c r="E326" s="9">
        <v>0</v>
      </c>
      <c r="F326" t="str">
        <f>VLOOKUP(B326,customers!A:F,6,FALSE)</f>
        <v>Bandung</v>
      </c>
    </row>
    <row r="327" spans="1:6" x14ac:dyDescent="0.35">
      <c r="A327" s="8" t="s">
        <v>465</v>
      </c>
      <c r="B327" s="4" t="s">
        <v>121</v>
      </c>
      <c r="C327" s="5">
        <v>45894.875</v>
      </c>
      <c r="D327" s="14" t="s">
        <v>20</v>
      </c>
      <c r="E327" s="9">
        <v>0</v>
      </c>
      <c r="F327" t="str">
        <f>VLOOKUP(B327,customers!A:F,6,FALSE)</f>
        <v>Surabaya</v>
      </c>
    </row>
    <row r="328" spans="1:6" x14ac:dyDescent="0.35">
      <c r="A328" s="8" t="s">
        <v>466</v>
      </c>
      <c r="B328" s="4" t="s">
        <v>192</v>
      </c>
      <c r="C328" s="5">
        <v>45896.625</v>
      </c>
      <c r="D328" s="14" t="s">
        <v>20</v>
      </c>
      <c r="E328" s="9">
        <v>0</v>
      </c>
      <c r="F328" t="str">
        <f>VLOOKUP(B328,customers!A:F,6,FALSE)</f>
        <v>Yogyakarta</v>
      </c>
    </row>
    <row r="329" spans="1:6" x14ac:dyDescent="0.35">
      <c r="A329" s="8" t="s">
        <v>467</v>
      </c>
      <c r="B329" s="4" t="s">
        <v>468</v>
      </c>
      <c r="C329" s="5">
        <v>45897.333333333343</v>
      </c>
      <c r="D329" s="4" t="s">
        <v>28</v>
      </c>
      <c r="E329" s="9">
        <v>0</v>
      </c>
      <c r="F329" t="str">
        <f>VLOOKUP(B329,customers!A:F,6,FALSE)</f>
        <v>Surabaya</v>
      </c>
    </row>
    <row r="330" spans="1:6" x14ac:dyDescent="0.35">
      <c r="A330" s="8" t="s">
        <v>469</v>
      </c>
      <c r="B330" s="4" t="s">
        <v>468</v>
      </c>
      <c r="C330" s="5">
        <v>45897.375</v>
      </c>
      <c r="D330" s="14" t="s">
        <v>20</v>
      </c>
      <c r="E330" s="9">
        <v>0</v>
      </c>
      <c r="F330" t="str">
        <f>VLOOKUP(B330,customers!A:F,6,FALSE)</f>
        <v>Surabaya</v>
      </c>
    </row>
    <row r="331" spans="1:6" x14ac:dyDescent="0.35">
      <c r="A331" s="8" t="s">
        <v>470</v>
      </c>
      <c r="B331" s="4" t="s">
        <v>471</v>
      </c>
      <c r="C331" s="5">
        <v>45897.541666666657</v>
      </c>
      <c r="D331" s="14" t="s">
        <v>20</v>
      </c>
      <c r="E331" s="9">
        <v>0.1</v>
      </c>
      <c r="F331" t="str">
        <f>VLOOKUP(B331,customers!A:F,6,FALSE)</f>
        <v>Bandung</v>
      </c>
    </row>
    <row r="332" spans="1:6" x14ac:dyDescent="0.35">
      <c r="A332" s="8" t="s">
        <v>472</v>
      </c>
      <c r="B332" s="4" t="s">
        <v>23</v>
      </c>
      <c r="C332" s="5">
        <v>45897.583333333343</v>
      </c>
      <c r="D332" s="4" t="s">
        <v>28</v>
      </c>
      <c r="E332" s="9">
        <v>0</v>
      </c>
      <c r="F332" t="str">
        <f>VLOOKUP(B332,customers!A:F,6,FALSE)</f>
        <v>Bandung</v>
      </c>
    </row>
    <row r="333" spans="1:6" x14ac:dyDescent="0.35">
      <c r="A333" s="8" t="s">
        <v>473</v>
      </c>
      <c r="B333" s="4" t="s">
        <v>23</v>
      </c>
      <c r="C333" s="5">
        <v>45897.583333333343</v>
      </c>
      <c r="D333" s="4" t="s">
        <v>46</v>
      </c>
      <c r="E333" s="9">
        <v>0.15</v>
      </c>
      <c r="F333" t="str">
        <f>VLOOKUP(B333,customers!A:F,6,FALSE)</f>
        <v>Bandung</v>
      </c>
    </row>
    <row r="334" spans="1:6" x14ac:dyDescent="0.35">
      <c r="A334" s="8" t="s">
        <v>474</v>
      </c>
      <c r="B334" s="4" t="s">
        <v>475</v>
      </c>
      <c r="C334" s="5">
        <v>45897.75</v>
      </c>
      <c r="D334" s="14" t="s">
        <v>20</v>
      </c>
      <c r="E334" s="9">
        <v>0</v>
      </c>
      <c r="F334" t="str">
        <f>VLOOKUP(B334,customers!A:F,6,FALSE)</f>
        <v>Jakarta</v>
      </c>
    </row>
    <row r="335" spans="1:6" x14ac:dyDescent="0.35">
      <c r="A335" s="8" t="s">
        <v>476</v>
      </c>
      <c r="B335" s="4" t="s">
        <v>477</v>
      </c>
      <c r="C335" s="5">
        <v>45898.75</v>
      </c>
      <c r="D335" s="14" t="s">
        <v>20</v>
      </c>
      <c r="E335" s="9">
        <v>0</v>
      </c>
      <c r="F335" t="str">
        <f>VLOOKUP(B335,customers!A:F,6,FALSE)</f>
        <v>Palembang</v>
      </c>
    </row>
    <row r="336" spans="1:6" x14ac:dyDescent="0.35">
      <c r="A336" s="8" t="s">
        <v>478</v>
      </c>
      <c r="B336" s="4" t="s">
        <v>479</v>
      </c>
      <c r="C336" s="5">
        <v>45898.833333333343</v>
      </c>
      <c r="D336" s="14" t="s">
        <v>20</v>
      </c>
      <c r="E336" s="9">
        <v>0.2</v>
      </c>
      <c r="F336" t="str">
        <f>VLOOKUP(B336,customers!A:F,6,FALSE)</f>
        <v>Makassar</v>
      </c>
    </row>
    <row r="337" spans="1:6" x14ac:dyDescent="0.35">
      <c r="A337" s="8" t="s">
        <v>480</v>
      </c>
      <c r="B337" s="4" t="s">
        <v>481</v>
      </c>
      <c r="C337" s="5">
        <v>45899.875</v>
      </c>
      <c r="D337" s="14" t="s">
        <v>20</v>
      </c>
      <c r="E337" s="9">
        <v>0</v>
      </c>
      <c r="F337" t="str">
        <f>VLOOKUP(B337,customers!A:F,6,FALSE)</f>
        <v>Medan</v>
      </c>
    </row>
    <row r="338" spans="1:6" x14ac:dyDescent="0.35">
      <c r="A338" s="8" t="s">
        <v>482</v>
      </c>
      <c r="B338" s="4" t="s">
        <v>477</v>
      </c>
      <c r="C338" s="5">
        <v>45900.583333333343</v>
      </c>
      <c r="D338" s="14" t="s">
        <v>20</v>
      </c>
      <c r="E338" s="9">
        <v>0</v>
      </c>
      <c r="F338" t="str">
        <f>VLOOKUP(B338,customers!A:F,6,FALSE)</f>
        <v>Palembang</v>
      </c>
    </row>
    <row r="339" spans="1:6" x14ac:dyDescent="0.35">
      <c r="A339" s="8" t="s">
        <v>483</v>
      </c>
      <c r="B339" s="4" t="s">
        <v>484</v>
      </c>
      <c r="C339" s="5">
        <v>45900.666666666657</v>
      </c>
      <c r="D339" s="4" t="s">
        <v>46</v>
      </c>
      <c r="E339" s="9">
        <v>0.05</v>
      </c>
      <c r="F339" t="str">
        <f>VLOOKUP(B339,customers!A:F,6,FALSE)</f>
        <v>Semarang</v>
      </c>
    </row>
    <row r="340" spans="1:6" x14ac:dyDescent="0.35">
      <c r="A340" s="8" t="s">
        <v>485</v>
      </c>
      <c r="B340" s="4" t="s">
        <v>481</v>
      </c>
      <c r="C340" s="5">
        <v>45901.333333333343</v>
      </c>
      <c r="D340" s="4" t="s">
        <v>46</v>
      </c>
      <c r="E340" s="9">
        <v>0.05</v>
      </c>
      <c r="F340" t="str">
        <f>VLOOKUP(B340,customers!A:F,6,FALSE)</f>
        <v>Medan</v>
      </c>
    </row>
    <row r="341" spans="1:6" x14ac:dyDescent="0.35">
      <c r="A341" s="8" t="s">
        <v>486</v>
      </c>
      <c r="B341" s="4" t="s">
        <v>479</v>
      </c>
      <c r="C341" s="5">
        <v>45901.375</v>
      </c>
      <c r="D341" s="14" t="s">
        <v>20</v>
      </c>
      <c r="E341" s="9">
        <v>0</v>
      </c>
      <c r="F341" t="str">
        <f>VLOOKUP(B341,customers!A:F,6,FALSE)</f>
        <v>Makassar</v>
      </c>
    </row>
    <row r="342" spans="1:6" x14ac:dyDescent="0.35">
      <c r="A342" s="8" t="s">
        <v>487</v>
      </c>
      <c r="B342" s="4" t="s">
        <v>283</v>
      </c>
      <c r="C342" s="5">
        <v>45901.375</v>
      </c>
      <c r="D342" s="4" t="s">
        <v>46</v>
      </c>
      <c r="E342" s="9">
        <v>0</v>
      </c>
      <c r="F342" t="str">
        <f>VLOOKUP(B342,customers!A:F,6,FALSE)</f>
        <v>Jakarta</v>
      </c>
    </row>
    <row r="343" spans="1:6" x14ac:dyDescent="0.35">
      <c r="A343" s="8" t="s">
        <v>488</v>
      </c>
      <c r="B343" s="4" t="s">
        <v>484</v>
      </c>
      <c r="C343" s="5">
        <v>45901.5</v>
      </c>
      <c r="D343" s="4" t="s">
        <v>28</v>
      </c>
      <c r="E343" s="9">
        <v>0</v>
      </c>
      <c r="F343" t="str">
        <f>VLOOKUP(B343,customers!A:F,6,FALSE)</f>
        <v>Semarang</v>
      </c>
    </row>
    <row r="344" spans="1:6" x14ac:dyDescent="0.35">
      <c r="A344" s="8" t="s">
        <v>489</v>
      </c>
      <c r="B344" s="4" t="s">
        <v>75</v>
      </c>
      <c r="C344" s="5">
        <v>45901.625</v>
      </c>
      <c r="D344" s="14" t="s">
        <v>20</v>
      </c>
      <c r="E344" s="9">
        <v>0</v>
      </c>
      <c r="F344" t="str">
        <f>VLOOKUP(B344,customers!A:F,6,FALSE)</f>
        <v>Jakarta</v>
      </c>
    </row>
    <row r="345" spans="1:6" x14ac:dyDescent="0.35">
      <c r="A345" s="8" t="s">
        <v>490</v>
      </c>
      <c r="B345" s="4" t="s">
        <v>484</v>
      </c>
      <c r="C345" s="5">
        <v>45901.875</v>
      </c>
      <c r="D345" s="14" t="s">
        <v>20</v>
      </c>
      <c r="E345" s="9">
        <v>0</v>
      </c>
      <c r="F345" t="str">
        <f>VLOOKUP(B345,customers!A:F,6,FALSE)</f>
        <v>Semarang</v>
      </c>
    </row>
    <row r="346" spans="1:6" x14ac:dyDescent="0.35">
      <c r="A346" s="8" t="s">
        <v>491</v>
      </c>
      <c r="B346" s="4" t="s">
        <v>492</v>
      </c>
      <c r="C346" s="5">
        <v>45902.75</v>
      </c>
      <c r="D346" s="14" t="s">
        <v>20</v>
      </c>
      <c r="E346" s="9">
        <v>0.05</v>
      </c>
      <c r="F346" t="str">
        <f>VLOOKUP(B346,customers!A:F,6,FALSE)</f>
        <v>Surabaya</v>
      </c>
    </row>
    <row r="347" spans="1:6" x14ac:dyDescent="0.35">
      <c r="A347" s="8" t="s">
        <v>493</v>
      </c>
      <c r="B347" s="4" t="s">
        <v>481</v>
      </c>
      <c r="C347" s="5">
        <v>45903.416666666657</v>
      </c>
      <c r="D347" s="4" t="s">
        <v>46</v>
      </c>
      <c r="E347" s="9">
        <v>0</v>
      </c>
      <c r="F347" t="str">
        <f>VLOOKUP(B347,customers!A:F,6,FALSE)</f>
        <v>Medan</v>
      </c>
    </row>
    <row r="348" spans="1:6" x14ac:dyDescent="0.35">
      <c r="A348" s="8" t="s">
        <v>494</v>
      </c>
      <c r="B348" s="4" t="s">
        <v>194</v>
      </c>
      <c r="C348" s="5">
        <v>45903.458333333343</v>
      </c>
      <c r="D348" s="14" t="s">
        <v>20</v>
      </c>
      <c r="E348" s="9">
        <v>0.05</v>
      </c>
      <c r="F348" t="str">
        <f>VLOOKUP(B348,customers!A:F,6,FALSE)</f>
        <v>Bandung</v>
      </c>
    </row>
    <row r="349" spans="1:6" x14ac:dyDescent="0.35">
      <c r="A349" s="8" t="s">
        <v>495</v>
      </c>
      <c r="B349" s="4" t="s">
        <v>42</v>
      </c>
      <c r="C349" s="5">
        <v>45903.875</v>
      </c>
      <c r="D349" s="14" t="s">
        <v>20</v>
      </c>
      <c r="E349" s="9">
        <v>0</v>
      </c>
      <c r="F349" t="str">
        <f>VLOOKUP(B349,customers!A:F,6,FALSE)</f>
        <v>Denpasar</v>
      </c>
    </row>
    <row r="350" spans="1:6" x14ac:dyDescent="0.35">
      <c r="A350" s="8" t="s">
        <v>496</v>
      </c>
      <c r="B350" s="4" t="s">
        <v>171</v>
      </c>
      <c r="C350" s="5">
        <v>45903.916666666657</v>
      </c>
      <c r="D350" s="14" t="s">
        <v>20</v>
      </c>
      <c r="E350" s="9">
        <v>0</v>
      </c>
      <c r="F350" t="str">
        <f>VLOOKUP(B350,customers!A:F,6,FALSE)</f>
        <v>Surabaya</v>
      </c>
    </row>
    <row r="351" spans="1:6" x14ac:dyDescent="0.35">
      <c r="A351" s="8" t="s">
        <v>497</v>
      </c>
      <c r="B351" s="4" t="s">
        <v>484</v>
      </c>
      <c r="C351" s="5">
        <v>45904.5</v>
      </c>
      <c r="D351" s="14" t="s">
        <v>20</v>
      </c>
      <c r="E351" s="9">
        <v>0.05</v>
      </c>
      <c r="F351" t="str">
        <f>VLOOKUP(B351,customers!A:F,6,FALSE)</f>
        <v>Semarang</v>
      </c>
    </row>
    <row r="352" spans="1:6" x14ac:dyDescent="0.35">
      <c r="A352" s="8" t="s">
        <v>498</v>
      </c>
      <c r="B352" s="4" t="s">
        <v>484</v>
      </c>
      <c r="C352" s="5">
        <v>45904.5</v>
      </c>
      <c r="D352" s="4" t="s">
        <v>28</v>
      </c>
      <c r="E352" s="9">
        <v>0</v>
      </c>
      <c r="F352" t="str">
        <f>VLOOKUP(B352,customers!A:F,6,FALSE)</f>
        <v>Semarang</v>
      </c>
    </row>
    <row r="353" spans="1:6" x14ac:dyDescent="0.35">
      <c r="A353" s="8" t="s">
        <v>499</v>
      </c>
      <c r="B353" s="4" t="s">
        <v>500</v>
      </c>
      <c r="C353" s="5">
        <v>45904.833333333343</v>
      </c>
      <c r="D353" s="14" t="s">
        <v>20</v>
      </c>
      <c r="E353" s="9">
        <v>0</v>
      </c>
      <c r="F353" t="str">
        <f>VLOOKUP(B353,customers!A:F,6,FALSE)</f>
        <v>Bandung</v>
      </c>
    </row>
    <row r="354" spans="1:6" x14ac:dyDescent="0.35">
      <c r="A354" s="8" t="s">
        <v>501</v>
      </c>
      <c r="B354" s="4" t="s">
        <v>502</v>
      </c>
      <c r="C354" s="5">
        <v>45904.916666666657</v>
      </c>
      <c r="D354" s="14" t="s">
        <v>20</v>
      </c>
      <c r="E354" s="9">
        <v>0</v>
      </c>
      <c r="F354" t="str">
        <f>VLOOKUP(B354,customers!A:F,6,FALSE)</f>
        <v>Palembang</v>
      </c>
    </row>
    <row r="355" spans="1:6" x14ac:dyDescent="0.35">
      <c r="A355" s="8" t="s">
        <v>503</v>
      </c>
      <c r="B355" s="4" t="s">
        <v>484</v>
      </c>
      <c r="C355" s="5">
        <v>45905.583333333343</v>
      </c>
      <c r="D355" s="14" t="s">
        <v>20</v>
      </c>
      <c r="E355" s="9">
        <v>0</v>
      </c>
      <c r="F355" t="str">
        <f>VLOOKUP(B355,customers!A:F,6,FALSE)</f>
        <v>Semarang</v>
      </c>
    </row>
    <row r="356" spans="1:6" x14ac:dyDescent="0.35">
      <c r="A356" s="8" t="s">
        <v>504</v>
      </c>
      <c r="B356" s="4" t="s">
        <v>278</v>
      </c>
      <c r="C356" s="5">
        <v>45906.5</v>
      </c>
      <c r="D356" s="14" t="s">
        <v>20</v>
      </c>
      <c r="E356" s="9">
        <v>0.1</v>
      </c>
      <c r="F356" t="str">
        <f>VLOOKUP(B356,customers!A:F,6,FALSE)</f>
        <v>Yogyakarta</v>
      </c>
    </row>
    <row r="357" spans="1:6" x14ac:dyDescent="0.35">
      <c r="A357" s="8" t="s">
        <v>505</v>
      </c>
      <c r="B357" s="4" t="s">
        <v>173</v>
      </c>
      <c r="C357" s="5">
        <v>45906.708333333343</v>
      </c>
      <c r="D357" s="14" t="s">
        <v>20</v>
      </c>
      <c r="E357" s="9">
        <v>0</v>
      </c>
      <c r="F357" t="str">
        <f>VLOOKUP(B357,customers!A:F,6,FALSE)</f>
        <v>Bandung</v>
      </c>
    </row>
    <row r="358" spans="1:6" x14ac:dyDescent="0.35">
      <c r="A358" s="8" t="s">
        <v>506</v>
      </c>
      <c r="B358" s="4" t="s">
        <v>507</v>
      </c>
      <c r="C358" s="5">
        <v>45907.833333333343</v>
      </c>
      <c r="D358" s="4" t="s">
        <v>28</v>
      </c>
      <c r="E358" s="9">
        <v>0</v>
      </c>
      <c r="F358" t="str">
        <f>VLOOKUP(B358,customers!A:F,6,FALSE)</f>
        <v>Makassar</v>
      </c>
    </row>
    <row r="359" spans="1:6" x14ac:dyDescent="0.35">
      <c r="A359" s="8" t="s">
        <v>508</v>
      </c>
      <c r="B359" s="4" t="s">
        <v>250</v>
      </c>
      <c r="C359" s="5">
        <v>45907.833333333343</v>
      </c>
      <c r="D359" s="4" t="s">
        <v>28</v>
      </c>
      <c r="E359" s="9">
        <v>0</v>
      </c>
      <c r="F359" t="str">
        <f>VLOOKUP(B359,customers!A:F,6,FALSE)</f>
        <v>Yogyakarta</v>
      </c>
    </row>
    <row r="360" spans="1:6" x14ac:dyDescent="0.35">
      <c r="A360" s="8" t="s">
        <v>509</v>
      </c>
      <c r="B360" s="4" t="s">
        <v>178</v>
      </c>
      <c r="C360" s="5">
        <v>45908.583333333343</v>
      </c>
      <c r="D360" s="14" t="s">
        <v>20</v>
      </c>
      <c r="E360" s="9">
        <v>0.1</v>
      </c>
      <c r="F360" t="str">
        <f>VLOOKUP(B360,customers!A:F,6,FALSE)</f>
        <v>Yogyakarta</v>
      </c>
    </row>
    <row r="361" spans="1:6" x14ac:dyDescent="0.35">
      <c r="A361" s="8" t="s">
        <v>510</v>
      </c>
      <c r="B361" s="4" t="s">
        <v>502</v>
      </c>
      <c r="C361" s="5">
        <v>45908.625</v>
      </c>
      <c r="D361" s="4" t="s">
        <v>28</v>
      </c>
      <c r="E361" s="9">
        <v>0.05</v>
      </c>
      <c r="F361" t="str">
        <f>VLOOKUP(B361,customers!A:F,6,FALSE)</f>
        <v>Palembang</v>
      </c>
    </row>
    <row r="362" spans="1:6" x14ac:dyDescent="0.35">
      <c r="A362" s="8" t="s">
        <v>511</v>
      </c>
      <c r="B362" s="4" t="s">
        <v>507</v>
      </c>
      <c r="C362" s="5">
        <v>45908.833333333343</v>
      </c>
      <c r="D362" s="4" t="s">
        <v>46</v>
      </c>
      <c r="E362" s="9">
        <v>0</v>
      </c>
      <c r="F362" t="str">
        <f>VLOOKUP(B362,customers!A:F,6,FALSE)</f>
        <v>Makassar</v>
      </c>
    </row>
    <row r="363" spans="1:6" x14ac:dyDescent="0.35">
      <c r="A363" s="8" t="s">
        <v>512</v>
      </c>
      <c r="B363" s="4" t="s">
        <v>513</v>
      </c>
      <c r="C363" s="5">
        <v>45909.666666666657</v>
      </c>
      <c r="D363" s="4" t="s">
        <v>28</v>
      </c>
      <c r="E363" s="9">
        <v>0.1</v>
      </c>
      <c r="F363" t="str">
        <f>VLOOKUP(B363,customers!A:F,6,FALSE)</f>
        <v>Jakarta</v>
      </c>
    </row>
    <row r="364" spans="1:6" x14ac:dyDescent="0.35">
      <c r="A364" s="8" t="s">
        <v>514</v>
      </c>
      <c r="B364" s="4" t="s">
        <v>507</v>
      </c>
      <c r="C364" s="5">
        <v>45909.666666666657</v>
      </c>
      <c r="D364" s="14" t="s">
        <v>20</v>
      </c>
      <c r="E364" s="9">
        <v>0.1</v>
      </c>
      <c r="F364" t="str">
        <f>VLOOKUP(B364,customers!A:F,6,FALSE)</f>
        <v>Makassar</v>
      </c>
    </row>
    <row r="365" spans="1:6" x14ac:dyDescent="0.35">
      <c r="A365" s="8" t="s">
        <v>515</v>
      </c>
      <c r="B365" s="4" t="s">
        <v>255</v>
      </c>
      <c r="C365" s="5">
        <v>45910.458333333343</v>
      </c>
      <c r="D365" s="4" t="s">
        <v>28</v>
      </c>
      <c r="E365" s="9">
        <v>0.05</v>
      </c>
      <c r="F365" t="str">
        <f>VLOOKUP(B365,customers!A:F,6,FALSE)</f>
        <v>Makassar</v>
      </c>
    </row>
    <row r="366" spans="1:6" x14ac:dyDescent="0.35">
      <c r="A366" s="8" t="s">
        <v>516</v>
      </c>
      <c r="B366" s="4" t="s">
        <v>484</v>
      </c>
      <c r="C366" s="5">
        <v>45910.5</v>
      </c>
      <c r="D366" s="14" t="s">
        <v>20</v>
      </c>
      <c r="E366" s="9">
        <v>0</v>
      </c>
      <c r="F366" t="str">
        <f>VLOOKUP(B366,customers!A:F,6,FALSE)</f>
        <v>Semarang</v>
      </c>
    </row>
    <row r="367" spans="1:6" x14ac:dyDescent="0.35">
      <c r="A367" s="8" t="s">
        <v>517</v>
      </c>
      <c r="B367" s="4" t="s">
        <v>220</v>
      </c>
      <c r="C367" s="5">
        <v>45910.791666666657</v>
      </c>
      <c r="D367" s="4" t="s">
        <v>28</v>
      </c>
      <c r="E367" s="9">
        <v>0</v>
      </c>
      <c r="F367" t="str">
        <f>VLOOKUP(B367,customers!A:F,6,FALSE)</f>
        <v>Surabaya</v>
      </c>
    </row>
    <row r="368" spans="1:6" x14ac:dyDescent="0.35">
      <c r="A368" s="8" t="s">
        <v>518</v>
      </c>
      <c r="B368" s="4" t="s">
        <v>418</v>
      </c>
      <c r="C368" s="5">
        <v>45910.791666666657</v>
      </c>
      <c r="D368" s="4" t="s">
        <v>46</v>
      </c>
      <c r="E368" s="9">
        <v>0.15</v>
      </c>
      <c r="F368" t="str">
        <f>VLOOKUP(B368,customers!A:F,6,FALSE)</f>
        <v>Surabaya</v>
      </c>
    </row>
    <row r="369" spans="1:6" x14ac:dyDescent="0.35">
      <c r="A369" s="8" t="s">
        <v>519</v>
      </c>
      <c r="B369" s="4" t="s">
        <v>477</v>
      </c>
      <c r="C369" s="5">
        <v>45911.333333333343</v>
      </c>
      <c r="D369" s="14" t="s">
        <v>20</v>
      </c>
      <c r="E369" s="9">
        <v>0</v>
      </c>
      <c r="F369" t="str">
        <f>VLOOKUP(B369,customers!A:F,6,FALSE)</f>
        <v>Palembang</v>
      </c>
    </row>
    <row r="370" spans="1:6" x14ac:dyDescent="0.35">
      <c r="A370" s="8" t="s">
        <v>520</v>
      </c>
      <c r="B370" s="4" t="s">
        <v>180</v>
      </c>
      <c r="C370" s="5">
        <v>45911.375</v>
      </c>
      <c r="D370" s="4" t="s">
        <v>46</v>
      </c>
      <c r="E370" s="9">
        <v>0.1</v>
      </c>
      <c r="F370" t="str">
        <f>VLOOKUP(B370,customers!A:F,6,FALSE)</f>
        <v>Jakarta</v>
      </c>
    </row>
    <row r="371" spans="1:6" x14ac:dyDescent="0.35">
      <c r="A371" s="8" t="s">
        <v>521</v>
      </c>
      <c r="B371" s="4" t="s">
        <v>522</v>
      </c>
      <c r="C371" s="5">
        <v>45911.416666666657</v>
      </c>
      <c r="D371" s="14" t="s">
        <v>20</v>
      </c>
      <c r="E371" s="9">
        <v>0.05</v>
      </c>
      <c r="F371" t="str">
        <f>VLOOKUP(B371,customers!A:F,6,FALSE)</f>
        <v>Bandung</v>
      </c>
    </row>
    <row r="372" spans="1:6" x14ac:dyDescent="0.35">
      <c r="A372" s="8" t="s">
        <v>523</v>
      </c>
      <c r="B372" s="4" t="s">
        <v>111</v>
      </c>
      <c r="C372" s="5">
        <v>45911.541666666657</v>
      </c>
      <c r="D372" s="14" t="s">
        <v>20</v>
      </c>
      <c r="E372" s="9">
        <v>0</v>
      </c>
      <c r="F372" t="str">
        <f>VLOOKUP(B372,customers!A:F,6,FALSE)</f>
        <v>Depok</v>
      </c>
    </row>
    <row r="373" spans="1:6" x14ac:dyDescent="0.35">
      <c r="A373" s="8" t="s">
        <v>524</v>
      </c>
      <c r="B373" s="4" t="s">
        <v>34</v>
      </c>
      <c r="C373" s="5">
        <v>45912.875</v>
      </c>
      <c r="D373" s="14" t="s">
        <v>20</v>
      </c>
      <c r="E373" s="9">
        <v>0</v>
      </c>
      <c r="F373" t="str">
        <f>VLOOKUP(B373,customers!A:F,6,FALSE)</f>
        <v>Makassar</v>
      </c>
    </row>
    <row r="374" spans="1:6" x14ac:dyDescent="0.35">
      <c r="A374" s="8" t="s">
        <v>525</v>
      </c>
      <c r="B374" s="4" t="s">
        <v>156</v>
      </c>
      <c r="C374" s="5">
        <v>45914.375</v>
      </c>
      <c r="D374" s="14" t="s">
        <v>20</v>
      </c>
      <c r="E374" s="9">
        <v>0.05</v>
      </c>
      <c r="F374" t="str">
        <f>VLOOKUP(B374,customers!A:F,6,FALSE)</f>
        <v>Depok</v>
      </c>
    </row>
    <row r="375" spans="1:6" x14ac:dyDescent="0.35">
      <c r="A375" s="8" t="s">
        <v>526</v>
      </c>
      <c r="B375" s="4" t="s">
        <v>527</v>
      </c>
      <c r="C375" s="5">
        <v>45914.541666666657</v>
      </c>
      <c r="D375" s="14" t="s">
        <v>20</v>
      </c>
      <c r="E375" s="9">
        <v>0.05</v>
      </c>
      <c r="F375" t="str">
        <f>VLOOKUP(B375,customers!A:F,6,FALSE)</f>
        <v>Denpasar</v>
      </c>
    </row>
    <row r="376" spans="1:6" x14ac:dyDescent="0.35">
      <c r="A376" s="8" t="s">
        <v>528</v>
      </c>
      <c r="B376" s="4" t="s">
        <v>527</v>
      </c>
      <c r="C376" s="5">
        <v>45914.75</v>
      </c>
      <c r="D376" s="14" t="s">
        <v>20</v>
      </c>
      <c r="E376" s="9">
        <v>0</v>
      </c>
      <c r="F376" t="str">
        <f>VLOOKUP(B376,customers!A:F,6,FALSE)</f>
        <v>Denpasar</v>
      </c>
    </row>
    <row r="377" spans="1:6" x14ac:dyDescent="0.35">
      <c r="A377" s="8" t="s">
        <v>529</v>
      </c>
      <c r="B377" s="4" t="s">
        <v>527</v>
      </c>
      <c r="C377" s="5">
        <v>45914.916666666657</v>
      </c>
      <c r="D377" s="14" t="s">
        <v>20</v>
      </c>
      <c r="E377" s="9">
        <v>0</v>
      </c>
      <c r="F377" t="str">
        <f>VLOOKUP(B377,customers!A:F,6,FALSE)</f>
        <v>Denpasar</v>
      </c>
    </row>
    <row r="378" spans="1:6" x14ac:dyDescent="0.35">
      <c r="A378" s="8" t="s">
        <v>530</v>
      </c>
      <c r="B378" s="4" t="s">
        <v>420</v>
      </c>
      <c r="C378" s="5">
        <v>45915.375</v>
      </c>
      <c r="D378" s="14" t="s">
        <v>20</v>
      </c>
      <c r="E378" s="9">
        <v>0</v>
      </c>
      <c r="F378" t="str">
        <f>VLOOKUP(B378,customers!A:F,6,FALSE)</f>
        <v>Bandung</v>
      </c>
    </row>
    <row r="379" spans="1:6" x14ac:dyDescent="0.35">
      <c r="A379" s="8" t="s">
        <v>531</v>
      </c>
      <c r="B379" s="4" t="s">
        <v>532</v>
      </c>
      <c r="C379" s="5">
        <v>45915.416666666657</v>
      </c>
      <c r="D379" s="4" t="s">
        <v>28</v>
      </c>
      <c r="E379" s="9">
        <v>0</v>
      </c>
      <c r="F379" t="str">
        <f>VLOOKUP(B379,customers!A:F,6,FALSE)</f>
        <v>Semarang</v>
      </c>
    </row>
    <row r="380" spans="1:6" x14ac:dyDescent="0.35">
      <c r="A380" s="8" t="s">
        <v>533</v>
      </c>
      <c r="B380" s="4" t="s">
        <v>481</v>
      </c>
      <c r="C380" s="5">
        <v>45915.5</v>
      </c>
      <c r="D380" s="14" t="s">
        <v>20</v>
      </c>
      <c r="E380" s="9">
        <v>0</v>
      </c>
      <c r="F380" t="str">
        <f>VLOOKUP(B380,customers!A:F,6,FALSE)</f>
        <v>Medan</v>
      </c>
    </row>
    <row r="381" spans="1:6" x14ac:dyDescent="0.35">
      <c r="A381" s="8" t="s">
        <v>534</v>
      </c>
      <c r="B381" s="4" t="s">
        <v>535</v>
      </c>
      <c r="C381" s="5">
        <v>45915.833333333343</v>
      </c>
      <c r="D381" s="14" t="s">
        <v>20</v>
      </c>
      <c r="E381" s="9">
        <v>0.1</v>
      </c>
      <c r="F381" t="str">
        <f>VLOOKUP(B381,customers!A:F,6,FALSE)</f>
        <v>Yogyakarta</v>
      </c>
    </row>
    <row r="382" spans="1:6" x14ac:dyDescent="0.35">
      <c r="A382" s="8" t="s">
        <v>536</v>
      </c>
      <c r="B382" s="4" t="s">
        <v>146</v>
      </c>
      <c r="C382" s="5">
        <v>45916.708333333343</v>
      </c>
      <c r="D382" s="4" t="s">
        <v>46</v>
      </c>
      <c r="E382" s="9">
        <v>0</v>
      </c>
      <c r="F382" t="str">
        <f>VLOOKUP(B382,customers!A:F,6,FALSE)</f>
        <v>Bandung</v>
      </c>
    </row>
    <row r="383" spans="1:6" x14ac:dyDescent="0.35">
      <c r="A383" s="8" t="s">
        <v>537</v>
      </c>
      <c r="B383" s="4" t="s">
        <v>156</v>
      </c>
      <c r="C383" s="5">
        <v>45917.583333333343</v>
      </c>
      <c r="D383" s="14" t="s">
        <v>20</v>
      </c>
      <c r="E383" s="9">
        <v>0.05</v>
      </c>
      <c r="F383" t="str">
        <f>VLOOKUP(B383,customers!A:F,6,FALSE)</f>
        <v>Depok</v>
      </c>
    </row>
    <row r="384" spans="1:6" x14ac:dyDescent="0.35">
      <c r="A384" s="8" t="s">
        <v>538</v>
      </c>
      <c r="B384" s="4" t="s">
        <v>535</v>
      </c>
      <c r="C384" s="5">
        <v>45918.416666666657</v>
      </c>
      <c r="D384" s="4" t="s">
        <v>28</v>
      </c>
      <c r="E384" s="9">
        <v>0</v>
      </c>
      <c r="F384" t="str">
        <f>VLOOKUP(B384,customers!A:F,6,FALSE)</f>
        <v>Yogyakarta</v>
      </c>
    </row>
    <row r="385" spans="1:6" x14ac:dyDescent="0.35">
      <c r="A385" s="8" t="s">
        <v>539</v>
      </c>
      <c r="B385" s="4" t="s">
        <v>540</v>
      </c>
      <c r="C385" s="5">
        <v>45918.708333333343</v>
      </c>
      <c r="D385" s="14" t="s">
        <v>20</v>
      </c>
      <c r="E385" s="9">
        <v>0</v>
      </c>
      <c r="F385" t="str">
        <f>VLOOKUP(B385,customers!A:F,6,FALSE)</f>
        <v>Jakarta</v>
      </c>
    </row>
    <row r="386" spans="1:6" x14ac:dyDescent="0.35">
      <c r="A386" s="8" t="s">
        <v>541</v>
      </c>
      <c r="B386" s="4" t="s">
        <v>535</v>
      </c>
      <c r="C386" s="5">
        <v>45918.791666666657</v>
      </c>
      <c r="D386" s="14" t="s">
        <v>20</v>
      </c>
      <c r="E386" s="9">
        <v>0</v>
      </c>
      <c r="F386" t="str">
        <f>VLOOKUP(B386,customers!A:F,6,FALSE)</f>
        <v>Yogyakarta</v>
      </c>
    </row>
    <row r="387" spans="1:6" x14ac:dyDescent="0.35">
      <c r="A387" s="8" t="s">
        <v>542</v>
      </c>
      <c r="B387" s="4" t="s">
        <v>527</v>
      </c>
      <c r="C387" s="5">
        <v>45919.458333333343</v>
      </c>
      <c r="D387" s="14" t="s">
        <v>20</v>
      </c>
      <c r="E387" s="9">
        <v>0</v>
      </c>
      <c r="F387" t="str">
        <f>VLOOKUP(B387,customers!A:F,6,FALSE)</f>
        <v>Denpasar</v>
      </c>
    </row>
    <row r="388" spans="1:6" x14ac:dyDescent="0.35">
      <c r="A388" s="8" t="s">
        <v>543</v>
      </c>
      <c r="B388" s="4" t="s">
        <v>544</v>
      </c>
      <c r="C388" s="5">
        <v>45919.625</v>
      </c>
      <c r="D388" s="14" t="s">
        <v>20</v>
      </c>
      <c r="E388" s="9">
        <v>0</v>
      </c>
      <c r="F388" t="str">
        <f>VLOOKUP(B388,customers!A:F,6,FALSE)</f>
        <v>Yogyakarta</v>
      </c>
    </row>
    <row r="389" spans="1:6" x14ac:dyDescent="0.35">
      <c r="A389" s="8" t="s">
        <v>545</v>
      </c>
      <c r="B389" s="4" t="s">
        <v>278</v>
      </c>
      <c r="C389" s="5">
        <v>45920.625</v>
      </c>
      <c r="D389" s="14" t="s">
        <v>20</v>
      </c>
      <c r="E389" s="9">
        <v>0.05</v>
      </c>
      <c r="F389" t="str">
        <f>VLOOKUP(B389,customers!A:F,6,FALSE)</f>
        <v>Yogyakarta</v>
      </c>
    </row>
    <row r="390" spans="1:6" x14ac:dyDescent="0.35">
      <c r="A390" s="8" t="s">
        <v>546</v>
      </c>
      <c r="B390" s="4" t="s">
        <v>544</v>
      </c>
      <c r="C390" s="5">
        <v>45921.375</v>
      </c>
      <c r="D390" s="14" t="s">
        <v>20</v>
      </c>
      <c r="E390" s="9">
        <v>0.1</v>
      </c>
      <c r="F390" t="str">
        <f>VLOOKUP(B390,customers!A:F,6,FALSE)</f>
        <v>Yogyakarta</v>
      </c>
    </row>
    <row r="391" spans="1:6" x14ac:dyDescent="0.35">
      <c r="A391" s="8" t="s">
        <v>547</v>
      </c>
      <c r="B391" s="4" t="s">
        <v>548</v>
      </c>
      <c r="C391" s="5">
        <v>45921.375</v>
      </c>
      <c r="D391" s="14" t="s">
        <v>20</v>
      </c>
      <c r="E391" s="9">
        <v>0</v>
      </c>
      <c r="F391" t="str">
        <f>VLOOKUP(B391,customers!A:F,6,FALSE)</f>
        <v>Surabaya</v>
      </c>
    </row>
    <row r="392" spans="1:6" x14ac:dyDescent="0.35">
      <c r="A392" s="8" t="s">
        <v>549</v>
      </c>
      <c r="B392" s="4" t="s">
        <v>269</v>
      </c>
      <c r="C392" s="5">
        <v>45921.416666666657</v>
      </c>
      <c r="D392" s="14" t="s">
        <v>20</v>
      </c>
      <c r="E392" s="9">
        <v>0</v>
      </c>
      <c r="F392" t="str">
        <f>VLOOKUP(B392,customers!A:F,6,FALSE)</f>
        <v>Palembang</v>
      </c>
    </row>
    <row r="393" spans="1:6" x14ac:dyDescent="0.35">
      <c r="A393" s="8" t="s">
        <v>550</v>
      </c>
      <c r="B393" s="4" t="s">
        <v>548</v>
      </c>
      <c r="C393" s="5">
        <v>45921.541666666657</v>
      </c>
      <c r="D393" s="14" t="s">
        <v>20</v>
      </c>
      <c r="E393" s="9">
        <v>0</v>
      </c>
      <c r="F393" t="str">
        <f>VLOOKUP(B393,customers!A:F,6,FALSE)</f>
        <v>Surabaya</v>
      </c>
    </row>
    <row r="394" spans="1:6" x14ac:dyDescent="0.35">
      <c r="A394" s="8" t="s">
        <v>551</v>
      </c>
      <c r="B394" s="4" t="s">
        <v>548</v>
      </c>
      <c r="C394" s="5">
        <v>45922.625</v>
      </c>
      <c r="D394" s="14" t="s">
        <v>20</v>
      </c>
      <c r="E394" s="9">
        <v>0.1</v>
      </c>
      <c r="F394" t="str">
        <f>VLOOKUP(B394,customers!A:F,6,FALSE)</f>
        <v>Surabaya</v>
      </c>
    </row>
    <row r="395" spans="1:6" x14ac:dyDescent="0.35">
      <c r="A395" s="8" t="s">
        <v>552</v>
      </c>
      <c r="B395" s="4" t="s">
        <v>168</v>
      </c>
      <c r="C395" s="5">
        <v>45922.708333333343</v>
      </c>
      <c r="D395" s="4" t="s">
        <v>46</v>
      </c>
      <c r="E395" s="9">
        <v>0.15</v>
      </c>
      <c r="F395" t="str">
        <f>VLOOKUP(B395,customers!A:F,6,FALSE)</f>
        <v>Surabaya</v>
      </c>
    </row>
    <row r="396" spans="1:6" x14ac:dyDescent="0.35">
      <c r="A396" s="8" t="s">
        <v>553</v>
      </c>
      <c r="B396" s="4" t="s">
        <v>544</v>
      </c>
      <c r="C396" s="5">
        <v>45922.916666666657</v>
      </c>
      <c r="D396" s="4" t="s">
        <v>28</v>
      </c>
      <c r="E396" s="9">
        <v>0.05</v>
      </c>
      <c r="F396" t="str">
        <f>VLOOKUP(B396,customers!A:F,6,FALSE)</f>
        <v>Yogyakarta</v>
      </c>
    </row>
    <row r="397" spans="1:6" x14ac:dyDescent="0.35">
      <c r="A397" s="8" t="s">
        <v>554</v>
      </c>
      <c r="B397" s="4" t="s">
        <v>104</v>
      </c>
      <c r="C397" s="5">
        <v>45923.916666666657</v>
      </c>
      <c r="D397" s="4" t="s">
        <v>46</v>
      </c>
      <c r="E397" s="9">
        <v>0</v>
      </c>
      <c r="F397" t="str">
        <f>VLOOKUP(B397,customers!A:F,6,FALSE)</f>
        <v>Depok</v>
      </c>
    </row>
    <row r="398" spans="1:6" x14ac:dyDescent="0.35">
      <c r="A398" s="8" t="s">
        <v>555</v>
      </c>
      <c r="B398" s="4" t="s">
        <v>556</v>
      </c>
      <c r="C398" s="5">
        <v>45924.375</v>
      </c>
      <c r="D398" s="14" t="s">
        <v>20</v>
      </c>
      <c r="E398" s="9">
        <v>0.05</v>
      </c>
      <c r="F398" t="str">
        <f>VLOOKUP(B398,customers!A:F,6,FALSE)</f>
        <v>Denpasar</v>
      </c>
    </row>
    <row r="399" spans="1:6" x14ac:dyDescent="0.35">
      <c r="A399" s="8" t="s">
        <v>557</v>
      </c>
      <c r="B399" s="4" t="s">
        <v>128</v>
      </c>
      <c r="C399" s="5">
        <v>45925.416666666657</v>
      </c>
      <c r="D399" s="14" t="s">
        <v>20</v>
      </c>
      <c r="E399" s="9">
        <v>0</v>
      </c>
      <c r="F399" t="str">
        <f>VLOOKUP(B399,customers!A:F,6,FALSE)</f>
        <v>Yogyakarta</v>
      </c>
    </row>
    <row r="400" spans="1:6" x14ac:dyDescent="0.35">
      <c r="A400" s="8" t="s">
        <v>558</v>
      </c>
      <c r="B400" s="4" t="s">
        <v>206</v>
      </c>
      <c r="C400" s="5">
        <v>45925.875</v>
      </c>
      <c r="D400" s="14" t="s">
        <v>20</v>
      </c>
      <c r="E400" s="9">
        <v>0.2</v>
      </c>
      <c r="F400" t="str">
        <f>VLOOKUP(B400,customers!A:F,6,FALSE)</f>
        <v>Depok</v>
      </c>
    </row>
    <row r="401" spans="1:6" x14ac:dyDescent="0.35">
      <c r="A401" s="8" t="s">
        <v>559</v>
      </c>
      <c r="B401" s="4" t="s">
        <v>560</v>
      </c>
      <c r="C401" s="5">
        <v>45926.333333333343</v>
      </c>
      <c r="D401" s="14" t="s">
        <v>20</v>
      </c>
      <c r="E401" s="9">
        <v>0.05</v>
      </c>
      <c r="F401" t="str">
        <f>VLOOKUP(B401,customers!A:F,6,FALSE)</f>
        <v>Surabaya</v>
      </c>
    </row>
    <row r="402" spans="1:6" x14ac:dyDescent="0.35">
      <c r="A402" s="8" t="s">
        <v>561</v>
      </c>
      <c r="B402" s="4" t="s">
        <v>560</v>
      </c>
      <c r="C402" s="5">
        <v>45926.458333333343</v>
      </c>
      <c r="D402" s="14" t="s">
        <v>20</v>
      </c>
      <c r="E402" s="9">
        <v>0</v>
      </c>
      <c r="F402" t="str">
        <f>VLOOKUP(B402,customers!A:F,6,FALSE)</f>
        <v>Surabaya</v>
      </c>
    </row>
    <row r="403" spans="1:6" x14ac:dyDescent="0.35">
      <c r="A403" s="8" t="s">
        <v>562</v>
      </c>
      <c r="B403" s="4" t="s">
        <v>420</v>
      </c>
      <c r="C403" s="5">
        <v>45926.75</v>
      </c>
      <c r="D403" s="4" t="s">
        <v>28</v>
      </c>
      <c r="E403" s="9">
        <v>0</v>
      </c>
      <c r="F403" t="str">
        <f>VLOOKUP(B403,customers!A:F,6,FALSE)</f>
        <v>Bandung</v>
      </c>
    </row>
    <row r="404" spans="1:6" x14ac:dyDescent="0.35">
      <c r="A404" s="8" t="s">
        <v>563</v>
      </c>
      <c r="B404" s="4" t="s">
        <v>60</v>
      </c>
      <c r="C404" s="5">
        <v>45926.75</v>
      </c>
      <c r="D404" s="4" t="s">
        <v>46</v>
      </c>
      <c r="E404" s="9">
        <v>0</v>
      </c>
      <c r="F404" t="str">
        <f>VLOOKUP(B404,customers!A:F,6,FALSE)</f>
        <v>Makassar</v>
      </c>
    </row>
    <row r="405" spans="1:6" x14ac:dyDescent="0.35">
      <c r="A405" s="8" t="s">
        <v>564</v>
      </c>
      <c r="B405" s="4" t="s">
        <v>25</v>
      </c>
      <c r="C405" s="5">
        <v>45927.833333333343</v>
      </c>
      <c r="D405" s="4" t="s">
        <v>46</v>
      </c>
      <c r="E405" s="9">
        <v>0</v>
      </c>
      <c r="F405" t="str">
        <f>VLOOKUP(B405,customers!A:F,6,FALSE)</f>
        <v>Palembang</v>
      </c>
    </row>
    <row r="406" spans="1:6" x14ac:dyDescent="0.35">
      <c r="A406" s="8" t="s">
        <v>565</v>
      </c>
      <c r="B406" s="4" t="s">
        <v>540</v>
      </c>
      <c r="C406" s="5">
        <v>45928.5</v>
      </c>
      <c r="D406" s="4" t="s">
        <v>28</v>
      </c>
      <c r="E406" s="9">
        <v>0</v>
      </c>
      <c r="F406" t="str">
        <f>VLOOKUP(B406,customers!A:F,6,FALSE)</f>
        <v>Jakarta</v>
      </c>
    </row>
    <row r="407" spans="1:6" x14ac:dyDescent="0.35">
      <c r="A407" s="8" t="s">
        <v>566</v>
      </c>
      <c r="B407" s="4" t="s">
        <v>180</v>
      </c>
      <c r="C407" s="5">
        <v>45928.75</v>
      </c>
      <c r="D407" s="14" t="s">
        <v>20</v>
      </c>
      <c r="E407" s="9">
        <v>0</v>
      </c>
      <c r="F407" t="str">
        <f>VLOOKUP(B407,customers!A:F,6,FALSE)</f>
        <v>Jakarta</v>
      </c>
    </row>
    <row r="408" spans="1:6" x14ac:dyDescent="0.35">
      <c r="A408" s="8" t="s">
        <v>567</v>
      </c>
      <c r="B408" s="4" t="s">
        <v>560</v>
      </c>
      <c r="C408" s="5">
        <v>45930.5</v>
      </c>
      <c r="D408" s="14" t="s">
        <v>20</v>
      </c>
      <c r="E408" s="9">
        <v>0.1</v>
      </c>
      <c r="F408" t="str">
        <f>VLOOKUP(B408,customers!A:F,6,FALSE)</f>
        <v>Surabaya</v>
      </c>
    </row>
    <row r="409" spans="1:6" x14ac:dyDescent="0.35">
      <c r="A409" s="8" t="s">
        <v>568</v>
      </c>
      <c r="B409" s="4" t="s">
        <v>569</v>
      </c>
      <c r="C409" s="5">
        <v>45930.708333333343</v>
      </c>
      <c r="D409" s="4" t="s">
        <v>46</v>
      </c>
      <c r="E409" s="9">
        <v>0.05</v>
      </c>
      <c r="F409" t="str">
        <f>VLOOKUP(B409,customers!A:F,6,FALSE)</f>
        <v>Jakarta</v>
      </c>
    </row>
    <row r="410" spans="1:6" x14ac:dyDescent="0.35">
      <c r="A410" s="8" t="s">
        <v>570</v>
      </c>
      <c r="B410" s="4" t="s">
        <v>556</v>
      </c>
      <c r="C410" s="5">
        <v>45930.875</v>
      </c>
      <c r="D410" s="14" t="s">
        <v>20</v>
      </c>
      <c r="E410" s="9">
        <v>0</v>
      </c>
      <c r="F410" t="str">
        <f>VLOOKUP(B410,customers!A:F,6,FALSE)</f>
        <v>Denpasar</v>
      </c>
    </row>
    <row r="411" spans="1:6" x14ac:dyDescent="0.35">
      <c r="A411" s="8" t="s">
        <v>571</v>
      </c>
      <c r="B411" s="4" t="s">
        <v>406</v>
      </c>
      <c r="C411" s="5">
        <v>45932.375</v>
      </c>
      <c r="D411" s="14" t="s">
        <v>20</v>
      </c>
      <c r="E411" s="9">
        <v>0</v>
      </c>
      <c r="F411" t="str">
        <f>VLOOKUP(B411,customers!A:F,6,FALSE)</f>
        <v>Depok</v>
      </c>
    </row>
    <row r="412" spans="1:6" x14ac:dyDescent="0.35">
      <c r="A412" s="8" t="s">
        <v>572</v>
      </c>
      <c r="B412" s="4" t="s">
        <v>573</v>
      </c>
      <c r="C412" s="5">
        <v>45932.541666666657</v>
      </c>
      <c r="D412" s="14" t="s">
        <v>20</v>
      </c>
      <c r="E412" s="9">
        <v>0</v>
      </c>
      <c r="F412" t="str">
        <f>VLOOKUP(B412,customers!A:F,6,FALSE)</f>
        <v>Semarang</v>
      </c>
    </row>
    <row r="413" spans="1:6" x14ac:dyDescent="0.35">
      <c r="A413" s="8" t="s">
        <v>574</v>
      </c>
      <c r="B413" s="4" t="s">
        <v>573</v>
      </c>
      <c r="C413" s="5">
        <v>45932.583333333343</v>
      </c>
      <c r="D413" s="4" t="s">
        <v>46</v>
      </c>
      <c r="E413" s="9">
        <v>0.1</v>
      </c>
      <c r="F413" t="str">
        <f>VLOOKUP(B413,customers!A:F,6,FALSE)</f>
        <v>Semarang</v>
      </c>
    </row>
    <row r="414" spans="1:6" x14ac:dyDescent="0.35">
      <c r="A414" s="8" t="s">
        <v>575</v>
      </c>
      <c r="B414" s="4" t="s">
        <v>576</v>
      </c>
      <c r="C414" s="5">
        <v>45932.791666666657</v>
      </c>
      <c r="D414" s="4" t="s">
        <v>46</v>
      </c>
      <c r="E414" s="9">
        <v>0</v>
      </c>
      <c r="F414" t="str">
        <f>VLOOKUP(B414,customers!A:F,6,FALSE)</f>
        <v>Jakarta</v>
      </c>
    </row>
    <row r="415" spans="1:6" x14ac:dyDescent="0.35">
      <c r="A415" s="8" t="s">
        <v>577</v>
      </c>
      <c r="B415" s="4" t="s">
        <v>576</v>
      </c>
      <c r="C415" s="5">
        <v>45932.833333333343</v>
      </c>
      <c r="D415" s="14" t="s">
        <v>20</v>
      </c>
      <c r="E415" s="9">
        <v>0</v>
      </c>
      <c r="F415" t="str">
        <f>VLOOKUP(B415,customers!A:F,6,FALSE)</f>
        <v>Jakarta</v>
      </c>
    </row>
    <row r="416" spans="1:6" x14ac:dyDescent="0.35">
      <c r="A416" s="8" t="s">
        <v>578</v>
      </c>
      <c r="B416" s="4" t="s">
        <v>560</v>
      </c>
      <c r="C416" s="5">
        <v>45933.375</v>
      </c>
      <c r="D416" s="4" t="s">
        <v>28</v>
      </c>
      <c r="E416" s="9">
        <v>0</v>
      </c>
      <c r="F416" t="str">
        <f>VLOOKUP(B416,customers!A:F,6,FALSE)</f>
        <v>Surabaya</v>
      </c>
    </row>
    <row r="417" spans="1:6" x14ac:dyDescent="0.35">
      <c r="A417" s="8" t="s">
        <v>579</v>
      </c>
      <c r="B417" s="4" t="s">
        <v>492</v>
      </c>
      <c r="C417" s="5">
        <v>45933.416666666657</v>
      </c>
      <c r="D417" s="14" t="s">
        <v>20</v>
      </c>
      <c r="E417" s="9">
        <v>0.1</v>
      </c>
      <c r="F417" t="str">
        <f>VLOOKUP(B417,customers!A:F,6,FALSE)</f>
        <v>Surabaya</v>
      </c>
    </row>
    <row r="418" spans="1:6" x14ac:dyDescent="0.35">
      <c r="A418" s="8" t="s">
        <v>580</v>
      </c>
      <c r="B418" s="4" t="s">
        <v>502</v>
      </c>
      <c r="C418" s="5">
        <v>45933.5</v>
      </c>
      <c r="D418" s="4" t="s">
        <v>28</v>
      </c>
      <c r="E418" s="9">
        <v>0</v>
      </c>
      <c r="F418" t="str">
        <f>VLOOKUP(B418,customers!A:F,6,FALSE)</f>
        <v>Palembang</v>
      </c>
    </row>
    <row r="419" spans="1:6" x14ac:dyDescent="0.35">
      <c r="A419" s="8" t="s">
        <v>581</v>
      </c>
      <c r="B419" s="4" t="s">
        <v>109</v>
      </c>
      <c r="C419" s="5">
        <v>45933.583333333343</v>
      </c>
      <c r="D419" s="14" t="s">
        <v>20</v>
      </c>
      <c r="E419" s="9">
        <v>0</v>
      </c>
      <c r="F419" t="str">
        <f>VLOOKUP(B419,customers!A:F,6,FALSE)</f>
        <v>Yogyakarta</v>
      </c>
    </row>
    <row r="420" spans="1:6" x14ac:dyDescent="0.35">
      <c r="A420" s="8" t="s">
        <v>582</v>
      </c>
      <c r="B420" s="4" t="s">
        <v>30</v>
      </c>
      <c r="C420" s="5">
        <v>45933.666666666657</v>
      </c>
      <c r="D420" s="14" t="s">
        <v>20</v>
      </c>
      <c r="E420" s="9">
        <v>0.1</v>
      </c>
      <c r="F420" t="str">
        <f>VLOOKUP(B420,customers!A:F,6,FALSE)</f>
        <v>Surabaya</v>
      </c>
    </row>
    <row r="421" spans="1:6" x14ac:dyDescent="0.35">
      <c r="A421" s="8" t="s">
        <v>583</v>
      </c>
      <c r="B421" s="4" t="s">
        <v>198</v>
      </c>
      <c r="C421" s="5">
        <v>45933.708333333343</v>
      </c>
      <c r="D421" s="14" t="s">
        <v>20</v>
      </c>
      <c r="E421" s="9">
        <v>0.15</v>
      </c>
      <c r="F421" t="str">
        <f>VLOOKUP(B421,customers!A:F,6,FALSE)</f>
        <v>Denpasar</v>
      </c>
    </row>
    <row r="422" spans="1:6" x14ac:dyDescent="0.35">
      <c r="A422" s="8" t="s">
        <v>584</v>
      </c>
      <c r="B422" s="4" t="s">
        <v>573</v>
      </c>
      <c r="C422" s="5">
        <v>45934.458333333343</v>
      </c>
      <c r="D422" s="4" t="s">
        <v>28</v>
      </c>
      <c r="E422" s="9">
        <v>0</v>
      </c>
      <c r="F422" t="str">
        <f>VLOOKUP(B422,customers!A:F,6,FALSE)</f>
        <v>Semarang</v>
      </c>
    </row>
    <row r="423" spans="1:6" x14ac:dyDescent="0.35">
      <c r="A423" s="8" t="s">
        <v>585</v>
      </c>
      <c r="B423" s="4" t="s">
        <v>586</v>
      </c>
      <c r="C423" s="5">
        <v>45934.708333333343</v>
      </c>
      <c r="D423" s="4" t="s">
        <v>46</v>
      </c>
      <c r="E423" s="9">
        <v>0.05</v>
      </c>
      <c r="F423" t="str">
        <f>VLOOKUP(B423,customers!A:F,6,FALSE)</f>
        <v>Depok</v>
      </c>
    </row>
    <row r="424" spans="1:6" x14ac:dyDescent="0.35">
      <c r="A424" s="8" t="s">
        <v>587</v>
      </c>
      <c r="B424" s="4" t="s">
        <v>236</v>
      </c>
      <c r="C424" s="5">
        <v>45934.875</v>
      </c>
      <c r="D424" s="14" t="s">
        <v>20</v>
      </c>
      <c r="E424" s="9">
        <v>0.15</v>
      </c>
      <c r="F424" t="str">
        <f>VLOOKUP(B424,customers!A:F,6,FALSE)</f>
        <v>Jakarta</v>
      </c>
    </row>
    <row r="425" spans="1:6" x14ac:dyDescent="0.35">
      <c r="A425" s="8" t="s">
        <v>588</v>
      </c>
      <c r="B425" s="4" t="s">
        <v>151</v>
      </c>
      <c r="C425" s="5">
        <v>45934.875</v>
      </c>
      <c r="D425" s="14" t="s">
        <v>20</v>
      </c>
      <c r="E425" s="9">
        <v>0</v>
      </c>
      <c r="F425" t="str">
        <f>VLOOKUP(B425,customers!A:F,6,FALSE)</f>
        <v>Jakarta</v>
      </c>
    </row>
    <row r="426" spans="1:6" x14ac:dyDescent="0.35">
      <c r="A426" s="8" t="s">
        <v>589</v>
      </c>
      <c r="B426" s="4" t="s">
        <v>158</v>
      </c>
      <c r="C426" s="5">
        <v>45935.375</v>
      </c>
      <c r="D426" s="4" t="s">
        <v>28</v>
      </c>
      <c r="E426" s="9">
        <v>0</v>
      </c>
      <c r="F426" t="str">
        <f>VLOOKUP(B426,customers!A:F,6,FALSE)</f>
        <v>Palembang</v>
      </c>
    </row>
    <row r="427" spans="1:6" x14ac:dyDescent="0.35">
      <c r="A427" s="8" t="s">
        <v>590</v>
      </c>
      <c r="B427" s="4" t="s">
        <v>569</v>
      </c>
      <c r="C427" s="5">
        <v>45935.458333333343</v>
      </c>
      <c r="D427" s="14" t="s">
        <v>20</v>
      </c>
      <c r="E427" s="9">
        <v>0.05</v>
      </c>
      <c r="F427" t="str">
        <f>VLOOKUP(B427,customers!A:F,6,FALSE)</f>
        <v>Jakarta</v>
      </c>
    </row>
    <row r="428" spans="1:6" x14ac:dyDescent="0.35">
      <c r="A428" s="8" t="s">
        <v>591</v>
      </c>
      <c r="B428" s="4" t="s">
        <v>573</v>
      </c>
      <c r="C428" s="5">
        <v>45935.625</v>
      </c>
      <c r="D428" s="4" t="s">
        <v>28</v>
      </c>
      <c r="E428" s="9">
        <v>0</v>
      </c>
      <c r="F428" t="str">
        <f>VLOOKUP(B428,customers!A:F,6,FALSE)</f>
        <v>Semarang</v>
      </c>
    </row>
    <row r="429" spans="1:6" x14ac:dyDescent="0.35">
      <c r="A429" s="8" t="s">
        <v>592</v>
      </c>
      <c r="B429" s="4" t="s">
        <v>198</v>
      </c>
      <c r="C429" s="5">
        <v>45935.625</v>
      </c>
      <c r="D429" s="14" t="s">
        <v>20</v>
      </c>
      <c r="E429" s="9">
        <v>0</v>
      </c>
      <c r="F429" t="str">
        <f>VLOOKUP(B429,customers!A:F,6,FALSE)</f>
        <v>Denpasar</v>
      </c>
    </row>
    <row r="430" spans="1:6" x14ac:dyDescent="0.35">
      <c r="A430" s="8" t="s">
        <v>593</v>
      </c>
      <c r="B430" s="4" t="s">
        <v>573</v>
      </c>
      <c r="C430" s="5">
        <v>45935.791666666657</v>
      </c>
      <c r="D430" s="4" t="s">
        <v>28</v>
      </c>
      <c r="E430" s="9">
        <v>0</v>
      </c>
      <c r="F430" t="str">
        <f>VLOOKUP(B430,customers!A:F,6,FALSE)</f>
        <v>Semarang</v>
      </c>
    </row>
    <row r="431" spans="1:6" x14ac:dyDescent="0.35">
      <c r="A431" s="8" t="s">
        <v>594</v>
      </c>
      <c r="B431" s="4" t="s">
        <v>595</v>
      </c>
      <c r="C431" s="5">
        <v>45935.875</v>
      </c>
      <c r="D431" s="14" t="s">
        <v>20</v>
      </c>
      <c r="E431" s="9">
        <v>0.1</v>
      </c>
      <c r="F431" t="str">
        <f>VLOOKUP(B431,customers!A:F,6,FALSE)</f>
        <v>Jakarta</v>
      </c>
    </row>
    <row r="432" spans="1:6" x14ac:dyDescent="0.35">
      <c r="A432" s="8" t="s">
        <v>596</v>
      </c>
      <c r="B432" s="4" t="s">
        <v>597</v>
      </c>
      <c r="C432" s="5">
        <v>45935.875</v>
      </c>
      <c r="D432" s="14" t="s">
        <v>20</v>
      </c>
      <c r="E432" s="9">
        <v>0</v>
      </c>
      <c r="F432" t="str">
        <f>VLOOKUP(B432,customers!A:F,6,FALSE)</f>
        <v>Jakarta</v>
      </c>
    </row>
    <row r="433" spans="1:6" x14ac:dyDescent="0.35">
      <c r="A433" s="8" t="s">
        <v>598</v>
      </c>
      <c r="B433" s="4" t="s">
        <v>569</v>
      </c>
      <c r="C433" s="5">
        <v>45936.583333333343</v>
      </c>
      <c r="D433" s="4" t="s">
        <v>46</v>
      </c>
      <c r="E433" s="9">
        <v>0.2</v>
      </c>
      <c r="F433" t="str">
        <f>VLOOKUP(B433,customers!A:F,6,FALSE)</f>
        <v>Jakarta</v>
      </c>
    </row>
    <row r="434" spans="1:6" x14ac:dyDescent="0.35">
      <c r="A434" s="8" t="s">
        <v>599</v>
      </c>
      <c r="B434" s="4" t="s">
        <v>595</v>
      </c>
      <c r="C434" s="5">
        <v>45936.625</v>
      </c>
      <c r="D434" s="14" t="s">
        <v>20</v>
      </c>
      <c r="E434" s="9">
        <v>0</v>
      </c>
      <c r="F434" t="str">
        <f>VLOOKUP(B434,customers!A:F,6,FALSE)</f>
        <v>Jakarta</v>
      </c>
    </row>
    <row r="435" spans="1:6" x14ac:dyDescent="0.35">
      <c r="A435" s="8" t="s">
        <v>600</v>
      </c>
      <c r="B435" s="4" t="s">
        <v>601</v>
      </c>
      <c r="C435" s="5">
        <v>45936.666666666657</v>
      </c>
      <c r="D435" s="4" t="s">
        <v>46</v>
      </c>
      <c r="E435" s="9">
        <v>0</v>
      </c>
      <c r="F435" t="str">
        <f>VLOOKUP(B435,customers!A:F,6,FALSE)</f>
        <v>Semarang</v>
      </c>
    </row>
    <row r="436" spans="1:6" x14ac:dyDescent="0.35">
      <c r="A436" s="8" t="s">
        <v>602</v>
      </c>
      <c r="B436" s="4" t="s">
        <v>573</v>
      </c>
      <c r="C436" s="5">
        <v>45936.708333333343</v>
      </c>
      <c r="D436" s="4" t="s">
        <v>46</v>
      </c>
      <c r="E436" s="9">
        <v>0.05</v>
      </c>
      <c r="F436" t="str">
        <f>VLOOKUP(B436,customers!A:F,6,FALSE)</f>
        <v>Semarang</v>
      </c>
    </row>
    <row r="437" spans="1:6" x14ac:dyDescent="0.35">
      <c r="A437" s="8" t="s">
        <v>603</v>
      </c>
      <c r="B437" s="4" t="s">
        <v>507</v>
      </c>
      <c r="C437" s="5">
        <v>45936.791666666657</v>
      </c>
      <c r="D437" s="4" t="s">
        <v>28</v>
      </c>
      <c r="E437" s="9">
        <v>0.15</v>
      </c>
      <c r="F437" t="str">
        <f>VLOOKUP(B437,customers!A:F,6,FALSE)</f>
        <v>Makassar</v>
      </c>
    </row>
    <row r="438" spans="1:6" x14ac:dyDescent="0.35">
      <c r="A438" s="8" t="s">
        <v>604</v>
      </c>
      <c r="B438" s="4" t="s">
        <v>605</v>
      </c>
      <c r="C438" s="5">
        <v>45937.791666666657</v>
      </c>
      <c r="D438" s="14" t="s">
        <v>20</v>
      </c>
      <c r="E438" s="9">
        <v>0</v>
      </c>
      <c r="F438" t="str">
        <f>VLOOKUP(B438,customers!A:F,6,FALSE)</f>
        <v>Denpasar</v>
      </c>
    </row>
    <row r="439" spans="1:6" x14ac:dyDescent="0.35">
      <c r="A439" s="8" t="s">
        <v>606</v>
      </c>
      <c r="B439" s="4" t="s">
        <v>540</v>
      </c>
      <c r="C439" s="5">
        <v>45937.875</v>
      </c>
      <c r="D439" s="14" t="s">
        <v>20</v>
      </c>
      <c r="E439" s="9">
        <v>0</v>
      </c>
      <c r="F439" t="str">
        <f>VLOOKUP(B439,customers!A:F,6,FALSE)</f>
        <v>Jakarta</v>
      </c>
    </row>
    <row r="440" spans="1:6" x14ac:dyDescent="0.35">
      <c r="A440" s="8" t="s">
        <v>607</v>
      </c>
      <c r="B440" s="4" t="s">
        <v>608</v>
      </c>
      <c r="C440" s="5">
        <v>45938.458333333343</v>
      </c>
      <c r="D440" s="14" t="s">
        <v>20</v>
      </c>
      <c r="E440" s="9">
        <v>0</v>
      </c>
      <c r="F440" t="str">
        <f>VLOOKUP(B440,customers!A:F,6,FALSE)</f>
        <v>Medan</v>
      </c>
    </row>
    <row r="441" spans="1:6" x14ac:dyDescent="0.35">
      <c r="A441" s="8" t="s">
        <v>609</v>
      </c>
      <c r="B441" s="4" t="s">
        <v>225</v>
      </c>
      <c r="C441" s="5">
        <v>45938.791666666657</v>
      </c>
      <c r="D441" s="14" t="s">
        <v>20</v>
      </c>
      <c r="E441" s="9">
        <v>0</v>
      </c>
      <c r="F441" t="str">
        <f>VLOOKUP(B441,customers!A:F,6,FALSE)</f>
        <v>Surabaya</v>
      </c>
    </row>
    <row r="442" spans="1:6" x14ac:dyDescent="0.35">
      <c r="A442" s="8" t="s">
        <v>610</v>
      </c>
      <c r="B442" s="4" t="s">
        <v>597</v>
      </c>
      <c r="C442" s="5">
        <v>45939.458333333343</v>
      </c>
      <c r="D442" s="14" t="s">
        <v>20</v>
      </c>
      <c r="E442" s="9">
        <v>0</v>
      </c>
      <c r="F442" t="str">
        <f>VLOOKUP(B442,customers!A:F,6,FALSE)</f>
        <v>Jakarta</v>
      </c>
    </row>
    <row r="443" spans="1:6" x14ac:dyDescent="0.35">
      <c r="A443" s="8" t="s">
        <v>611</v>
      </c>
      <c r="B443" s="4" t="s">
        <v>586</v>
      </c>
      <c r="C443" s="5">
        <v>45939.541666666657</v>
      </c>
      <c r="D443" s="14" t="s">
        <v>20</v>
      </c>
      <c r="E443" s="9">
        <v>0.05</v>
      </c>
      <c r="F443" t="str">
        <f>VLOOKUP(B443,customers!A:F,6,FALSE)</f>
        <v>Depok</v>
      </c>
    </row>
    <row r="444" spans="1:6" x14ac:dyDescent="0.35">
      <c r="A444" s="8" t="s">
        <v>612</v>
      </c>
      <c r="B444" s="4" t="s">
        <v>198</v>
      </c>
      <c r="C444" s="5">
        <v>45939.875</v>
      </c>
      <c r="D444" s="14" t="s">
        <v>20</v>
      </c>
      <c r="E444" s="9">
        <v>0</v>
      </c>
      <c r="F444" t="str">
        <f>VLOOKUP(B444,customers!A:F,6,FALSE)</f>
        <v>Denpasar</v>
      </c>
    </row>
    <row r="445" spans="1:6" x14ac:dyDescent="0.35">
      <c r="A445" s="8" t="s">
        <v>613</v>
      </c>
      <c r="B445" s="4" t="s">
        <v>502</v>
      </c>
      <c r="C445" s="5">
        <v>45940.333333333343</v>
      </c>
      <c r="D445" s="14" t="s">
        <v>20</v>
      </c>
      <c r="E445" s="9">
        <v>0</v>
      </c>
      <c r="F445" t="str">
        <f>VLOOKUP(B445,customers!A:F,6,FALSE)</f>
        <v>Palembang</v>
      </c>
    </row>
    <row r="446" spans="1:6" x14ac:dyDescent="0.35">
      <c r="A446" s="8" t="s">
        <v>614</v>
      </c>
      <c r="B446" s="4" t="s">
        <v>595</v>
      </c>
      <c r="C446" s="5">
        <v>45940.875</v>
      </c>
      <c r="D446" s="4" t="s">
        <v>46</v>
      </c>
      <c r="E446" s="9">
        <v>0</v>
      </c>
      <c r="F446" t="str">
        <f>VLOOKUP(B446,customers!A:F,6,FALSE)</f>
        <v>Jakarta</v>
      </c>
    </row>
    <row r="447" spans="1:6" x14ac:dyDescent="0.35">
      <c r="A447" s="8" t="s">
        <v>615</v>
      </c>
      <c r="B447" s="4" t="s">
        <v>608</v>
      </c>
      <c r="C447" s="5">
        <v>45940.916666666657</v>
      </c>
      <c r="D447" s="14" t="s">
        <v>20</v>
      </c>
      <c r="E447" s="9">
        <v>0.1</v>
      </c>
      <c r="F447" t="str">
        <f>VLOOKUP(B447,customers!A:F,6,FALSE)</f>
        <v>Medan</v>
      </c>
    </row>
    <row r="448" spans="1:6" x14ac:dyDescent="0.35">
      <c r="A448" s="8" t="s">
        <v>616</v>
      </c>
      <c r="B448" s="4" t="s">
        <v>605</v>
      </c>
      <c r="C448" s="5">
        <v>45941.75</v>
      </c>
      <c r="D448" s="14" t="s">
        <v>20</v>
      </c>
      <c r="E448" s="9">
        <v>0.05</v>
      </c>
      <c r="F448" t="str">
        <f>VLOOKUP(B448,customers!A:F,6,FALSE)</f>
        <v>Denpasar</v>
      </c>
    </row>
    <row r="449" spans="1:6" x14ac:dyDescent="0.35">
      <c r="A449" s="8" t="s">
        <v>617</v>
      </c>
      <c r="B449" s="4" t="s">
        <v>608</v>
      </c>
      <c r="C449" s="5">
        <v>45941.875</v>
      </c>
      <c r="D449" s="14" t="s">
        <v>20</v>
      </c>
      <c r="E449" s="9">
        <v>0</v>
      </c>
      <c r="F449" t="str">
        <f>VLOOKUP(B449,customers!A:F,6,FALSE)</f>
        <v>Medan</v>
      </c>
    </row>
    <row r="450" spans="1:6" x14ac:dyDescent="0.35">
      <c r="A450" s="8" t="s">
        <v>618</v>
      </c>
      <c r="B450" s="4" t="s">
        <v>151</v>
      </c>
      <c r="C450" s="5">
        <v>45942.5</v>
      </c>
      <c r="D450" s="14" t="s">
        <v>20</v>
      </c>
      <c r="E450" s="9">
        <v>0</v>
      </c>
      <c r="F450" t="str">
        <f>VLOOKUP(B450,customers!A:F,6,FALSE)</f>
        <v>Jakarta</v>
      </c>
    </row>
    <row r="451" spans="1:6" x14ac:dyDescent="0.35">
      <c r="A451" s="8" t="s">
        <v>619</v>
      </c>
      <c r="B451" s="4" t="s">
        <v>608</v>
      </c>
      <c r="C451" s="5">
        <v>45943.458333333343</v>
      </c>
      <c r="D451" s="4" t="s">
        <v>28</v>
      </c>
      <c r="E451" s="9">
        <v>0</v>
      </c>
      <c r="F451" t="str">
        <f>VLOOKUP(B451,customers!A:F,6,FALSE)</f>
        <v>Medan</v>
      </c>
    </row>
    <row r="452" spans="1:6" x14ac:dyDescent="0.35">
      <c r="A452" s="8" t="s">
        <v>620</v>
      </c>
      <c r="B452" s="4" t="s">
        <v>597</v>
      </c>
      <c r="C452" s="5">
        <v>45944.375</v>
      </c>
      <c r="D452" s="4" t="s">
        <v>46</v>
      </c>
      <c r="E452" s="9">
        <v>0</v>
      </c>
      <c r="F452" t="str">
        <f>VLOOKUP(B452,customers!A:F,6,FALSE)</f>
        <v>Jakarta</v>
      </c>
    </row>
    <row r="453" spans="1:6" x14ac:dyDescent="0.35">
      <c r="A453" s="8" t="s">
        <v>621</v>
      </c>
      <c r="B453" s="4" t="s">
        <v>605</v>
      </c>
      <c r="C453" s="5">
        <v>45944.375</v>
      </c>
      <c r="D453" s="14" t="s">
        <v>20</v>
      </c>
      <c r="E453" s="9">
        <v>0.1</v>
      </c>
      <c r="F453" t="str">
        <f>VLOOKUP(B453,customers!A:F,6,FALSE)</f>
        <v>Denpasar</v>
      </c>
    </row>
    <row r="454" spans="1:6" x14ac:dyDescent="0.35">
      <c r="A454" s="8" t="s">
        <v>622</v>
      </c>
      <c r="B454" s="4" t="s">
        <v>532</v>
      </c>
      <c r="C454" s="5">
        <v>45944.708333333343</v>
      </c>
      <c r="D454" s="4" t="s">
        <v>28</v>
      </c>
      <c r="E454" s="9">
        <v>0.1</v>
      </c>
      <c r="F454" t="str">
        <f>VLOOKUP(B454,customers!A:F,6,FALSE)</f>
        <v>Semarang</v>
      </c>
    </row>
    <row r="455" spans="1:6" x14ac:dyDescent="0.35">
      <c r="A455" s="8" t="s">
        <v>623</v>
      </c>
      <c r="B455" s="4" t="s">
        <v>216</v>
      </c>
      <c r="C455" s="5">
        <v>45944.708333333343</v>
      </c>
      <c r="D455" s="14" t="s">
        <v>20</v>
      </c>
      <c r="E455" s="9">
        <v>0</v>
      </c>
      <c r="F455" t="str">
        <f>VLOOKUP(B455,customers!A:F,6,FALSE)</f>
        <v>Semarang</v>
      </c>
    </row>
    <row r="456" spans="1:6" x14ac:dyDescent="0.35">
      <c r="A456" s="8" t="s">
        <v>624</v>
      </c>
      <c r="B456" s="4" t="s">
        <v>332</v>
      </c>
      <c r="C456" s="5">
        <v>45944.75</v>
      </c>
      <c r="D456" s="14" t="s">
        <v>20</v>
      </c>
      <c r="E456" s="9">
        <v>0</v>
      </c>
      <c r="F456" t="str">
        <f>VLOOKUP(B456,customers!A:F,6,FALSE)</f>
        <v>Denpasar</v>
      </c>
    </row>
    <row r="457" spans="1:6" x14ac:dyDescent="0.35">
      <c r="A457" s="8" t="s">
        <v>625</v>
      </c>
      <c r="B457" s="4" t="s">
        <v>626</v>
      </c>
      <c r="C457" s="5">
        <v>45946.375</v>
      </c>
      <c r="D457" s="14" t="s">
        <v>20</v>
      </c>
      <c r="E457" s="9">
        <v>0</v>
      </c>
      <c r="F457" t="str">
        <f>VLOOKUP(B457,customers!A:F,6,FALSE)</f>
        <v>Surabaya</v>
      </c>
    </row>
    <row r="458" spans="1:6" x14ac:dyDescent="0.35">
      <c r="A458" s="8" t="s">
        <v>627</v>
      </c>
      <c r="B458" s="4" t="s">
        <v>278</v>
      </c>
      <c r="C458" s="5">
        <v>45946.666666666657</v>
      </c>
      <c r="D458" s="4" t="s">
        <v>46</v>
      </c>
      <c r="E458" s="9">
        <v>0.05</v>
      </c>
      <c r="F458" t="str">
        <f>VLOOKUP(B458,customers!A:F,6,FALSE)</f>
        <v>Yogyakarta</v>
      </c>
    </row>
    <row r="459" spans="1:6" x14ac:dyDescent="0.35">
      <c r="A459" s="8" t="s">
        <v>628</v>
      </c>
      <c r="B459" s="4" t="s">
        <v>608</v>
      </c>
      <c r="C459" s="5">
        <v>45946.666666666657</v>
      </c>
      <c r="D459" s="4" t="s">
        <v>46</v>
      </c>
      <c r="E459" s="9">
        <v>0</v>
      </c>
      <c r="F459" t="str">
        <f>VLOOKUP(B459,customers!A:F,6,FALSE)</f>
        <v>Medan</v>
      </c>
    </row>
    <row r="460" spans="1:6" x14ac:dyDescent="0.35">
      <c r="A460" s="8" t="s">
        <v>629</v>
      </c>
      <c r="B460" s="4" t="s">
        <v>605</v>
      </c>
      <c r="C460" s="5">
        <v>45946.708333333343</v>
      </c>
      <c r="D460" s="14" t="s">
        <v>20</v>
      </c>
      <c r="E460" s="9">
        <v>0.15</v>
      </c>
      <c r="F460" t="str">
        <f>VLOOKUP(B460,customers!A:F,6,FALSE)</f>
        <v>Denpasar</v>
      </c>
    </row>
    <row r="461" spans="1:6" x14ac:dyDescent="0.35">
      <c r="A461" s="8" t="s">
        <v>630</v>
      </c>
      <c r="B461" s="4" t="s">
        <v>631</v>
      </c>
      <c r="C461" s="5">
        <v>45946.916666666657</v>
      </c>
      <c r="D461" s="14" t="s">
        <v>20</v>
      </c>
      <c r="E461" s="9">
        <v>0</v>
      </c>
      <c r="F461" t="str">
        <f>VLOOKUP(B461,customers!A:F,6,FALSE)</f>
        <v>Jakarta</v>
      </c>
    </row>
    <row r="462" spans="1:6" x14ac:dyDescent="0.35">
      <c r="A462" s="8" t="s">
        <v>632</v>
      </c>
      <c r="B462" s="4" t="s">
        <v>633</v>
      </c>
      <c r="C462" s="5">
        <v>45947.583333333343</v>
      </c>
      <c r="D462" s="14" t="s">
        <v>20</v>
      </c>
      <c r="E462" s="9">
        <v>0</v>
      </c>
      <c r="F462" t="str">
        <f>VLOOKUP(B462,customers!A:F,6,FALSE)</f>
        <v>Bandung</v>
      </c>
    </row>
    <row r="463" spans="1:6" x14ac:dyDescent="0.35">
      <c r="A463" s="8" t="s">
        <v>634</v>
      </c>
      <c r="B463" s="4" t="s">
        <v>260</v>
      </c>
      <c r="C463" s="5">
        <v>45947.625</v>
      </c>
      <c r="D463" s="14" t="s">
        <v>20</v>
      </c>
      <c r="E463" s="9">
        <v>0</v>
      </c>
      <c r="F463" t="str">
        <f>VLOOKUP(B463,customers!A:F,6,FALSE)</f>
        <v>Bandung</v>
      </c>
    </row>
    <row r="464" spans="1:6" x14ac:dyDescent="0.35">
      <c r="A464" s="8" t="s">
        <v>635</v>
      </c>
      <c r="B464" s="4" t="s">
        <v>406</v>
      </c>
      <c r="C464" s="5">
        <v>45947.666666666657</v>
      </c>
      <c r="D464" s="4" t="s">
        <v>28</v>
      </c>
      <c r="E464" s="9">
        <v>0</v>
      </c>
      <c r="F464" t="str">
        <f>VLOOKUP(B464,customers!A:F,6,FALSE)</f>
        <v>Depok</v>
      </c>
    </row>
    <row r="465" spans="1:6" x14ac:dyDescent="0.35">
      <c r="A465" s="8" t="s">
        <v>636</v>
      </c>
      <c r="B465" s="4" t="s">
        <v>225</v>
      </c>
      <c r="C465" s="5">
        <v>45948.583333333343</v>
      </c>
      <c r="D465" s="14" t="s">
        <v>20</v>
      </c>
      <c r="E465" s="9">
        <v>0</v>
      </c>
      <c r="F465" t="str">
        <f>VLOOKUP(B465,customers!A:F,6,FALSE)</f>
        <v>Surabaya</v>
      </c>
    </row>
    <row r="466" spans="1:6" x14ac:dyDescent="0.35">
      <c r="A466" s="8" t="s">
        <v>637</v>
      </c>
      <c r="B466" s="4" t="s">
        <v>126</v>
      </c>
      <c r="C466" s="5">
        <v>45948.833333333343</v>
      </c>
      <c r="D466" s="14" t="s">
        <v>20</v>
      </c>
      <c r="E466" s="9">
        <v>0</v>
      </c>
      <c r="F466" t="str">
        <f>VLOOKUP(B466,customers!A:F,6,FALSE)</f>
        <v>Yogyakarta</v>
      </c>
    </row>
    <row r="467" spans="1:6" x14ac:dyDescent="0.35">
      <c r="A467" s="8" t="s">
        <v>638</v>
      </c>
      <c r="B467" s="4" t="s">
        <v>631</v>
      </c>
      <c r="C467" s="5">
        <v>45949.375</v>
      </c>
      <c r="D467" s="14" t="s">
        <v>20</v>
      </c>
      <c r="E467" s="9">
        <v>0</v>
      </c>
      <c r="F467" t="str">
        <f>VLOOKUP(B467,customers!A:F,6,FALSE)</f>
        <v>Jakarta</v>
      </c>
    </row>
    <row r="468" spans="1:6" x14ac:dyDescent="0.35">
      <c r="A468" s="8" t="s">
        <v>639</v>
      </c>
      <c r="B468" s="4" t="s">
        <v>640</v>
      </c>
      <c r="C468" s="5">
        <v>45949.458333333343</v>
      </c>
      <c r="D468" s="4" t="s">
        <v>28</v>
      </c>
      <c r="E468" s="9">
        <v>0</v>
      </c>
      <c r="F468" t="str">
        <f>VLOOKUP(B468,customers!A:F,6,FALSE)</f>
        <v>Makassar</v>
      </c>
    </row>
    <row r="469" spans="1:6" x14ac:dyDescent="0.35">
      <c r="A469" s="8" t="s">
        <v>641</v>
      </c>
      <c r="B469" s="4" t="s">
        <v>218</v>
      </c>
      <c r="C469" s="5">
        <v>45949.5</v>
      </c>
      <c r="D469" s="14" t="s">
        <v>20</v>
      </c>
      <c r="E469" s="9">
        <v>0</v>
      </c>
      <c r="F469" t="str">
        <f>VLOOKUP(B469,customers!A:F,6,FALSE)</f>
        <v>Denpasar</v>
      </c>
    </row>
    <row r="470" spans="1:6" x14ac:dyDescent="0.35">
      <c r="A470" s="8" t="s">
        <v>642</v>
      </c>
      <c r="B470" s="4" t="s">
        <v>605</v>
      </c>
      <c r="C470" s="5">
        <v>45949.75</v>
      </c>
      <c r="D470" s="14" t="s">
        <v>20</v>
      </c>
      <c r="E470" s="9">
        <v>0</v>
      </c>
      <c r="F470" t="str">
        <f>VLOOKUP(B470,customers!A:F,6,FALSE)</f>
        <v>Denpasar</v>
      </c>
    </row>
    <row r="471" spans="1:6" x14ac:dyDescent="0.35">
      <c r="A471" s="8" t="s">
        <v>643</v>
      </c>
      <c r="B471" s="4" t="s">
        <v>626</v>
      </c>
      <c r="C471" s="5">
        <v>45949.791666666657</v>
      </c>
      <c r="D471" s="14" t="s">
        <v>20</v>
      </c>
      <c r="E471" s="9">
        <v>0.15</v>
      </c>
      <c r="F471" t="str">
        <f>VLOOKUP(B471,customers!A:F,6,FALSE)</f>
        <v>Surabaya</v>
      </c>
    </row>
    <row r="472" spans="1:6" x14ac:dyDescent="0.35">
      <c r="A472" s="8" t="s">
        <v>644</v>
      </c>
      <c r="B472" s="4" t="s">
        <v>631</v>
      </c>
      <c r="C472" s="5">
        <v>45950.333333333343</v>
      </c>
      <c r="D472" s="14" t="s">
        <v>20</v>
      </c>
      <c r="E472" s="9">
        <v>0</v>
      </c>
      <c r="F472" t="str">
        <f>VLOOKUP(B472,customers!A:F,6,FALSE)</f>
        <v>Jakarta</v>
      </c>
    </row>
    <row r="473" spans="1:6" x14ac:dyDescent="0.35">
      <c r="A473" s="8" t="s">
        <v>645</v>
      </c>
      <c r="B473" s="4" t="s">
        <v>631</v>
      </c>
      <c r="C473" s="5">
        <v>45950.375</v>
      </c>
      <c r="D473" s="14" t="s">
        <v>20</v>
      </c>
      <c r="E473" s="9">
        <v>0</v>
      </c>
      <c r="F473" t="str">
        <f>VLOOKUP(B473,customers!A:F,6,FALSE)</f>
        <v>Jakarta</v>
      </c>
    </row>
    <row r="474" spans="1:6" x14ac:dyDescent="0.35">
      <c r="A474" s="8" t="s">
        <v>646</v>
      </c>
      <c r="B474" s="4" t="s">
        <v>647</v>
      </c>
      <c r="C474" s="5">
        <v>45950.375</v>
      </c>
      <c r="D474" s="14" t="s">
        <v>20</v>
      </c>
      <c r="E474" s="9">
        <v>0</v>
      </c>
      <c r="F474" t="str">
        <f>VLOOKUP(B474,customers!A:F,6,FALSE)</f>
        <v>Jakarta</v>
      </c>
    </row>
    <row r="475" spans="1:6" x14ac:dyDescent="0.35">
      <c r="A475" s="8" t="s">
        <v>648</v>
      </c>
      <c r="B475" s="4" t="s">
        <v>271</v>
      </c>
      <c r="C475" s="5">
        <v>45950.416666666657</v>
      </c>
      <c r="D475" s="4" t="s">
        <v>46</v>
      </c>
      <c r="E475" s="9">
        <v>0.1</v>
      </c>
      <c r="F475" t="str">
        <f>VLOOKUP(B475,customers!A:F,6,FALSE)</f>
        <v>Surabaya</v>
      </c>
    </row>
    <row r="476" spans="1:6" x14ac:dyDescent="0.35">
      <c r="A476" s="8" t="s">
        <v>649</v>
      </c>
      <c r="B476" s="4" t="s">
        <v>246</v>
      </c>
      <c r="C476" s="5">
        <v>45950.541666666657</v>
      </c>
      <c r="D476" s="14" t="s">
        <v>20</v>
      </c>
      <c r="E476" s="9">
        <v>0.1</v>
      </c>
      <c r="F476" t="str">
        <f>VLOOKUP(B476,customers!A:F,6,FALSE)</f>
        <v>Medan</v>
      </c>
    </row>
    <row r="477" spans="1:6" x14ac:dyDescent="0.35">
      <c r="A477" s="8" t="s">
        <v>650</v>
      </c>
      <c r="B477" s="4" t="s">
        <v>225</v>
      </c>
      <c r="C477" s="5">
        <v>45950.541666666657</v>
      </c>
      <c r="D477" s="14" t="s">
        <v>20</v>
      </c>
      <c r="E477" s="9">
        <v>0.1</v>
      </c>
      <c r="F477" t="str">
        <f>VLOOKUP(B477,customers!A:F,6,FALSE)</f>
        <v>Surabaya</v>
      </c>
    </row>
    <row r="478" spans="1:6" x14ac:dyDescent="0.35">
      <c r="A478" s="8" t="s">
        <v>651</v>
      </c>
      <c r="B478" s="4" t="s">
        <v>151</v>
      </c>
      <c r="C478" s="5">
        <v>45950.833333333343</v>
      </c>
      <c r="D478" s="14" t="s">
        <v>20</v>
      </c>
      <c r="E478" s="9">
        <v>0</v>
      </c>
      <c r="F478" t="str">
        <f>VLOOKUP(B478,customers!A:F,6,FALSE)</f>
        <v>Jakarta</v>
      </c>
    </row>
    <row r="479" spans="1:6" x14ac:dyDescent="0.35">
      <c r="A479" s="8" t="s">
        <v>652</v>
      </c>
      <c r="B479" s="4" t="s">
        <v>69</v>
      </c>
      <c r="C479" s="5">
        <v>45951.333333333343</v>
      </c>
      <c r="D479" s="14" t="s">
        <v>20</v>
      </c>
      <c r="E479" s="9">
        <v>0.1</v>
      </c>
      <c r="F479" t="str">
        <f>VLOOKUP(B479,customers!A:F,6,FALSE)</f>
        <v>Yogyakarta</v>
      </c>
    </row>
    <row r="480" spans="1:6" x14ac:dyDescent="0.35">
      <c r="A480" s="8" t="s">
        <v>653</v>
      </c>
      <c r="B480" s="4" t="s">
        <v>30</v>
      </c>
      <c r="C480" s="5">
        <v>45951.416666666657</v>
      </c>
      <c r="D480" s="14" t="s">
        <v>20</v>
      </c>
      <c r="E480" s="9">
        <v>0.05</v>
      </c>
      <c r="F480" t="str">
        <f>VLOOKUP(B480,customers!A:F,6,FALSE)</f>
        <v>Surabaya</v>
      </c>
    </row>
    <row r="481" spans="1:6" x14ac:dyDescent="0.35">
      <c r="A481" s="8" t="s">
        <v>654</v>
      </c>
      <c r="B481" s="4" t="s">
        <v>655</v>
      </c>
      <c r="C481" s="5">
        <v>45951.458333333343</v>
      </c>
      <c r="D481" s="14" t="s">
        <v>20</v>
      </c>
      <c r="E481" s="9">
        <v>0.05</v>
      </c>
      <c r="F481" t="str">
        <f>VLOOKUP(B481,customers!A:F,6,FALSE)</f>
        <v>Jakarta</v>
      </c>
    </row>
    <row r="482" spans="1:6" x14ac:dyDescent="0.35">
      <c r="A482" s="8" t="s">
        <v>656</v>
      </c>
      <c r="B482" s="4" t="s">
        <v>85</v>
      </c>
      <c r="C482" s="5">
        <v>45951.458333333343</v>
      </c>
      <c r="D482" s="14" t="s">
        <v>20</v>
      </c>
      <c r="E482" s="9">
        <v>0.05</v>
      </c>
      <c r="F482" t="str">
        <f>VLOOKUP(B482,customers!A:F,6,FALSE)</f>
        <v>Denpasar</v>
      </c>
    </row>
    <row r="483" spans="1:6" x14ac:dyDescent="0.35">
      <c r="A483" s="8" t="s">
        <v>657</v>
      </c>
      <c r="B483" s="4" t="s">
        <v>626</v>
      </c>
      <c r="C483" s="5">
        <v>45951.5</v>
      </c>
      <c r="D483" s="4" t="s">
        <v>46</v>
      </c>
      <c r="E483" s="9">
        <v>0</v>
      </c>
      <c r="F483" t="str">
        <f>VLOOKUP(B483,customers!A:F,6,FALSE)</f>
        <v>Surabaya</v>
      </c>
    </row>
    <row r="484" spans="1:6" x14ac:dyDescent="0.35">
      <c r="A484" s="8" t="s">
        <v>658</v>
      </c>
      <c r="B484" s="4" t="s">
        <v>633</v>
      </c>
      <c r="C484" s="5">
        <v>45951.666666666657</v>
      </c>
      <c r="D484" s="14" t="s">
        <v>20</v>
      </c>
      <c r="E484" s="9">
        <v>0.05</v>
      </c>
      <c r="F484" t="str">
        <f>VLOOKUP(B484,customers!A:F,6,FALSE)</f>
        <v>Bandung</v>
      </c>
    </row>
    <row r="485" spans="1:6" x14ac:dyDescent="0.35">
      <c r="A485" s="8" t="s">
        <v>659</v>
      </c>
      <c r="B485" s="4" t="s">
        <v>631</v>
      </c>
      <c r="C485" s="5">
        <v>45952.458333333343</v>
      </c>
      <c r="D485" s="4" t="s">
        <v>46</v>
      </c>
      <c r="E485" s="9">
        <v>0</v>
      </c>
      <c r="F485" t="str">
        <f>VLOOKUP(B485,customers!A:F,6,FALSE)</f>
        <v>Jakarta</v>
      </c>
    </row>
    <row r="486" spans="1:6" x14ac:dyDescent="0.35">
      <c r="A486" s="8" t="s">
        <v>660</v>
      </c>
      <c r="B486" s="4" t="s">
        <v>647</v>
      </c>
      <c r="C486" s="5">
        <v>45952.5</v>
      </c>
      <c r="D486" s="14" t="s">
        <v>20</v>
      </c>
      <c r="E486" s="9">
        <v>0</v>
      </c>
      <c r="F486" t="str">
        <f>VLOOKUP(B486,customers!A:F,6,FALSE)</f>
        <v>Jakarta</v>
      </c>
    </row>
    <row r="487" spans="1:6" x14ac:dyDescent="0.35">
      <c r="A487" s="8" t="s">
        <v>661</v>
      </c>
      <c r="B487" s="4" t="s">
        <v>662</v>
      </c>
      <c r="C487" s="5">
        <v>45952.5</v>
      </c>
      <c r="D487" s="4" t="s">
        <v>28</v>
      </c>
      <c r="E487" s="9">
        <v>0.05</v>
      </c>
      <c r="F487" t="str">
        <f>VLOOKUP(B487,customers!A:F,6,FALSE)</f>
        <v>Palembang</v>
      </c>
    </row>
    <row r="488" spans="1:6" x14ac:dyDescent="0.35">
      <c r="A488" s="8" t="s">
        <v>663</v>
      </c>
      <c r="B488" s="4" t="s">
        <v>156</v>
      </c>
      <c r="C488" s="5">
        <v>45952.541666666657</v>
      </c>
      <c r="D488" s="4" t="s">
        <v>46</v>
      </c>
      <c r="E488" s="9">
        <v>0</v>
      </c>
      <c r="F488" t="str">
        <f>VLOOKUP(B488,customers!A:F,6,FALSE)</f>
        <v>Depok</v>
      </c>
    </row>
    <row r="489" spans="1:6" x14ac:dyDescent="0.35">
      <c r="A489" s="8" t="s">
        <v>664</v>
      </c>
      <c r="B489" s="4" t="s">
        <v>655</v>
      </c>
      <c r="C489" s="5">
        <v>45952.625</v>
      </c>
      <c r="D489" s="14" t="s">
        <v>20</v>
      </c>
      <c r="E489" s="9">
        <v>0</v>
      </c>
      <c r="F489" t="str">
        <f>VLOOKUP(B489,customers!A:F,6,FALSE)</f>
        <v>Jakarta</v>
      </c>
    </row>
    <row r="490" spans="1:6" x14ac:dyDescent="0.35">
      <c r="A490" s="8" t="s">
        <v>665</v>
      </c>
      <c r="B490" s="4" t="s">
        <v>25</v>
      </c>
      <c r="C490" s="5">
        <v>45952.625</v>
      </c>
      <c r="D490" s="4" t="s">
        <v>46</v>
      </c>
      <c r="E490" s="9">
        <v>0.15</v>
      </c>
      <c r="F490" t="str">
        <f>VLOOKUP(B490,customers!A:F,6,FALSE)</f>
        <v>Palembang</v>
      </c>
    </row>
    <row r="491" spans="1:6" x14ac:dyDescent="0.35">
      <c r="A491" s="8" t="s">
        <v>666</v>
      </c>
      <c r="B491" s="4" t="s">
        <v>368</v>
      </c>
      <c r="C491" s="5">
        <v>45952.875</v>
      </c>
      <c r="D491" s="4" t="s">
        <v>28</v>
      </c>
      <c r="E491" s="9">
        <v>0.05</v>
      </c>
      <c r="F491" t="str">
        <f>VLOOKUP(B491,customers!A:F,6,FALSE)</f>
        <v>Jakarta</v>
      </c>
    </row>
    <row r="492" spans="1:6" x14ac:dyDescent="0.35">
      <c r="A492" s="8" t="s">
        <v>667</v>
      </c>
      <c r="B492" s="4" t="s">
        <v>37</v>
      </c>
      <c r="C492" s="5">
        <v>45953.333333333343</v>
      </c>
      <c r="D492" s="4" t="s">
        <v>28</v>
      </c>
      <c r="E492" s="9">
        <v>0</v>
      </c>
      <c r="F492" t="str">
        <f>VLOOKUP(B492,customers!A:F,6,FALSE)</f>
        <v>Palembang</v>
      </c>
    </row>
    <row r="493" spans="1:6" x14ac:dyDescent="0.35">
      <c r="A493" s="8" t="s">
        <v>668</v>
      </c>
      <c r="B493" s="4" t="s">
        <v>633</v>
      </c>
      <c r="C493" s="5">
        <v>45953.583333333343</v>
      </c>
      <c r="D493" s="4" t="s">
        <v>46</v>
      </c>
      <c r="E493" s="9">
        <v>0</v>
      </c>
      <c r="F493" t="str">
        <f>VLOOKUP(B493,customers!A:F,6,FALSE)</f>
        <v>Bandung</v>
      </c>
    </row>
    <row r="494" spans="1:6" x14ac:dyDescent="0.35">
      <c r="A494" s="8" t="s">
        <v>669</v>
      </c>
      <c r="B494" s="4" t="s">
        <v>631</v>
      </c>
      <c r="C494" s="5">
        <v>45953.791666666657</v>
      </c>
      <c r="D494" s="14" t="s">
        <v>20</v>
      </c>
      <c r="E494" s="9">
        <v>0.2</v>
      </c>
      <c r="F494" t="str">
        <f>VLOOKUP(B494,customers!A:F,6,FALSE)</f>
        <v>Jakarta</v>
      </c>
    </row>
    <row r="495" spans="1:6" x14ac:dyDescent="0.35">
      <c r="A495" s="8" t="s">
        <v>670</v>
      </c>
      <c r="B495" s="4" t="s">
        <v>633</v>
      </c>
      <c r="C495" s="5">
        <v>45953.875</v>
      </c>
      <c r="D495" s="14" t="s">
        <v>20</v>
      </c>
      <c r="E495" s="9">
        <v>0</v>
      </c>
      <c r="F495" t="str">
        <f>VLOOKUP(B495,customers!A:F,6,FALSE)</f>
        <v>Bandung</v>
      </c>
    </row>
    <row r="496" spans="1:6" x14ac:dyDescent="0.35">
      <c r="A496" s="8" t="s">
        <v>671</v>
      </c>
      <c r="B496" s="4" t="s">
        <v>647</v>
      </c>
      <c r="C496" s="5">
        <v>45954.375</v>
      </c>
      <c r="D496" s="14" t="s">
        <v>20</v>
      </c>
      <c r="E496" s="9">
        <v>0</v>
      </c>
      <c r="F496" t="str">
        <f>VLOOKUP(B496,customers!A:F,6,FALSE)</f>
        <v>Jakarta</v>
      </c>
    </row>
    <row r="497" spans="1:6" x14ac:dyDescent="0.35">
      <c r="A497" s="8" t="s">
        <v>672</v>
      </c>
      <c r="B497" s="4" t="s">
        <v>136</v>
      </c>
      <c r="C497" s="5">
        <v>45954.416666666657</v>
      </c>
      <c r="D497" s="14" t="s">
        <v>20</v>
      </c>
      <c r="E497" s="9">
        <v>0</v>
      </c>
      <c r="F497" t="str">
        <f>VLOOKUP(B497,customers!A:F,6,FALSE)</f>
        <v>Jakarta</v>
      </c>
    </row>
    <row r="498" spans="1:6" x14ac:dyDescent="0.35">
      <c r="A498" s="8" t="s">
        <v>673</v>
      </c>
      <c r="B498" s="4" t="s">
        <v>502</v>
      </c>
      <c r="C498" s="5">
        <v>45954.541666666657</v>
      </c>
      <c r="D498" s="4" t="s">
        <v>46</v>
      </c>
      <c r="E498" s="9">
        <v>0.05</v>
      </c>
      <c r="F498" t="str">
        <f>VLOOKUP(B498,customers!A:F,6,FALSE)</f>
        <v>Palembang</v>
      </c>
    </row>
    <row r="499" spans="1:6" x14ac:dyDescent="0.35">
      <c r="A499" s="8" t="s">
        <v>674</v>
      </c>
      <c r="B499" s="4" t="s">
        <v>675</v>
      </c>
      <c r="C499" s="5">
        <v>45954.875</v>
      </c>
      <c r="D499" s="14" t="s">
        <v>20</v>
      </c>
      <c r="E499" s="9">
        <v>0.15</v>
      </c>
      <c r="F499" t="str">
        <f>VLOOKUP(B499,customers!A:F,6,FALSE)</f>
        <v>Medan</v>
      </c>
    </row>
    <row r="500" spans="1:6" x14ac:dyDescent="0.35">
      <c r="A500" s="8" t="s">
        <v>676</v>
      </c>
      <c r="B500" s="4" t="s">
        <v>208</v>
      </c>
      <c r="C500" s="5">
        <v>45954.875</v>
      </c>
      <c r="D500" s="14" t="s">
        <v>20</v>
      </c>
      <c r="E500" s="9">
        <v>0</v>
      </c>
      <c r="F500" t="str">
        <f>VLOOKUP(B500,customers!A:F,6,FALSE)</f>
        <v>Jakarta</v>
      </c>
    </row>
    <row r="501" spans="1:6" x14ac:dyDescent="0.35">
      <c r="A501" s="8" t="s">
        <v>677</v>
      </c>
      <c r="B501" s="4" t="s">
        <v>126</v>
      </c>
      <c r="C501" s="5">
        <v>45954.916666666657</v>
      </c>
      <c r="D501" s="14" t="s">
        <v>20</v>
      </c>
      <c r="E501" s="9">
        <v>0</v>
      </c>
      <c r="F501" t="str">
        <f>VLOOKUP(B501,customers!A:F,6,FALSE)</f>
        <v>Yogyakarta</v>
      </c>
    </row>
    <row r="502" spans="1:6" x14ac:dyDescent="0.35">
      <c r="A502" s="8" t="s">
        <v>678</v>
      </c>
      <c r="B502" s="4" t="s">
        <v>679</v>
      </c>
      <c r="C502" s="5">
        <v>45955.791666666657</v>
      </c>
      <c r="D502" s="14" t="s">
        <v>20</v>
      </c>
      <c r="E502" s="9">
        <v>0.05</v>
      </c>
      <c r="F502" t="str">
        <f>VLOOKUP(B502,customers!A:F,6,FALSE)</f>
        <v>Palembang</v>
      </c>
    </row>
    <row r="503" spans="1:6" x14ac:dyDescent="0.35">
      <c r="A503" s="8" t="s">
        <v>680</v>
      </c>
      <c r="B503" s="4" t="s">
        <v>278</v>
      </c>
      <c r="C503" s="5">
        <v>45955.916666666657</v>
      </c>
      <c r="D503" s="4" t="s">
        <v>28</v>
      </c>
      <c r="E503" s="9">
        <v>0</v>
      </c>
      <c r="F503" t="str">
        <f>VLOOKUP(B503,customers!A:F,6,FALSE)</f>
        <v>Yogyakarta</v>
      </c>
    </row>
    <row r="504" spans="1:6" x14ac:dyDescent="0.35">
      <c r="A504" s="8" t="s">
        <v>681</v>
      </c>
      <c r="B504" s="4" t="s">
        <v>655</v>
      </c>
      <c r="C504" s="5">
        <v>45956.333333333343</v>
      </c>
      <c r="D504" s="14" t="s">
        <v>20</v>
      </c>
      <c r="E504" s="9">
        <v>0</v>
      </c>
      <c r="F504" t="str">
        <f>VLOOKUP(B504,customers!A:F,6,FALSE)</f>
        <v>Jakarta</v>
      </c>
    </row>
    <row r="505" spans="1:6" x14ac:dyDescent="0.35">
      <c r="A505" s="8" t="s">
        <v>682</v>
      </c>
      <c r="B505" s="4" t="s">
        <v>679</v>
      </c>
      <c r="C505" s="5">
        <v>45956.416666666657</v>
      </c>
      <c r="D505" s="14" t="s">
        <v>20</v>
      </c>
      <c r="E505" s="9">
        <v>0.05</v>
      </c>
      <c r="F505" t="str">
        <f>VLOOKUP(B505,customers!A:F,6,FALSE)</f>
        <v>Palembang</v>
      </c>
    </row>
    <row r="506" spans="1:6" x14ac:dyDescent="0.35">
      <c r="A506" s="8" t="s">
        <v>683</v>
      </c>
      <c r="B506" s="4" t="s">
        <v>171</v>
      </c>
      <c r="C506" s="5">
        <v>45956.625</v>
      </c>
      <c r="D506" s="14" t="s">
        <v>20</v>
      </c>
      <c r="E506" s="9">
        <v>0.05</v>
      </c>
      <c r="F506" t="str">
        <f>VLOOKUP(B506,customers!A:F,6,FALSE)</f>
        <v>Surabaya</v>
      </c>
    </row>
    <row r="507" spans="1:6" x14ac:dyDescent="0.35">
      <c r="A507" s="8" t="s">
        <v>684</v>
      </c>
      <c r="B507" s="4" t="s">
        <v>655</v>
      </c>
      <c r="C507" s="5">
        <v>45956.791666666657</v>
      </c>
      <c r="D507" s="14" t="s">
        <v>20</v>
      </c>
      <c r="E507" s="9">
        <v>0.05</v>
      </c>
      <c r="F507" t="str">
        <f>VLOOKUP(B507,customers!A:F,6,FALSE)</f>
        <v>Jakarta</v>
      </c>
    </row>
    <row r="508" spans="1:6" x14ac:dyDescent="0.35">
      <c r="A508" s="8" t="s">
        <v>685</v>
      </c>
      <c r="B508" s="4" t="s">
        <v>113</v>
      </c>
      <c r="C508" s="5">
        <v>45956.833333333343</v>
      </c>
      <c r="D508" s="4" t="s">
        <v>46</v>
      </c>
      <c r="E508" s="9">
        <v>0</v>
      </c>
      <c r="F508" t="str">
        <f>VLOOKUP(B508,customers!A:F,6,FALSE)</f>
        <v>Medan</v>
      </c>
    </row>
    <row r="509" spans="1:6" x14ac:dyDescent="0.35">
      <c r="A509" s="8" t="s">
        <v>686</v>
      </c>
      <c r="B509" s="4" t="s">
        <v>687</v>
      </c>
      <c r="C509" s="5">
        <v>45956.833333333343</v>
      </c>
      <c r="D509" s="14" t="s">
        <v>20</v>
      </c>
      <c r="E509" s="9">
        <v>0.1</v>
      </c>
      <c r="F509" t="str">
        <f>VLOOKUP(B509,customers!A:F,6,FALSE)</f>
        <v>Depok</v>
      </c>
    </row>
    <row r="510" spans="1:6" x14ac:dyDescent="0.35">
      <c r="A510" s="8" t="s">
        <v>688</v>
      </c>
      <c r="B510" s="4" t="s">
        <v>679</v>
      </c>
      <c r="C510" s="5">
        <v>45956.875</v>
      </c>
      <c r="D510" s="14" t="s">
        <v>20</v>
      </c>
      <c r="E510" s="9">
        <v>0</v>
      </c>
      <c r="F510" t="str">
        <f>VLOOKUP(B510,customers!A:F,6,FALSE)</f>
        <v>Palembang</v>
      </c>
    </row>
    <row r="511" spans="1:6" x14ac:dyDescent="0.35">
      <c r="A511" s="8" t="s">
        <v>689</v>
      </c>
      <c r="B511" s="4" t="s">
        <v>608</v>
      </c>
      <c r="C511" s="5">
        <v>45956.916666666657</v>
      </c>
      <c r="D511" s="14" t="s">
        <v>20</v>
      </c>
      <c r="E511" s="9">
        <v>0.2</v>
      </c>
      <c r="F511" t="str">
        <f>VLOOKUP(B511,customers!A:F,6,FALSE)</f>
        <v>Medan</v>
      </c>
    </row>
    <row r="512" spans="1:6" x14ac:dyDescent="0.35">
      <c r="A512" s="8" t="s">
        <v>690</v>
      </c>
      <c r="B512" s="4" t="s">
        <v>655</v>
      </c>
      <c r="C512" s="5">
        <v>45957.5</v>
      </c>
      <c r="D512" s="14" t="s">
        <v>20</v>
      </c>
      <c r="E512" s="9">
        <v>0</v>
      </c>
      <c r="F512" t="str">
        <f>VLOOKUP(B512,customers!A:F,6,FALSE)</f>
        <v>Jakarta</v>
      </c>
    </row>
    <row r="513" spans="1:6" x14ac:dyDescent="0.35">
      <c r="A513" s="8" t="s">
        <v>691</v>
      </c>
      <c r="B513" s="4" t="s">
        <v>121</v>
      </c>
      <c r="C513" s="5">
        <v>45957.541666666657</v>
      </c>
      <c r="D513" s="4" t="s">
        <v>28</v>
      </c>
      <c r="E513" s="9">
        <v>0</v>
      </c>
      <c r="F513" t="str">
        <f>VLOOKUP(B513,customers!A:F,6,FALSE)</f>
        <v>Surabaya</v>
      </c>
    </row>
    <row r="514" spans="1:6" x14ac:dyDescent="0.35">
      <c r="A514" s="8" t="s">
        <v>692</v>
      </c>
      <c r="B514" s="4" t="s">
        <v>468</v>
      </c>
      <c r="C514" s="5">
        <v>45957.75</v>
      </c>
      <c r="D514" s="14" t="s">
        <v>20</v>
      </c>
      <c r="E514" s="9">
        <v>0</v>
      </c>
      <c r="F514" t="str">
        <f>VLOOKUP(B514,customers!A:F,6,FALSE)</f>
        <v>Surabaya</v>
      </c>
    </row>
    <row r="515" spans="1:6" x14ac:dyDescent="0.35">
      <c r="A515" s="8" t="s">
        <v>693</v>
      </c>
      <c r="B515" s="4" t="s">
        <v>679</v>
      </c>
      <c r="C515" s="5">
        <v>45957.791666666657</v>
      </c>
      <c r="D515" s="4" t="s">
        <v>46</v>
      </c>
      <c r="E515" s="9">
        <v>0</v>
      </c>
      <c r="F515" t="str">
        <f>VLOOKUP(B515,customers!A:F,6,FALSE)</f>
        <v>Palembang</v>
      </c>
    </row>
    <row r="516" spans="1:6" x14ac:dyDescent="0.35">
      <c r="A516" s="8" t="s">
        <v>694</v>
      </c>
      <c r="B516" s="4" t="s">
        <v>439</v>
      </c>
      <c r="C516" s="5">
        <v>45958.5</v>
      </c>
      <c r="D516" s="4" t="s">
        <v>28</v>
      </c>
      <c r="E516" s="9">
        <v>0</v>
      </c>
      <c r="F516" t="str">
        <f>VLOOKUP(B516,customers!A:F,6,FALSE)</f>
        <v>Jakarta</v>
      </c>
    </row>
    <row r="517" spans="1:6" x14ac:dyDescent="0.35">
      <c r="A517" s="8" t="s">
        <v>695</v>
      </c>
      <c r="B517" s="4" t="s">
        <v>696</v>
      </c>
      <c r="C517" s="5">
        <v>45958.541666666657</v>
      </c>
      <c r="D517" s="14" t="s">
        <v>20</v>
      </c>
      <c r="E517" s="9">
        <v>0.05</v>
      </c>
      <c r="F517" t="str">
        <f>VLOOKUP(B517,customers!A:F,6,FALSE)</f>
        <v>Jakarta</v>
      </c>
    </row>
    <row r="518" spans="1:6" x14ac:dyDescent="0.35">
      <c r="A518" s="8" t="s">
        <v>697</v>
      </c>
      <c r="B518" s="4" t="s">
        <v>696</v>
      </c>
      <c r="C518" s="5">
        <v>45958.625</v>
      </c>
      <c r="D518" s="14" t="s">
        <v>20</v>
      </c>
      <c r="E518" s="9">
        <v>0.1</v>
      </c>
      <c r="F518" t="str">
        <f>VLOOKUP(B518,customers!A:F,6,FALSE)</f>
        <v>Jakarta</v>
      </c>
    </row>
    <row r="519" spans="1:6" x14ac:dyDescent="0.35">
      <c r="A519" s="8" t="s">
        <v>698</v>
      </c>
      <c r="B519" s="4" t="s">
        <v>44</v>
      </c>
      <c r="C519" s="5">
        <v>45958.666666666657</v>
      </c>
      <c r="D519" s="14" t="s">
        <v>20</v>
      </c>
      <c r="E519" s="9">
        <v>0</v>
      </c>
      <c r="F519" t="str">
        <f>VLOOKUP(B519,customers!A:F,6,FALSE)</f>
        <v>Medan</v>
      </c>
    </row>
    <row r="520" spans="1:6" x14ac:dyDescent="0.35">
      <c r="A520" s="8" t="s">
        <v>699</v>
      </c>
      <c r="B520" s="4" t="s">
        <v>662</v>
      </c>
      <c r="C520" s="5">
        <v>45958.666666666657</v>
      </c>
      <c r="D520" s="14" t="s">
        <v>20</v>
      </c>
      <c r="E520" s="9">
        <v>0</v>
      </c>
      <c r="F520" t="str">
        <f>VLOOKUP(B520,customers!A:F,6,FALSE)</f>
        <v>Palembang</v>
      </c>
    </row>
    <row r="521" spans="1:6" x14ac:dyDescent="0.35">
      <c r="A521" s="8" t="s">
        <v>700</v>
      </c>
      <c r="B521" s="4" t="s">
        <v>640</v>
      </c>
      <c r="C521" s="5">
        <v>45958.708333333343</v>
      </c>
      <c r="D521" s="14" t="s">
        <v>20</v>
      </c>
      <c r="E521" s="9">
        <v>0</v>
      </c>
      <c r="F521" t="str">
        <f>VLOOKUP(B521,customers!A:F,6,FALSE)</f>
        <v>Makassar</v>
      </c>
    </row>
    <row r="522" spans="1:6" x14ac:dyDescent="0.35">
      <c r="A522" s="8" t="s">
        <v>701</v>
      </c>
      <c r="B522" s="4" t="s">
        <v>647</v>
      </c>
      <c r="C522" s="5">
        <v>45958.75</v>
      </c>
      <c r="D522" s="14" t="s">
        <v>20</v>
      </c>
      <c r="E522" s="9">
        <v>0.1</v>
      </c>
      <c r="F522" t="str">
        <f>VLOOKUP(B522,customers!A:F,6,FALSE)</f>
        <v>Jakarta</v>
      </c>
    </row>
    <row r="523" spans="1:6" x14ac:dyDescent="0.35">
      <c r="A523" s="8" t="s">
        <v>702</v>
      </c>
      <c r="B523" s="4" t="s">
        <v>703</v>
      </c>
      <c r="C523" s="5">
        <v>45958.833333333343</v>
      </c>
      <c r="D523" s="14" t="s">
        <v>20</v>
      </c>
      <c r="E523" s="9">
        <v>0</v>
      </c>
      <c r="F523" t="str">
        <f>VLOOKUP(B523,customers!A:F,6,FALSE)</f>
        <v>Bandung</v>
      </c>
    </row>
    <row r="524" spans="1:6" x14ac:dyDescent="0.35">
      <c r="A524" s="8" t="s">
        <v>704</v>
      </c>
      <c r="B524" s="4" t="s">
        <v>162</v>
      </c>
      <c r="C524" s="5">
        <v>45962.458333333343</v>
      </c>
      <c r="D524" s="14" t="s">
        <v>20</v>
      </c>
      <c r="E524" s="9">
        <v>0</v>
      </c>
      <c r="F524" t="str">
        <f>VLOOKUP(B524,customers!A:F,6,FALSE)</f>
        <v>Denpasar</v>
      </c>
    </row>
    <row r="525" spans="1:6" x14ac:dyDescent="0.35">
      <c r="A525" s="8" t="s">
        <v>705</v>
      </c>
      <c r="B525" s="4" t="s">
        <v>626</v>
      </c>
      <c r="C525" s="5">
        <v>45962.5</v>
      </c>
      <c r="D525" s="14" t="s">
        <v>20</v>
      </c>
      <c r="E525" s="9">
        <v>0</v>
      </c>
      <c r="F525" t="str">
        <f>VLOOKUP(B525,customers!A:F,6,FALSE)</f>
        <v>Surabaya</v>
      </c>
    </row>
    <row r="526" spans="1:6" x14ac:dyDescent="0.35">
      <c r="A526" s="8" t="s">
        <v>706</v>
      </c>
      <c r="B526" s="4" t="s">
        <v>569</v>
      </c>
      <c r="C526" s="5">
        <v>45963.541666666657</v>
      </c>
      <c r="D526" s="4" t="s">
        <v>46</v>
      </c>
      <c r="E526" s="9">
        <v>0</v>
      </c>
      <c r="F526" t="str">
        <f>VLOOKUP(B526,customers!A:F,6,FALSE)</f>
        <v>Jakarta</v>
      </c>
    </row>
    <row r="527" spans="1:6" x14ac:dyDescent="0.35">
      <c r="A527" s="8" t="s">
        <v>707</v>
      </c>
      <c r="B527" s="4" t="s">
        <v>708</v>
      </c>
      <c r="C527" s="5">
        <v>45963.625</v>
      </c>
      <c r="D527" s="14" t="s">
        <v>20</v>
      </c>
      <c r="E527" s="9">
        <v>0</v>
      </c>
      <c r="F527" t="str">
        <f>VLOOKUP(B527,customers!A:F,6,FALSE)</f>
        <v>Denpasar</v>
      </c>
    </row>
    <row r="528" spans="1:6" x14ac:dyDescent="0.35">
      <c r="A528" s="8" t="s">
        <v>709</v>
      </c>
      <c r="B528" s="4" t="s">
        <v>675</v>
      </c>
      <c r="C528" s="5">
        <v>45963.75</v>
      </c>
      <c r="D528" s="14" t="s">
        <v>20</v>
      </c>
      <c r="E528" s="9">
        <v>0.05</v>
      </c>
      <c r="F528" t="str">
        <f>VLOOKUP(B528,customers!A:F,6,FALSE)</f>
        <v>Medan</v>
      </c>
    </row>
    <row r="529" spans="1:6" x14ac:dyDescent="0.35">
      <c r="A529" s="8" t="s">
        <v>710</v>
      </c>
      <c r="B529" s="4" t="s">
        <v>711</v>
      </c>
      <c r="C529" s="5">
        <v>45963.833333333343</v>
      </c>
      <c r="D529" s="14" t="s">
        <v>20</v>
      </c>
      <c r="E529" s="9">
        <v>0.05</v>
      </c>
      <c r="F529" t="str">
        <f>VLOOKUP(B529,customers!A:F,6,FALSE)</f>
        <v>Surabaya</v>
      </c>
    </row>
    <row r="530" spans="1:6" x14ac:dyDescent="0.35">
      <c r="A530" s="8" t="s">
        <v>712</v>
      </c>
      <c r="B530" s="4" t="s">
        <v>696</v>
      </c>
      <c r="C530" s="5">
        <v>45964.5</v>
      </c>
      <c r="D530" s="14" t="s">
        <v>20</v>
      </c>
      <c r="E530" s="9">
        <v>0</v>
      </c>
      <c r="F530" t="str">
        <f>VLOOKUP(B530,customers!A:F,6,FALSE)</f>
        <v>Jakarta</v>
      </c>
    </row>
    <row r="531" spans="1:6" x14ac:dyDescent="0.35">
      <c r="A531" s="8" t="s">
        <v>713</v>
      </c>
      <c r="B531" s="4" t="s">
        <v>173</v>
      </c>
      <c r="C531" s="5">
        <v>45964.541666666657</v>
      </c>
      <c r="D531" s="14" t="s">
        <v>20</v>
      </c>
      <c r="E531" s="9">
        <v>0</v>
      </c>
      <c r="F531" t="str">
        <f>VLOOKUP(B531,customers!A:F,6,FALSE)</f>
        <v>Bandung</v>
      </c>
    </row>
    <row r="532" spans="1:6" x14ac:dyDescent="0.35">
      <c r="A532" s="8" t="s">
        <v>714</v>
      </c>
      <c r="B532" s="4" t="s">
        <v>715</v>
      </c>
      <c r="C532" s="5">
        <v>45964.916666666657</v>
      </c>
      <c r="D532" s="14" t="s">
        <v>20</v>
      </c>
      <c r="E532" s="9">
        <v>0</v>
      </c>
      <c r="F532" t="str">
        <f>VLOOKUP(B532,customers!A:F,6,FALSE)</f>
        <v>Jakarta</v>
      </c>
    </row>
    <row r="533" spans="1:6" x14ac:dyDescent="0.35">
      <c r="A533" s="8" t="s">
        <v>716</v>
      </c>
      <c r="B533" s="4" t="s">
        <v>717</v>
      </c>
      <c r="C533" s="5">
        <v>45964.916666666657</v>
      </c>
      <c r="D533" s="14" t="s">
        <v>20</v>
      </c>
      <c r="E533" s="9">
        <v>0</v>
      </c>
      <c r="F533" t="str">
        <f>VLOOKUP(B533,customers!A:F,6,FALSE)</f>
        <v>Surabaya</v>
      </c>
    </row>
    <row r="534" spans="1:6" x14ac:dyDescent="0.35">
      <c r="A534" s="8" t="s">
        <v>718</v>
      </c>
      <c r="B534" s="4" t="s">
        <v>679</v>
      </c>
      <c r="C534" s="5">
        <v>45965.375</v>
      </c>
      <c r="D534" s="4" t="s">
        <v>46</v>
      </c>
      <c r="E534" s="9">
        <v>0.1</v>
      </c>
      <c r="F534" t="str">
        <f>VLOOKUP(B534,customers!A:F,6,FALSE)</f>
        <v>Palembang</v>
      </c>
    </row>
    <row r="535" spans="1:6" x14ac:dyDescent="0.35">
      <c r="A535" s="8" t="s">
        <v>719</v>
      </c>
      <c r="B535" s="4" t="s">
        <v>50</v>
      </c>
      <c r="C535" s="5">
        <v>45965.416666666657</v>
      </c>
      <c r="D535" s="14" t="s">
        <v>20</v>
      </c>
      <c r="E535" s="9">
        <v>0</v>
      </c>
      <c r="F535" t="str">
        <f>VLOOKUP(B535,customers!A:F,6,FALSE)</f>
        <v>Bandung</v>
      </c>
    </row>
    <row r="536" spans="1:6" x14ac:dyDescent="0.35">
      <c r="A536" s="8" t="s">
        <v>720</v>
      </c>
      <c r="B536" s="4" t="s">
        <v>94</v>
      </c>
      <c r="C536" s="5">
        <v>45966.5</v>
      </c>
      <c r="D536" s="14" t="s">
        <v>20</v>
      </c>
      <c r="E536" s="9">
        <v>0</v>
      </c>
      <c r="F536" t="str">
        <f>VLOOKUP(B536,customers!A:F,6,FALSE)</f>
        <v>Jakarta</v>
      </c>
    </row>
    <row r="537" spans="1:6" x14ac:dyDescent="0.35">
      <c r="A537" s="8" t="s">
        <v>721</v>
      </c>
      <c r="B537" s="4" t="s">
        <v>722</v>
      </c>
      <c r="C537" s="5">
        <v>45966.5</v>
      </c>
      <c r="D537" s="4" t="s">
        <v>46</v>
      </c>
      <c r="E537" s="9">
        <v>0.05</v>
      </c>
      <c r="F537" t="str">
        <f>VLOOKUP(B537,customers!A:F,6,FALSE)</f>
        <v>Depok</v>
      </c>
    </row>
    <row r="538" spans="1:6" x14ac:dyDescent="0.35">
      <c r="A538" s="8" t="s">
        <v>723</v>
      </c>
      <c r="B538" s="4" t="s">
        <v>344</v>
      </c>
      <c r="C538" s="5">
        <v>45966.708333333343</v>
      </c>
      <c r="D538" s="14" t="s">
        <v>20</v>
      </c>
      <c r="E538" s="9">
        <v>0.05</v>
      </c>
      <c r="F538" t="str">
        <f>VLOOKUP(B538,customers!A:F,6,FALSE)</f>
        <v>Bandung</v>
      </c>
    </row>
    <row r="539" spans="1:6" x14ac:dyDescent="0.35">
      <c r="A539" s="8" t="s">
        <v>724</v>
      </c>
      <c r="B539" s="4" t="s">
        <v>717</v>
      </c>
      <c r="C539" s="5">
        <v>45966.791666666657</v>
      </c>
      <c r="D539" s="14" t="s">
        <v>20</v>
      </c>
      <c r="E539" s="9">
        <v>0</v>
      </c>
      <c r="F539" t="str">
        <f>VLOOKUP(B539,customers!A:F,6,FALSE)</f>
        <v>Surabaya</v>
      </c>
    </row>
    <row r="540" spans="1:6" x14ac:dyDescent="0.35">
      <c r="A540" s="8" t="s">
        <v>725</v>
      </c>
      <c r="B540" s="4" t="s">
        <v>696</v>
      </c>
      <c r="C540" s="5">
        <v>45967.416666666657</v>
      </c>
      <c r="D540" s="14" t="s">
        <v>20</v>
      </c>
      <c r="E540" s="9">
        <v>0.05</v>
      </c>
      <c r="F540" t="str">
        <f>VLOOKUP(B540,customers!A:F,6,FALSE)</f>
        <v>Jakarta</v>
      </c>
    </row>
    <row r="541" spans="1:6" x14ac:dyDescent="0.35">
      <c r="A541" s="8" t="s">
        <v>726</v>
      </c>
      <c r="B541" s="4" t="s">
        <v>727</v>
      </c>
      <c r="C541" s="5">
        <v>45967.458333333343</v>
      </c>
      <c r="D541" s="4" t="s">
        <v>46</v>
      </c>
      <c r="E541" s="9">
        <v>0</v>
      </c>
      <c r="F541" t="str">
        <f>VLOOKUP(B541,customers!A:F,6,FALSE)</f>
        <v>Yogyakarta</v>
      </c>
    </row>
    <row r="542" spans="1:6" x14ac:dyDescent="0.35">
      <c r="A542" s="8" t="s">
        <v>728</v>
      </c>
      <c r="B542" s="4" t="s">
        <v>727</v>
      </c>
      <c r="C542" s="5">
        <v>45967.666666666657</v>
      </c>
      <c r="D542" s="14" t="s">
        <v>20</v>
      </c>
      <c r="E542" s="9">
        <v>0</v>
      </c>
      <c r="F542" t="str">
        <f>VLOOKUP(B542,customers!A:F,6,FALSE)</f>
        <v>Yogyakarta</v>
      </c>
    </row>
    <row r="543" spans="1:6" x14ac:dyDescent="0.35">
      <c r="A543" s="8" t="s">
        <v>729</v>
      </c>
      <c r="B543" s="4" t="s">
        <v>23</v>
      </c>
      <c r="C543" s="5">
        <v>45967.833333333343</v>
      </c>
      <c r="D543" s="14" t="s">
        <v>20</v>
      </c>
      <c r="E543" s="9">
        <v>0</v>
      </c>
      <c r="F543" t="str">
        <f>VLOOKUP(B543,customers!A:F,6,FALSE)</f>
        <v>Bandung</v>
      </c>
    </row>
    <row r="544" spans="1:6" x14ac:dyDescent="0.35">
      <c r="A544" s="8" t="s">
        <v>730</v>
      </c>
      <c r="B544" s="4" t="s">
        <v>180</v>
      </c>
      <c r="C544" s="5">
        <v>45968.583333333343</v>
      </c>
      <c r="D544" s="4" t="s">
        <v>28</v>
      </c>
      <c r="E544" s="9">
        <v>0</v>
      </c>
      <c r="F544" t="str">
        <f>VLOOKUP(B544,customers!A:F,6,FALSE)</f>
        <v>Jakarta</v>
      </c>
    </row>
    <row r="545" spans="1:6" x14ac:dyDescent="0.35">
      <c r="A545" s="8" t="s">
        <v>731</v>
      </c>
      <c r="B545" s="4" t="s">
        <v>236</v>
      </c>
      <c r="C545" s="5">
        <v>45969.458333333343</v>
      </c>
      <c r="D545" s="4" t="s">
        <v>46</v>
      </c>
      <c r="E545" s="9">
        <v>0</v>
      </c>
      <c r="F545" t="str">
        <f>VLOOKUP(B545,customers!A:F,6,FALSE)</f>
        <v>Jakarta</v>
      </c>
    </row>
    <row r="546" spans="1:6" x14ac:dyDescent="0.35">
      <c r="A546" s="8" t="s">
        <v>732</v>
      </c>
      <c r="B546" s="4" t="s">
        <v>717</v>
      </c>
      <c r="C546" s="5">
        <v>45969.625</v>
      </c>
      <c r="D546" s="14" t="s">
        <v>20</v>
      </c>
      <c r="E546" s="9">
        <v>0</v>
      </c>
      <c r="F546" t="str">
        <f>VLOOKUP(B546,customers!A:F,6,FALSE)</f>
        <v>Surabaya</v>
      </c>
    </row>
    <row r="547" spans="1:6" x14ac:dyDescent="0.35">
      <c r="A547" s="8" t="s">
        <v>733</v>
      </c>
      <c r="B547" s="4" t="s">
        <v>522</v>
      </c>
      <c r="C547" s="5">
        <v>45969.625</v>
      </c>
      <c r="D547" s="14" t="s">
        <v>20</v>
      </c>
      <c r="E547" s="9">
        <v>0.05</v>
      </c>
      <c r="F547" t="str">
        <f>VLOOKUP(B547,customers!A:F,6,FALSE)</f>
        <v>Bandung</v>
      </c>
    </row>
    <row r="548" spans="1:6" x14ac:dyDescent="0.35">
      <c r="A548" s="8" t="s">
        <v>734</v>
      </c>
      <c r="B548" s="4" t="s">
        <v>99</v>
      </c>
      <c r="C548" s="5">
        <v>45969.666666666657</v>
      </c>
      <c r="D548" s="4" t="s">
        <v>46</v>
      </c>
      <c r="E548" s="9">
        <v>0.1</v>
      </c>
      <c r="F548" t="str">
        <f>VLOOKUP(B548,customers!A:F,6,FALSE)</f>
        <v>Bandung</v>
      </c>
    </row>
    <row r="549" spans="1:6" x14ac:dyDescent="0.35">
      <c r="A549" s="8" t="s">
        <v>735</v>
      </c>
      <c r="B549" s="4" t="s">
        <v>502</v>
      </c>
      <c r="C549" s="5">
        <v>45969.708333333343</v>
      </c>
      <c r="D549" s="4" t="s">
        <v>46</v>
      </c>
      <c r="E549" s="9">
        <v>0</v>
      </c>
      <c r="F549" t="str">
        <f>VLOOKUP(B549,customers!A:F,6,FALSE)</f>
        <v>Palembang</v>
      </c>
    </row>
    <row r="550" spans="1:6" x14ac:dyDescent="0.35">
      <c r="A550" s="8" t="s">
        <v>736</v>
      </c>
      <c r="B550" s="4" t="s">
        <v>737</v>
      </c>
      <c r="C550" s="5">
        <v>45969.75</v>
      </c>
      <c r="D550" s="14" t="s">
        <v>20</v>
      </c>
      <c r="E550" s="9">
        <v>0</v>
      </c>
      <c r="F550" t="str">
        <f>VLOOKUP(B550,customers!A:F,6,FALSE)</f>
        <v>Makassar</v>
      </c>
    </row>
    <row r="551" spans="1:6" x14ac:dyDescent="0.35">
      <c r="A551" s="8" t="s">
        <v>738</v>
      </c>
      <c r="B551" s="4" t="s">
        <v>171</v>
      </c>
      <c r="C551" s="5">
        <v>45969.875</v>
      </c>
      <c r="D551" s="14" t="s">
        <v>20</v>
      </c>
      <c r="E551" s="9">
        <v>0.05</v>
      </c>
      <c r="F551" t="str">
        <f>VLOOKUP(B551,customers!A:F,6,FALSE)</f>
        <v>Surabaya</v>
      </c>
    </row>
    <row r="552" spans="1:6" x14ac:dyDescent="0.35">
      <c r="A552" s="8" t="s">
        <v>739</v>
      </c>
      <c r="B552" s="4" t="s">
        <v>737</v>
      </c>
      <c r="C552" s="5">
        <v>45969.916666666657</v>
      </c>
      <c r="D552" s="14" t="s">
        <v>20</v>
      </c>
      <c r="E552" s="9">
        <v>0</v>
      </c>
      <c r="F552" t="str">
        <f>VLOOKUP(B552,customers!A:F,6,FALSE)</f>
        <v>Makassar</v>
      </c>
    </row>
    <row r="553" spans="1:6" x14ac:dyDescent="0.35">
      <c r="A553" s="8" t="s">
        <v>740</v>
      </c>
      <c r="B553" s="4" t="s">
        <v>741</v>
      </c>
      <c r="C553" s="5">
        <v>45970.625</v>
      </c>
      <c r="D553" s="4" t="s">
        <v>46</v>
      </c>
      <c r="E553" s="9">
        <v>0</v>
      </c>
      <c r="F553" t="str">
        <f>VLOOKUP(B553,customers!A:F,6,FALSE)</f>
        <v>Yogyakarta</v>
      </c>
    </row>
    <row r="554" spans="1:6" x14ac:dyDescent="0.35">
      <c r="A554" s="8" t="s">
        <v>742</v>
      </c>
      <c r="B554" s="4" t="s">
        <v>722</v>
      </c>
      <c r="C554" s="5">
        <v>45970.666666666657</v>
      </c>
      <c r="D554" s="14" t="s">
        <v>20</v>
      </c>
      <c r="E554" s="9">
        <v>0</v>
      </c>
      <c r="F554" t="str">
        <f>VLOOKUP(B554,customers!A:F,6,FALSE)</f>
        <v>Depok</v>
      </c>
    </row>
    <row r="555" spans="1:6" x14ac:dyDescent="0.35">
      <c r="A555" s="8" t="s">
        <v>743</v>
      </c>
      <c r="B555" s="4" t="s">
        <v>744</v>
      </c>
      <c r="C555" s="5">
        <v>45970.833333333343</v>
      </c>
      <c r="D555" s="4" t="s">
        <v>46</v>
      </c>
      <c r="E555" s="9">
        <v>0.1</v>
      </c>
      <c r="F555" t="str">
        <f>VLOOKUP(B555,customers!A:F,6,FALSE)</f>
        <v>Makassar</v>
      </c>
    </row>
    <row r="556" spans="1:6" x14ac:dyDescent="0.35">
      <c r="A556" s="8" t="s">
        <v>745</v>
      </c>
      <c r="B556" s="4" t="s">
        <v>727</v>
      </c>
      <c r="C556" s="5">
        <v>45971.583333333343</v>
      </c>
      <c r="D556" s="14" t="s">
        <v>20</v>
      </c>
      <c r="E556" s="9">
        <v>0</v>
      </c>
      <c r="F556" t="str">
        <f>VLOOKUP(B556,customers!A:F,6,FALSE)</f>
        <v>Yogyakarta</v>
      </c>
    </row>
    <row r="557" spans="1:6" x14ac:dyDescent="0.35">
      <c r="A557" s="8" t="s">
        <v>746</v>
      </c>
      <c r="B557" s="4" t="s">
        <v>23</v>
      </c>
      <c r="C557" s="5">
        <v>45971.708333333343</v>
      </c>
      <c r="D557" s="14" t="s">
        <v>20</v>
      </c>
      <c r="E557" s="9">
        <v>0</v>
      </c>
      <c r="F557" t="str">
        <f>VLOOKUP(B557,customers!A:F,6,FALSE)</f>
        <v>Bandung</v>
      </c>
    </row>
    <row r="558" spans="1:6" x14ac:dyDescent="0.35">
      <c r="A558" s="8" t="s">
        <v>747</v>
      </c>
      <c r="B558" s="4" t="s">
        <v>748</v>
      </c>
      <c r="C558" s="5">
        <v>45971.875</v>
      </c>
      <c r="D558" s="14" t="s">
        <v>20</v>
      </c>
      <c r="E558" s="9">
        <v>0</v>
      </c>
      <c r="F558" t="str">
        <f>VLOOKUP(B558,customers!A:F,6,FALSE)</f>
        <v>Semarang</v>
      </c>
    </row>
    <row r="559" spans="1:6" x14ac:dyDescent="0.35">
      <c r="A559" s="8" t="s">
        <v>749</v>
      </c>
      <c r="B559" s="4" t="s">
        <v>37</v>
      </c>
      <c r="C559" s="5">
        <v>45971.875</v>
      </c>
      <c r="D559" s="4" t="s">
        <v>28</v>
      </c>
      <c r="E559" s="9">
        <v>0</v>
      </c>
      <c r="F559" t="str">
        <f>VLOOKUP(B559,customers!A:F,6,FALSE)</f>
        <v>Palembang</v>
      </c>
    </row>
    <row r="560" spans="1:6" x14ac:dyDescent="0.35">
      <c r="A560" s="8" t="s">
        <v>750</v>
      </c>
      <c r="B560" s="4" t="s">
        <v>737</v>
      </c>
      <c r="C560" s="5">
        <v>45972.583333333343</v>
      </c>
      <c r="D560" s="14" t="s">
        <v>20</v>
      </c>
      <c r="E560" s="9">
        <v>0</v>
      </c>
      <c r="F560" t="str">
        <f>VLOOKUP(B560,customers!A:F,6,FALSE)</f>
        <v>Makassar</v>
      </c>
    </row>
    <row r="561" spans="1:6" x14ac:dyDescent="0.35">
      <c r="A561" s="8" t="s">
        <v>751</v>
      </c>
      <c r="B561" s="4" t="s">
        <v>752</v>
      </c>
      <c r="C561" s="5">
        <v>45972.625</v>
      </c>
      <c r="D561" s="14" t="s">
        <v>20</v>
      </c>
      <c r="E561" s="9">
        <v>0.1</v>
      </c>
      <c r="F561" t="str">
        <f>VLOOKUP(B561,customers!A:F,6,FALSE)</f>
        <v>Jakarta</v>
      </c>
    </row>
    <row r="562" spans="1:6" x14ac:dyDescent="0.35">
      <c r="A562" s="8" t="s">
        <v>753</v>
      </c>
      <c r="B562" s="4" t="s">
        <v>717</v>
      </c>
      <c r="C562" s="5">
        <v>45972.625</v>
      </c>
      <c r="D562" s="14" t="s">
        <v>20</v>
      </c>
      <c r="E562" s="9">
        <v>0</v>
      </c>
      <c r="F562" t="str">
        <f>VLOOKUP(B562,customers!A:F,6,FALSE)</f>
        <v>Surabaya</v>
      </c>
    </row>
    <row r="563" spans="1:6" x14ac:dyDescent="0.35">
      <c r="A563" s="8" t="s">
        <v>754</v>
      </c>
      <c r="B563" s="4" t="s">
        <v>748</v>
      </c>
      <c r="C563" s="5">
        <v>45972.708333333343</v>
      </c>
      <c r="D563" s="14" t="s">
        <v>20</v>
      </c>
      <c r="E563" s="9">
        <v>0</v>
      </c>
      <c r="F563" t="str">
        <f>VLOOKUP(B563,customers!A:F,6,FALSE)</f>
        <v>Semarang</v>
      </c>
    </row>
    <row r="564" spans="1:6" x14ac:dyDescent="0.35">
      <c r="A564" s="8" t="s">
        <v>755</v>
      </c>
      <c r="B564" s="4" t="s">
        <v>27</v>
      </c>
      <c r="C564" s="5">
        <v>45972.875</v>
      </c>
      <c r="D564" s="4" t="s">
        <v>46</v>
      </c>
      <c r="E564" s="9">
        <v>0</v>
      </c>
      <c r="F564" t="str">
        <f>VLOOKUP(B564,customers!A:F,6,FALSE)</f>
        <v>Bandung</v>
      </c>
    </row>
    <row r="565" spans="1:6" x14ac:dyDescent="0.35">
      <c r="A565" s="8" t="s">
        <v>756</v>
      </c>
      <c r="B565" s="4" t="s">
        <v>344</v>
      </c>
      <c r="C565" s="5">
        <v>45972.916666666657</v>
      </c>
      <c r="D565" s="4" t="s">
        <v>46</v>
      </c>
      <c r="E565" s="9">
        <v>0.05</v>
      </c>
      <c r="F565" t="str">
        <f>VLOOKUP(B565,customers!A:F,6,FALSE)</f>
        <v>Bandung</v>
      </c>
    </row>
    <row r="566" spans="1:6" x14ac:dyDescent="0.35">
      <c r="A566" s="8" t="s">
        <v>757</v>
      </c>
      <c r="B566" s="4" t="s">
        <v>500</v>
      </c>
      <c r="C566" s="5">
        <v>45973.541666666657</v>
      </c>
      <c r="D566" s="14" t="s">
        <v>20</v>
      </c>
      <c r="E566" s="9">
        <v>0</v>
      </c>
      <c r="F566" t="str">
        <f>VLOOKUP(B566,customers!A:F,6,FALSE)</f>
        <v>Bandung</v>
      </c>
    </row>
    <row r="567" spans="1:6" x14ac:dyDescent="0.35">
      <c r="A567" s="8" t="s">
        <v>758</v>
      </c>
      <c r="B567" s="4" t="s">
        <v>548</v>
      </c>
      <c r="C567" s="5">
        <v>45973.666666666657</v>
      </c>
      <c r="D567" s="14" t="s">
        <v>20</v>
      </c>
      <c r="E567" s="9">
        <v>0</v>
      </c>
      <c r="F567" t="str">
        <f>VLOOKUP(B567,customers!A:F,6,FALSE)</f>
        <v>Surabaya</v>
      </c>
    </row>
    <row r="568" spans="1:6" x14ac:dyDescent="0.35">
      <c r="A568" s="8" t="s">
        <v>759</v>
      </c>
      <c r="B568" s="4" t="s">
        <v>158</v>
      </c>
      <c r="C568" s="5">
        <v>45973.708333333343</v>
      </c>
      <c r="D568" s="14" t="s">
        <v>20</v>
      </c>
      <c r="E568" s="9">
        <v>0</v>
      </c>
      <c r="F568" t="str">
        <f>VLOOKUP(B568,customers!A:F,6,FALSE)</f>
        <v>Palembang</v>
      </c>
    </row>
    <row r="569" spans="1:6" x14ac:dyDescent="0.35">
      <c r="A569" s="8" t="s">
        <v>760</v>
      </c>
      <c r="B569" s="4" t="s">
        <v>601</v>
      </c>
      <c r="C569" s="5">
        <v>45973.75</v>
      </c>
      <c r="D569" s="4" t="s">
        <v>28</v>
      </c>
      <c r="E569" s="9">
        <v>0</v>
      </c>
      <c r="F569" t="str">
        <f>VLOOKUP(B569,customers!A:F,6,FALSE)</f>
        <v>Semarang</v>
      </c>
    </row>
    <row r="570" spans="1:6" x14ac:dyDescent="0.35">
      <c r="A570" s="8" t="s">
        <v>761</v>
      </c>
      <c r="B570" s="4" t="s">
        <v>722</v>
      </c>
      <c r="C570" s="5">
        <v>45973.833333333343</v>
      </c>
      <c r="D570" s="14" t="s">
        <v>20</v>
      </c>
      <c r="E570" s="9">
        <v>0.1</v>
      </c>
      <c r="F570" t="str">
        <f>VLOOKUP(B570,customers!A:F,6,FALSE)</f>
        <v>Depok</v>
      </c>
    </row>
    <row r="571" spans="1:6" x14ac:dyDescent="0.35">
      <c r="A571" s="8" t="s">
        <v>762</v>
      </c>
      <c r="B571" s="4" t="s">
        <v>744</v>
      </c>
      <c r="C571" s="5">
        <v>45973.875</v>
      </c>
      <c r="D571" s="14" t="s">
        <v>20</v>
      </c>
      <c r="E571" s="9">
        <v>0</v>
      </c>
      <c r="F571" t="str">
        <f>VLOOKUP(B571,customers!A:F,6,FALSE)</f>
        <v>Makassar</v>
      </c>
    </row>
    <row r="572" spans="1:6" x14ac:dyDescent="0.35">
      <c r="A572" s="8" t="s">
        <v>763</v>
      </c>
      <c r="B572" s="4" t="s">
        <v>208</v>
      </c>
      <c r="C572" s="5">
        <v>45974.375</v>
      </c>
      <c r="D572" s="14" t="s">
        <v>20</v>
      </c>
      <c r="E572" s="9">
        <v>0</v>
      </c>
      <c r="F572" t="str">
        <f>VLOOKUP(B572,customers!A:F,6,FALSE)</f>
        <v>Jakarta</v>
      </c>
    </row>
    <row r="573" spans="1:6" x14ac:dyDescent="0.35">
      <c r="A573" s="8" t="s">
        <v>764</v>
      </c>
      <c r="B573" s="4" t="s">
        <v>722</v>
      </c>
      <c r="C573" s="5">
        <v>45974.458333333343</v>
      </c>
      <c r="D573" s="14" t="s">
        <v>20</v>
      </c>
      <c r="E573" s="9">
        <v>0</v>
      </c>
      <c r="F573" t="str">
        <f>VLOOKUP(B573,customers!A:F,6,FALSE)</f>
        <v>Depok</v>
      </c>
    </row>
    <row r="574" spans="1:6" x14ac:dyDescent="0.35">
      <c r="A574" s="8" t="s">
        <v>765</v>
      </c>
      <c r="B574" s="4" t="s">
        <v>752</v>
      </c>
      <c r="C574" s="5">
        <v>45974.5</v>
      </c>
      <c r="D574" s="4" t="s">
        <v>46</v>
      </c>
      <c r="E574" s="9">
        <v>0</v>
      </c>
      <c r="F574" t="str">
        <f>VLOOKUP(B574,customers!A:F,6,FALSE)</f>
        <v>Jakarta</v>
      </c>
    </row>
    <row r="575" spans="1:6" x14ac:dyDescent="0.35">
      <c r="A575" s="8" t="s">
        <v>766</v>
      </c>
      <c r="B575" s="4" t="s">
        <v>513</v>
      </c>
      <c r="C575" s="5">
        <v>45974.5</v>
      </c>
      <c r="D575" s="14" t="s">
        <v>20</v>
      </c>
      <c r="E575" s="9">
        <v>0.15</v>
      </c>
      <c r="F575" t="str">
        <f>VLOOKUP(B575,customers!A:F,6,FALSE)</f>
        <v>Jakarta</v>
      </c>
    </row>
    <row r="576" spans="1:6" x14ac:dyDescent="0.35">
      <c r="A576" s="8" t="s">
        <v>767</v>
      </c>
      <c r="B576" s="4" t="s">
        <v>113</v>
      </c>
      <c r="C576" s="5">
        <v>45974.541666666657</v>
      </c>
      <c r="D576" s="14" t="s">
        <v>20</v>
      </c>
      <c r="E576" s="9">
        <v>0.05</v>
      </c>
      <c r="F576" t="str">
        <f>VLOOKUP(B576,customers!A:F,6,FALSE)</f>
        <v>Medan</v>
      </c>
    </row>
    <row r="577" spans="1:6" x14ac:dyDescent="0.35">
      <c r="A577" s="8" t="s">
        <v>768</v>
      </c>
      <c r="B577" s="4" t="s">
        <v>192</v>
      </c>
      <c r="C577" s="5">
        <v>45975.333333333343</v>
      </c>
      <c r="D577" s="4" t="s">
        <v>28</v>
      </c>
      <c r="E577" s="9">
        <v>0.1</v>
      </c>
      <c r="F577" t="str">
        <f>VLOOKUP(B577,customers!A:F,6,FALSE)</f>
        <v>Yogyakarta</v>
      </c>
    </row>
    <row r="578" spans="1:6" x14ac:dyDescent="0.35">
      <c r="A578" s="8" t="s">
        <v>769</v>
      </c>
      <c r="B578" s="4" t="s">
        <v>752</v>
      </c>
      <c r="C578" s="5">
        <v>45975.375</v>
      </c>
      <c r="D578" s="14" t="s">
        <v>20</v>
      </c>
      <c r="E578" s="9">
        <v>0</v>
      </c>
      <c r="F578" t="str">
        <f>VLOOKUP(B578,customers!A:F,6,FALSE)</f>
        <v>Jakarta</v>
      </c>
    </row>
    <row r="579" spans="1:6" x14ac:dyDescent="0.35">
      <c r="A579" s="8" t="s">
        <v>770</v>
      </c>
      <c r="B579" s="4" t="s">
        <v>484</v>
      </c>
      <c r="C579" s="5">
        <v>45975.541666666657</v>
      </c>
      <c r="D579" s="14" t="s">
        <v>20</v>
      </c>
      <c r="E579" s="9">
        <v>0.1</v>
      </c>
      <c r="F579" t="str">
        <f>VLOOKUP(B579,customers!A:F,6,FALSE)</f>
        <v>Semarang</v>
      </c>
    </row>
    <row r="580" spans="1:6" x14ac:dyDescent="0.35">
      <c r="A580" s="8" t="s">
        <v>771</v>
      </c>
      <c r="B580" s="4" t="s">
        <v>586</v>
      </c>
      <c r="C580" s="5">
        <v>45975.708333333343</v>
      </c>
      <c r="D580" s="14" t="s">
        <v>20</v>
      </c>
      <c r="E580" s="9">
        <v>0</v>
      </c>
      <c r="F580" t="str">
        <f>VLOOKUP(B580,customers!A:F,6,FALSE)</f>
        <v>Depok</v>
      </c>
    </row>
    <row r="581" spans="1:6" x14ac:dyDescent="0.35">
      <c r="A581" s="8" t="s">
        <v>772</v>
      </c>
      <c r="B581" s="4" t="s">
        <v>368</v>
      </c>
      <c r="C581" s="5">
        <v>45975.875</v>
      </c>
      <c r="D581" s="4" t="s">
        <v>46</v>
      </c>
      <c r="E581" s="9">
        <v>0.1</v>
      </c>
      <c r="F581" t="str">
        <f>VLOOKUP(B581,customers!A:F,6,FALSE)</f>
        <v>Jakarta</v>
      </c>
    </row>
    <row r="582" spans="1:6" x14ac:dyDescent="0.35">
      <c r="A582" s="8" t="s">
        <v>773</v>
      </c>
      <c r="B582" s="4" t="s">
        <v>774</v>
      </c>
      <c r="C582" s="5">
        <v>45976.333333333343</v>
      </c>
      <c r="D582" s="14" t="s">
        <v>20</v>
      </c>
      <c r="E582" s="9">
        <v>0.1</v>
      </c>
      <c r="F582" t="str">
        <f>VLOOKUP(B582,customers!A:F,6,FALSE)</f>
        <v>Palembang</v>
      </c>
    </row>
    <row r="583" spans="1:6" x14ac:dyDescent="0.35">
      <c r="A583" s="8" t="s">
        <v>775</v>
      </c>
      <c r="B583" s="4" t="s">
        <v>58</v>
      </c>
      <c r="C583" s="5">
        <v>45976.416666666657</v>
      </c>
      <c r="D583" s="4" t="s">
        <v>46</v>
      </c>
      <c r="E583" s="9">
        <v>0</v>
      </c>
      <c r="F583" t="str">
        <f>VLOOKUP(B583,customers!A:F,6,FALSE)</f>
        <v>Denpasar</v>
      </c>
    </row>
    <row r="584" spans="1:6" x14ac:dyDescent="0.35">
      <c r="A584" s="8" t="s">
        <v>776</v>
      </c>
      <c r="B584" s="4" t="s">
        <v>162</v>
      </c>
      <c r="C584" s="5">
        <v>45976.791666666657</v>
      </c>
      <c r="D584" s="4" t="s">
        <v>28</v>
      </c>
      <c r="E584" s="9">
        <v>0.05</v>
      </c>
      <c r="F584" t="str">
        <f>VLOOKUP(B584,customers!A:F,6,FALSE)</f>
        <v>Denpasar</v>
      </c>
    </row>
    <row r="585" spans="1:6" x14ac:dyDescent="0.35">
      <c r="A585" s="8" t="s">
        <v>777</v>
      </c>
      <c r="B585" s="4" t="s">
        <v>353</v>
      </c>
      <c r="C585" s="5">
        <v>45976.916666666657</v>
      </c>
      <c r="D585" s="14" t="s">
        <v>20</v>
      </c>
      <c r="E585" s="9">
        <v>0</v>
      </c>
      <c r="F585" t="str">
        <f>VLOOKUP(B585,customers!A:F,6,FALSE)</f>
        <v>Medan</v>
      </c>
    </row>
    <row r="586" spans="1:6" x14ac:dyDescent="0.35">
      <c r="A586" s="8" t="s">
        <v>778</v>
      </c>
      <c r="B586" s="4" t="s">
        <v>381</v>
      </c>
      <c r="C586" s="5">
        <v>45977.541666666657</v>
      </c>
      <c r="D586" s="4" t="s">
        <v>28</v>
      </c>
      <c r="E586" s="9">
        <v>0.1</v>
      </c>
      <c r="F586" t="str">
        <f>VLOOKUP(B586,customers!A:F,6,FALSE)</f>
        <v>Palembang</v>
      </c>
    </row>
    <row r="587" spans="1:6" x14ac:dyDescent="0.35">
      <c r="A587" s="8" t="s">
        <v>779</v>
      </c>
      <c r="B587" s="4" t="s">
        <v>128</v>
      </c>
      <c r="C587" s="5">
        <v>45977.875</v>
      </c>
      <c r="D587" s="14" t="s">
        <v>20</v>
      </c>
      <c r="E587" s="9">
        <v>0</v>
      </c>
      <c r="F587" t="str">
        <f>VLOOKUP(B587,customers!A:F,6,FALSE)</f>
        <v>Yogyakarta</v>
      </c>
    </row>
    <row r="588" spans="1:6" x14ac:dyDescent="0.35">
      <c r="A588" s="8" t="s">
        <v>780</v>
      </c>
      <c r="B588" s="4" t="s">
        <v>366</v>
      </c>
      <c r="C588" s="5">
        <v>45978.666666666657</v>
      </c>
      <c r="D588" s="14" t="s">
        <v>20</v>
      </c>
      <c r="E588" s="9">
        <v>0</v>
      </c>
      <c r="F588" t="str">
        <f>VLOOKUP(B588,customers!A:F,6,FALSE)</f>
        <v>Jakarta</v>
      </c>
    </row>
    <row r="589" spans="1:6" x14ac:dyDescent="0.35">
      <c r="A589" s="8" t="s">
        <v>781</v>
      </c>
      <c r="B589" s="4" t="s">
        <v>744</v>
      </c>
      <c r="C589" s="5">
        <v>45978.708333333343</v>
      </c>
      <c r="D589" s="14" t="s">
        <v>20</v>
      </c>
      <c r="E589" s="9">
        <v>0.1</v>
      </c>
      <c r="F589" t="str">
        <f>VLOOKUP(B589,customers!A:F,6,FALSE)</f>
        <v>Makassar</v>
      </c>
    </row>
    <row r="590" spans="1:6" x14ac:dyDescent="0.35">
      <c r="A590" s="8" t="s">
        <v>782</v>
      </c>
      <c r="B590" s="4" t="s">
        <v>271</v>
      </c>
      <c r="C590" s="5">
        <v>45978.708333333343</v>
      </c>
      <c r="D590" s="14" t="s">
        <v>20</v>
      </c>
      <c r="E590" s="9">
        <v>0.05</v>
      </c>
      <c r="F590" t="str">
        <f>VLOOKUP(B590,customers!A:F,6,FALSE)</f>
        <v>Surabaya</v>
      </c>
    </row>
    <row r="591" spans="1:6" x14ac:dyDescent="0.35">
      <c r="A591" s="8" t="s">
        <v>783</v>
      </c>
      <c r="B591" s="4" t="s">
        <v>784</v>
      </c>
      <c r="C591" s="5">
        <v>45978.791666666657</v>
      </c>
      <c r="D591" s="4" t="s">
        <v>28</v>
      </c>
      <c r="E591" s="9">
        <v>0.1</v>
      </c>
      <c r="F591" t="str">
        <f>VLOOKUP(B591,customers!A:F,6,FALSE)</f>
        <v>Bandung</v>
      </c>
    </row>
    <row r="592" spans="1:6" x14ac:dyDescent="0.35">
      <c r="A592" s="8" t="s">
        <v>785</v>
      </c>
      <c r="B592" s="4" t="s">
        <v>389</v>
      </c>
      <c r="C592" s="5">
        <v>45978.833333333343</v>
      </c>
      <c r="D592" s="4" t="s">
        <v>46</v>
      </c>
      <c r="E592" s="9">
        <v>0</v>
      </c>
      <c r="F592" t="str">
        <f>VLOOKUP(B592,customers!A:F,6,FALSE)</f>
        <v>Semarang</v>
      </c>
    </row>
    <row r="593" spans="1:6" x14ac:dyDescent="0.35">
      <c r="A593" s="8" t="s">
        <v>786</v>
      </c>
      <c r="B593" s="4" t="s">
        <v>573</v>
      </c>
      <c r="C593" s="5">
        <v>45978.916666666657</v>
      </c>
      <c r="D593" s="4" t="s">
        <v>28</v>
      </c>
      <c r="E593" s="9">
        <v>0</v>
      </c>
      <c r="F593" t="str">
        <f>VLOOKUP(B593,customers!A:F,6,FALSE)</f>
        <v>Semarang</v>
      </c>
    </row>
    <row r="594" spans="1:6" x14ac:dyDescent="0.35">
      <c r="A594" s="8" t="s">
        <v>787</v>
      </c>
      <c r="B594" s="4" t="s">
        <v>752</v>
      </c>
      <c r="C594" s="5">
        <v>45979.333333333343</v>
      </c>
      <c r="D594" s="4" t="s">
        <v>46</v>
      </c>
      <c r="E594" s="9">
        <v>0</v>
      </c>
      <c r="F594" t="str">
        <f>VLOOKUP(B594,customers!A:F,6,FALSE)</f>
        <v>Jakarta</v>
      </c>
    </row>
    <row r="595" spans="1:6" x14ac:dyDescent="0.35">
      <c r="A595" s="8" t="s">
        <v>788</v>
      </c>
      <c r="B595" s="4" t="s">
        <v>789</v>
      </c>
      <c r="C595" s="5">
        <v>45979.416666666657</v>
      </c>
      <c r="D595" s="4" t="s">
        <v>46</v>
      </c>
      <c r="E595" s="9">
        <v>0.05</v>
      </c>
      <c r="F595" t="str">
        <f>VLOOKUP(B595,customers!A:F,6,FALSE)</f>
        <v>Surabaya</v>
      </c>
    </row>
    <row r="596" spans="1:6" x14ac:dyDescent="0.35">
      <c r="A596" s="8" t="s">
        <v>790</v>
      </c>
      <c r="B596" s="4" t="s">
        <v>477</v>
      </c>
      <c r="C596" s="5">
        <v>45979.5</v>
      </c>
      <c r="D596" s="14" t="s">
        <v>20</v>
      </c>
      <c r="E596" s="9">
        <v>0.05</v>
      </c>
      <c r="F596" t="str">
        <f>VLOOKUP(B596,customers!A:F,6,FALSE)</f>
        <v>Palembang</v>
      </c>
    </row>
    <row r="597" spans="1:6" x14ac:dyDescent="0.35">
      <c r="A597" s="8" t="s">
        <v>791</v>
      </c>
      <c r="B597" s="4" t="s">
        <v>789</v>
      </c>
      <c r="C597" s="5">
        <v>45980.375</v>
      </c>
      <c r="D597" s="14" t="s">
        <v>20</v>
      </c>
      <c r="E597" s="9">
        <v>0</v>
      </c>
      <c r="F597" t="str">
        <f>VLOOKUP(B597,customers!A:F,6,FALSE)</f>
        <v>Surabaya</v>
      </c>
    </row>
    <row r="598" spans="1:6" x14ac:dyDescent="0.35">
      <c r="A598" s="8" t="s">
        <v>792</v>
      </c>
      <c r="B598" s="4" t="s">
        <v>67</v>
      </c>
      <c r="C598" s="5">
        <v>45980.416666666657</v>
      </c>
      <c r="D598" s="14" t="s">
        <v>20</v>
      </c>
      <c r="E598" s="9">
        <v>0.15</v>
      </c>
      <c r="F598" t="str">
        <f>VLOOKUP(B598,customers!A:F,6,FALSE)</f>
        <v>Palembang</v>
      </c>
    </row>
    <row r="599" spans="1:6" x14ac:dyDescent="0.35">
      <c r="A599" s="8" t="s">
        <v>793</v>
      </c>
      <c r="B599" s="4" t="s">
        <v>794</v>
      </c>
      <c r="C599" s="5">
        <v>45980.75</v>
      </c>
      <c r="D599" s="14" t="s">
        <v>20</v>
      </c>
      <c r="E599" s="9">
        <v>0.05</v>
      </c>
      <c r="F599" t="str">
        <f>VLOOKUP(B599,customers!A:F,6,FALSE)</f>
        <v>Palembang</v>
      </c>
    </row>
    <row r="600" spans="1:6" x14ac:dyDescent="0.35">
      <c r="A600" s="8" t="s">
        <v>795</v>
      </c>
      <c r="B600" s="4" t="s">
        <v>796</v>
      </c>
      <c r="C600" s="5">
        <v>45980.75</v>
      </c>
      <c r="D600" s="14" t="s">
        <v>20</v>
      </c>
      <c r="E600" s="9">
        <v>0</v>
      </c>
      <c r="F600" t="str">
        <f>VLOOKUP(B600,customers!A:F,6,FALSE)</f>
        <v>Jakarta</v>
      </c>
    </row>
    <row r="601" spans="1:6" x14ac:dyDescent="0.35">
      <c r="A601" s="8" t="s">
        <v>797</v>
      </c>
      <c r="B601" s="4" t="s">
        <v>540</v>
      </c>
      <c r="C601" s="5">
        <v>45980.791666666657</v>
      </c>
      <c r="D601" s="4" t="s">
        <v>28</v>
      </c>
      <c r="E601" s="9">
        <v>0.1</v>
      </c>
      <c r="F601" t="str">
        <f>VLOOKUP(B601,customers!A:F,6,FALSE)</f>
        <v>Jakarta</v>
      </c>
    </row>
    <row r="602" spans="1:6" x14ac:dyDescent="0.35">
      <c r="A602" s="8" t="s">
        <v>798</v>
      </c>
      <c r="B602" s="4" t="s">
        <v>799</v>
      </c>
      <c r="C602" s="5">
        <v>45981.416666666657</v>
      </c>
      <c r="D602" s="14" t="s">
        <v>20</v>
      </c>
      <c r="E602" s="9">
        <v>0</v>
      </c>
      <c r="F602" t="str">
        <f>VLOOKUP(B602,customers!A:F,6,FALSE)</f>
        <v>Jakarta</v>
      </c>
    </row>
    <row r="603" spans="1:6" x14ac:dyDescent="0.35">
      <c r="A603" s="8" t="s">
        <v>800</v>
      </c>
      <c r="B603" s="4" t="s">
        <v>595</v>
      </c>
      <c r="C603" s="5">
        <v>45981.5</v>
      </c>
      <c r="D603" s="14" t="s">
        <v>20</v>
      </c>
      <c r="E603" s="9">
        <v>0</v>
      </c>
      <c r="F603" t="str">
        <f>VLOOKUP(B603,customers!A:F,6,FALSE)</f>
        <v>Jakarta</v>
      </c>
    </row>
    <row r="604" spans="1:6" x14ac:dyDescent="0.35">
      <c r="A604" s="8" t="s">
        <v>801</v>
      </c>
      <c r="B604" s="4" t="s">
        <v>802</v>
      </c>
      <c r="C604" s="5">
        <v>45981.583333333343</v>
      </c>
      <c r="D604" s="14" t="s">
        <v>20</v>
      </c>
      <c r="E604" s="9">
        <v>0.1</v>
      </c>
      <c r="F604" t="str">
        <f>VLOOKUP(B604,customers!A:F,6,FALSE)</f>
        <v>Medan</v>
      </c>
    </row>
    <row r="605" spans="1:6" x14ac:dyDescent="0.35">
      <c r="A605" s="8" t="s">
        <v>803</v>
      </c>
      <c r="B605" s="4" t="s">
        <v>85</v>
      </c>
      <c r="C605" s="5">
        <v>45981.583333333343</v>
      </c>
      <c r="D605" s="14" t="s">
        <v>20</v>
      </c>
      <c r="E605" s="9">
        <v>0</v>
      </c>
      <c r="F605" t="str">
        <f>VLOOKUP(B605,customers!A:F,6,FALSE)</f>
        <v>Denpasar</v>
      </c>
    </row>
    <row r="606" spans="1:6" x14ac:dyDescent="0.35">
      <c r="A606" s="8" t="s">
        <v>804</v>
      </c>
      <c r="B606" s="4" t="s">
        <v>27</v>
      </c>
      <c r="C606" s="5">
        <v>45981.75</v>
      </c>
      <c r="D606" s="14" t="s">
        <v>20</v>
      </c>
      <c r="E606" s="9">
        <v>0.2</v>
      </c>
      <c r="F606" t="str">
        <f>VLOOKUP(B606,customers!A:F,6,FALSE)</f>
        <v>Bandung</v>
      </c>
    </row>
    <row r="607" spans="1:6" x14ac:dyDescent="0.35">
      <c r="A607" s="8" t="s">
        <v>805</v>
      </c>
      <c r="B607" s="4" t="s">
        <v>789</v>
      </c>
      <c r="C607" s="5">
        <v>45981.75</v>
      </c>
      <c r="D607" s="4" t="s">
        <v>46</v>
      </c>
      <c r="E607" s="9">
        <v>0.1</v>
      </c>
      <c r="F607" t="str">
        <f>VLOOKUP(B607,customers!A:F,6,FALSE)</f>
        <v>Surabaya</v>
      </c>
    </row>
    <row r="608" spans="1:6" x14ac:dyDescent="0.35">
      <c r="A608" s="8" t="s">
        <v>806</v>
      </c>
      <c r="B608" s="4" t="s">
        <v>631</v>
      </c>
      <c r="C608" s="5">
        <v>45981.875</v>
      </c>
      <c r="D608" s="14" t="s">
        <v>20</v>
      </c>
      <c r="E608" s="9">
        <v>0</v>
      </c>
      <c r="F608" t="str">
        <f>VLOOKUP(B608,customers!A:F,6,FALSE)</f>
        <v>Jakarta</v>
      </c>
    </row>
    <row r="609" spans="1:6" x14ac:dyDescent="0.35">
      <c r="A609" s="8" t="s">
        <v>807</v>
      </c>
      <c r="B609" s="4" t="s">
        <v>146</v>
      </c>
      <c r="C609" s="5">
        <v>45982.916666666657</v>
      </c>
      <c r="D609" s="14" t="s">
        <v>20</v>
      </c>
      <c r="E609" s="9">
        <v>0</v>
      </c>
      <c r="F609" t="str">
        <f>VLOOKUP(B609,customers!A:F,6,FALSE)</f>
        <v>Bandung</v>
      </c>
    </row>
    <row r="610" spans="1:6" x14ac:dyDescent="0.35">
      <c r="A610" s="8" t="s">
        <v>808</v>
      </c>
      <c r="B610" s="4" t="s">
        <v>27</v>
      </c>
      <c r="C610" s="5">
        <v>45983.458333333343</v>
      </c>
      <c r="D610" s="14" t="s">
        <v>20</v>
      </c>
      <c r="E610" s="9">
        <v>0</v>
      </c>
      <c r="F610" t="str">
        <f>VLOOKUP(B610,customers!A:F,6,FALSE)</f>
        <v>Bandung</v>
      </c>
    </row>
    <row r="611" spans="1:6" x14ac:dyDescent="0.35">
      <c r="A611" s="8" t="s">
        <v>809</v>
      </c>
      <c r="B611" s="4" t="s">
        <v>439</v>
      </c>
      <c r="C611" s="5">
        <v>45983.708333333343</v>
      </c>
      <c r="D611" s="14" t="s">
        <v>20</v>
      </c>
      <c r="E611" s="9">
        <v>0.2</v>
      </c>
      <c r="F611" t="str">
        <f>VLOOKUP(B611,customers!A:F,6,FALSE)</f>
        <v>Jakarta</v>
      </c>
    </row>
    <row r="612" spans="1:6" x14ac:dyDescent="0.35">
      <c r="A612" s="8" t="s">
        <v>810</v>
      </c>
      <c r="B612" s="4" t="s">
        <v>475</v>
      </c>
      <c r="C612" s="5">
        <v>45983.75</v>
      </c>
      <c r="D612" s="14" t="s">
        <v>20</v>
      </c>
      <c r="E612" s="9">
        <v>0.15</v>
      </c>
      <c r="F612" t="str">
        <f>VLOOKUP(B612,customers!A:F,6,FALSE)</f>
        <v>Jakarta</v>
      </c>
    </row>
    <row r="613" spans="1:6" x14ac:dyDescent="0.35">
      <c r="A613" s="8" t="s">
        <v>811</v>
      </c>
      <c r="B613" s="4" t="s">
        <v>168</v>
      </c>
      <c r="C613" s="5">
        <v>45983.833333333343</v>
      </c>
      <c r="D613" s="14" t="s">
        <v>20</v>
      </c>
      <c r="E613" s="9">
        <v>0.1</v>
      </c>
      <c r="F613" t="str">
        <f>VLOOKUP(B613,customers!A:F,6,FALSE)</f>
        <v>Surabaya</v>
      </c>
    </row>
    <row r="614" spans="1:6" x14ac:dyDescent="0.35">
      <c r="A614" s="8" t="s">
        <v>812</v>
      </c>
      <c r="B614" s="4" t="s">
        <v>789</v>
      </c>
      <c r="C614" s="5">
        <v>45983.833333333343</v>
      </c>
      <c r="D614" s="14" t="s">
        <v>20</v>
      </c>
      <c r="E614" s="9">
        <v>0</v>
      </c>
      <c r="F614" t="str">
        <f>VLOOKUP(B614,customers!A:F,6,FALSE)</f>
        <v>Surabaya</v>
      </c>
    </row>
    <row r="615" spans="1:6" x14ac:dyDescent="0.35">
      <c r="A615" s="8" t="s">
        <v>813</v>
      </c>
      <c r="B615" s="4" t="s">
        <v>403</v>
      </c>
      <c r="C615" s="5">
        <v>45984.416666666657</v>
      </c>
      <c r="D615" s="14" t="s">
        <v>20</v>
      </c>
      <c r="E615" s="9">
        <v>0</v>
      </c>
      <c r="F615" t="str">
        <f>VLOOKUP(B615,customers!A:F,6,FALSE)</f>
        <v>Jakarta</v>
      </c>
    </row>
    <row r="616" spans="1:6" x14ac:dyDescent="0.35">
      <c r="A616" s="8" t="s">
        <v>814</v>
      </c>
      <c r="B616" s="4" t="s">
        <v>178</v>
      </c>
      <c r="C616" s="5">
        <v>45984.458333333343</v>
      </c>
      <c r="D616" s="4" t="s">
        <v>28</v>
      </c>
      <c r="E616" s="9">
        <v>0</v>
      </c>
      <c r="F616" t="str">
        <f>VLOOKUP(B616,customers!A:F,6,FALSE)</f>
        <v>Yogyakarta</v>
      </c>
    </row>
    <row r="617" spans="1:6" x14ac:dyDescent="0.35">
      <c r="A617" s="8" t="s">
        <v>815</v>
      </c>
      <c r="B617" s="4" t="s">
        <v>789</v>
      </c>
      <c r="C617" s="5">
        <v>45984.5</v>
      </c>
      <c r="D617" s="14" t="s">
        <v>20</v>
      </c>
      <c r="E617" s="9">
        <v>0</v>
      </c>
      <c r="F617" t="str">
        <f>VLOOKUP(B617,customers!A:F,6,FALSE)</f>
        <v>Surabaya</v>
      </c>
    </row>
    <row r="618" spans="1:6" x14ac:dyDescent="0.35">
      <c r="A618" s="8" t="s">
        <v>816</v>
      </c>
      <c r="B618" s="4" t="s">
        <v>484</v>
      </c>
      <c r="C618" s="5">
        <v>45984.875</v>
      </c>
      <c r="D618" s="4" t="s">
        <v>28</v>
      </c>
      <c r="E618" s="9">
        <v>0.2</v>
      </c>
      <c r="F618" t="str">
        <f>VLOOKUP(B618,customers!A:F,6,FALSE)</f>
        <v>Semarang</v>
      </c>
    </row>
    <row r="619" spans="1:6" x14ac:dyDescent="0.35">
      <c r="A619" s="8" t="s">
        <v>817</v>
      </c>
      <c r="B619" s="4" t="s">
        <v>392</v>
      </c>
      <c r="C619" s="5">
        <v>45985.416666666657</v>
      </c>
      <c r="D619" s="14" t="s">
        <v>20</v>
      </c>
      <c r="E619" s="9">
        <v>0</v>
      </c>
      <c r="F619" t="str">
        <f>VLOOKUP(B619,customers!A:F,6,FALSE)</f>
        <v>Makassar</v>
      </c>
    </row>
    <row r="620" spans="1:6" x14ac:dyDescent="0.35">
      <c r="A620" s="8" t="s">
        <v>818</v>
      </c>
      <c r="B620" s="4" t="s">
        <v>126</v>
      </c>
      <c r="C620" s="5">
        <v>45985.541666666657</v>
      </c>
      <c r="D620" s="14" t="s">
        <v>20</v>
      </c>
      <c r="E620" s="9">
        <v>0.2</v>
      </c>
      <c r="F620" t="str">
        <f>VLOOKUP(B620,customers!A:F,6,FALSE)</f>
        <v>Yogyakarta</v>
      </c>
    </row>
    <row r="621" spans="1:6" x14ac:dyDescent="0.35">
      <c r="A621" s="8" t="s">
        <v>819</v>
      </c>
      <c r="B621" s="4" t="s">
        <v>789</v>
      </c>
      <c r="C621" s="5">
        <v>45985.791666666657</v>
      </c>
      <c r="D621" s="14" t="s">
        <v>20</v>
      </c>
      <c r="E621" s="9">
        <v>0</v>
      </c>
      <c r="F621" t="str">
        <f>VLOOKUP(B621,customers!A:F,6,FALSE)</f>
        <v>Surabaya</v>
      </c>
    </row>
    <row r="622" spans="1:6" x14ac:dyDescent="0.35">
      <c r="A622" s="8" t="s">
        <v>820</v>
      </c>
      <c r="B622" s="4" t="s">
        <v>535</v>
      </c>
      <c r="C622" s="5">
        <v>45985.791666666657</v>
      </c>
      <c r="D622" s="4" t="s">
        <v>46</v>
      </c>
      <c r="E622" s="9">
        <v>0</v>
      </c>
      <c r="F622" t="str">
        <f>VLOOKUP(B622,customers!A:F,6,FALSE)</f>
        <v>Yogyakarta</v>
      </c>
    </row>
    <row r="623" spans="1:6" x14ac:dyDescent="0.35">
      <c r="A623" s="8" t="s">
        <v>821</v>
      </c>
      <c r="B623" s="4" t="s">
        <v>420</v>
      </c>
      <c r="C623" s="5">
        <v>45985.875</v>
      </c>
      <c r="D623" s="14" t="s">
        <v>20</v>
      </c>
      <c r="E623" s="9">
        <v>0</v>
      </c>
      <c r="F623" t="str">
        <f>VLOOKUP(B623,customers!A:F,6,FALSE)</f>
        <v>Bandung</v>
      </c>
    </row>
    <row r="624" spans="1:6" x14ac:dyDescent="0.35">
      <c r="A624" s="8" t="s">
        <v>822</v>
      </c>
      <c r="B624" s="4" t="s">
        <v>741</v>
      </c>
      <c r="C624" s="5">
        <v>45986.333333333343</v>
      </c>
      <c r="D624" s="14" t="s">
        <v>20</v>
      </c>
      <c r="E624" s="9">
        <v>0</v>
      </c>
      <c r="F624" t="str">
        <f>VLOOKUP(B624,customers!A:F,6,FALSE)</f>
        <v>Yogyakarta</v>
      </c>
    </row>
    <row r="625" spans="1:6" x14ac:dyDescent="0.35">
      <c r="A625" s="8" t="s">
        <v>823</v>
      </c>
      <c r="B625" s="4" t="s">
        <v>406</v>
      </c>
      <c r="C625" s="5">
        <v>45986.708333333343</v>
      </c>
      <c r="D625" s="14" t="s">
        <v>20</v>
      </c>
      <c r="E625" s="9">
        <v>0</v>
      </c>
      <c r="F625" t="str">
        <f>VLOOKUP(B625,customers!A:F,6,FALSE)</f>
        <v>Depok</v>
      </c>
    </row>
    <row r="626" spans="1:6" x14ac:dyDescent="0.35">
      <c r="A626" s="8" t="s">
        <v>824</v>
      </c>
      <c r="B626" s="4" t="s">
        <v>158</v>
      </c>
      <c r="C626" s="5">
        <v>45987.333333333343</v>
      </c>
      <c r="D626" s="14" t="s">
        <v>20</v>
      </c>
      <c r="E626" s="9">
        <v>0</v>
      </c>
      <c r="F626" t="str">
        <f>VLOOKUP(B626,customers!A:F,6,FALSE)</f>
        <v>Palembang</v>
      </c>
    </row>
    <row r="627" spans="1:6" x14ac:dyDescent="0.35">
      <c r="A627" s="8" t="s">
        <v>825</v>
      </c>
      <c r="B627" s="4" t="s">
        <v>717</v>
      </c>
      <c r="C627" s="5">
        <v>45987.541666666657</v>
      </c>
      <c r="D627" s="4" t="s">
        <v>46</v>
      </c>
      <c r="E627" s="9">
        <v>0</v>
      </c>
      <c r="F627" t="str">
        <f>VLOOKUP(B627,customers!A:F,6,FALSE)</f>
        <v>Surabaya</v>
      </c>
    </row>
    <row r="628" spans="1:6" x14ac:dyDescent="0.35">
      <c r="A628" s="8" t="s">
        <v>826</v>
      </c>
      <c r="B628" s="4" t="s">
        <v>398</v>
      </c>
      <c r="C628" s="5">
        <v>45987.666666666657</v>
      </c>
      <c r="D628" s="14" t="s">
        <v>20</v>
      </c>
      <c r="E628" s="9">
        <v>0</v>
      </c>
      <c r="F628" t="str">
        <f>VLOOKUP(B628,customers!A:F,6,FALSE)</f>
        <v>Medan</v>
      </c>
    </row>
    <row r="629" spans="1:6" x14ac:dyDescent="0.35">
      <c r="A629" s="8" t="s">
        <v>827</v>
      </c>
      <c r="B629" s="4" t="s">
        <v>535</v>
      </c>
      <c r="C629" s="5">
        <v>45987.75</v>
      </c>
      <c r="D629" s="14" t="s">
        <v>20</v>
      </c>
      <c r="E629" s="9">
        <v>0.05</v>
      </c>
      <c r="F629" t="str">
        <f>VLOOKUP(B629,customers!A:F,6,FALSE)</f>
        <v>Yogyakarta</v>
      </c>
    </row>
    <row r="630" spans="1:6" x14ac:dyDescent="0.35">
      <c r="A630" s="8" t="s">
        <v>828</v>
      </c>
      <c r="B630" s="4" t="s">
        <v>111</v>
      </c>
      <c r="C630" s="5">
        <v>45987.875</v>
      </c>
      <c r="D630" s="14" t="s">
        <v>20</v>
      </c>
      <c r="E630" s="9">
        <v>0</v>
      </c>
      <c r="F630" t="str">
        <f>VLOOKUP(B630,customers!A:F,6,FALSE)</f>
        <v>Depok</v>
      </c>
    </row>
    <row r="631" spans="1:6" x14ac:dyDescent="0.35">
      <c r="A631" s="8" t="s">
        <v>829</v>
      </c>
      <c r="B631" s="4" t="s">
        <v>784</v>
      </c>
      <c r="C631" s="5">
        <v>45987.875</v>
      </c>
      <c r="D631" s="14" t="s">
        <v>20</v>
      </c>
      <c r="E631" s="9">
        <v>0.05</v>
      </c>
      <c r="F631" t="str">
        <f>VLOOKUP(B631,customers!A:F,6,FALSE)</f>
        <v>Bandung</v>
      </c>
    </row>
    <row r="632" spans="1:6" x14ac:dyDescent="0.35">
      <c r="A632" s="8" t="s">
        <v>830</v>
      </c>
      <c r="B632" s="4" t="s">
        <v>44</v>
      </c>
      <c r="C632" s="5">
        <v>45988.458333333343</v>
      </c>
      <c r="D632" s="4" t="s">
        <v>28</v>
      </c>
      <c r="E632" s="9">
        <v>0.05</v>
      </c>
      <c r="F632" t="str">
        <f>VLOOKUP(B632,customers!A:F,6,FALSE)</f>
        <v>Medan</v>
      </c>
    </row>
    <row r="633" spans="1:6" x14ac:dyDescent="0.35">
      <c r="A633" s="8" t="s">
        <v>831</v>
      </c>
      <c r="B633" s="4" t="s">
        <v>784</v>
      </c>
      <c r="C633" s="5">
        <v>45988.583333333343</v>
      </c>
      <c r="D633" s="4" t="s">
        <v>28</v>
      </c>
      <c r="E633" s="9">
        <v>0</v>
      </c>
      <c r="F633" t="str">
        <f>VLOOKUP(B633,customers!A:F,6,FALSE)</f>
        <v>Bandung</v>
      </c>
    </row>
    <row r="634" spans="1:6" x14ac:dyDescent="0.35">
      <c r="A634" s="8" t="s">
        <v>832</v>
      </c>
      <c r="B634" s="4" t="s">
        <v>85</v>
      </c>
      <c r="C634" s="5">
        <v>45988.75</v>
      </c>
      <c r="D634" s="14" t="s">
        <v>20</v>
      </c>
      <c r="E634" s="9">
        <v>0.05</v>
      </c>
      <c r="F634" t="str">
        <f>VLOOKUP(B634,customers!A:F,6,FALSE)</f>
        <v>Denpasar</v>
      </c>
    </row>
    <row r="635" spans="1:6" x14ac:dyDescent="0.35">
      <c r="A635" s="8" t="s">
        <v>833</v>
      </c>
      <c r="B635" s="4" t="s">
        <v>332</v>
      </c>
      <c r="C635" s="5">
        <v>45989.541666666657</v>
      </c>
      <c r="D635" s="14" t="s">
        <v>20</v>
      </c>
      <c r="E635" s="9">
        <v>0</v>
      </c>
      <c r="F635" t="str">
        <f>VLOOKUP(B635,customers!A:F,6,FALSE)</f>
        <v>Denpasar</v>
      </c>
    </row>
    <row r="636" spans="1:6" x14ac:dyDescent="0.35">
      <c r="A636" s="8" t="s">
        <v>834</v>
      </c>
      <c r="B636" s="4" t="s">
        <v>835</v>
      </c>
      <c r="C636" s="5">
        <v>45989.541666666657</v>
      </c>
      <c r="D636" s="4" t="s">
        <v>28</v>
      </c>
      <c r="E636" s="9">
        <v>0</v>
      </c>
      <c r="F636" t="str">
        <f>VLOOKUP(B636,customers!A:F,6,FALSE)</f>
        <v>Jakarta</v>
      </c>
    </row>
    <row r="637" spans="1:6" x14ac:dyDescent="0.35">
      <c r="A637" s="8" t="s">
        <v>836</v>
      </c>
      <c r="B637" s="4" t="s">
        <v>789</v>
      </c>
      <c r="C637" s="5">
        <v>45989.75</v>
      </c>
      <c r="D637" s="4" t="s">
        <v>46</v>
      </c>
      <c r="E637" s="9">
        <v>0</v>
      </c>
      <c r="F637" t="str">
        <f>VLOOKUP(B637,customers!A:F,6,FALSE)</f>
        <v>Surabaya</v>
      </c>
    </row>
    <row r="638" spans="1:6" x14ac:dyDescent="0.35">
      <c r="A638" s="8" t="s">
        <v>837</v>
      </c>
      <c r="B638" s="4" t="s">
        <v>479</v>
      </c>
      <c r="C638" s="5">
        <v>45989.916666666657</v>
      </c>
      <c r="D638" s="4" t="s">
        <v>46</v>
      </c>
      <c r="E638" s="9">
        <v>0</v>
      </c>
      <c r="F638" t="str">
        <f>VLOOKUP(B638,customers!A:F,6,FALSE)</f>
        <v>Makassar</v>
      </c>
    </row>
    <row r="639" spans="1:6" x14ac:dyDescent="0.35">
      <c r="A639" s="8" t="s">
        <v>838</v>
      </c>
      <c r="B639" s="4" t="s">
        <v>140</v>
      </c>
      <c r="C639" s="5">
        <v>45992.333333333343</v>
      </c>
      <c r="D639" s="4" t="s">
        <v>46</v>
      </c>
      <c r="E639" s="9">
        <v>0.05</v>
      </c>
      <c r="F639" t="str">
        <f>VLOOKUP(B639,customers!A:F,6,FALSE)</f>
        <v>Surabaya</v>
      </c>
    </row>
    <row r="640" spans="1:6" x14ac:dyDescent="0.35">
      <c r="A640" s="8" t="s">
        <v>839</v>
      </c>
      <c r="B640" s="4" t="s">
        <v>27</v>
      </c>
      <c r="C640" s="5">
        <v>45992.375</v>
      </c>
      <c r="D640" s="4" t="s">
        <v>46</v>
      </c>
      <c r="E640" s="9">
        <v>0.05</v>
      </c>
      <c r="F640" t="str">
        <f>VLOOKUP(B640,customers!A:F,6,FALSE)</f>
        <v>Bandung</v>
      </c>
    </row>
    <row r="641" spans="1:6" x14ac:dyDescent="0.35">
      <c r="A641" s="8" t="s">
        <v>840</v>
      </c>
      <c r="B641" s="4" t="s">
        <v>30</v>
      </c>
      <c r="C641" s="5">
        <v>45992.375</v>
      </c>
      <c r="D641" s="4" t="s">
        <v>46</v>
      </c>
      <c r="E641" s="9">
        <v>0</v>
      </c>
      <c r="F641" t="str">
        <f>VLOOKUP(B641,customers!A:F,6,FALSE)</f>
        <v>Surabaya</v>
      </c>
    </row>
    <row r="642" spans="1:6" x14ac:dyDescent="0.35">
      <c r="A642" s="8" t="s">
        <v>841</v>
      </c>
      <c r="B642" s="4" t="s">
        <v>344</v>
      </c>
      <c r="C642" s="5">
        <v>45992.375</v>
      </c>
      <c r="D642" s="14" t="s">
        <v>20</v>
      </c>
      <c r="E642" s="9">
        <v>0</v>
      </c>
      <c r="F642" t="str">
        <f>VLOOKUP(B642,customers!A:F,6,FALSE)</f>
        <v>Bandung</v>
      </c>
    </row>
    <row r="643" spans="1:6" x14ac:dyDescent="0.35">
      <c r="A643" s="8" t="s">
        <v>842</v>
      </c>
      <c r="B643" s="4" t="s">
        <v>39</v>
      </c>
      <c r="C643" s="5">
        <v>45992.416666666657</v>
      </c>
      <c r="D643" s="14" t="s">
        <v>20</v>
      </c>
      <c r="E643" s="9">
        <v>0</v>
      </c>
      <c r="F643" t="str">
        <f>VLOOKUP(B643,customers!A:F,6,FALSE)</f>
        <v>Bandung</v>
      </c>
    </row>
    <row r="644" spans="1:6" x14ac:dyDescent="0.35">
      <c r="A644" s="8" t="s">
        <v>843</v>
      </c>
      <c r="B644" s="4" t="s">
        <v>675</v>
      </c>
      <c r="C644" s="5">
        <v>45992.583333333343</v>
      </c>
      <c r="D644" s="4" t="s">
        <v>28</v>
      </c>
      <c r="E644" s="9">
        <v>0</v>
      </c>
      <c r="F644" t="str">
        <f>VLOOKUP(B644,customers!A:F,6,FALSE)</f>
        <v>Medan</v>
      </c>
    </row>
    <row r="645" spans="1:6" x14ac:dyDescent="0.35">
      <c r="A645" s="8" t="s">
        <v>844</v>
      </c>
      <c r="B645" s="4" t="s">
        <v>835</v>
      </c>
      <c r="C645" s="5">
        <v>45992.75</v>
      </c>
      <c r="D645" s="4" t="s">
        <v>46</v>
      </c>
      <c r="E645" s="9">
        <v>0</v>
      </c>
      <c r="F645" t="str">
        <f>VLOOKUP(B645,customers!A:F,6,FALSE)</f>
        <v>Jakarta</v>
      </c>
    </row>
    <row r="646" spans="1:6" x14ac:dyDescent="0.35">
      <c r="A646" s="8" t="s">
        <v>845</v>
      </c>
      <c r="B646" s="4" t="s">
        <v>83</v>
      </c>
      <c r="C646" s="5">
        <v>45993.541666666657</v>
      </c>
      <c r="D646" s="14" t="s">
        <v>20</v>
      </c>
      <c r="E646" s="9">
        <v>0.2</v>
      </c>
      <c r="F646" t="str">
        <f>VLOOKUP(B646,customers!A:F,6,FALSE)</f>
        <v>Surabaya</v>
      </c>
    </row>
    <row r="647" spans="1:6" x14ac:dyDescent="0.35">
      <c r="A647" s="8" t="s">
        <v>846</v>
      </c>
      <c r="B647" s="4" t="s">
        <v>835</v>
      </c>
      <c r="C647" s="5">
        <v>45993.625</v>
      </c>
      <c r="D647" s="14" t="s">
        <v>20</v>
      </c>
      <c r="E647" s="9">
        <v>0</v>
      </c>
      <c r="F647" t="str">
        <f>VLOOKUP(B647,customers!A:F,6,FALSE)</f>
        <v>Jakarta</v>
      </c>
    </row>
    <row r="648" spans="1:6" x14ac:dyDescent="0.35">
      <c r="A648" s="8" t="s">
        <v>847</v>
      </c>
      <c r="B648" s="4" t="s">
        <v>848</v>
      </c>
      <c r="C648" s="5">
        <v>45993.625</v>
      </c>
      <c r="D648" s="14" t="s">
        <v>20</v>
      </c>
      <c r="E648" s="9">
        <v>0</v>
      </c>
      <c r="F648" t="str">
        <f>VLOOKUP(B648,customers!A:F,6,FALSE)</f>
        <v>Palembang</v>
      </c>
    </row>
    <row r="649" spans="1:6" x14ac:dyDescent="0.35">
      <c r="A649" s="8" t="s">
        <v>849</v>
      </c>
      <c r="B649" s="4" t="s">
        <v>154</v>
      </c>
      <c r="C649" s="5">
        <v>45993.625</v>
      </c>
      <c r="D649" s="14" t="s">
        <v>20</v>
      </c>
      <c r="E649" s="9">
        <v>0</v>
      </c>
      <c r="F649" t="str">
        <f>VLOOKUP(B649,customers!A:F,6,FALSE)</f>
        <v>Surabaya</v>
      </c>
    </row>
    <row r="650" spans="1:6" x14ac:dyDescent="0.35">
      <c r="A650" s="8" t="s">
        <v>850</v>
      </c>
      <c r="B650" s="4" t="s">
        <v>851</v>
      </c>
      <c r="C650" s="5">
        <v>45993.75</v>
      </c>
      <c r="D650" s="4" t="s">
        <v>28</v>
      </c>
      <c r="E650" s="9">
        <v>0</v>
      </c>
      <c r="F650" t="str">
        <f>VLOOKUP(B650,customers!A:F,6,FALSE)</f>
        <v>Bandung</v>
      </c>
    </row>
    <row r="651" spans="1:6" x14ac:dyDescent="0.35">
      <c r="A651" s="8" t="s">
        <v>852</v>
      </c>
      <c r="B651" s="4" t="s">
        <v>83</v>
      </c>
      <c r="C651" s="5">
        <v>45994.375</v>
      </c>
      <c r="D651" s="14" t="s">
        <v>20</v>
      </c>
      <c r="E651" s="9">
        <v>0</v>
      </c>
      <c r="F651" t="str">
        <f>VLOOKUP(B651,customers!A:F,6,FALSE)</f>
        <v>Surabaya</v>
      </c>
    </row>
    <row r="652" spans="1:6" x14ac:dyDescent="0.35">
      <c r="A652" s="8" t="s">
        <v>853</v>
      </c>
      <c r="B652" s="4" t="s">
        <v>851</v>
      </c>
      <c r="C652" s="5">
        <v>45994.583333333343</v>
      </c>
      <c r="D652" s="14" t="s">
        <v>20</v>
      </c>
      <c r="E652" s="9">
        <v>0.05</v>
      </c>
      <c r="F652" t="str">
        <f>VLOOKUP(B652,customers!A:F,6,FALSE)</f>
        <v>Bandung</v>
      </c>
    </row>
    <row r="653" spans="1:6" x14ac:dyDescent="0.35">
      <c r="A653" s="8" t="s">
        <v>854</v>
      </c>
      <c r="B653" s="4" t="s">
        <v>392</v>
      </c>
      <c r="C653" s="5">
        <v>45994.625</v>
      </c>
      <c r="D653" s="4" t="s">
        <v>46</v>
      </c>
      <c r="E653" s="9">
        <v>0</v>
      </c>
      <c r="F653" t="str">
        <f>VLOOKUP(B653,customers!A:F,6,FALSE)</f>
        <v>Makassar</v>
      </c>
    </row>
    <row r="654" spans="1:6" x14ac:dyDescent="0.35">
      <c r="A654" s="8" t="s">
        <v>855</v>
      </c>
      <c r="B654" s="4" t="s">
        <v>420</v>
      </c>
      <c r="C654" s="5">
        <v>45994.666666666657</v>
      </c>
      <c r="D654" s="4" t="s">
        <v>46</v>
      </c>
      <c r="E654" s="9">
        <v>0.2</v>
      </c>
      <c r="F654" t="str">
        <f>VLOOKUP(B654,customers!A:F,6,FALSE)</f>
        <v>Bandung</v>
      </c>
    </row>
    <row r="655" spans="1:6" x14ac:dyDescent="0.35">
      <c r="A655" s="8" t="s">
        <v>856</v>
      </c>
      <c r="B655" s="4" t="s">
        <v>19</v>
      </c>
      <c r="C655" s="5">
        <v>45995.333333333343</v>
      </c>
      <c r="D655" s="14" t="s">
        <v>20</v>
      </c>
      <c r="E655" s="9">
        <v>0.15</v>
      </c>
      <c r="F655" t="str">
        <f>VLOOKUP(B655,customers!A:F,6,FALSE)</f>
        <v>Jakarta</v>
      </c>
    </row>
    <row r="656" spans="1:6" x14ac:dyDescent="0.35">
      <c r="A656" s="8" t="s">
        <v>857</v>
      </c>
      <c r="B656" s="4" t="s">
        <v>851</v>
      </c>
      <c r="C656" s="5">
        <v>45995.625</v>
      </c>
      <c r="D656" s="14" t="s">
        <v>20</v>
      </c>
      <c r="E656" s="9">
        <v>0.15</v>
      </c>
      <c r="F656" t="str">
        <f>VLOOKUP(B656,customers!A:F,6,FALSE)</f>
        <v>Bandung</v>
      </c>
    </row>
    <row r="657" spans="1:6" x14ac:dyDescent="0.35">
      <c r="A657" s="8" t="s">
        <v>858</v>
      </c>
      <c r="B657" s="4" t="s">
        <v>65</v>
      </c>
      <c r="C657" s="5">
        <v>45995.666666666657</v>
      </c>
      <c r="D657" s="14" t="s">
        <v>20</v>
      </c>
      <c r="E657" s="9">
        <v>0.05</v>
      </c>
      <c r="F657" t="str">
        <f>VLOOKUP(B657,customers!A:F,6,FALSE)</f>
        <v>Makassar</v>
      </c>
    </row>
    <row r="658" spans="1:6" x14ac:dyDescent="0.35">
      <c r="A658" s="8" t="s">
        <v>859</v>
      </c>
      <c r="B658" s="4" t="s">
        <v>851</v>
      </c>
      <c r="C658" s="5">
        <v>45995.791666666657</v>
      </c>
      <c r="D658" s="4" t="s">
        <v>28</v>
      </c>
      <c r="E658" s="9">
        <v>0</v>
      </c>
      <c r="F658" t="str">
        <f>VLOOKUP(B658,customers!A:F,6,FALSE)</f>
        <v>Bandung</v>
      </c>
    </row>
    <row r="659" spans="1:6" x14ac:dyDescent="0.35">
      <c r="A659" s="8" t="s">
        <v>860</v>
      </c>
      <c r="B659" s="4" t="s">
        <v>522</v>
      </c>
      <c r="C659" s="5">
        <v>45995.791666666657</v>
      </c>
      <c r="D659" s="14" t="s">
        <v>20</v>
      </c>
      <c r="E659" s="9">
        <v>0.05</v>
      </c>
      <c r="F659" t="str">
        <f>VLOOKUP(B659,customers!A:F,6,FALSE)</f>
        <v>Bandung</v>
      </c>
    </row>
    <row r="660" spans="1:6" x14ac:dyDescent="0.35">
      <c r="A660" s="8" t="s">
        <v>861</v>
      </c>
      <c r="B660" s="4" t="s">
        <v>124</v>
      </c>
      <c r="C660" s="5">
        <v>45995.875</v>
      </c>
      <c r="D660" s="14" t="s">
        <v>20</v>
      </c>
      <c r="E660" s="9">
        <v>0.1</v>
      </c>
      <c r="F660" t="str">
        <f>VLOOKUP(B660,customers!A:F,6,FALSE)</f>
        <v>Jakarta</v>
      </c>
    </row>
    <row r="661" spans="1:6" x14ac:dyDescent="0.35">
      <c r="A661" s="8" t="s">
        <v>862</v>
      </c>
      <c r="B661" s="4" t="s">
        <v>89</v>
      </c>
      <c r="C661" s="5">
        <v>45996.333333333343</v>
      </c>
      <c r="D661" s="4" t="s">
        <v>28</v>
      </c>
      <c r="E661" s="9">
        <v>0</v>
      </c>
      <c r="F661" t="str">
        <f>VLOOKUP(B661,customers!A:F,6,FALSE)</f>
        <v>Semarang</v>
      </c>
    </row>
    <row r="662" spans="1:6" x14ac:dyDescent="0.35">
      <c r="A662" s="8" t="s">
        <v>863</v>
      </c>
      <c r="B662" s="4" t="s">
        <v>418</v>
      </c>
      <c r="C662" s="5">
        <v>45996.375</v>
      </c>
      <c r="D662" s="14" t="s">
        <v>20</v>
      </c>
      <c r="E662" s="9">
        <v>0.15</v>
      </c>
      <c r="F662" t="str">
        <f>VLOOKUP(B662,customers!A:F,6,FALSE)</f>
        <v>Surabaya</v>
      </c>
    </row>
    <row r="663" spans="1:6" x14ac:dyDescent="0.35">
      <c r="A663" s="8" t="s">
        <v>864</v>
      </c>
      <c r="B663" s="4" t="s">
        <v>586</v>
      </c>
      <c r="C663" s="5">
        <v>45996.583333333343</v>
      </c>
      <c r="D663" s="14" t="s">
        <v>20</v>
      </c>
      <c r="E663" s="9">
        <v>0.1</v>
      </c>
      <c r="F663" t="str">
        <f>VLOOKUP(B663,customers!A:F,6,FALSE)</f>
        <v>Depok</v>
      </c>
    </row>
    <row r="664" spans="1:6" x14ac:dyDescent="0.35">
      <c r="A664" s="8" t="s">
        <v>865</v>
      </c>
      <c r="B664" s="4" t="s">
        <v>848</v>
      </c>
      <c r="C664" s="5">
        <v>45996.791666666657</v>
      </c>
      <c r="D664" s="14" t="s">
        <v>20</v>
      </c>
      <c r="E664" s="9">
        <v>0</v>
      </c>
      <c r="F664" t="str">
        <f>VLOOKUP(B664,customers!A:F,6,FALSE)</f>
        <v>Palembang</v>
      </c>
    </row>
    <row r="665" spans="1:6" x14ac:dyDescent="0.35">
      <c r="A665" s="8" t="s">
        <v>866</v>
      </c>
      <c r="B665" s="4" t="s">
        <v>715</v>
      </c>
      <c r="C665" s="5">
        <v>45997.375</v>
      </c>
      <c r="D665" s="4" t="s">
        <v>28</v>
      </c>
      <c r="E665" s="9">
        <v>0</v>
      </c>
      <c r="F665" t="str">
        <f>VLOOKUP(B665,customers!A:F,6,FALSE)</f>
        <v>Jakarta</v>
      </c>
    </row>
    <row r="666" spans="1:6" x14ac:dyDescent="0.35">
      <c r="A666" s="8" t="s">
        <v>867</v>
      </c>
      <c r="B666" s="4" t="s">
        <v>851</v>
      </c>
      <c r="C666" s="5">
        <v>45997.458333333343</v>
      </c>
      <c r="D666" s="14" t="s">
        <v>20</v>
      </c>
      <c r="E666" s="9">
        <v>0</v>
      </c>
      <c r="F666" t="str">
        <f>VLOOKUP(B666,customers!A:F,6,FALSE)</f>
        <v>Bandung</v>
      </c>
    </row>
    <row r="667" spans="1:6" x14ac:dyDescent="0.35">
      <c r="A667" s="8" t="s">
        <v>868</v>
      </c>
      <c r="B667" s="4" t="s">
        <v>544</v>
      </c>
      <c r="C667" s="5">
        <v>45997.5</v>
      </c>
      <c r="D667" s="14" t="s">
        <v>20</v>
      </c>
      <c r="E667" s="9">
        <v>0</v>
      </c>
      <c r="F667" t="str">
        <f>VLOOKUP(B667,customers!A:F,6,FALSE)</f>
        <v>Yogyakarta</v>
      </c>
    </row>
    <row r="668" spans="1:6" x14ac:dyDescent="0.35">
      <c r="A668" s="8" t="s">
        <v>869</v>
      </c>
      <c r="B668" s="4" t="s">
        <v>475</v>
      </c>
      <c r="C668" s="5">
        <v>45997.791666666657</v>
      </c>
      <c r="D668" s="14" t="s">
        <v>20</v>
      </c>
      <c r="E668" s="9">
        <v>0.05</v>
      </c>
      <c r="F668" t="str">
        <f>VLOOKUP(B668,customers!A:F,6,FALSE)</f>
        <v>Jakarta</v>
      </c>
    </row>
    <row r="669" spans="1:6" x14ac:dyDescent="0.35">
      <c r="A669" s="8" t="s">
        <v>870</v>
      </c>
      <c r="B669" s="4" t="s">
        <v>283</v>
      </c>
      <c r="C669" s="5">
        <v>45998.541666666657</v>
      </c>
      <c r="D669" s="14" t="s">
        <v>20</v>
      </c>
      <c r="E669" s="9">
        <v>0.05</v>
      </c>
      <c r="F669" t="str">
        <f>VLOOKUP(B669,customers!A:F,6,FALSE)</f>
        <v>Jakarta</v>
      </c>
    </row>
    <row r="670" spans="1:6" x14ac:dyDescent="0.35">
      <c r="A670" s="8" t="s">
        <v>871</v>
      </c>
      <c r="B670" s="4" t="s">
        <v>741</v>
      </c>
      <c r="C670" s="5">
        <v>45998.75</v>
      </c>
      <c r="D670" s="14" t="s">
        <v>20</v>
      </c>
      <c r="E670" s="9">
        <v>0</v>
      </c>
      <c r="F670" t="str">
        <f>VLOOKUP(B670,customers!A:F,6,FALSE)</f>
        <v>Yogyakarta</v>
      </c>
    </row>
    <row r="671" spans="1:6" x14ac:dyDescent="0.35">
      <c r="A671" s="8" t="s">
        <v>872</v>
      </c>
      <c r="B671" s="4" t="s">
        <v>737</v>
      </c>
      <c r="C671" s="5">
        <v>45998.791666666657</v>
      </c>
      <c r="D671" s="4" t="s">
        <v>28</v>
      </c>
      <c r="E671" s="9">
        <v>0.2</v>
      </c>
      <c r="F671" t="str">
        <f>VLOOKUP(B671,customers!A:F,6,FALSE)</f>
        <v>Makassar</v>
      </c>
    </row>
    <row r="672" spans="1:6" x14ac:dyDescent="0.35">
      <c r="A672" s="8" t="s">
        <v>873</v>
      </c>
      <c r="B672" s="4" t="s">
        <v>679</v>
      </c>
      <c r="C672" s="5">
        <v>45999.333333333343</v>
      </c>
      <c r="D672" s="14" t="s">
        <v>20</v>
      </c>
      <c r="E672" s="9">
        <v>0.15</v>
      </c>
      <c r="F672" t="str">
        <f>VLOOKUP(B672,customers!A:F,6,FALSE)</f>
        <v>Palembang</v>
      </c>
    </row>
    <row r="673" spans="1:6" x14ac:dyDescent="0.35">
      <c r="A673" s="8" t="s">
        <v>874</v>
      </c>
      <c r="B673" s="4" t="s">
        <v>296</v>
      </c>
      <c r="C673" s="5">
        <v>45999.583333333343</v>
      </c>
      <c r="D673" s="4" t="s">
        <v>46</v>
      </c>
      <c r="E673" s="9">
        <v>0</v>
      </c>
      <c r="F673" t="str">
        <f>VLOOKUP(B673,customers!A:F,6,FALSE)</f>
        <v>Jakarta</v>
      </c>
    </row>
    <row r="674" spans="1:6" x14ac:dyDescent="0.35">
      <c r="A674" s="8" t="s">
        <v>875</v>
      </c>
      <c r="B674" s="4" t="s">
        <v>876</v>
      </c>
      <c r="C674" s="5">
        <v>45999.625</v>
      </c>
      <c r="D674" s="14" t="s">
        <v>20</v>
      </c>
      <c r="E674" s="9">
        <v>0</v>
      </c>
      <c r="F674" t="str">
        <f>VLOOKUP(B674,customers!A:F,6,FALSE)</f>
        <v>Depok</v>
      </c>
    </row>
    <row r="675" spans="1:6" x14ac:dyDescent="0.35">
      <c r="A675" s="8" t="s">
        <v>877</v>
      </c>
      <c r="B675" s="4" t="s">
        <v>289</v>
      </c>
      <c r="C675" s="5">
        <v>45999.75</v>
      </c>
      <c r="D675" s="14" t="s">
        <v>20</v>
      </c>
      <c r="E675" s="9">
        <v>0.15</v>
      </c>
      <c r="F675" t="str">
        <f>VLOOKUP(B675,customers!A:F,6,FALSE)</f>
        <v>Medan</v>
      </c>
    </row>
    <row r="676" spans="1:6" x14ac:dyDescent="0.35">
      <c r="A676" s="8" t="s">
        <v>878</v>
      </c>
      <c r="B676" s="4" t="s">
        <v>420</v>
      </c>
      <c r="C676" s="5">
        <v>45999.833333333343</v>
      </c>
      <c r="D676" s="14" t="s">
        <v>20</v>
      </c>
      <c r="E676" s="9">
        <v>0</v>
      </c>
      <c r="F676" t="str">
        <f>VLOOKUP(B676,customers!A:F,6,FALSE)</f>
        <v>Bandung</v>
      </c>
    </row>
    <row r="677" spans="1:6" x14ac:dyDescent="0.35">
      <c r="A677" s="8" t="s">
        <v>879</v>
      </c>
      <c r="B677" s="4" t="s">
        <v>48</v>
      </c>
      <c r="C677" s="5">
        <v>46000.375</v>
      </c>
      <c r="D677" s="4" t="s">
        <v>46</v>
      </c>
      <c r="E677" s="9">
        <v>0</v>
      </c>
      <c r="F677" t="str">
        <f>VLOOKUP(B677,customers!A:F,6,FALSE)</f>
        <v>Surabaya</v>
      </c>
    </row>
    <row r="678" spans="1:6" x14ac:dyDescent="0.35">
      <c r="A678" s="8" t="s">
        <v>880</v>
      </c>
      <c r="B678" s="4" t="s">
        <v>876</v>
      </c>
      <c r="C678" s="5">
        <v>46000.375</v>
      </c>
      <c r="D678" s="4" t="s">
        <v>28</v>
      </c>
      <c r="E678" s="9">
        <v>0</v>
      </c>
      <c r="F678" t="str">
        <f>VLOOKUP(B678,customers!A:F,6,FALSE)</f>
        <v>Depok</v>
      </c>
    </row>
    <row r="679" spans="1:6" x14ac:dyDescent="0.35">
      <c r="A679" s="8" t="s">
        <v>881</v>
      </c>
      <c r="B679" s="4" t="s">
        <v>347</v>
      </c>
      <c r="C679" s="5">
        <v>46000.791666666657</v>
      </c>
      <c r="D679" s="14" t="s">
        <v>20</v>
      </c>
      <c r="E679" s="9">
        <v>0</v>
      </c>
      <c r="F679" t="str">
        <f>VLOOKUP(B679,customers!A:F,6,FALSE)</f>
        <v>Semarang</v>
      </c>
    </row>
    <row r="680" spans="1:6" x14ac:dyDescent="0.35">
      <c r="A680" s="8" t="s">
        <v>882</v>
      </c>
      <c r="B680" s="4" t="s">
        <v>876</v>
      </c>
      <c r="C680" s="5">
        <v>46001.666666666657</v>
      </c>
      <c r="D680" s="4" t="s">
        <v>46</v>
      </c>
      <c r="E680" s="9">
        <v>0</v>
      </c>
      <c r="F680" t="str">
        <f>VLOOKUP(B680,customers!A:F,6,FALSE)</f>
        <v>Depok</v>
      </c>
    </row>
    <row r="681" spans="1:6" x14ac:dyDescent="0.35">
      <c r="A681" s="8" t="s">
        <v>883</v>
      </c>
      <c r="B681" s="4" t="s">
        <v>65</v>
      </c>
      <c r="C681" s="5">
        <v>46001.75</v>
      </c>
      <c r="D681" s="4" t="s">
        <v>28</v>
      </c>
      <c r="E681" s="9">
        <v>0</v>
      </c>
      <c r="F681" t="str">
        <f>VLOOKUP(B681,customers!A:F,6,FALSE)</f>
        <v>Makassar</v>
      </c>
    </row>
    <row r="682" spans="1:6" x14ac:dyDescent="0.35">
      <c r="A682" s="8" t="s">
        <v>884</v>
      </c>
      <c r="B682" s="4" t="s">
        <v>876</v>
      </c>
      <c r="C682" s="5">
        <v>46001.791666666657</v>
      </c>
      <c r="D682" s="4" t="s">
        <v>28</v>
      </c>
      <c r="E682" s="9">
        <v>0.05</v>
      </c>
      <c r="F682" t="str">
        <f>VLOOKUP(B682,customers!A:F,6,FALSE)</f>
        <v>Depok</v>
      </c>
    </row>
    <row r="683" spans="1:6" x14ac:dyDescent="0.35">
      <c r="A683" s="8" t="s">
        <v>885</v>
      </c>
      <c r="B683" s="4" t="s">
        <v>662</v>
      </c>
      <c r="C683" s="5">
        <v>46002.333333333343</v>
      </c>
      <c r="D683" s="14" t="s">
        <v>20</v>
      </c>
      <c r="E683" s="9">
        <v>0</v>
      </c>
      <c r="F683" t="str">
        <f>VLOOKUP(B683,customers!A:F,6,FALSE)</f>
        <v>Palembang</v>
      </c>
    </row>
    <row r="684" spans="1:6" x14ac:dyDescent="0.35">
      <c r="A684" s="8" t="s">
        <v>886</v>
      </c>
      <c r="B684" s="4" t="s">
        <v>851</v>
      </c>
      <c r="C684" s="5">
        <v>46002.375</v>
      </c>
      <c r="D684" s="14" t="s">
        <v>20</v>
      </c>
      <c r="E684" s="9">
        <v>0</v>
      </c>
      <c r="F684" t="str">
        <f>VLOOKUP(B684,customers!A:F,6,FALSE)</f>
        <v>Bandung</v>
      </c>
    </row>
    <row r="685" spans="1:6" x14ac:dyDescent="0.35">
      <c r="A685" s="8" t="s">
        <v>887</v>
      </c>
      <c r="B685" s="4" t="s">
        <v>569</v>
      </c>
      <c r="C685" s="5">
        <v>46002.375</v>
      </c>
      <c r="D685" s="14" t="s">
        <v>20</v>
      </c>
      <c r="E685" s="9">
        <v>0.1</v>
      </c>
      <c r="F685" t="str">
        <f>VLOOKUP(B685,customers!A:F,6,FALSE)</f>
        <v>Jakarta</v>
      </c>
    </row>
    <row r="686" spans="1:6" x14ac:dyDescent="0.35">
      <c r="A686" s="8" t="s">
        <v>888</v>
      </c>
      <c r="B686" s="4" t="s">
        <v>889</v>
      </c>
      <c r="C686" s="5">
        <v>46002.416666666657</v>
      </c>
      <c r="D686" s="14" t="s">
        <v>20</v>
      </c>
      <c r="E686" s="9">
        <v>0.15</v>
      </c>
      <c r="F686" t="str">
        <f>VLOOKUP(B686,customers!A:F,6,FALSE)</f>
        <v>Surabaya</v>
      </c>
    </row>
    <row r="687" spans="1:6" x14ac:dyDescent="0.35">
      <c r="A687" s="8" t="s">
        <v>890</v>
      </c>
      <c r="B687" s="4" t="s">
        <v>851</v>
      </c>
      <c r="C687" s="5">
        <v>46002.458333333343</v>
      </c>
      <c r="D687" s="14" t="s">
        <v>20</v>
      </c>
      <c r="E687" s="9">
        <v>0.05</v>
      </c>
      <c r="F687" t="str">
        <f>VLOOKUP(B687,customers!A:F,6,FALSE)</f>
        <v>Bandung</v>
      </c>
    </row>
    <row r="688" spans="1:6" x14ac:dyDescent="0.35">
      <c r="A688" s="8" t="s">
        <v>891</v>
      </c>
      <c r="B688" s="4" t="s">
        <v>851</v>
      </c>
      <c r="C688" s="5">
        <v>46002.541666666657</v>
      </c>
      <c r="D688" s="4" t="s">
        <v>28</v>
      </c>
      <c r="E688" s="9">
        <v>0</v>
      </c>
      <c r="F688" t="str">
        <f>VLOOKUP(B688,customers!A:F,6,FALSE)</f>
        <v>Bandung</v>
      </c>
    </row>
    <row r="689" spans="1:6" x14ac:dyDescent="0.35">
      <c r="A689" s="8" t="s">
        <v>892</v>
      </c>
      <c r="B689" s="4" t="s">
        <v>187</v>
      </c>
      <c r="C689" s="5">
        <v>46002.625</v>
      </c>
      <c r="D689" s="14" t="s">
        <v>20</v>
      </c>
      <c r="E689" s="9">
        <v>0.05</v>
      </c>
      <c r="F689" t="str">
        <f>VLOOKUP(B689,customers!A:F,6,FALSE)</f>
        <v>Denpasar</v>
      </c>
    </row>
    <row r="690" spans="1:6" x14ac:dyDescent="0.35">
      <c r="A690" s="8" t="s">
        <v>893</v>
      </c>
      <c r="B690" s="4" t="s">
        <v>851</v>
      </c>
      <c r="C690" s="5">
        <v>46002.708333333343</v>
      </c>
      <c r="D690" s="4" t="s">
        <v>28</v>
      </c>
      <c r="E690" s="9">
        <v>0</v>
      </c>
      <c r="F690" t="str">
        <f>VLOOKUP(B690,customers!A:F,6,FALSE)</f>
        <v>Bandung</v>
      </c>
    </row>
    <row r="691" spans="1:6" x14ac:dyDescent="0.35">
      <c r="A691" s="8" t="s">
        <v>894</v>
      </c>
      <c r="B691" s="4" t="s">
        <v>595</v>
      </c>
      <c r="C691" s="5">
        <v>46002.708333333343</v>
      </c>
      <c r="D691" s="4" t="s">
        <v>46</v>
      </c>
      <c r="E691" s="9">
        <v>0</v>
      </c>
      <c r="F691" t="str">
        <f>VLOOKUP(B691,customers!A:F,6,FALSE)</f>
        <v>Jakarta</v>
      </c>
    </row>
    <row r="692" spans="1:6" x14ac:dyDescent="0.35">
      <c r="A692" s="8" t="s">
        <v>895</v>
      </c>
      <c r="B692" s="4" t="s">
        <v>187</v>
      </c>
      <c r="C692" s="5">
        <v>46002.833333333343</v>
      </c>
      <c r="D692" s="14" t="s">
        <v>20</v>
      </c>
      <c r="E692" s="9">
        <v>0.15</v>
      </c>
      <c r="F692" t="str">
        <f>VLOOKUP(B692,customers!A:F,6,FALSE)</f>
        <v>Denpasar</v>
      </c>
    </row>
    <row r="693" spans="1:6" x14ac:dyDescent="0.35">
      <c r="A693" s="8" t="s">
        <v>896</v>
      </c>
      <c r="B693" s="4" t="s">
        <v>722</v>
      </c>
      <c r="C693" s="5">
        <v>46002.833333333343</v>
      </c>
      <c r="D693" s="14" t="s">
        <v>20</v>
      </c>
      <c r="E693" s="9">
        <v>0.05</v>
      </c>
      <c r="F693" t="str">
        <f>VLOOKUP(B693,customers!A:F,6,FALSE)</f>
        <v>Depok</v>
      </c>
    </row>
    <row r="694" spans="1:6" x14ac:dyDescent="0.35">
      <c r="A694" s="8" t="s">
        <v>897</v>
      </c>
      <c r="B694" s="4" t="s">
        <v>717</v>
      </c>
      <c r="C694" s="5">
        <v>46002.875</v>
      </c>
      <c r="D694" s="14" t="s">
        <v>20</v>
      </c>
      <c r="E694" s="9">
        <v>0</v>
      </c>
      <c r="F694" t="str">
        <f>VLOOKUP(B694,customers!A:F,6,FALSE)</f>
        <v>Surabaya</v>
      </c>
    </row>
    <row r="695" spans="1:6" x14ac:dyDescent="0.35">
      <c r="A695" s="8" t="s">
        <v>898</v>
      </c>
      <c r="B695" s="4" t="s">
        <v>899</v>
      </c>
      <c r="C695" s="5">
        <v>46002.875</v>
      </c>
      <c r="D695" s="14" t="s">
        <v>20</v>
      </c>
      <c r="E695" s="9">
        <v>0.05</v>
      </c>
      <c r="F695" t="str">
        <f>VLOOKUP(B695,customers!A:F,6,FALSE)</f>
        <v>Surabaya</v>
      </c>
    </row>
    <row r="696" spans="1:6" x14ac:dyDescent="0.35">
      <c r="A696" s="8" t="s">
        <v>900</v>
      </c>
      <c r="B696" s="4" t="s">
        <v>255</v>
      </c>
      <c r="C696" s="5">
        <v>46003.541666666657</v>
      </c>
      <c r="D696" s="4" t="s">
        <v>46</v>
      </c>
      <c r="E696" s="9">
        <v>0</v>
      </c>
      <c r="F696" t="str">
        <f>VLOOKUP(B696,customers!A:F,6,FALSE)</f>
        <v>Makassar</v>
      </c>
    </row>
    <row r="697" spans="1:6" x14ac:dyDescent="0.35">
      <c r="A697" s="8" t="s">
        <v>901</v>
      </c>
      <c r="B697" s="4" t="s">
        <v>876</v>
      </c>
      <c r="C697" s="5">
        <v>46003.541666666657</v>
      </c>
      <c r="D697" s="14" t="s">
        <v>20</v>
      </c>
      <c r="E697" s="9">
        <v>0</v>
      </c>
      <c r="F697" t="str">
        <f>VLOOKUP(B697,customers!A:F,6,FALSE)</f>
        <v>Depok</v>
      </c>
    </row>
    <row r="698" spans="1:6" x14ac:dyDescent="0.35">
      <c r="A698" s="8" t="s">
        <v>902</v>
      </c>
      <c r="B698" s="4" t="s">
        <v>848</v>
      </c>
      <c r="C698" s="5">
        <v>46003.708333333343</v>
      </c>
      <c r="D698" s="14" t="s">
        <v>20</v>
      </c>
      <c r="E698" s="9">
        <v>0.2</v>
      </c>
      <c r="F698" t="str">
        <f>VLOOKUP(B698,customers!A:F,6,FALSE)</f>
        <v>Palembang</v>
      </c>
    </row>
    <row r="699" spans="1:6" x14ac:dyDescent="0.35">
      <c r="A699" s="8" t="s">
        <v>903</v>
      </c>
      <c r="B699" s="4" t="s">
        <v>374</v>
      </c>
      <c r="C699" s="5">
        <v>46003.75</v>
      </c>
      <c r="D699" s="4" t="s">
        <v>46</v>
      </c>
      <c r="E699" s="9">
        <v>0.2</v>
      </c>
      <c r="F699" t="str">
        <f>VLOOKUP(B699,customers!A:F,6,FALSE)</f>
        <v>Jakarta</v>
      </c>
    </row>
    <row r="700" spans="1:6" x14ac:dyDescent="0.35">
      <c r="A700" s="8" t="s">
        <v>904</v>
      </c>
      <c r="B700" s="4" t="s">
        <v>905</v>
      </c>
      <c r="C700" s="5">
        <v>46004.5</v>
      </c>
      <c r="D700" s="4" t="s">
        <v>28</v>
      </c>
      <c r="E700" s="9">
        <v>0</v>
      </c>
      <c r="F700" t="str">
        <f>VLOOKUP(B700,customers!A:F,6,FALSE)</f>
        <v>Surabaya</v>
      </c>
    </row>
    <row r="701" spans="1:6" x14ac:dyDescent="0.35">
      <c r="A701" s="8" t="s">
        <v>906</v>
      </c>
      <c r="B701" s="4" t="s">
        <v>796</v>
      </c>
      <c r="C701" s="5">
        <v>46004.791666666657</v>
      </c>
      <c r="D701" s="14" t="s">
        <v>20</v>
      </c>
      <c r="E701" s="9">
        <v>0</v>
      </c>
      <c r="F701" t="str">
        <f>VLOOKUP(B701,customers!A:F,6,FALSE)</f>
        <v>Jakarta</v>
      </c>
    </row>
    <row r="702" spans="1:6" x14ac:dyDescent="0.35">
      <c r="A702" s="8" t="s">
        <v>907</v>
      </c>
      <c r="B702" s="4" t="s">
        <v>492</v>
      </c>
      <c r="C702" s="5">
        <v>46004.916666666657</v>
      </c>
      <c r="D702" s="14" t="s">
        <v>20</v>
      </c>
      <c r="E702" s="9">
        <v>0.05</v>
      </c>
      <c r="F702" t="str">
        <f>VLOOKUP(B702,customers!A:F,6,FALSE)</f>
        <v>Surabaya</v>
      </c>
    </row>
    <row r="703" spans="1:6" x14ac:dyDescent="0.35">
      <c r="A703" s="8" t="s">
        <v>908</v>
      </c>
      <c r="B703" s="4" t="s">
        <v>27</v>
      </c>
      <c r="C703" s="5">
        <v>46004.916666666657</v>
      </c>
      <c r="D703" s="4" t="s">
        <v>28</v>
      </c>
      <c r="E703" s="9">
        <v>0.15</v>
      </c>
      <c r="F703" t="str">
        <f>VLOOKUP(B703,customers!A:F,6,FALSE)</f>
        <v>Bandung</v>
      </c>
    </row>
    <row r="704" spans="1:6" x14ac:dyDescent="0.35">
      <c r="A704" s="8" t="s">
        <v>909</v>
      </c>
      <c r="B704" s="4" t="s">
        <v>104</v>
      </c>
      <c r="C704" s="5">
        <v>46005.375</v>
      </c>
      <c r="D704" s="4" t="s">
        <v>28</v>
      </c>
      <c r="E704" s="9">
        <v>0</v>
      </c>
      <c r="F704" t="str">
        <f>VLOOKUP(B704,customers!A:F,6,FALSE)</f>
        <v>Depok</v>
      </c>
    </row>
    <row r="705" spans="1:6" x14ac:dyDescent="0.35">
      <c r="A705" s="8" t="s">
        <v>910</v>
      </c>
      <c r="B705" s="4" t="s">
        <v>400</v>
      </c>
      <c r="C705" s="5">
        <v>46005.625</v>
      </c>
      <c r="D705" s="4" t="s">
        <v>28</v>
      </c>
      <c r="E705" s="9">
        <v>0</v>
      </c>
      <c r="F705" t="str">
        <f>VLOOKUP(B705,customers!A:F,6,FALSE)</f>
        <v>Jakarta</v>
      </c>
    </row>
    <row r="706" spans="1:6" x14ac:dyDescent="0.35">
      <c r="A706" s="8" t="s">
        <v>911</v>
      </c>
      <c r="B706" s="4" t="s">
        <v>703</v>
      </c>
      <c r="C706" s="5">
        <v>46005.708333333343</v>
      </c>
      <c r="D706" s="4" t="s">
        <v>46</v>
      </c>
      <c r="E706" s="9">
        <v>0.05</v>
      </c>
      <c r="F706" t="str">
        <f>VLOOKUP(B706,customers!A:F,6,FALSE)</f>
        <v>Bandung</v>
      </c>
    </row>
    <row r="707" spans="1:6" x14ac:dyDescent="0.35">
      <c r="A707" s="8" t="s">
        <v>912</v>
      </c>
      <c r="B707" s="4" t="s">
        <v>662</v>
      </c>
      <c r="C707" s="5">
        <v>46005.791666666657</v>
      </c>
      <c r="D707" s="4" t="s">
        <v>46</v>
      </c>
      <c r="E707" s="9">
        <v>0</v>
      </c>
      <c r="F707" t="str">
        <f>VLOOKUP(B707,customers!A:F,6,FALSE)</f>
        <v>Palembang</v>
      </c>
    </row>
    <row r="708" spans="1:6" x14ac:dyDescent="0.35">
      <c r="A708" s="8" t="s">
        <v>913</v>
      </c>
      <c r="B708" s="4" t="s">
        <v>899</v>
      </c>
      <c r="C708" s="5">
        <v>46005.833333333343</v>
      </c>
      <c r="D708" s="4" t="s">
        <v>46</v>
      </c>
      <c r="E708" s="9">
        <v>0</v>
      </c>
      <c r="F708" t="str">
        <f>VLOOKUP(B708,customers!A:F,6,FALSE)</f>
        <v>Surabaya</v>
      </c>
    </row>
    <row r="709" spans="1:6" x14ac:dyDescent="0.35">
      <c r="A709" s="8" t="s">
        <v>914</v>
      </c>
      <c r="B709" s="4" t="s">
        <v>400</v>
      </c>
      <c r="C709" s="5">
        <v>46006.333333333343</v>
      </c>
      <c r="D709" s="4" t="s">
        <v>46</v>
      </c>
      <c r="E709" s="9">
        <v>0.15</v>
      </c>
      <c r="F709" t="str">
        <f>VLOOKUP(B709,customers!A:F,6,FALSE)</f>
        <v>Jakarta</v>
      </c>
    </row>
    <row r="710" spans="1:6" x14ac:dyDescent="0.35">
      <c r="A710" s="8" t="s">
        <v>915</v>
      </c>
      <c r="B710" s="4" t="s">
        <v>835</v>
      </c>
      <c r="C710" s="5">
        <v>46006.541666666657</v>
      </c>
      <c r="D710" s="4" t="s">
        <v>28</v>
      </c>
      <c r="E710" s="9">
        <v>0.05</v>
      </c>
      <c r="F710" t="str">
        <f>VLOOKUP(B710,customers!A:F,6,FALSE)</f>
        <v>Jakarta</v>
      </c>
    </row>
    <row r="711" spans="1:6" x14ac:dyDescent="0.35">
      <c r="A711" s="8" t="s">
        <v>916</v>
      </c>
      <c r="B711" s="4" t="s">
        <v>899</v>
      </c>
      <c r="C711" s="5">
        <v>46006.833333333343</v>
      </c>
      <c r="D711" s="4" t="s">
        <v>46</v>
      </c>
      <c r="E711" s="9">
        <v>0.15</v>
      </c>
      <c r="F711" t="str">
        <f>VLOOKUP(B711,customers!A:F,6,FALSE)</f>
        <v>Surabaya</v>
      </c>
    </row>
    <row r="712" spans="1:6" x14ac:dyDescent="0.35">
      <c r="A712" s="8" t="s">
        <v>917</v>
      </c>
      <c r="B712" s="4" t="s">
        <v>439</v>
      </c>
      <c r="C712" s="5">
        <v>46006.833333333343</v>
      </c>
      <c r="D712" s="4" t="s">
        <v>28</v>
      </c>
      <c r="E712" s="9">
        <v>0</v>
      </c>
      <c r="F712" t="str">
        <f>VLOOKUP(B712,customers!A:F,6,FALSE)</f>
        <v>Jakarta</v>
      </c>
    </row>
    <row r="713" spans="1:6" x14ac:dyDescent="0.35">
      <c r="A713" s="8" t="s">
        <v>918</v>
      </c>
      <c r="B713" s="4" t="s">
        <v>37</v>
      </c>
      <c r="C713" s="5">
        <v>46006.916666666657</v>
      </c>
      <c r="D713" s="4" t="s">
        <v>46</v>
      </c>
      <c r="E713" s="9">
        <v>0</v>
      </c>
      <c r="F713" t="str">
        <f>VLOOKUP(B713,customers!A:F,6,FALSE)</f>
        <v>Palembang</v>
      </c>
    </row>
    <row r="714" spans="1:6" x14ac:dyDescent="0.35">
      <c r="A714" s="8" t="s">
        <v>919</v>
      </c>
      <c r="B714" s="4" t="s">
        <v>737</v>
      </c>
      <c r="C714" s="5">
        <v>46007.625</v>
      </c>
      <c r="D714" s="14" t="s">
        <v>20</v>
      </c>
      <c r="E714" s="9">
        <v>0.15</v>
      </c>
      <c r="F714" t="str">
        <f>VLOOKUP(B714,customers!A:F,6,FALSE)</f>
        <v>Makassar</v>
      </c>
    </row>
    <row r="715" spans="1:6" x14ac:dyDescent="0.35">
      <c r="A715" s="8" t="s">
        <v>920</v>
      </c>
      <c r="B715" s="4" t="s">
        <v>187</v>
      </c>
      <c r="C715" s="5">
        <v>46007.708333333343</v>
      </c>
      <c r="D715" s="14" t="s">
        <v>20</v>
      </c>
      <c r="E715" s="9">
        <v>0</v>
      </c>
      <c r="F715" t="str">
        <f>VLOOKUP(B715,customers!A:F,6,FALSE)</f>
        <v>Denpasar</v>
      </c>
    </row>
    <row r="716" spans="1:6" x14ac:dyDescent="0.35">
      <c r="A716" s="8" t="s">
        <v>921</v>
      </c>
      <c r="B716" s="4" t="s">
        <v>481</v>
      </c>
      <c r="C716" s="5">
        <v>46008.5</v>
      </c>
      <c r="D716" s="4" t="s">
        <v>46</v>
      </c>
      <c r="E716" s="9">
        <v>0</v>
      </c>
      <c r="F716" t="str">
        <f>VLOOKUP(B716,customers!A:F,6,FALSE)</f>
        <v>Medan</v>
      </c>
    </row>
    <row r="717" spans="1:6" x14ac:dyDescent="0.35">
      <c r="A717" s="8" t="s">
        <v>922</v>
      </c>
      <c r="B717" s="4" t="s">
        <v>923</v>
      </c>
      <c r="C717" s="5">
        <v>46008.708333333343</v>
      </c>
      <c r="D717" s="4" t="s">
        <v>46</v>
      </c>
      <c r="E717" s="9">
        <v>0</v>
      </c>
      <c r="F717" t="str">
        <f>VLOOKUP(B717,customers!A:F,6,FALSE)</f>
        <v>Semarang</v>
      </c>
    </row>
    <row r="718" spans="1:6" x14ac:dyDescent="0.35">
      <c r="A718" s="8" t="s">
        <v>924</v>
      </c>
      <c r="B718" s="4" t="s">
        <v>605</v>
      </c>
      <c r="C718" s="5">
        <v>46008.75</v>
      </c>
      <c r="D718" s="4" t="s">
        <v>46</v>
      </c>
      <c r="E718" s="9">
        <v>0</v>
      </c>
      <c r="F718" t="str">
        <f>VLOOKUP(B718,customers!A:F,6,FALSE)</f>
        <v>Denpasar</v>
      </c>
    </row>
    <row r="719" spans="1:6" x14ac:dyDescent="0.35">
      <c r="A719" s="8" t="s">
        <v>925</v>
      </c>
      <c r="B719" s="4" t="s">
        <v>799</v>
      </c>
      <c r="C719" s="5">
        <v>46008.833333333343</v>
      </c>
      <c r="D719" s="14" t="s">
        <v>20</v>
      </c>
      <c r="E719" s="9">
        <v>0</v>
      </c>
      <c r="F719" t="str">
        <f>VLOOKUP(B719,customers!A:F,6,FALSE)</f>
        <v>Jakarta</v>
      </c>
    </row>
    <row r="720" spans="1:6" x14ac:dyDescent="0.35">
      <c r="A720" s="8" t="s">
        <v>926</v>
      </c>
      <c r="B720" s="4" t="s">
        <v>794</v>
      </c>
      <c r="C720" s="5">
        <v>46009.375</v>
      </c>
      <c r="D720" s="14" t="s">
        <v>20</v>
      </c>
      <c r="E720" s="9">
        <v>0</v>
      </c>
      <c r="F720" t="str">
        <f>VLOOKUP(B720,customers!A:F,6,FALSE)</f>
        <v>Palembang</v>
      </c>
    </row>
    <row r="721" spans="1:6" x14ac:dyDescent="0.35">
      <c r="A721" s="8" t="s">
        <v>927</v>
      </c>
      <c r="B721" s="4" t="s">
        <v>292</v>
      </c>
      <c r="C721" s="5">
        <v>46009.375</v>
      </c>
      <c r="D721" s="4" t="s">
        <v>46</v>
      </c>
      <c r="E721" s="9">
        <v>0.05</v>
      </c>
      <c r="F721" t="str">
        <f>VLOOKUP(B721,customers!A:F,6,FALSE)</f>
        <v>Denpasar</v>
      </c>
    </row>
    <row r="722" spans="1:6" x14ac:dyDescent="0.35">
      <c r="A722" s="8" t="s">
        <v>928</v>
      </c>
      <c r="B722" s="4" t="s">
        <v>239</v>
      </c>
      <c r="C722" s="5">
        <v>46009.458333333343</v>
      </c>
      <c r="D722" s="4" t="s">
        <v>46</v>
      </c>
      <c r="E722" s="9">
        <v>0</v>
      </c>
      <c r="F722" t="str">
        <f>VLOOKUP(B722,customers!A:F,6,FALSE)</f>
        <v>Yogyakarta</v>
      </c>
    </row>
    <row r="723" spans="1:6" x14ac:dyDescent="0.35">
      <c r="A723" s="8" t="s">
        <v>929</v>
      </c>
      <c r="B723" s="4" t="s">
        <v>889</v>
      </c>
      <c r="C723" s="5">
        <v>46009.625</v>
      </c>
      <c r="D723" s="14" t="s">
        <v>20</v>
      </c>
      <c r="E723" s="9">
        <v>0</v>
      </c>
      <c r="F723" t="str">
        <f>VLOOKUP(B723,customers!A:F,6,FALSE)</f>
        <v>Surabaya</v>
      </c>
    </row>
    <row r="724" spans="1:6" x14ac:dyDescent="0.35">
      <c r="A724" s="8" t="s">
        <v>930</v>
      </c>
      <c r="B724" s="4" t="s">
        <v>931</v>
      </c>
      <c r="C724" s="5">
        <v>46009.875</v>
      </c>
      <c r="D724" s="14" t="s">
        <v>20</v>
      </c>
      <c r="E724" s="9">
        <v>0.05</v>
      </c>
      <c r="F724" t="str">
        <f>VLOOKUP(B724,customers!A:F,6,FALSE)</f>
        <v>Depok</v>
      </c>
    </row>
    <row r="725" spans="1:6" x14ac:dyDescent="0.35">
      <c r="A725" s="8" t="s">
        <v>932</v>
      </c>
      <c r="B725" s="4" t="s">
        <v>905</v>
      </c>
      <c r="C725" s="5">
        <v>46009.916666666657</v>
      </c>
      <c r="D725" s="14" t="s">
        <v>20</v>
      </c>
      <c r="E725" s="9">
        <v>0.1</v>
      </c>
      <c r="F725" t="str">
        <f>VLOOKUP(B725,customers!A:F,6,FALSE)</f>
        <v>Surabaya</v>
      </c>
    </row>
    <row r="726" spans="1:6" x14ac:dyDescent="0.35">
      <c r="A726" s="8" t="s">
        <v>933</v>
      </c>
      <c r="B726" s="4" t="s">
        <v>889</v>
      </c>
      <c r="C726" s="5">
        <v>46010.416666666657</v>
      </c>
      <c r="D726" s="14" t="s">
        <v>20</v>
      </c>
      <c r="E726" s="9">
        <v>0</v>
      </c>
      <c r="F726" t="str">
        <f>VLOOKUP(B726,customers!A:F,6,FALSE)</f>
        <v>Surabaya</v>
      </c>
    </row>
    <row r="727" spans="1:6" x14ac:dyDescent="0.35">
      <c r="A727" s="8" t="s">
        <v>934</v>
      </c>
      <c r="B727" s="4" t="s">
        <v>392</v>
      </c>
      <c r="C727" s="5">
        <v>46010.458333333343</v>
      </c>
      <c r="D727" s="14" t="s">
        <v>20</v>
      </c>
      <c r="E727" s="9">
        <v>0</v>
      </c>
      <c r="F727" t="str">
        <f>VLOOKUP(B727,customers!A:F,6,FALSE)</f>
        <v>Makassar</v>
      </c>
    </row>
    <row r="728" spans="1:6" x14ac:dyDescent="0.35">
      <c r="A728" s="8" t="s">
        <v>935</v>
      </c>
      <c r="B728" s="4" t="s">
        <v>30</v>
      </c>
      <c r="C728" s="5">
        <v>46010.583333333343</v>
      </c>
      <c r="D728" s="14" t="s">
        <v>20</v>
      </c>
      <c r="E728" s="9">
        <v>0</v>
      </c>
      <c r="F728" t="str">
        <f>VLOOKUP(B728,customers!A:F,6,FALSE)</f>
        <v>Surabaya</v>
      </c>
    </row>
    <row r="729" spans="1:6" x14ac:dyDescent="0.35">
      <c r="A729" s="8" t="s">
        <v>936</v>
      </c>
      <c r="B729" s="4" t="s">
        <v>109</v>
      </c>
      <c r="C729" s="5">
        <v>46010.666666666657</v>
      </c>
      <c r="D729" s="14" t="s">
        <v>20</v>
      </c>
      <c r="E729" s="9">
        <v>0</v>
      </c>
      <c r="F729" t="str">
        <f>VLOOKUP(B729,customers!A:F,6,FALSE)</f>
        <v>Yogyakarta</v>
      </c>
    </row>
    <row r="730" spans="1:6" x14ac:dyDescent="0.35">
      <c r="A730" s="8" t="s">
        <v>937</v>
      </c>
      <c r="B730" s="4" t="s">
        <v>65</v>
      </c>
      <c r="C730" s="5">
        <v>46011.5</v>
      </c>
      <c r="D730" s="14" t="s">
        <v>20</v>
      </c>
      <c r="E730" s="9">
        <v>0</v>
      </c>
      <c r="F730" t="str">
        <f>VLOOKUP(B730,customers!A:F,6,FALSE)</f>
        <v>Makassar</v>
      </c>
    </row>
    <row r="731" spans="1:6" x14ac:dyDescent="0.35">
      <c r="A731" s="8" t="s">
        <v>938</v>
      </c>
      <c r="B731" s="4" t="s">
        <v>468</v>
      </c>
      <c r="C731" s="5">
        <v>46011.833333333343</v>
      </c>
      <c r="D731" s="14" t="s">
        <v>20</v>
      </c>
      <c r="E731" s="9">
        <v>0.1</v>
      </c>
      <c r="F731" t="str">
        <f>VLOOKUP(B731,customers!A:F,6,FALSE)</f>
        <v>Surabaya</v>
      </c>
    </row>
    <row r="732" spans="1:6" x14ac:dyDescent="0.35">
      <c r="A732" s="8" t="s">
        <v>939</v>
      </c>
      <c r="B732" s="4" t="s">
        <v>923</v>
      </c>
      <c r="C732" s="5">
        <v>46012.416666666657</v>
      </c>
      <c r="D732" s="14" t="s">
        <v>20</v>
      </c>
      <c r="E732" s="9">
        <v>0</v>
      </c>
      <c r="F732" t="str">
        <f>VLOOKUP(B732,customers!A:F,6,FALSE)</f>
        <v>Semarang</v>
      </c>
    </row>
    <row r="733" spans="1:6" x14ac:dyDescent="0.35">
      <c r="A733" s="8" t="s">
        <v>940</v>
      </c>
      <c r="B733" s="4" t="s">
        <v>899</v>
      </c>
      <c r="C733" s="5">
        <v>46012.708333333343</v>
      </c>
      <c r="D733" s="4" t="s">
        <v>28</v>
      </c>
      <c r="E733" s="9">
        <v>0.1</v>
      </c>
      <c r="F733" t="str">
        <f>VLOOKUP(B733,customers!A:F,6,FALSE)</f>
        <v>Surabaya</v>
      </c>
    </row>
    <row r="734" spans="1:6" x14ac:dyDescent="0.35">
      <c r="A734" s="8" t="s">
        <v>941</v>
      </c>
      <c r="B734" s="4" t="s">
        <v>942</v>
      </c>
      <c r="C734" s="5">
        <v>46012.875</v>
      </c>
      <c r="D734" s="14" t="s">
        <v>20</v>
      </c>
      <c r="E734" s="9">
        <v>0.1</v>
      </c>
      <c r="F734" t="str">
        <f>VLOOKUP(B734,customers!A:F,6,FALSE)</f>
        <v>Jakarta</v>
      </c>
    </row>
    <row r="735" spans="1:6" x14ac:dyDescent="0.35">
      <c r="A735" s="8" t="s">
        <v>943</v>
      </c>
      <c r="B735" s="4" t="s">
        <v>37</v>
      </c>
      <c r="C735" s="5">
        <v>46013.375</v>
      </c>
      <c r="D735" s="4" t="s">
        <v>28</v>
      </c>
      <c r="E735" s="9">
        <v>0.1</v>
      </c>
      <c r="F735" t="str">
        <f>VLOOKUP(B735,customers!A:F,6,FALSE)</f>
        <v>Palembang</v>
      </c>
    </row>
    <row r="736" spans="1:6" x14ac:dyDescent="0.35">
      <c r="A736" s="8" t="s">
        <v>944</v>
      </c>
      <c r="B736" s="4" t="s">
        <v>945</v>
      </c>
      <c r="C736" s="5">
        <v>46013.375</v>
      </c>
      <c r="D736" s="4" t="s">
        <v>28</v>
      </c>
      <c r="E736" s="9">
        <v>0.15</v>
      </c>
      <c r="F736" t="str">
        <f>VLOOKUP(B736,customers!A:F,6,FALSE)</f>
        <v>Surabaya</v>
      </c>
    </row>
    <row r="737" spans="1:6" x14ac:dyDescent="0.35">
      <c r="A737" s="8" t="s">
        <v>946</v>
      </c>
      <c r="B737" s="4" t="s">
        <v>899</v>
      </c>
      <c r="C737" s="5">
        <v>46013.708333333343</v>
      </c>
      <c r="D737" s="14" t="s">
        <v>20</v>
      </c>
      <c r="E737" s="9">
        <v>0</v>
      </c>
      <c r="F737" t="str">
        <f>VLOOKUP(B737,customers!A:F,6,FALSE)</f>
        <v>Surabaya</v>
      </c>
    </row>
    <row r="738" spans="1:6" x14ac:dyDescent="0.35">
      <c r="A738" s="8" t="s">
        <v>947</v>
      </c>
      <c r="B738" s="4" t="s">
        <v>92</v>
      </c>
      <c r="C738" s="5">
        <v>46013.75</v>
      </c>
      <c r="D738" s="4" t="s">
        <v>28</v>
      </c>
      <c r="E738" s="9">
        <v>0</v>
      </c>
      <c r="F738" t="str">
        <f>VLOOKUP(B738,customers!A:F,6,FALSE)</f>
        <v>Jakarta</v>
      </c>
    </row>
    <row r="739" spans="1:6" x14ac:dyDescent="0.35">
      <c r="A739" s="8" t="s">
        <v>948</v>
      </c>
      <c r="B739" s="4" t="s">
        <v>77</v>
      </c>
      <c r="C739" s="5">
        <v>46013.875</v>
      </c>
      <c r="D739" s="14" t="s">
        <v>20</v>
      </c>
      <c r="E739" s="9">
        <v>0.1</v>
      </c>
      <c r="F739" t="str">
        <f>VLOOKUP(B739,customers!A:F,6,FALSE)</f>
        <v>Yogyakarta</v>
      </c>
    </row>
    <row r="740" spans="1:6" x14ac:dyDescent="0.35">
      <c r="A740" s="8" t="s">
        <v>949</v>
      </c>
      <c r="B740" s="4" t="s">
        <v>923</v>
      </c>
      <c r="C740" s="5">
        <v>46013.875</v>
      </c>
      <c r="D740" s="14" t="s">
        <v>20</v>
      </c>
      <c r="E740" s="9">
        <v>0.1</v>
      </c>
      <c r="F740" t="str">
        <f>VLOOKUP(B740,customers!A:F,6,FALSE)</f>
        <v>Semarang</v>
      </c>
    </row>
    <row r="741" spans="1:6" x14ac:dyDescent="0.35">
      <c r="A741" s="8" t="s">
        <v>950</v>
      </c>
      <c r="B741" s="4" t="s">
        <v>951</v>
      </c>
      <c r="C741" s="5">
        <v>46014.333333333343</v>
      </c>
      <c r="D741" s="14" t="s">
        <v>20</v>
      </c>
      <c r="E741" s="9">
        <v>0</v>
      </c>
      <c r="F741" t="str">
        <f>VLOOKUP(B741,customers!A:F,6,FALSE)</f>
        <v>Depok</v>
      </c>
    </row>
    <row r="742" spans="1:6" x14ac:dyDescent="0.35">
      <c r="A742" s="8" t="s">
        <v>952</v>
      </c>
      <c r="B742" s="4" t="s">
        <v>953</v>
      </c>
      <c r="C742" s="5">
        <v>46014.5</v>
      </c>
      <c r="D742" s="14" t="s">
        <v>20</v>
      </c>
      <c r="E742" s="9">
        <v>0.1</v>
      </c>
      <c r="F742" t="str">
        <f>VLOOKUP(B742,customers!A:F,6,FALSE)</f>
        <v>Medan</v>
      </c>
    </row>
    <row r="743" spans="1:6" x14ac:dyDescent="0.35">
      <c r="A743" s="8" t="s">
        <v>954</v>
      </c>
      <c r="B743" s="4" t="s">
        <v>923</v>
      </c>
      <c r="C743" s="5">
        <v>46014.5</v>
      </c>
      <c r="D743" s="14" t="s">
        <v>20</v>
      </c>
      <c r="E743" s="9">
        <v>0.1</v>
      </c>
      <c r="F743" t="str">
        <f>VLOOKUP(B743,customers!A:F,6,FALSE)</f>
        <v>Semarang</v>
      </c>
    </row>
    <row r="744" spans="1:6" x14ac:dyDescent="0.35">
      <c r="A744" s="8" t="s">
        <v>955</v>
      </c>
      <c r="B744" s="4" t="s">
        <v>951</v>
      </c>
      <c r="C744" s="5">
        <v>46014.541666666657</v>
      </c>
      <c r="D744" s="4" t="s">
        <v>28</v>
      </c>
      <c r="E744" s="9">
        <v>0</v>
      </c>
      <c r="F744" t="str">
        <f>VLOOKUP(B744,customers!A:F,6,FALSE)</f>
        <v>Depok</v>
      </c>
    </row>
    <row r="745" spans="1:6" x14ac:dyDescent="0.35">
      <c r="A745" s="8" t="s">
        <v>956</v>
      </c>
      <c r="B745" s="4" t="s">
        <v>931</v>
      </c>
      <c r="C745" s="5">
        <v>46014.625</v>
      </c>
      <c r="D745" s="4" t="s">
        <v>46</v>
      </c>
      <c r="E745" s="9">
        <v>0.1</v>
      </c>
      <c r="F745" t="str">
        <f>VLOOKUP(B745,customers!A:F,6,FALSE)</f>
        <v>Depok</v>
      </c>
    </row>
    <row r="746" spans="1:6" x14ac:dyDescent="0.35">
      <c r="A746" s="8" t="s">
        <v>957</v>
      </c>
      <c r="B746" s="4" t="s">
        <v>418</v>
      </c>
      <c r="C746" s="5">
        <v>46014.666666666657</v>
      </c>
      <c r="D746" s="14" t="s">
        <v>20</v>
      </c>
      <c r="E746" s="9">
        <v>0.05</v>
      </c>
      <c r="F746" t="str">
        <f>VLOOKUP(B746,customers!A:F,6,FALSE)</f>
        <v>Surabaya</v>
      </c>
    </row>
    <row r="747" spans="1:6" x14ac:dyDescent="0.35">
      <c r="A747" s="8" t="s">
        <v>958</v>
      </c>
      <c r="B747" s="4" t="s">
        <v>923</v>
      </c>
      <c r="C747" s="5">
        <v>46014.75</v>
      </c>
      <c r="D747" s="14" t="s">
        <v>20</v>
      </c>
      <c r="E747" s="9">
        <v>0.05</v>
      </c>
      <c r="F747" t="str">
        <f>VLOOKUP(B747,customers!A:F,6,FALSE)</f>
        <v>Semarang</v>
      </c>
    </row>
    <row r="748" spans="1:6" x14ac:dyDescent="0.35">
      <c r="A748" s="8" t="s">
        <v>959</v>
      </c>
      <c r="B748" s="4" t="s">
        <v>182</v>
      </c>
      <c r="C748" s="5">
        <v>46014.75</v>
      </c>
      <c r="D748" s="4" t="s">
        <v>46</v>
      </c>
      <c r="E748" s="9">
        <v>0</v>
      </c>
      <c r="F748" t="str">
        <f>VLOOKUP(B748,customers!A:F,6,FALSE)</f>
        <v>Makassar</v>
      </c>
    </row>
    <row r="749" spans="1:6" x14ac:dyDescent="0.35">
      <c r="A749" s="8" t="s">
        <v>960</v>
      </c>
      <c r="B749" s="4" t="s">
        <v>423</v>
      </c>
      <c r="C749" s="5">
        <v>46014.916666666657</v>
      </c>
      <c r="D749" s="14" t="s">
        <v>20</v>
      </c>
      <c r="E749" s="9">
        <v>0.05</v>
      </c>
      <c r="F749" t="str">
        <f>VLOOKUP(B749,customers!A:F,6,FALSE)</f>
        <v>Yogyakarta</v>
      </c>
    </row>
    <row r="750" spans="1:6" x14ac:dyDescent="0.35">
      <c r="A750" s="8" t="s">
        <v>961</v>
      </c>
      <c r="B750" s="4" t="s">
        <v>187</v>
      </c>
      <c r="C750" s="5">
        <v>46015.458333333343</v>
      </c>
      <c r="D750" s="14" t="s">
        <v>20</v>
      </c>
      <c r="E750" s="9">
        <v>0</v>
      </c>
      <c r="F750" t="str">
        <f>VLOOKUP(B750,customers!A:F,6,FALSE)</f>
        <v>Denpasar</v>
      </c>
    </row>
    <row r="751" spans="1:6" x14ac:dyDescent="0.35">
      <c r="A751" s="8" t="s">
        <v>962</v>
      </c>
      <c r="B751" s="4" t="s">
        <v>640</v>
      </c>
      <c r="C751" s="5">
        <v>46015.708333333343</v>
      </c>
      <c r="D751" s="14" t="s">
        <v>20</v>
      </c>
      <c r="E751" s="9">
        <v>0.05</v>
      </c>
      <c r="F751" t="str">
        <f>VLOOKUP(B751,customers!A:F,6,FALSE)</f>
        <v>Makassar</v>
      </c>
    </row>
    <row r="752" spans="1:6" x14ac:dyDescent="0.35">
      <c r="A752" s="8" t="s">
        <v>963</v>
      </c>
      <c r="B752" s="4" t="s">
        <v>94</v>
      </c>
      <c r="C752" s="5">
        <v>46015.791666666657</v>
      </c>
      <c r="D752" s="14" t="s">
        <v>20</v>
      </c>
      <c r="E752" s="9">
        <v>0</v>
      </c>
      <c r="F752" t="str">
        <f>VLOOKUP(B752,customers!A:F,6,FALSE)</f>
        <v>Jakarta</v>
      </c>
    </row>
    <row r="753" spans="1:6" x14ac:dyDescent="0.35">
      <c r="A753" s="8" t="s">
        <v>964</v>
      </c>
      <c r="B753" s="4" t="s">
        <v>447</v>
      </c>
      <c r="C753" s="5">
        <v>46015.875</v>
      </c>
      <c r="D753" s="14" t="s">
        <v>20</v>
      </c>
      <c r="E753" s="9">
        <v>0</v>
      </c>
      <c r="F753" t="str">
        <f>VLOOKUP(B753,customers!A:F,6,FALSE)</f>
        <v>Palembang</v>
      </c>
    </row>
    <row r="754" spans="1:6" x14ac:dyDescent="0.35">
      <c r="A754" s="8" t="s">
        <v>965</v>
      </c>
      <c r="B754" s="4" t="s">
        <v>477</v>
      </c>
      <c r="C754" s="5">
        <v>46015.916666666657</v>
      </c>
      <c r="D754" s="14" t="s">
        <v>20</v>
      </c>
      <c r="E754" s="9">
        <v>0.15</v>
      </c>
      <c r="F754" t="str">
        <f>VLOOKUP(B754,customers!A:F,6,FALSE)</f>
        <v>Palembang</v>
      </c>
    </row>
    <row r="755" spans="1:6" x14ac:dyDescent="0.35">
      <c r="A755" s="8" t="s">
        <v>966</v>
      </c>
      <c r="B755" s="4" t="s">
        <v>77</v>
      </c>
      <c r="C755" s="5">
        <v>46016.5</v>
      </c>
      <c r="D755" s="14" t="s">
        <v>20</v>
      </c>
      <c r="E755" s="9">
        <v>0</v>
      </c>
      <c r="F755" t="str">
        <f>VLOOKUP(B755,customers!A:F,6,FALSE)</f>
        <v>Yogyakarta</v>
      </c>
    </row>
    <row r="756" spans="1:6" x14ac:dyDescent="0.35">
      <c r="A756" s="8" t="s">
        <v>967</v>
      </c>
      <c r="B756" s="4" t="s">
        <v>923</v>
      </c>
      <c r="C756" s="5">
        <v>46016.5</v>
      </c>
      <c r="D756" s="14" t="s">
        <v>20</v>
      </c>
      <c r="E756" s="9">
        <v>0</v>
      </c>
      <c r="F756" t="str">
        <f>VLOOKUP(B756,customers!A:F,6,FALSE)</f>
        <v>Semarang</v>
      </c>
    </row>
    <row r="757" spans="1:6" x14ac:dyDescent="0.35">
      <c r="A757" s="8" t="s">
        <v>968</v>
      </c>
      <c r="B757" s="4" t="s">
        <v>214</v>
      </c>
      <c r="C757" s="5">
        <v>46016.5</v>
      </c>
      <c r="D757" s="14" t="s">
        <v>20</v>
      </c>
      <c r="E757" s="9">
        <v>0</v>
      </c>
      <c r="F757" t="str">
        <f>VLOOKUP(B757,customers!A:F,6,FALSE)</f>
        <v>Denpasar</v>
      </c>
    </row>
    <row r="758" spans="1:6" x14ac:dyDescent="0.35">
      <c r="A758" s="8" t="s">
        <v>969</v>
      </c>
      <c r="B758" s="4" t="s">
        <v>951</v>
      </c>
      <c r="C758" s="5">
        <v>46016.5</v>
      </c>
      <c r="D758" s="4" t="s">
        <v>46</v>
      </c>
      <c r="E758" s="9">
        <v>0</v>
      </c>
      <c r="F758" t="str">
        <f>VLOOKUP(B758,customers!A:F,6,FALSE)</f>
        <v>Depok</v>
      </c>
    </row>
    <row r="759" spans="1:6" x14ac:dyDescent="0.35">
      <c r="A759" s="8" t="s">
        <v>970</v>
      </c>
      <c r="B759" s="4" t="s">
        <v>502</v>
      </c>
      <c r="C759" s="5">
        <v>46016.583333333343</v>
      </c>
      <c r="D759" s="14" t="s">
        <v>20</v>
      </c>
      <c r="E759" s="9">
        <v>0</v>
      </c>
      <c r="F759" t="str">
        <f>VLOOKUP(B759,customers!A:F,6,FALSE)</f>
        <v>Palembang</v>
      </c>
    </row>
    <row r="760" spans="1:6" x14ac:dyDescent="0.35">
      <c r="A760" s="8" t="s">
        <v>971</v>
      </c>
      <c r="B760" s="4" t="s">
        <v>208</v>
      </c>
      <c r="C760" s="5">
        <v>46016.625</v>
      </c>
      <c r="D760" s="14" t="s">
        <v>20</v>
      </c>
      <c r="E760" s="9">
        <v>0</v>
      </c>
      <c r="F760" t="str">
        <f>VLOOKUP(B760,customers!A:F,6,FALSE)</f>
        <v>Jakarta</v>
      </c>
    </row>
    <row r="761" spans="1:6" x14ac:dyDescent="0.35">
      <c r="A761" s="8" t="s">
        <v>972</v>
      </c>
      <c r="B761" s="4" t="s">
        <v>113</v>
      </c>
      <c r="C761" s="5">
        <v>46016.625</v>
      </c>
      <c r="D761" s="4" t="s">
        <v>46</v>
      </c>
      <c r="E761" s="9">
        <v>0</v>
      </c>
      <c r="F761" t="str">
        <f>VLOOKUP(B761,customers!A:F,6,FALSE)</f>
        <v>Medan</v>
      </c>
    </row>
    <row r="762" spans="1:6" x14ac:dyDescent="0.35">
      <c r="A762" s="8" t="s">
        <v>973</v>
      </c>
      <c r="B762" s="4" t="s">
        <v>974</v>
      </c>
      <c r="C762" s="5">
        <v>46016.708333333343</v>
      </c>
      <c r="D762" s="4" t="s">
        <v>46</v>
      </c>
      <c r="E762" s="9">
        <v>0</v>
      </c>
      <c r="F762" t="str">
        <f>VLOOKUP(B762,customers!A:F,6,FALSE)</f>
        <v>Jakarta</v>
      </c>
    </row>
    <row r="763" spans="1:6" x14ac:dyDescent="0.35">
      <c r="A763" s="8" t="s">
        <v>975</v>
      </c>
      <c r="B763" s="4" t="s">
        <v>37</v>
      </c>
      <c r="C763" s="5">
        <v>46016.833333333343</v>
      </c>
      <c r="D763" s="4" t="s">
        <v>46</v>
      </c>
      <c r="E763" s="9">
        <v>0</v>
      </c>
      <c r="F763" t="str">
        <f>VLOOKUP(B763,customers!A:F,6,FALSE)</f>
        <v>Palembang</v>
      </c>
    </row>
    <row r="764" spans="1:6" x14ac:dyDescent="0.35">
      <c r="A764" s="8" t="s">
        <v>976</v>
      </c>
      <c r="B764" s="4" t="s">
        <v>951</v>
      </c>
      <c r="C764" s="5">
        <v>46016.916666666657</v>
      </c>
      <c r="D764" s="4" t="s">
        <v>46</v>
      </c>
      <c r="E764" s="9">
        <v>0</v>
      </c>
      <c r="F764" t="str">
        <f>VLOOKUP(B764,customers!A:F,6,FALSE)</f>
        <v>Depok</v>
      </c>
    </row>
    <row r="765" spans="1:6" x14ac:dyDescent="0.35">
      <c r="A765" s="8" t="s">
        <v>977</v>
      </c>
      <c r="B765" s="4" t="s">
        <v>899</v>
      </c>
      <c r="C765" s="5">
        <v>46017.375</v>
      </c>
      <c r="D765" s="4" t="s">
        <v>28</v>
      </c>
      <c r="E765" s="9">
        <v>0.2</v>
      </c>
      <c r="F765" t="str">
        <f>VLOOKUP(B765,customers!A:F,6,FALSE)</f>
        <v>Surabaya</v>
      </c>
    </row>
    <row r="766" spans="1:6" x14ac:dyDescent="0.35">
      <c r="A766" s="8" t="s">
        <v>978</v>
      </c>
      <c r="B766" s="4" t="s">
        <v>687</v>
      </c>
      <c r="C766" s="5">
        <v>46017.416666666657</v>
      </c>
      <c r="D766" s="14" t="s">
        <v>20</v>
      </c>
      <c r="E766" s="9">
        <v>0.05</v>
      </c>
      <c r="F766" t="str">
        <f>VLOOKUP(B766,customers!A:F,6,FALSE)</f>
        <v>Depok</v>
      </c>
    </row>
    <row r="767" spans="1:6" x14ac:dyDescent="0.35">
      <c r="A767" s="8" t="s">
        <v>979</v>
      </c>
      <c r="B767" s="4" t="s">
        <v>980</v>
      </c>
      <c r="C767" s="5">
        <v>46017.5</v>
      </c>
      <c r="D767" s="14" t="s">
        <v>20</v>
      </c>
      <c r="E767" s="9">
        <v>0</v>
      </c>
      <c r="F767" t="str">
        <f>VLOOKUP(B767,customers!A:F,6,FALSE)</f>
        <v>Jakarta</v>
      </c>
    </row>
    <row r="768" spans="1:6" x14ac:dyDescent="0.35">
      <c r="A768" s="8" t="s">
        <v>981</v>
      </c>
      <c r="B768" s="4" t="s">
        <v>980</v>
      </c>
      <c r="C768" s="5">
        <v>46017.5</v>
      </c>
      <c r="D768" s="14" t="s">
        <v>20</v>
      </c>
      <c r="E768" s="9">
        <v>0</v>
      </c>
      <c r="F768" t="str">
        <f>VLOOKUP(B768,customers!A:F,6,FALSE)</f>
        <v>Jakarta</v>
      </c>
    </row>
    <row r="769" spans="1:6" x14ac:dyDescent="0.35">
      <c r="A769" s="8" t="s">
        <v>982</v>
      </c>
      <c r="B769" s="4" t="s">
        <v>289</v>
      </c>
      <c r="C769" s="5">
        <v>46017.583333333343</v>
      </c>
      <c r="D769" s="14" t="s">
        <v>20</v>
      </c>
      <c r="E769" s="9">
        <v>0</v>
      </c>
      <c r="F769" t="str">
        <f>VLOOKUP(B769,customers!A:F,6,FALSE)</f>
        <v>Medan</v>
      </c>
    </row>
    <row r="770" spans="1:6" x14ac:dyDescent="0.35">
      <c r="A770" s="8" t="s">
        <v>983</v>
      </c>
      <c r="B770" s="4" t="s">
        <v>923</v>
      </c>
      <c r="C770" s="5">
        <v>46017.583333333343</v>
      </c>
      <c r="D770" s="14" t="s">
        <v>20</v>
      </c>
      <c r="E770" s="9">
        <v>0.1</v>
      </c>
      <c r="F770" t="str">
        <f>VLOOKUP(B770,customers!A:F,6,FALSE)</f>
        <v>Semarang</v>
      </c>
    </row>
    <row r="771" spans="1:6" x14ac:dyDescent="0.35">
      <c r="A771" s="8" t="s">
        <v>984</v>
      </c>
      <c r="B771" s="4" t="s">
        <v>931</v>
      </c>
      <c r="C771" s="5">
        <v>46017.916666666657</v>
      </c>
      <c r="D771" s="4" t="s">
        <v>28</v>
      </c>
      <c r="E771" s="9">
        <v>0</v>
      </c>
      <c r="F771" t="str">
        <f>VLOOKUP(B771,customers!A:F,6,FALSE)</f>
        <v>Depok</v>
      </c>
    </row>
    <row r="772" spans="1:6" x14ac:dyDescent="0.35">
      <c r="A772" s="8" t="s">
        <v>985</v>
      </c>
      <c r="B772" s="4" t="s">
        <v>679</v>
      </c>
      <c r="C772" s="5">
        <v>46018.333333333343</v>
      </c>
      <c r="D772" s="4" t="s">
        <v>46</v>
      </c>
      <c r="E772" s="9">
        <v>0</v>
      </c>
      <c r="F772" t="str">
        <f>VLOOKUP(B772,customers!A:F,6,FALSE)</f>
        <v>Palembang</v>
      </c>
    </row>
    <row r="773" spans="1:6" x14ac:dyDescent="0.35">
      <c r="A773" s="8" t="s">
        <v>986</v>
      </c>
      <c r="B773" s="4" t="s">
        <v>225</v>
      </c>
      <c r="C773" s="5">
        <v>46018.625</v>
      </c>
      <c r="D773" s="14" t="s">
        <v>20</v>
      </c>
      <c r="E773" s="9">
        <v>0</v>
      </c>
      <c r="F773" t="str">
        <f>VLOOKUP(B773,customers!A:F,6,FALSE)</f>
        <v>Surabaya</v>
      </c>
    </row>
    <row r="774" spans="1:6" x14ac:dyDescent="0.35">
      <c r="A774" s="8" t="s">
        <v>987</v>
      </c>
      <c r="B774" s="4" t="s">
        <v>988</v>
      </c>
      <c r="C774" s="5">
        <v>46018.75</v>
      </c>
      <c r="D774" s="14" t="s">
        <v>20</v>
      </c>
      <c r="E774" s="9">
        <v>0</v>
      </c>
      <c r="F774" t="str">
        <f>VLOOKUP(B774,customers!A:F,6,FALSE)</f>
        <v>Palembang</v>
      </c>
    </row>
    <row r="775" spans="1:6" x14ac:dyDescent="0.35">
      <c r="A775" s="8" t="s">
        <v>989</v>
      </c>
      <c r="B775" s="4" t="s">
        <v>953</v>
      </c>
      <c r="C775" s="5">
        <v>46018.791666666657</v>
      </c>
      <c r="D775" s="4" t="s">
        <v>46</v>
      </c>
      <c r="E775" s="9">
        <v>0</v>
      </c>
      <c r="F775" t="str">
        <f>VLOOKUP(B775,customers!A:F,6,FALSE)</f>
        <v>Medan</v>
      </c>
    </row>
    <row r="776" spans="1:6" x14ac:dyDescent="0.35">
      <c r="A776" s="8" t="s">
        <v>990</v>
      </c>
      <c r="B776" s="4" t="s">
        <v>218</v>
      </c>
      <c r="C776" s="5">
        <v>46019.333333333343</v>
      </c>
      <c r="D776" s="14" t="s">
        <v>20</v>
      </c>
      <c r="E776" s="9">
        <v>0.2</v>
      </c>
      <c r="F776" t="str">
        <f>VLOOKUP(B776,customers!A:F,6,FALSE)</f>
        <v>Denpasar</v>
      </c>
    </row>
    <row r="777" spans="1:6" x14ac:dyDescent="0.35">
      <c r="A777" s="8" t="s">
        <v>991</v>
      </c>
      <c r="B777" s="4" t="s">
        <v>180</v>
      </c>
      <c r="C777" s="5">
        <v>46019.416666666657</v>
      </c>
      <c r="D777" s="14" t="s">
        <v>20</v>
      </c>
      <c r="E777" s="9">
        <v>0.05</v>
      </c>
      <c r="F777" t="str">
        <f>VLOOKUP(B777,customers!A:F,6,FALSE)</f>
        <v>Jakarta</v>
      </c>
    </row>
    <row r="778" spans="1:6" x14ac:dyDescent="0.35">
      <c r="A778" s="8" t="s">
        <v>992</v>
      </c>
      <c r="B778" s="4" t="s">
        <v>974</v>
      </c>
      <c r="C778" s="5">
        <v>46019.458333333343</v>
      </c>
      <c r="D778" s="4" t="s">
        <v>46</v>
      </c>
      <c r="E778" s="9">
        <v>0</v>
      </c>
      <c r="F778" t="str">
        <f>VLOOKUP(B778,customers!A:F,6,FALSE)</f>
        <v>Jakarta</v>
      </c>
    </row>
    <row r="779" spans="1:6" x14ac:dyDescent="0.35">
      <c r="A779" s="8" t="s">
        <v>993</v>
      </c>
      <c r="B779" s="4" t="s">
        <v>951</v>
      </c>
      <c r="C779" s="5">
        <v>46019.5</v>
      </c>
      <c r="D779" s="4" t="s">
        <v>28</v>
      </c>
      <c r="E779" s="9">
        <v>0.1</v>
      </c>
      <c r="F779" t="str">
        <f>VLOOKUP(B779,customers!A:F,6,FALSE)</f>
        <v>Depok</v>
      </c>
    </row>
    <row r="780" spans="1:6" x14ac:dyDescent="0.35">
      <c r="A780" s="8" t="s">
        <v>994</v>
      </c>
      <c r="B780" s="4" t="s">
        <v>980</v>
      </c>
      <c r="C780" s="5">
        <v>46019.625</v>
      </c>
      <c r="D780" s="4" t="s">
        <v>28</v>
      </c>
      <c r="E780" s="9">
        <v>0.1</v>
      </c>
      <c r="F780" t="str">
        <f>VLOOKUP(B780,customers!A:F,6,FALSE)</f>
        <v>Jakarta</v>
      </c>
    </row>
    <row r="781" spans="1:6" x14ac:dyDescent="0.35">
      <c r="A781" s="8" t="s">
        <v>995</v>
      </c>
      <c r="B781" s="4" t="s">
        <v>889</v>
      </c>
      <c r="C781" s="5">
        <v>46019.666666666657</v>
      </c>
      <c r="D781" s="4" t="s">
        <v>46</v>
      </c>
      <c r="E781" s="9">
        <v>0</v>
      </c>
      <c r="F781" t="str">
        <f>VLOOKUP(B781,customers!A:F,6,FALSE)</f>
        <v>Surabaya</v>
      </c>
    </row>
    <row r="782" spans="1:6" x14ac:dyDescent="0.35">
      <c r="A782" s="8" t="s">
        <v>996</v>
      </c>
      <c r="B782" s="4" t="s">
        <v>931</v>
      </c>
      <c r="C782" s="5">
        <v>46019.875</v>
      </c>
      <c r="D782" s="14" t="s">
        <v>20</v>
      </c>
      <c r="E782" s="9">
        <v>0.2</v>
      </c>
      <c r="F782" t="str">
        <f>VLOOKUP(B782,customers!A:F,6,FALSE)</f>
        <v>Depok</v>
      </c>
    </row>
    <row r="783" spans="1:6" x14ac:dyDescent="0.35">
      <c r="A783" s="8" t="s">
        <v>997</v>
      </c>
      <c r="B783" s="4" t="s">
        <v>468</v>
      </c>
      <c r="C783" s="5">
        <v>46019.916666666657</v>
      </c>
      <c r="D783" s="14" t="s">
        <v>20</v>
      </c>
      <c r="E783" s="9">
        <v>0</v>
      </c>
      <c r="F783" t="str">
        <f>VLOOKUP(B783,customers!A:F,6,FALSE)</f>
        <v>Surabaya</v>
      </c>
    </row>
    <row r="784" spans="1:6" x14ac:dyDescent="0.35">
      <c r="A784" s="8" t="s">
        <v>998</v>
      </c>
      <c r="B784" s="4" t="s">
        <v>42</v>
      </c>
      <c r="C784" s="5">
        <v>46019.916666666657</v>
      </c>
      <c r="D784" s="4" t="s">
        <v>46</v>
      </c>
      <c r="E784" s="9">
        <v>0</v>
      </c>
      <c r="F784" t="str">
        <f>VLOOKUP(B784,customers!A:F,6,FALSE)</f>
        <v>Denpasar</v>
      </c>
    </row>
    <row r="785" spans="1:6" x14ac:dyDescent="0.35">
      <c r="A785" s="8" t="s">
        <v>999</v>
      </c>
      <c r="B785" s="4" t="s">
        <v>988</v>
      </c>
      <c r="C785" s="5">
        <v>46020.333333333343</v>
      </c>
      <c r="D785" s="14" t="s">
        <v>20</v>
      </c>
      <c r="E785" s="9">
        <v>0</v>
      </c>
      <c r="F785" t="str">
        <f>VLOOKUP(B785,customers!A:F,6,FALSE)</f>
        <v>Palembang</v>
      </c>
    </row>
    <row r="786" spans="1:6" x14ac:dyDescent="0.35">
      <c r="A786" s="8" t="s">
        <v>1000</v>
      </c>
      <c r="B786" s="4" t="s">
        <v>942</v>
      </c>
      <c r="C786" s="5">
        <v>46020.333333333343</v>
      </c>
      <c r="D786" s="14" t="s">
        <v>20</v>
      </c>
      <c r="E786" s="9">
        <v>0.2</v>
      </c>
      <c r="F786" t="str">
        <f>VLOOKUP(B786,customers!A:F,6,FALSE)</f>
        <v>Jakarta</v>
      </c>
    </row>
    <row r="787" spans="1:6" x14ac:dyDescent="0.35">
      <c r="A787" s="8" t="s">
        <v>1001</v>
      </c>
      <c r="B787" s="4" t="s">
        <v>951</v>
      </c>
      <c r="C787" s="5">
        <v>46020.5</v>
      </c>
      <c r="D787" s="14" t="s">
        <v>20</v>
      </c>
      <c r="E787" s="9">
        <v>0.05</v>
      </c>
      <c r="F787" t="str">
        <f>VLOOKUP(B787,customers!A:F,6,FALSE)</f>
        <v>Depok</v>
      </c>
    </row>
    <row r="788" spans="1:6" x14ac:dyDescent="0.35">
      <c r="A788" s="8" t="s">
        <v>1002</v>
      </c>
      <c r="B788" s="4" t="s">
        <v>974</v>
      </c>
      <c r="C788" s="5">
        <v>46020.666666666657</v>
      </c>
      <c r="D788" s="4" t="s">
        <v>28</v>
      </c>
      <c r="E788" s="9">
        <v>0</v>
      </c>
      <c r="F788" t="str">
        <f>VLOOKUP(B788,customers!A:F,6,FALSE)</f>
        <v>Jakarta</v>
      </c>
    </row>
    <row r="789" spans="1:6" x14ac:dyDescent="0.35">
      <c r="A789" s="8" t="s">
        <v>1003</v>
      </c>
      <c r="B789" s="4" t="s">
        <v>974</v>
      </c>
      <c r="C789" s="5">
        <v>46020.666666666657</v>
      </c>
      <c r="D789" s="14" t="s">
        <v>20</v>
      </c>
      <c r="E789" s="9">
        <v>0.15</v>
      </c>
      <c r="F789" t="str">
        <f>VLOOKUP(B789,customers!A:F,6,FALSE)</f>
        <v>Jakarta</v>
      </c>
    </row>
    <row r="790" spans="1:6" x14ac:dyDescent="0.35">
      <c r="A790" s="8" t="s">
        <v>1004</v>
      </c>
      <c r="B790" s="4" t="s">
        <v>942</v>
      </c>
      <c r="C790" s="5">
        <v>46020.875</v>
      </c>
      <c r="D790" s="14" t="s">
        <v>20</v>
      </c>
      <c r="E790" s="9">
        <v>0</v>
      </c>
      <c r="F790" t="str">
        <f>VLOOKUP(B790,customers!A:F,6,FALSE)</f>
        <v>Jakarta</v>
      </c>
    </row>
    <row r="791" spans="1:6" x14ac:dyDescent="0.35">
      <c r="A791" s="8" t="s">
        <v>1005</v>
      </c>
      <c r="B791" s="4" t="s">
        <v>951</v>
      </c>
      <c r="C791" s="5">
        <v>46020.875</v>
      </c>
      <c r="D791" s="14" t="s">
        <v>20</v>
      </c>
      <c r="E791" s="9">
        <v>0</v>
      </c>
      <c r="F791" t="str">
        <f>VLOOKUP(B791,customers!A:F,6,FALSE)</f>
        <v>Depok</v>
      </c>
    </row>
    <row r="792" spans="1:6" x14ac:dyDescent="0.35">
      <c r="A792" s="8" t="s">
        <v>1006</v>
      </c>
      <c r="B792" s="4" t="s">
        <v>988</v>
      </c>
      <c r="C792" s="5">
        <v>46021.666666666657</v>
      </c>
      <c r="D792" s="14" t="s">
        <v>20</v>
      </c>
      <c r="E792" s="9">
        <v>0</v>
      </c>
      <c r="F792" t="str">
        <f>VLOOKUP(B792,customers!A:F,6,FALSE)</f>
        <v>Palembang</v>
      </c>
    </row>
    <row r="793" spans="1:6" x14ac:dyDescent="0.35">
      <c r="A793" s="8" t="s">
        <v>1007</v>
      </c>
      <c r="B793" s="4" t="s">
        <v>1008</v>
      </c>
      <c r="C793" s="5">
        <v>46022.375</v>
      </c>
      <c r="D793" s="14" t="s">
        <v>20</v>
      </c>
      <c r="E793" s="9">
        <v>0</v>
      </c>
      <c r="F793" t="str">
        <f>VLOOKUP(B793,customers!A:F,6,FALSE)</f>
        <v>Semarang</v>
      </c>
    </row>
    <row r="794" spans="1:6" x14ac:dyDescent="0.35">
      <c r="A794" s="8" t="s">
        <v>1009</v>
      </c>
      <c r="B794" s="4" t="s">
        <v>1008</v>
      </c>
      <c r="C794" s="5">
        <v>46022.541666666657</v>
      </c>
      <c r="D794" s="14" t="s">
        <v>20</v>
      </c>
      <c r="E794" s="9">
        <v>0</v>
      </c>
      <c r="F794" t="str">
        <f>VLOOKUP(B794,customers!A:F,6,FALSE)</f>
        <v>Semarang</v>
      </c>
    </row>
    <row r="795" spans="1:6" x14ac:dyDescent="0.35">
      <c r="A795" s="8" t="s">
        <v>1010</v>
      </c>
      <c r="B795" s="4" t="s">
        <v>953</v>
      </c>
      <c r="C795" s="5">
        <v>46023.416666666657</v>
      </c>
      <c r="D795" s="14" t="s">
        <v>20</v>
      </c>
      <c r="E795" s="9">
        <v>0.15</v>
      </c>
      <c r="F795" t="str">
        <f>VLOOKUP(B795,customers!A:F,6,FALSE)</f>
        <v>Medan</v>
      </c>
    </row>
    <row r="796" spans="1:6" x14ac:dyDescent="0.35">
      <c r="A796" s="8" t="s">
        <v>1011</v>
      </c>
      <c r="B796" s="4" t="s">
        <v>980</v>
      </c>
      <c r="C796" s="5">
        <v>46023.708333333343</v>
      </c>
      <c r="D796" s="14" t="s">
        <v>20</v>
      </c>
      <c r="E796" s="9">
        <v>0</v>
      </c>
      <c r="F796" t="str">
        <f>VLOOKUP(B796,customers!A:F,6,FALSE)</f>
        <v>Jakarta</v>
      </c>
    </row>
    <row r="797" spans="1:6" x14ac:dyDescent="0.35">
      <c r="A797" s="8" t="s">
        <v>1012</v>
      </c>
      <c r="B797" s="4" t="s">
        <v>1013</v>
      </c>
      <c r="C797" s="5">
        <v>46024.833333333343</v>
      </c>
      <c r="D797" s="4" t="s">
        <v>46</v>
      </c>
      <c r="E797" s="9">
        <v>0</v>
      </c>
      <c r="F797" t="str">
        <f>VLOOKUP(B797,customers!A:F,6,FALSE)</f>
        <v>Makassar</v>
      </c>
    </row>
    <row r="798" spans="1:6" x14ac:dyDescent="0.35">
      <c r="A798" s="8" t="s">
        <v>1014</v>
      </c>
      <c r="B798" s="4" t="s">
        <v>980</v>
      </c>
      <c r="C798" s="5">
        <v>46025.458333333343</v>
      </c>
      <c r="D798" s="14" t="s">
        <v>20</v>
      </c>
      <c r="E798" s="9">
        <v>0</v>
      </c>
      <c r="F798" t="str">
        <f>VLOOKUP(B798,customers!A:F,6,FALSE)</f>
        <v>Jakarta</v>
      </c>
    </row>
    <row r="799" spans="1:6" x14ac:dyDescent="0.35">
      <c r="A799" s="8" t="s">
        <v>1015</v>
      </c>
      <c r="B799" s="4" t="s">
        <v>1013</v>
      </c>
      <c r="C799" s="5">
        <v>46025.5</v>
      </c>
      <c r="D799" s="14" t="s">
        <v>20</v>
      </c>
      <c r="E799" s="9">
        <v>0.1</v>
      </c>
      <c r="F799" t="str">
        <f>VLOOKUP(B799,customers!A:F,6,FALSE)</f>
        <v>Makassar</v>
      </c>
    </row>
    <row r="800" spans="1:6" x14ac:dyDescent="0.35">
      <c r="A800" s="8" t="s">
        <v>1016</v>
      </c>
      <c r="B800" s="4" t="s">
        <v>1013</v>
      </c>
      <c r="C800" s="5">
        <v>46026.333333333343</v>
      </c>
      <c r="D800" s="14" t="s">
        <v>20</v>
      </c>
      <c r="E800" s="9">
        <v>0</v>
      </c>
      <c r="F800" t="str">
        <f>VLOOKUP(B800,customers!A:F,6,FALSE)</f>
        <v>Makassar</v>
      </c>
    </row>
    <row r="801" spans="1:6" x14ac:dyDescent="0.35">
      <c r="A801" s="13" t="s">
        <v>1017</v>
      </c>
      <c r="B801" s="14" t="s">
        <v>1013</v>
      </c>
      <c r="C801" s="15">
        <v>46030.416666666657</v>
      </c>
      <c r="D801" s="14" t="s">
        <v>20</v>
      </c>
      <c r="E801" s="16">
        <v>0</v>
      </c>
      <c r="F801" t="str">
        <f>VLOOKUP(B801,customers!A:F,6,FALSE)</f>
        <v>Makassar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59"/>
  <sheetViews>
    <sheetView zoomScale="83" zoomScaleNormal="83" workbookViewId="0">
      <pane ySplit="1" topLeftCell="A104" activePane="bottomLeft" state="frozen"/>
      <selection pane="bottomLeft" activeCell="H93" sqref="H93"/>
    </sheetView>
  </sheetViews>
  <sheetFormatPr defaultRowHeight="14.5" x14ac:dyDescent="0.35"/>
  <cols>
    <col min="1" max="2" width="11" customWidth="1"/>
    <col min="3" max="3" width="13" customWidth="1"/>
    <col min="4" max="4" width="10" customWidth="1"/>
    <col min="5" max="5" width="15" customWidth="1"/>
    <col min="6" max="6" width="26.54296875" customWidth="1"/>
    <col min="8" max="8" width="13" customWidth="1"/>
    <col min="10" max="10" width="10.7265625" customWidth="1"/>
    <col min="11" max="11" width="10.90625" customWidth="1"/>
  </cols>
  <sheetData>
    <row r="1" spans="1:11" x14ac:dyDescent="0.35">
      <c r="A1" s="3" t="s">
        <v>1018</v>
      </c>
      <c r="B1" s="3" t="s">
        <v>13</v>
      </c>
      <c r="C1" s="3" t="s">
        <v>1019</v>
      </c>
      <c r="D1" s="3" t="s">
        <v>1020</v>
      </c>
      <c r="E1" s="3" t="s">
        <v>1021</v>
      </c>
      <c r="F1" s="21" t="s">
        <v>2400</v>
      </c>
      <c r="G1" s="21" t="s">
        <v>2671</v>
      </c>
      <c r="H1" s="22" t="s">
        <v>2402</v>
      </c>
      <c r="I1" s="21" t="s">
        <v>2673</v>
      </c>
      <c r="J1" s="21" t="s">
        <v>14</v>
      </c>
      <c r="K1" s="21" t="s">
        <v>2435</v>
      </c>
    </row>
    <row r="2" spans="1:11" x14ac:dyDescent="0.35">
      <c r="A2" s="4" t="s">
        <v>1022</v>
      </c>
      <c r="B2" s="4" t="s">
        <v>281</v>
      </c>
      <c r="C2" s="4" t="s">
        <v>1023</v>
      </c>
      <c r="D2" s="4">
        <v>1</v>
      </c>
      <c r="E2" s="6">
        <v>69000</v>
      </c>
      <c r="F2" t="str">
        <f>VLOOKUP(C2,products!A:C,2,FALSE)</f>
        <v>Lampu LED Hias 5m</v>
      </c>
      <c r="G2">
        <f>D2*E2</f>
        <v>69000</v>
      </c>
      <c r="H2">
        <f>VLOOKUP(C2,products!A:D,4,FALSE)</f>
        <v>30000</v>
      </c>
      <c r="I2">
        <f>(E2-H2)*D2</f>
        <v>39000</v>
      </c>
      <c r="J2" t="str">
        <f>VLOOKUP(B2,orders!A:B,2,FALSE)</f>
        <v>CUST0007</v>
      </c>
      <c r="K2" t="str">
        <f>VLOOKUP(J2,customers!A:F,6,FALSE)</f>
        <v>Yogyakarta</v>
      </c>
    </row>
    <row r="3" spans="1:11" x14ac:dyDescent="0.35">
      <c r="A3" s="4" t="s">
        <v>1024</v>
      </c>
      <c r="B3" s="4" t="s">
        <v>281</v>
      </c>
      <c r="C3" s="4" t="s">
        <v>1025</v>
      </c>
      <c r="D3" s="4">
        <v>1</v>
      </c>
      <c r="E3" s="6">
        <v>179000</v>
      </c>
      <c r="F3" t="str">
        <f>VLOOKUP(C3,products!A:C,2,FALSE)</f>
        <v>Rak Penyimpanan Serbaguna</v>
      </c>
      <c r="G3">
        <f t="shared" ref="G3:G66" si="0">D3*E3</f>
        <v>179000</v>
      </c>
      <c r="H3">
        <f>VLOOKUP(C3,products!A:D,4,FALSE)</f>
        <v>90000</v>
      </c>
      <c r="I3">
        <f t="shared" ref="I3:I66" si="1">(E3-H3)*D3</f>
        <v>89000</v>
      </c>
      <c r="J3" t="str">
        <f>VLOOKUP(B3,orders!A:B,2,FALSE)</f>
        <v>CUST0007</v>
      </c>
      <c r="K3" t="str">
        <f>VLOOKUP(J3,customers!A:F,6,FALSE)</f>
        <v>Yogyakarta</v>
      </c>
    </row>
    <row r="4" spans="1:11" x14ac:dyDescent="0.35">
      <c r="A4" s="4" t="s">
        <v>1026</v>
      </c>
      <c r="B4" s="4" t="s">
        <v>251</v>
      </c>
      <c r="C4" s="4" t="s">
        <v>1023</v>
      </c>
      <c r="D4" s="4">
        <v>3</v>
      </c>
      <c r="E4" s="6">
        <v>69000</v>
      </c>
      <c r="F4" t="str">
        <f>VLOOKUP(C4,products!A:C,2,FALSE)</f>
        <v>Lampu LED Hias 5m</v>
      </c>
      <c r="G4">
        <f t="shared" si="0"/>
        <v>207000</v>
      </c>
      <c r="H4">
        <f>VLOOKUP(C4,products!A:D,4,FALSE)</f>
        <v>30000</v>
      </c>
      <c r="I4">
        <f t="shared" si="1"/>
        <v>117000</v>
      </c>
      <c r="J4" t="str">
        <f>VLOOKUP(B4,orders!A:B,2,FALSE)</f>
        <v>CUST0036</v>
      </c>
      <c r="K4" t="str">
        <f>VLOOKUP(J4,customers!A:F,6,FALSE)</f>
        <v>Yogyakarta</v>
      </c>
    </row>
    <row r="5" spans="1:11" x14ac:dyDescent="0.35">
      <c r="A5" s="4" t="s">
        <v>1027</v>
      </c>
      <c r="B5" s="4" t="s">
        <v>64</v>
      </c>
      <c r="C5" s="4" t="s">
        <v>1023</v>
      </c>
      <c r="D5" s="4">
        <v>3</v>
      </c>
      <c r="E5" s="6">
        <v>69000</v>
      </c>
      <c r="F5" t="str">
        <f>VLOOKUP(C5,products!A:C,2,FALSE)</f>
        <v>Lampu LED Hias 5m</v>
      </c>
      <c r="G5">
        <f t="shared" si="0"/>
        <v>207000</v>
      </c>
      <c r="H5">
        <f>VLOOKUP(C5,products!A:D,4,FALSE)</f>
        <v>30000</v>
      </c>
      <c r="I5">
        <f t="shared" si="1"/>
        <v>117000</v>
      </c>
      <c r="J5" t="str">
        <f>VLOOKUP(B5,orders!A:B,2,FALSE)</f>
        <v>CUST0174</v>
      </c>
      <c r="K5" t="str">
        <f>VLOOKUP(J5,customers!A:F,6,FALSE)</f>
        <v>Makassar</v>
      </c>
    </row>
    <row r="6" spans="1:11" x14ac:dyDescent="0.35">
      <c r="A6" s="4" t="s">
        <v>1028</v>
      </c>
      <c r="B6" s="4" t="s">
        <v>54</v>
      </c>
      <c r="C6" s="4" t="s">
        <v>1029</v>
      </c>
      <c r="D6" s="4">
        <v>3</v>
      </c>
      <c r="E6" s="6">
        <v>39000</v>
      </c>
      <c r="F6" t="str">
        <f>VLOOKUP(C6,products!A:C,2,FALSE)</f>
        <v>Kabel Data USB-C</v>
      </c>
      <c r="G6">
        <f t="shared" si="0"/>
        <v>117000</v>
      </c>
      <c r="H6">
        <f>VLOOKUP(C6,products!A:D,4,FALSE)</f>
        <v>15000</v>
      </c>
      <c r="I6">
        <f t="shared" si="1"/>
        <v>72000</v>
      </c>
      <c r="J6" t="str">
        <f>VLOOKUP(B6,orders!A:B,2,FALSE)</f>
        <v>CUST0109</v>
      </c>
      <c r="K6" t="str">
        <f>VLOOKUP(J6,customers!A:F,6,FALSE)</f>
        <v>Surabaya</v>
      </c>
    </row>
    <row r="7" spans="1:11" x14ac:dyDescent="0.35">
      <c r="A7" s="4" t="s">
        <v>1030</v>
      </c>
      <c r="B7" s="4" t="s">
        <v>54</v>
      </c>
      <c r="C7" s="4" t="s">
        <v>1031</v>
      </c>
      <c r="D7" s="4">
        <v>1</v>
      </c>
      <c r="E7" s="6">
        <v>79000</v>
      </c>
      <c r="F7" t="str">
        <f>VLOOKUP(C7,products!A:C,2,FALSE)</f>
        <v>Kaos Polos Cotton Combed</v>
      </c>
      <c r="G7">
        <f t="shared" si="0"/>
        <v>79000</v>
      </c>
      <c r="H7">
        <f>VLOOKUP(C7,products!A:D,4,FALSE)</f>
        <v>35000</v>
      </c>
      <c r="I7">
        <f t="shared" si="1"/>
        <v>44000</v>
      </c>
      <c r="J7" t="str">
        <f>VLOOKUP(B7,orders!A:B,2,FALSE)</f>
        <v>CUST0109</v>
      </c>
      <c r="K7" t="str">
        <f>VLOOKUP(J7,customers!A:F,6,FALSE)</f>
        <v>Surabaya</v>
      </c>
    </row>
    <row r="8" spans="1:11" x14ac:dyDescent="0.35">
      <c r="A8" s="4" t="s">
        <v>1032</v>
      </c>
      <c r="B8" s="4" t="s">
        <v>625</v>
      </c>
      <c r="C8" s="4" t="s">
        <v>1033</v>
      </c>
      <c r="D8" s="4">
        <v>1</v>
      </c>
      <c r="E8" s="6">
        <v>55000</v>
      </c>
      <c r="F8" t="str">
        <f>VLOOKUP(C8,products!A:C,2,FALSE)</f>
        <v>Sapu + Pengki Set</v>
      </c>
      <c r="G8">
        <f t="shared" si="0"/>
        <v>55000</v>
      </c>
      <c r="H8">
        <f>VLOOKUP(C8,products!A:D,4,FALSE)</f>
        <v>25000</v>
      </c>
      <c r="I8">
        <f t="shared" si="1"/>
        <v>30000</v>
      </c>
      <c r="J8" t="str">
        <f>VLOOKUP(B8,orders!A:B,2,FALSE)</f>
        <v>CUST0056</v>
      </c>
      <c r="K8" t="str">
        <f>VLOOKUP(J8,customers!A:F,6,FALSE)</f>
        <v>Surabaya</v>
      </c>
    </row>
    <row r="9" spans="1:11" x14ac:dyDescent="0.35">
      <c r="A9" s="4" t="s">
        <v>1034</v>
      </c>
      <c r="B9" s="4" t="s">
        <v>625</v>
      </c>
      <c r="C9" s="4" t="s">
        <v>1029</v>
      </c>
      <c r="D9" s="4">
        <v>1</v>
      </c>
      <c r="E9" s="6">
        <v>39000</v>
      </c>
      <c r="F9" t="str">
        <f>VLOOKUP(C9,products!A:C,2,FALSE)</f>
        <v>Kabel Data USB-C</v>
      </c>
      <c r="G9">
        <f t="shared" si="0"/>
        <v>39000</v>
      </c>
      <c r="H9">
        <f>VLOOKUP(C9,products!A:D,4,FALSE)</f>
        <v>15000</v>
      </c>
      <c r="I9">
        <f t="shared" si="1"/>
        <v>24000</v>
      </c>
      <c r="J9" t="str">
        <f>VLOOKUP(B9,orders!A:B,2,FALSE)</f>
        <v>CUST0056</v>
      </c>
      <c r="K9" t="str">
        <f>VLOOKUP(J9,customers!A:F,6,FALSE)</f>
        <v>Surabaya</v>
      </c>
    </row>
    <row r="10" spans="1:11" x14ac:dyDescent="0.35">
      <c r="A10" s="4" t="s">
        <v>1035</v>
      </c>
      <c r="B10" s="4" t="s">
        <v>625</v>
      </c>
      <c r="C10" s="4" t="s">
        <v>1036</v>
      </c>
      <c r="D10" s="4">
        <v>1</v>
      </c>
      <c r="E10" s="6">
        <v>229000</v>
      </c>
      <c r="F10" t="str">
        <f>VLOOKUP(C10,products!A:C,2,FALSE)</f>
        <v>Celana Jeans Slimfit</v>
      </c>
      <c r="G10">
        <f t="shared" si="0"/>
        <v>229000</v>
      </c>
      <c r="H10">
        <f>VLOOKUP(C10,products!A:D,4,FALSE)</f>
        <v>110000</v>
      </c>
      <c r="I10">
        <f t="shared" si="1"/>
        <v>119000</v>
      </c>
      <c r="J10" t="str">
        <f>VLOOKUP(B10,orders!A:B,2,FALSE)</f>
        <v>CUST0056</v>
      </c>
      <c r="K10" t="str">
        <f>VLOOKUP(J10,customers!A:F,6,FALSE)</f>
        <v>Surabaya</v>
      </c>
    </row>
    <row r="11" spans="1:11" x14ac:dyDescent="0.35">
      <c r="A11" s="4" t="s">
        <v>1037</v>
      </c>
      <c r="B11" s="4" t="s">
        <v>284</v>
      </c>
      <c r="C11" s="4" t="s">
        <v>1029</v>
      </c>
      <c r="D11" s="4">
        <v>1</v>
      </c>
      <c r="E11" s="6">
        <v>39000</v>
      </c>
      <c r="F11" t="str">
        <f>VLOOKUP(C11,products!A:C,2,FALSE)</f>
        <v>Kabel Data USB-C</v>
      </c>
      <c r="G11">
        <f t="shared" si="0"/>
        <v>39000</v>
      </c>
      <c r="H11">
        <f>VLOOKUP(C11,products!A:D,4,FALSE)</f>
        <v>15000</v>
      </c>
      <c r="I11">
        <f t="shared" si="1"/>
        <v>24000</v>
      </c>
      <c r="J11" t="str">
        <f>VLOOKUP(B11,orders!A:B,2,FALSE)</f>
        <v>CUST0007</v>
      </c>
      <c r="K11" t="str">
        <f>VLOOKUP(J11,customers!A:F,6,FALSE)</f>
        <v>Yogyakarta</v>
      </c>
    </row>
    <row r="12" spans="1:11" x14ac:dyDescent="0.35">
      <c r="A12" s="4" t="s">
        <v>1038</v>
      </c>
      <c r="B12" s="4" t="s">
        <v>284</v>
      </c>
      <c r="C12" s="4" t="s">
        <v>1033</v>
      </c>
      <c r="D12" s="4">
        <v>1</v>
      </c>
      <c r="E12" s="6">
        <v>55000</v>
      </c>
      <c r="F12" t="str">
        <f>VLOOKUP(C12,products!A:C,2,FALSE)</f>
        <v>Sapu + Pengki Set</v>
      </c>
      <c r="G12">
        <f t="shared" si="0"/>
        <v>55000</v>
      </c>
      <c r="H12">
        <f>VLOOKUP(C12,products!A:D,4,FALSE)</f>
        <v>25000</v>
      </c>
      <c r="I12">
        <f t="shared" si="1"/>
        <v>30000</v>
      </c>
      <c r="J12" t="str">
        <f>VLOOKUP(B12,orders!A:B,2,FALSE)</f>
        <v>CUST0007</v>
      </c>
      <c r="K12" t="str">
        <f>VLOOKUP(J12,customers!A:F,6,FALSE)</f>
        <v>Yogyakarta</v>
      </c>
    </row>
    <row r="13" spans="1:11" x14ac:dyDescent="0.35">
      <c r="A13" s="4" t="s">
        <v>1039</v>
      </c>
      <c r="B13" s="4" t="s">
        <v>542</v>
      </c>
      <c r="C13" s="4" t="s">
        <v>1040</v>
      </c>
      <c r="D13" s="4">
        <v>3</v>
      </c>
      <c r="E13" s="6">
        <v>99000</v>
      </c>
      <c r="F13" t="str">
        <f>VLOOKUP(C13,products!A:C,2,FALSE)</f>
        <v>Mouse Wireless</v>
      </c>
      <c r="G13">
        <f t="shared" si="0"/>
        <v>297000</v>
      </c>
      <c r="H13">
        <f>VLOOKUP(C13,products!A:D,4,FALSE)</f>
        <v>45000</v>
      </c>
      <c r="I13">
        <f t="shared" si="1"/>
        <v>162000</v>
      </c>
      <c r="J13" t="str">
        <f>VLOOKUP(B13,orders!A:B,2,FALSE)</f>
        <v>CUST0184</v>
      </c>
      <c r="K13" t="str">
        <f>VLOOKUP(J13,customers!A:F,6,FALSE)</f>
        <v>Denpasar</v>
      </c>
    </row>
    <row r="14" spans="1:11" x14ac:dyDescent="0.35">
      <c r="A14" s="4" t="s">
        <v>1041</v>
      </c>
      <c r="B14" s="4" t="s">
        <v>542</v>
      </c>
      <c r="C14" s="4" t="s">
        <v>1029</v>
      </c>
      <c r="D14" s="4">
        <v>1</v>
      </c>
      <c r="E14" s="6">
        <v>39000</v>
      </c>
      <c r="F14" t="str">
        <f>VLOOKUP(C14,products!A:C,2,FALSE)</f>
        <v>Kabel Data USB-C</v>
      </c>
      <c r="G14">
        <f t="shared" si="0"/>
        <v>39000</v>
      </c>
      <c r="H14">
        <f>VLOOKUP(C14,products!A:D,4,FALSE)</f>
        <v>15000</v>
      </c>
      <c r="I14">
        <f t="shared" si="1"/>
        <v>24000</v>
      </c>
      <c r="J14" t="str">
        <f>VLOOKUP(B14,orders!A:B,2,FALSE)</f>
        <v>CUST0184</v>
      </c>
      <c r="K14" t="str">
        <f>VLOOKUP(J14,customers!A:F,6,FALSE)</f>
        <v>Denpasar</v>
      </c>
    </row>
    <row r="15" spans="1:11" x14ac:dyDescent="0.35">
      <c r="A15" s="4" t="s">
        <v>1042</v>
      </c>
      <c r="B15" s="4" t="s">
        <v>459</v>
      </c>
      <c r="C15" s="4" t="s">
        <v>1033</v>
      </c>
      <c r="D15" s="4">
        <v>1</v>
      </c>
      <c r="E15" s="6">
        <v>55000</v>
      </c>
      <c r="F15" t="str">
        <f>VLOOKUP(C15,products!A:C,2,FALSE)</f>
        <v>Sapu + Pengki Set</v>
      </c>
      <c r="G15">
        <f t="shared" si="0"/>
        <v>55000</v>
      </c>
      <c r="H15">
        <f>VLOOKUP(C15,products!A:D,4,FALSE)</f>
        <v>25000</v>
      </c>
      <c r="I15">
        <f t="shared" si="1"/>
        <v>30000</v>
      </c>
      <c r="J15" t="str">
        <f>VLOOKUP(B15,orders!A:B,2,FALSE)</f>
        <v>CUST0108</v>
      </c>
      <c r="K15" t="str">
        <f>VLOOKUP(J15,customers!A:F,6,FALSE)</f>
        <v>Depok</v>
      </c>
    </row>
    <row r="16" spans="1:11" x14ac:dyDescent="0.35">
      <c r="A16" s="4" t="s">
        <v>1043</v>
      </c>
      <c r="B16" s="4" t="s">
        <v>664</v>
      </c>
      <c r="C16" s="4" t="s">
        <v>1044</v>
      </c>
      <c r="D16" s="4">
        <v>2</v>
      </c>
      <c r="E16" s="6">
        <v>329000</v>
      </c>
      <c r="F16" t="str">
        <f>VLOOKUP(C16,products!A:C,2,FALSE)</f>
        <v>Rice Cooker Mini 1.5L</v>
      </c>
      <c r="G16">
        <f t="shared" si="0"/>
        <v>658000</v>
      </c>
      <c r="H16">
        <f>VLOOKUP(C16,products!A:D,4,FALSE)</f>
        <v>180000</v>
      </c>
      <c r="I16">
        <f t="shared" si="1"/>
        <v>298000</v>
      </c>
      <c r="J16" t="str">
        <f>VLOOKUP(B16,orders!A:B,2,FALSE)</f>
        <v>CUST0151</v>
      </c>
      <c r="K16" t="str">
        <f>VLOOKUP(J16,customers!A:F,6,FALSE)</f>
        <v>Jakarta</v>
      </c>
    </row>
    <row r="17" spans="1:11" x14ac:dyDescent="0.35">
      <c r="A17" s="4" t="s">
        <v>1045</v>
      </c>
      <c r="B17" s="4" t="s">
        <v>664</v>
      </c>
      <c r="C17" s="4" t="s">
        <v>1046</v>
      </c>
      <c r="D17" s="4">
        <v>1</v>
      </c>
      <c r="E17" s="6">
        <v>139000</v>
      </c>
      <c r="F17" t="str">
        <f>VLOOKUP(C17,products!A:C,2,FALSE)</f>
        <v>Wajan Anti Lengket 24cm</v>
      </c>
      <c r="G17">
        <f t="shared" si="0"/>
        <v>139000</v>
      </c>
      <c r="H17">
        <f>VLOOKUP(C17,products!A:D,4,FALSE)</f>
        <v>65000</v>
      </c>
      <c r="I17">
        <f t="shared" si="1"/>
        <v>74000</v>
      </c>
      <c r="J17" t="str">
        <f>VLOOKUP(B17,orders!A:B,2,FALSE)</f>
        <v>CUST0151</v>
      </c>
      <c r="K17" t="str">
        <f>VLOOKUP(J17,customers!A:F,6,FALSE)</f>
        <v>Jakarta</v>
      </c>
    </row>
    <row r="18" spans="1:11" x14ac:dyDescent="0.35">
      <c r="A18" s="4" t="s">
        <v>1047</v>
      </c>
      <c r="B18" s="4" t="s">
        <v>828</v>
      </c>
      <c r="C18" s="4" t="s">
        <v>1044</v>
      </c>
      <c r="D18" s="4">
        <v>2</v>
      </c>
      <c r="E18" s="6">
        <v>329000</v>
      </c>
      <c r="F18" t="str">
        <f>VLOOKUP(C18,products!A:C,2,FALSE)</f>
        <v>Rice Cooker Mini 1.5L</v>
      </c>
      <c r="G18">
        <f t="shared" si="0"/>
        <v>658000</v>
      </c>
      <c r="H18">
        <f>VLOOKUP(C18,products!A:D,4,FALSE)</f>
        <v>180000</v>
      </c>
      <c r="I18">
        <f t="shared" si="1"/>
        <v>298000</v>
      </c>
      <c r="J18" t="str">
        <f>VLOOKUP(B18,orders!A:B,2,FALSE)</f>
        <v>CUST0002</v>
      </c>
      <c r="K18" t="str">
        <f>VLOOKUP(J18,customers!A:F,6,FALSE)</f>
        <v>Depok</v>
      </c>
    </row>
    <row r="19" spans="1:11" x14ac:dyDescent="0.35">
      <c r="A19" s="4" t="s">
        <v>1048</v>
      </c>
      <c r="B19" s="4" t="s">
        <v>828</v>
      </c>
      <c r="C19" s="4" t="s">
        <v>1049</v>
      </c>
      <c r="D19" s="4">
        <v>2</v>
      </c>
      <c r="E19" s="6">
        <v>349000</v>
      </c>
      <c r="F19" t="str">
        <f>VLOOKUP(C19,products!A:C,2,FALSE)</f>
        <v>Sepatu Sneakers Casual</v>
      </c>
      <c r="G19">
        <f t="shared" si="0"/>
        <v>698000</v>
      </c>
      <c r="H19">
        <f>VLOOKUP(C19,products!A:D,4,FALSE)</f>
        <v>180000</v>
      </c>
      <c r="I19">
        <f t="shared" si="1"/>
        <v>338000</v>
      </c>
      <c r="J19" t="str">
        <f>VLOOKUP(B19,orders!A:B,2,FALSE)</f>
        <v>CUST0002</v>
      </c>
      <c r="K19" t="str">
        <f>VLOOKUP(J19,customers!A:F,6,FALSE)</f>
        <v>Depok</v>
      </c>
    </row>
    <row r="20" spans="1:11" x14ac:dyDescent="0.35">
      <c r="A20" s="4" t="s">
        <v>1050</v>
      </c>
      <c r="B20" s="4" t="s">
        <v>828</v>
      </c>
      <c r="C20" s="4" t="s">
        <v>1040</v>
      </c>
      <c r="D20" s="4">
        <v>3</v>
      </c>
      <c r="E20" s="6">
        <v>99000</v>
      </c>
      <c r="F20" t="str">
        <f>VLOOKUP(C20,products!A:C,2,FALSE)</f>
        <v>Mouse Wireless</v>
      </c>
      <c r="G20">
        <f t="shared" si="0"/>
        <v>297000</v>
      </c>
      <c r="H20">
        <f>VLOOKUP(C20,products!A:D,4,FALSE)</f>
        <v>45000</v>
      </c>
      <c r="I20">
        <f t="shared" si="1"/>
        <v>162000</v>
      </c>
      <c r="J20" t="str">
        <f>VLOOKUP(B20,orders!A:B,2,FALSE)</f>
        <v>CUST0002</v>
      </c>
      <c r="K20" t="str">
        <f>VLOOKUP(J20,customers!A:F,6,FALSE)</f>
        <v>Depok</v>
      </c>
    </row>
    <row r="21" spans="1:11" x14ac:dyDescent="0.35">
      <c r="A21" s="4" t="s">
        <v>1051</v>
      </c>
      <c r="B21" s="4" t="s">
        <v>975</v>
      </c>
      <c r="C21" s="4" t="s">
        <v>1023</v>
      </c>
      <c r="D21" s="4">
        <v>1</v>
      </c>
      <c r="E21" s="6">
        <v>69000</v>
      </c>
      <c r="F21" t="str">
        <f>VLOOKUP(C21,products!A:C,2,FALSE)</f>
        <v>Lampu LED Hias 5m</v>
      </c>
      <c r="G21">
        <f t="shared" si="0"/>
        <v>69000</v>
      </c>
      <c r="H21">
        <f>VLOOKUP(C21,products!A:D,4,FALSE)</f>
        <v>30000</v>
      </c>
      <c r="I21">
        <f t="shared" si="1"/>
        <v>39000</v>
      </c>
      <c r="J21" t="str">
        <f>VLOOKUP(B21,orders!A:B,2,FALSE)</f>
        <v>CUST0041</v>
      </c>
      <c r="K21" t="str">
        <f>VLOOKUP(J21,customers!A:F,6,FALSE)</f>
        <v>Palembang</v>
      </c>
    </row>
    <row r="22" spans="1:11" x14ac:dyDescent="0.35">
      <c r="A22" s="4" t="s">
        <v>1052</v>
      </c>
      <c r="B22" s="4" t="s">
        <v>975</v>
      </c>
      <c r="C22" s="4" t="s">
        <v>1053</v>
      </c>
      <c r="D22" s="4">
        <v>1</v>
      </c>
      <c r="E22" s="6">
        <v>129000</v>
      </c>
      <c r="F22" t="str">
        <f>VLOOKUP(C22,products!A:C,2,FALSE)</f>
        <v>Charger Fast Charging 33W</v>
      </c>
      <c r="G22">
        <f t="shared" si="0"/>
        <v>129000</v>
      </c>
      <c r="H22">
        <f>VLOOKUP(C22,products!A:D,4,FALSE)</f>
        <v>60000</v>
      </c>
      <c r="I22">
        <f t="shared" si="1"/>
        <v>69000</v>
      </c>
      <c r="J22" t="str">
        <f>VLOOKUP(B22,orders!A:B,2,FALSE)</f>
        <v>CUST0041</v>
      </c>
      <c r="K22" t="str">
        <f>VLOOKUP(J22,customers!A:F,6,FALSE)</f>
        <v>Palembang</v>
      </c>
    </row>
    <row r="23" spans="1:11" x14ac:dyDescent="0.35">
      <c r="A23" s="4" t="s">
        <v>1054</v>
      </c>
      <c r="B23" s="4" t="s">
        <v>750</v>
      </c>
      <c r="C23" s="4" t="s">
        <v>1023</v>
      </c>
      <c r="D23" s="4">
        <v>1</v>
      </c>
      <c r="E23" s="6">
        <v>69000</v>
      </c>
      <c r="F23" t="str">
        <f>VLOOKUP(C23,products!A:C,2,FALSE)</f>
        <v>Lampu LED Hias 5m</v>
      </c>
      <c r="G23">
        <f t="shared" si="0"/>
        <v>69000</v>
      </c>
      <c r="H23">
        <f>VLOOKUP(C23,products!A:D,4,FALSE)</f>
        <v>30000</v>
      </c>
      <c r="I23">
        <f t="shared" si="1"/>
        <v>39000</v>
      </c>
      <c r="J23" t="str">
        <f>VLOOKUP(B23,orders!A:B,2,FALSE)</f>
        <v>CUST0088</v>
      </c>
      <c r="K23" t="str">
        <f>VLOOKUP(J23,customers!A:F,6,FALSE)</f>
        <v>Makassar</v>
      </c>
    </row>
    <row r="24" spans="1:11" x14ac:dyDescent="0.35">
      <c r="A24" s="4" t="s">
        <v>1055</v>
      </c>
      <c r="B24" s="4" t="s">
        <v>41</v>
      </c>
      <c r="C24" s="4" t="s">
        <v>1044</v>
      </c>
      <c r="D24" s="4">
        <v>1</v>
      </c>
      <c r="E24" s="6">
        <v>329000</v>
      </c>
      <c r="F24" t="str">
        <f>VLOOKUP(C24,products!A:C,2,FALSE)</f>
        <v>Rice Cooker Mini 1.5L</v>
      </c>
      <c r="G24">
        <f t="shared" si="0"/>
        <v>329000</v>
      </c>
      <c r="H24">
        <f>VLOOKUP(C24,products!A:D,4,FALSE)</f>
        <v>180000</v>
      </c>
      <c r="I24">
        <f t="shared" si="1"/>
        <v>149000</v>
      </c>
      <c r="J24" t="str">
        <f>VLOOKUP(B24,orders!A:B,2,FALSE)</f>
        <v>CUST0196</v>
      </c>
      <c r="K24" t="str">
        <f>VLOOKUP(J24,customers!A:F,6,FALSE)</f>
        <v>Denpasar</v>
      </c>
    </row>
    <row r="25" spans="1:11" x14ac:dyDescent="0.35">
      <c r="A25" s="4" t="s">
        <v>1056</v>
      </c>
      <c r="B25" s="4" t="s">
        <v>791</v>
      </c>
      <c r="C25" s="4" t="s">
        <v>1023</v>
      </c>
      <c r="D25" s="4">
        <v>1</v>
      </c>
      <c r="E25" s="6">
        <v>69000</v>
      </c>
      <c r="F25" t="str">
        <f>VLOOKUP(C25,products!A:C,2,FALSE)</f>
        <v>Lampu LED Hias 5m</v>
      </c>
      <c r="G25">
        <f t="shared" si="0"/>
        <v>69000</v>
      </c>
      <c r="H25">
        <f>VLOOKUP(C25,products!A:D,4,FALSE)</f>
        <v>30000</v>
      </c>
      <c r="I25">
        <f t="shared" si="1"/>
        <v>39000</v>
      </c>
      <c r="J25" t="str">
        <f>VLOOKUP(B25,orders!A:B,2,FALSE)</f>
        <v>CUST0098</v>
      </c>
      <c r="K25" t="str">
        <f>VLOOKUP(J25,customers!A:F,6,FALSE)</f>
        <v>Surabaya</v>
      </c>
    </row>
    <row r="26" spans="1:11" x14ac:dyDescent="0.35">
      <c r="A26" s="4" t="s">
        <v>1057</v>
      </c>
      <c r="B26" s="4" t="s">
        <v>791</v>
      </c>
      <c r="C26" s="4" t="s">
        <v>1036</v>
      </c>
      <c r="D26" s="4">
        <v>2</v>
      </c>
      <c r="E26" s="6">
        <v>229000</v>
      </c>
      <c r="F26" t="str">
        <f>VLOOKUP(C26,products!A:C,2,FALSE)</f>
        <v>Celana Jeans Slimfit</v>
      </c>
      <c r="G26">
        <f t="shared" si="0"/>
        <v>458000</v>
      </c>
      <c r="H26">
        <f>VLOOKUP(C26,products!A:D,4,FALSE)</f>
        <v>110000</v>
      </c>
      <c r="I26">
        <f t="shared" si="1"/>
        <v>238000</v>
      </c>
      <c r="J26" t="str">
        <f>VLOOKUP(B26,orders!A:B,2,FALSE)</f>
        <v>CUST0098</v>
      </c>
      <c r="K26" t="str">
        <f>VLOOKUP(J26,customers!A:F,6,FALSE)</f>
        <v>Surabaya</v>
      </c>
    </row>
    <row r="27" spans="1:11" x14ac:dyDescent="0.35">
      <c r="A27" s="4" t="s">
        <v>1058</v>
      </c>
      <c r="B27" s="4" t="s">
        <v>524</v>
      </c>
      <c r="C27" s="4" t="s">
        <v>1023</v>
      </c>
      <c r="D27" s="4">
        <v>1</v>
      </c>
      <c r="E27" s="6">
        <v>69000</v>
      </c>
      <c r="F27" t="str">
        <f>VLOOKUP(C27,products!A:C,2,FALSE)</f>
        <v>Lampu LED Hias 5m</v>
      </c>
      <c r="G27">
        <f t="shared" si="0"/>
        <v>69000</v>
      </c>
      <c r="H27">
        <f>VLOOKUP(C27,products!A:D,4,FALSE)</f>
        <v>30000</v>
      </c>
      <c r="I27">
        <f t="shared" si="1"/>
        <v>39000</v>
      </c>
      <c r="J27" t="str">
        <f>VLOOKUP(B27,orders!A:B,2,FALSE)</f>
        <v>CUST0089</v>
      </c>
      <c r="K27" t="str">
        <f>VLOOKUP(J27,customers!A:F,6,FALSE)</f>
        <v>Makassar</v>
      </c>
    </row>
    <row r="28" spans="1:11" x14ac:dyDescent="0.35">
      <c r="A28" s="4" t="s">
        <v>1059</v>
      </c>
      <c r="B28" s="4" t="s">
        <v>524</v>
      </c>
      <c r="C28" s="4" t="s">
        <v>1033</v>
      </c>
      <c r="D28" s="4">
        <v>1</v>
      </c>
      <c r="E28" s="6">
        <v>55000</v>
      </c>
      <c r="F28" t="str">
        <f>VLOOKUP(C28,products!A:C,2,FALSE)</f>
        <v>Sapu + Pengki Set</v>
      </c>
      <c r="G28">
        <f t="shared" si="0"/>
        <v>55000</v>
      </c>
      <c r="H28">
        <f>VLOOKUP(C28,products!A:D,4,FALSE)</f>
        <v>25000</v>
      </c>
      <c r="I28">
        <f t="shared" si="1"/>
        <v>30000</v>
      </c>
      <c r="J28" t="str">
        <f>VLOOKUP(B28,orders!A:B,2,FALSE)</f>
        <v>CUST0089</v>
      </c>
      <c r="K28" t="str">
        <f>VLOOKUP(J28,customers!A:F,6,FALSE)</f>
        <v>Makassar</v>
      </c>
    </row>
    <row r="29" spans="1:11" x14ac:dyDescent="0.35">
      <c r="A29" s="4" t="s">
        <v>1060</v>
      </c>
      <c r="B29" s="4" t="s">
        <v>524</v>
      </c>
      <c r="C29" s="4" t="s">
        <v>1031</v>
      </c>
      <c r="D29" s="4">
        <v>2</v>
      </c>
      <c r="E29" s="6">
        <v>79000</v>
      </c>
      <c r="F29" t="str">
        <f>VLOOKUP(C29,products!A:C,2,FALSE)</f>
        <v>Kaos Polos Cotton Combed</v>
      </c>
      <c r="G29">
        <f t="shared" si="0"/>
        <v>158000</v>
      </c>
      <c r="H29">
        <f>VLOOKUP(C29,products!A:D,4,FALSE)</f>
        <v>35000</v>
      </c>
      <c r="I29">
        <f t="shared" si="1"/>
        <v>88000</v>
      </c>
      <c r="J29" t="str">
        <f>VLOOKUP(B29,orders!A:B,2,FALSE)</f>
        <v>CUST0089</v>
      </c>
      <c r="K29" t="str">
        <f>VLOOKUP(J29,customers!A:F,6,FALSE)</f>
        <v>Makassar</v>
      </c>
    </row>
    <row r="30" spans="1:11" x14ac:dyDescent="0.35">
      <c r="A30" s="4" t="s">
        <v>1061</v>
      </c>
      <c r="B30" s="4" t="s">
        <v>567</v>
      </c>
      <c r="C30" s="4" t="s">
        <v>1036</v>
      </c>
      <c r="D30" s="4">
        <v>3</v>
      </c>
      <c r="E30" s="6">
        <v>229000</v>
      </c>
      <c r="F30" t="str">
        <f>VLOOKUP(C30,products!A:C,2,FALSE)</f>
        <v>Celana Jeans Slimfit</v>
      </c>
      <c r="G30">
        <f t="shared" si="0"/>
        <v>687000</v>
      </c>
      <c r="H30">
        <f>VLOOKUP(C30,products!A:D,4,FALSE)</f>
        <v>110000</v>
      </c>
      <c r="I30">
        <f t="shared" si="1"/>
        <v>357000</v>
      </c>
      <c r="J30" t="str">
        <f>VLOOKUP(B30,orders!A:B,2,FALSE)</f>
        <v>CUST0012</v>
      </c>
      <c r="K30" t="str">
        <f>VLOOKUP(J30,customers!A:F,6,FALSE)</f>
        <v>Surabaya</v>
      </c>
    </row>
    <row r="31" spans="1:11" x14ac:dyDescent="0.35">
      <c r="A31" s="4" t="s">
        <v>1062</v>
      </c>
      <c r="B31" s="4" t="s">
        <v>567</v>
      </c>
      <c r="C31" s="4" t="s">
        <v>1023</v>
      </c>
      <c r="D31" s="4">
        <v>1</v>
      </c>
      <c r="E31" s="6">
        <v>69000</v>
      </c>
      <c r="F31" t="str">
        <f>VLOOKUP(C31,products!A:C,2,FALSE)</f>
        <v>Lampu LED Hias 5m</v>
      </c>
      <c r="G31">
        <f t="shared" si="0"/>
        <v>69000</v>
      </c>
      <c r="H31">
        <f>VLOOKUP(C31,products!A:D,4,FALSE)</f>
        <v>30000</v>
      </c>
      <c r="I31">
        <f t="shared" si="1"/>
        <v>39000</v>
      </c>
      <c r="J31" t="str">
        <f>VLOOKUP(B31,orders!A:B,2,FALSE)</f>
        <v>CUST0012</v>
      </c>
      <c r="K31" t="str">
        <f>VLOOKUP(J31,customers!A:F,6,FALSE)</f>
        <v>Surabaya</v>
      </c>
    </row>
    <row r="32" spans="1:11" x14ac:dyDescent="0.35">
      <c r="A32" s="4" t="s">
        <v>1063</v>
      </c>
      <c r="B32" s="4" t="s">
        <v>926</v>
      </c>
      <c r="C32" s="4" t="s">
        <v>1029</v>
      </c>
      <c r="D32" s="4">
        <v>1</v>
      </c>
      <c r="E32" s="6">
        <v>39000</v>
      </c>
      <c r="F32" t="str">
        <f>VLOOKUP(C32,products!A:C,2,FALSE)</f>
        <v>Kabel Data USB-C</v>
      </c>
      <c r="G32">
        <f t="shared" si="0"/>
        <v>39000</v>
      </c>
      <c r="H32">
        <f>VLOOKUP(C32,products!A:D,4,FALSE)</f>
        <v>15000</v>
      </c>
      <c r="I32">
        <f t="shared" si="1"/>
        <v>24000</v>
      </c>
      <c r="J32" t="str">
        <f>VLOOKUP(B32,orders!A:B,2,FALSE)</f>
        <v>CUST0097</v>
      </c>
      <c r="K32" t="str">
        <f>VLOOKUP(J32,customers!A:F,6,FALSE)</f>
        <v>Palembang</v>
      </c>
    </row>
    <row r="33" spans="1:11" x14ac:dyDescent="0.35">
      <c r="A33" s="4" t="s">
        <v>1064</v>
      </c>
      <c r="B33" s="4" t="s">
        <v>926</v>
      </c>
      <c r="C33" s="4" t="s">
        <v>1023</v>
      </c>
      <c r="D33" s="4">
        <v>1</v>
      </c>
      <c r="E33" s="6">
        <v>69000</v>
      </c>
      <c r="F33" t="str">
        <f>VLOOKUP(C33,products!A:C,2,FALSE)</f>
        <v>Lampu LED Hias 5m</v>
      </c>
      <c r="G33">
        <f t="shared" si="0"/>
        <v>69000</v>
      </c>
      <c r="H33">
        <f>VLOOKUP(C33,products!A:D,4,FALSE)</f>
        <v>30000</v>
      </c>
      <c r="I33">
        <f t="shared" si="1"/>
        <v>39000</v>
      </c>
      <c r="J33" t="str">
        <f>VLOOKUP(B33,orders!A:B,2,FALSE)</f>
        <v>CUST0097</v>
      </c>
      <c r="K33" t="str">
        <f>VLOOKUP(J33,customers!A:F,6,FALSE)</f>
        <v>Palembang</v>
      </c>
    </row>
    <row r="34" spans="1:11" x14ac:dyDescent="0.35">
      <c r="A34" s="4" t="s">
        <v>1065</v>
      </c>
      <c r="B34" s="4" t="s">
        <v>157</v>
      </c>
      <c r="C34" s="4" t="s">
        <v>1023</v>
      </c>
      <c r="D34" s="4">
        <v>1</v>
      </c>
      <c r="E34" s="6">
        <v>69000</v>
      </c>
      <c r="F34" t="str">
        <f>VLOOKUP(C34,products!A:C,2,FALSE)</f>
        <v>Lampu LED Hias 5m</v>
      </c>
      <c r="G34">
        <f t="shared" si="0"/>
        <v>69000</v>
      </c>
      <c r="H34">
        <f>VLOOKUP(C34,products!A:D,4,FALSE)</f>
        <v>30000</v>
      </c>
      <c r="I34">
        <f t="shared" si="1"/>
        <v>39000</v>
      </c>
      <c r="J34" t="str">
        <f>VLOOKUP(B34,orders!A:B,2,FALSE)</f>
        <v>CUST0076</v>
      </c>
      <c r="K34" t="str">
        <f>VLOOKUP(J34,customers!A:F,6,FALSE)</f>
        <v>Palembang</v>
      </c>
    </row>
    <row r="35" spans="1:11" x14ac:dyDescent="0.35">
      <c r="A35" s="4" t="s">
        <v>1066</v>
      </c>
      <c r="B35" s="4" t="s">
        <v>105</v>
      </c>
      <c r="C35" s="4" t="s">
        <v>1023</v>
      </c>
      <c r="D35" s="4">
        <v>1</v>
      </c>
      <c r="E35" s="6">
        <v>69000</v>
      </c>
      <c r="F35" t="str">
        <f>VLOOKUP(C35,products!A:C,2,FALSE)</f>
        <v>Lampu LED Hias 5m</v>
      </c>
      <c r="G35">
        <f t="shared" si="0"/>
        <v>69000</v>
      </c>
      <c r="H35">
        <f>VLOOKUP(C35,products!A:D,4,FALSE)</f>
        <v>30000</v>
      </c>
      <c r="I35">
        <f t="shared" si="1"/>
        <v>39000</v>
      </c>
      <c r="J35" t="str">
        <f>VLOOKUP(B35,orders!A:B,2,FALSE)</f>
        <v>CUST0159</v>
      </c>
      <c r="K35" t="str">
        <f>VLOOKUP(J35,customers!A:F,6,FALSE)</f>
        <v>Bandung</v>
      </c>
    </row>
    <row r="36" spans="1:11" x14ac:dyDescent="0.35">
      <c r="A36" s="4" t="s">
        <v>1067</v>
      </c>
      <c r="B36" s="4" t="s">
        <v>367</v>
      </c>
      <c r="C36" s="4" t="s">
        <v>1023</v>
      </c>
      <c r="D36" s="4">
        <v>1</v>
      </c>
      <c r="E36" s="6">
        <v>69000</v>
      </c>
      <c r="F36" t="str">
        <f>VLOOKUP(C36,products!A:C,2,FALSE)</f>
        <v>Lampu LED Hias 5m</v>
      </c>
      <c r="G36">
        <f t="shared" si="0"/>
        <v>69000</v>
      </c>
      <c r="H36">
        <f>VLOOKUP(C36,products!A:D,4,FALSE)</f>
        <v>30000</v>
      </c>
      <c r="I36">
        <f t="shared" si="1"/>
        <v>39000</v>
      </c>
      <c r="J36" t="str">
        <f>VLOOKUP(B36,orders!A:B,2,FALSE)</f>
        <v>CUST0148</v>
      </c>
      <c r="K36" t="str">
        <f>VLOOKUP(J36,customers!A:F,6,FALSE)</f>
        <v>Jakarta</v>
      </c>
    </row>
    <row r="37" spans="1:11" x14ac:dyDescent="0.35">
      <c r="A37" s="4" t="s">
        <v>1068</v>
      </c>
      <c r="B37" s="4" t="s">
        <v>578</v>
      </c>
      <c r="C37" s="4" t="s">
        <v>1044</v>
      </c>
      <c r="D37" s="4">
        <v>1</v>
      </c>
      <c r="E37" s="6">
        <v>329000</v>
      </c>
      <c r="F37" t="str">
        <f>VLOOKUP(C37,products!A:C,2,FALSE)</f>
        <v>Rice Cooker Mini 1.5L</v>
      </c>
      <c r="G37">
        <f t="shared" si="0"/>
        <v>329000</v>
      </c>
      <c r="H37">
        <f>VLOOKUP(C37,products!A:D,4,FALSE)</f>
        <v>180000</v>
      </c>
      <c r="I37">
        <f t="shared" si="1"/>
        <v>149000</v>
      </c>
      <c r="J37" t="str">
        <f>VLOOKUP(B37,orders!A:B,2,FALSE)</f>
        <v>CUST0012</v>
      </c>
      <c r="K37" t="str">
        <f>VLOOKUP(J37,customers!A:F,6,FALSE)</f>
        <v>Surabaya</v>
      </c>
    </row>
    <row r="38" spans="1:11" x14ac:dyDescent="0.35">
      <c r="A38" s="4" t="s">
        <v>1069</v>
      </c>
      <c r="B38" s="4" t="s">
        <v>402</v>
      </c>
      <c r="C38" s="4" t="s">
        <v>1029</v>
      </c>
      <c r="D38" s="4">
        <v>1</v>
      </c>
      <c r="E38" s="6">
        <v>39000</v>
      </c>
      <c r="F38" t="str">
        <f>VLOOKUP(C38,products!A:C,2,FALSE)</f>
        <v>Kabel Data USB-C</v>
      </c>
      <c r="G38">
        <f t="shared" si="0"/>
        <v>39000</v>
      </c>
      <c r="H38">
        <f>VLOOKUP(C38,products!A:D,4,FALSE)</f>
        <v>15000</v>
      </c>
      <c r="I38">
        <f t="shared" si="1"/>
        <v>24000</v>
      </c>
      <c r="J38" t="str">
        <f>VLOOKUP(B38,orders!A:B,2,FALSE)</f>
        <v>CUST0075</v>
      </c>
      <c r="K38" t="str">
        <f>VLOOKUP(J38,customers!A:F,6,FALSE)</f>
        <v>Jakarta</v>
      </c>
    </row>
    <row r="39" spans="1:11" x14ac:dyDescent="0.35">
      <c r="A39" s="4" t="s">
        <v>1070</v>
      </c>
      <c r="B39" s="4" t="s">
        <v>393</v>
      </c>
      <c r="C39" s="4" t="s">
        <v>1029</v>
      </c>
      <c r="D39" s="4">
        <v>1</v>
      </c>
      <c r="E39" s="6">
        <v>39000</v>
      </c>
      <c r="F39" t="str">
        <f>VLOOKUP(C39,products!A:C,2,FALSE)</f>
        <v>Kabel Data USB-C</v>
      </c>
      <c r="G39">
        <f t="shared" si="0"/>
        <v>39000</v>
      </c>
      <c r="H39">
        <f>VLOOKUP(C39,products!A:D,4,FALSE)</f>
        <v>15000</v>
      </c>
      <c r="I39">
        <f t="shared" si="1"/>
        <v>24000</v>
      </c>
      <c r="J39" t="str">
        <f>VLOOKUP(B39,orders!A:B,2,FALSE)</f>
        <v>CUST0026</v>
      </c>
      <c r="K39" t="str">
        <f>VLOOKUP(J39,customers!A:F,6,FALSE)</f>
        <v>Denpasar</v>
      </c>
    </row>
    <row r="40" spans="1:11" x14ac:dyDescent="0.35">
      <c r="A40" s="4" t="s">
        <v>1071</v>
      </c>
      <c r="B40" s="4" t="s">
        <v>393</v>
      </c>
      <c r="C40" s="4" t="s">
        <v>1040</v>
      </c>
      <c r="D40" s="4">
        <v>1</v>
      </c>
      <c r="E40" s="6">
        <v>99000</v>
      </c>
      <c r="F40" t="str">
        <f>VLOOKUP(C40,products!A:C,2,FALSE)</f>
        <v>Mouse Wireless</v>
      </c>
      <c r="G40">
        <f t="shared" si="0"/>
        <v>99000</v>
      </c>
      <c r="H40">
        <f>VLOOKUP(C40,products!A:D,4,FALSE)</f>
        <v>45000</v>
      </c>
      <c r="I40">
        <f t="shared" si="1"/>
        <v>54000</v>
      </c>
      <c r="J40" t="str">
        <f>VLOOKUP(B40,orders!A:B,2,FALSE)</f>
        <v>CUST0026</v>
      </c>
      <c r="K40" t="str">
        <f>VLOOKUP(J40,customers!A:F,6,FALSE)</f>
        <v>Denpasar</v>
      </c>
    </row>
    <row r="41" spans="1:11" x14ac:dyDescent="0.35">
      <c r="A41" s="4" t="s">
        <v>1072</v>
      </c>
      <c r="B41" s="4" t="s">
        <v>393</v>
      </c>
      <c r="C41" s="4" t="s">
        <v>1023</v>
      </c>
      <c r="D41" s="4">
        <v>1</v>
      </c>
      <c r="E41" s="6">
        <v>69000</v>
      </c>
      <c r="F41" t="str">
        <f>VLOOKUP(C41,products!A:C,2,FALSE)</f>
        <v>Lampu LED Hias 5m</v>
      </c>
      <c r="G41">
        <f t="shared" si="0"/>
        <v>69000</v>
      </c>
      <c r="H41">
        <f>VLOOKUP(C41,products!A:D,4,FALSE)</f>
        <v>30000</v>
      </c>
      <c r="I41">
        <f t="shared" si="1"/>
        <v>39000</v>
      </c>
      <c r="J41" t="str">
        <f>VLOOKUP(B41,orders!A:B,2,FALSE)</f>
        <v>CUST0026</v>
      </c>
      <c r="K41" t="str">
        <f>VLOOKUP(J41,customers!A:F,6,FALSE)</f>
        <v>Denpasar</v>
      </c>
    </row>
    <row r="42" spans="1:11" x14ac:dyDescent="0.35">
      <c r="A42" s="4" t="s">
        <v>1073</v>
      </c>
      <c r="B42" s="4" t="s">
        <v>516</v>
      </c>
      <c r="C42" s="4" t="s">
        <v>1025</v>
      </c>
      <c r="D42" s="4">
        <v>1</v>
      </c>
      <c r="E42" s="6">
        <v>179000</v>
      </c>
      <c r="F42" t="str">
        <f>VLOOKUP(C42,products!A:C,2,FALSE)</f>
        <v>Rak Penyimpanan Serbaguna</v>
      </c>
      <c r="G42">
        <f t="shared" si="0"/>
        <v>179000</v>
      </c>
      <c r="H42">
        <f>VLOOKUP(C42,products!A:D,4,FALSE)</f>
        <v>90000</v>
      </c>
      <c r="I42">
        <f t="shared" si="1"/>
        <v>89000</v>
      </c>
      <c r="J42" t="str">
        <f>VLOOKUP(B42,orders!A:B,2,FALSE)</f>
        <v>CUST0117</v>
      </c>
      <c r="K42" t="str">
        <f>VLOOKUP(J42,customers!A:F,6,FALSE)</f>
        <v>Semarang</v>
      </c>
    </row>
    <row r="43" spans="1:11" x14ac:dyDescent="0.35">
      <c r="A43" s="4" t="s">
        <v>1074</v>
      </c>
      <c r="B43" s="4" t="s">
        <v>516</v>
      </c>
      <c r="C43" s="4" t="s">
        <v>1023</v>
      </c>
      <c r="D43" s="4">
        <v>1</v>
      </c>
      <c r="E43" s="6">
        <v>69000</v>
      </c>
      <c r="F43" t="str">
        <f>VLOOKUP(C43,products!A:C,2,FALSE)</f>
        <v>Lampu LED Hias 5m</v>
      </c>
      <c r="G43">
        <f t="shared" si="0"/>
        <v>69000</v>
      </c>
      <c r="H43">
        <f>VLOOKUP(C43,products!A:D,4,FALSE)</f>
        <v>30000</v>
      </c>
      <c r="I43">
        <f t="shared" si="1"/>
        <v>39000</v>
      </c>
      <c r="J43" t="str">
        <f>VLOOKUP(B43,orders!A:B,2,FALSE)</f>
        <v>CUST0117</v>
      </c>
      <c r="K43" t="str">
        <f>VLOOKUP(J43,customers!A:F,6,FALSE)</f>
        <v>Semarang</v>
      </c>
    </row>
    <row r="44" spans="1:11" x14ac:dyDescent="0.35">
      <c r="A44" s="4" t="s">
        <v>1075</v>
      </c>
      <c r="B44" s="4" t="s">
        <v>691</v>
      </c>
      <c r="C44" s="4" t="s">
        <v>1076</v>
      </c>
      <c r="D44" s="4">
        <v>1</v>
      </c>
      <c r="E44" s="6">
        <v>499000</v>
      </c>
      <c r="F44" t="str">
        <f>VLOOKUP(C44,products!A:C,2,FALSE)</f>
        <v>Smartwatch Lite</v>
      </c>
      <c r="G44">
        <f t="shared" si="0"/>
        <v>499000</v>
      </c>
      <c r="H44">
        <f>VLOOKUP(C44,products!A:D,4,FALSE)</f>
        <v>250000</v>
      </c>
      <c r="I44">
        <f t="shared" si="1"/>
        <v>249000</v>
      </c>
      <c r="J44" t="str">
        <f>VLOOKUP(B44,orders!A:B,2,FALSE)</f>
        <v>CUST0042</v>
      </c>
      <c r="K44" t="str">
        <f>VLOOKUP(J44,customers!A:F,6,FALSE)</f>
        <v>Surabaya</v>
      </c>
    </row>
    <row r="45" spans="1:11" x14ac:dyDescent="0.35">
      <c r="A45" s="4" t="s">
        <v>1077</v>
      </c>
      <c r="B45" s="4" t="s">
        <v>691</v>
      </c>
      <c r="C45" s="4" t="s">
        <v>1023</v>
      </c>
      <c r="D45" s="4">
        <v>1</v>
      </c>
      <c r="E45" s="6">
        <v>69000</v>
      </c>
      <c r="F45" t="str">
        <f>VLOOKUP(C45,products!A:C,2,FALSE)</f>
        <v>Lampu LED Hias 5m</v>
      </c>
      <c r="G45">
        <f t="shared" si="0"/>
        <v>69000</v>
      </c>
      <c r="H45">
        <f>VLOOKUP(C45,products!A:D,4,FALSE)</f>
        <v>30000</v>
      </c>
      <c r="I45">
        <f t="shared" si="1"/>
        <v>39000</v>
      </c>
      <c r="J45" t="str">
        <f>VLOOKUP(B45,orders!A:B,2,FALSE)</f>
        <v>CUST0042</v>
      </c>
      <c r="K45" t="str">
        <f>VLOOKUP(J45,customers!A:F,6,FALSE)</f>
        <v>Surabaya</v>
      </c>
    </row>
    <row r="46" spans="1:11" x14ac:dyDescent="0.35">
      <c r="A46" s="4" t="s">
        <v>1078</v>
      </c>
      <c r="B46" s="4" t="s">
        <v>757</v>
      </c>
      <c r="C46" s="4" t="s">
        <v>1031</v>
      </c>
      <c r="D46" s="4">
        <v>1</v>
      </c>
      <c r="E46" s="6">
        <v>79000</v>
      </c>
      <c r="F46" t="str">
        <f>VLOOKUP(C46,products!A:C,2,FALSE)</f>
        <v>Kaos Polos Cotton Combed</v>
      </c>
      <c r="G46">
        <f t="shared" si="0"/>
        <v>79000</v>
      </c>
      <c r="H46">
        <f>VLOOKUP(C46,products!A:D,4,FALSE)</f>
        <v>35000</v>
      </c>
      <c r="I46">
        <f t="shared" si="1"/>
        <v>44000</v>
      </c>
      <c r="J46" t="str">
        <f>VLOOKUP(B46,orders!A:B,2,FALSE)</f>
        <v>CUST0054</v>
      </c>
      <c r="K46" t="str">
        <f>VLOOKUP(J46,customers!A:F,6,FALSE)</f>
        <v>Bandung</v>
      </c>
    </row>
    <row r="47" spans="1:11" x14ac:dyDescent="0.35">
      <c r="A47" s="4" t="s">
        <v>1079</v>
      </c>
      <c r="B47" s="4" t="s">
        <v>79</v>
      </c>
      <c r="C47" s="4" t="s">
        <v>1044</v>
      </c>
      <c r="D47" s="4">
        <v>1</v>
      </c>
      <c r="E47" s="6">
        <v>329000</v>
      </c>
      <c r="F47" t="str">
        <f>VLOOKUP(C47,products!A:C,2,FALSE)</f>
        <v>Rice Cooker Mini 1.5L</v>
      </c>
      <c r="G47">
        <f t="shared" si="0"/>
        <v>329000</v>
      </c>
      <c r="H47">
        <f>VLOOKUP(C47,products!A:D,4,FALSE)</f>
        <v>180000</v>
      </c>
      <c r="I47">
        <f t="shared" si="1"/>
        <v>149000</v>
      </c>
      <c r="J47" t="str">
        <f>VLOOKUP(B47,orders!A:B,2,FALSE)</f>
        <v>CUST0180</v>
      </c>
      <c r="K47" t="str">
        <f>VLOOKUP(J47,customers!A:F,6,FALSE)</f>
        <v>Denpasar</v>
      </c>
    </row>
    <row r="48" spans="1:11" x14ac:dyDescent="0.35">
      <c r="A48" s="4" t="s">
        <v>1080</v>
      </c>
      <c r="B48" s="4" t="s">
        <v>371</v>
      </c>
      <c r="C48" s="4" t="s">
        <v>1023</v>
      </c>
      <c r="D48" s="4">
        <v>1</v>
      </c>
      <c r="E48" s="6">
        <v>69000</v>
      </c>
      <c r="F48" t="str">
        <f>VLOOKUP(C48,products!A:C,2,FALSE)</f>
        <v>Lampu LED Hias 5m</v>
      </c>
      <c r="G48">
        <f t="shared" si="0"/>
        <v>69000</v>
      </c>
      <c r="H48">
        <f>VLOOKUP(C48,products!A:D,4,FALSE)</f>
        <v>30000</v>
      </c>
      <c r="I48">
        <f t="shared" si="1"/>
        <v>39000</v>
      </c>
      <c r="J48" t="str">
        <f>VLOOKUP(B48,orders!A:B,2,FALSE)</f>
        <v>CUST0156</v>
      </c>
      <c r="K48" t="str">
        <f>VLOOKUP(J48,customers!A:F,6,FALSE)</f>
        <v>Bandung</v>
      </c>
    </row>
    <row r="49" spans="1:11" x14ac:dyDescent="0.35">
      <c r="A49" s="4" t="s">
        <v>1081</v>
      </c>
      <c r="B49" s="4" t="s">
        <v>371</v>
      </c>
      <c r="C49" s="4" t="s">
        <v>1082</v>
      </c>
      <c r="D49" s="4">
        <v>1</v>
      </c>
      <c r="E49" s="6">
        <v>399000</v>
      </c>
      <c r="F49" t="str">
        <f>VLOOKUP(C49,products!A:C,2,FALSE)</f>
        <v>Keyboard Mechanical Mini</v>
      </c>
      <c r="G49">
        <f t="shared" si="0"/>
        <v>399000</v>
      </c>
      <c r="H49">
        <f>VLOOKUP(C49,products!A:D,4,FALSE)</f>
        <v>200000</v>
      </c>
      <c r="I49">
        <f t="shared" si="1"/>
        <v>199000</v>
      </c>
      <c r="J49" t="str">
        <f>VLOOKUP(B49,orders!A:B,2,FALSE)</f>
        <v>CUST0156</v>
      </c>
      <c r="K49" t="str">
        <f>VLOOKUP(J49,customers!A:F,6,FALSE)</f>
        <v>Bandung</v>
      </c>
    </row>
    <row r="50" spans="1:11" x14ac:dyDescent="0.35">
      <c r="A50" s="4" t="s">
        <v>1083</v>
      </c>
      <c r="B50" s="4" t="s">
        <v>549</v>
      </c>
      <c r="C50" s="4" t="s">
        <v>1084</v>
      </c>
      <c r="D50" s="4">
        <v>3</v>
      </c>
      <c r="E50" s="6">
        <v>79000</v>
      </c>
      <c r="F50" t="str">
        <f>VLOOKUP(C50,products!A:C,2,FALSE)</f>
        <v>Botol Minum Stainless 1L</v>
      </c>
      <c r="G50">
        <f t="shared" si="0"/>
        <v>237000</v>
      </c>
      <c r="H50">
        <f>VLOOKUP(C50,products!A:D,4,FALSE)</f>
        <v>35000</v>
      </c>
      <c r="I50">
        <f t="shared" si="1"/>
        <v>132000</v>
      </c>
      <c r="J50" t="str">
        <f>VLOOKUP(B50,orders!A:B,2,FALSE)</f>
        <v>CUST0137</v>
      </c>
      <c r="K50" t="str">
        <f>VLOOKUP(J50,customers!A:F,6,FALSE)</f>
        <v>Palembang</v>
      </c>
    </row>
    <row r="51" spans="1:11" x14ac:dyDescent="0.35">
      <c r="A51" s="4" t="s">
        <v>1085</v>
      </c>
      <c r="B51" s="4" t="s">
        <v>120</v>
      </c>
      <c r="C51" s="4" t="s">
        <v>1053</v>
      </c>
      <c r="D51" s="4">
        <v>1</v>
      </c>
      <c r="E51" s="6">
        <v>129000</v>
      </c>
      <c r="F51" t="str">
        <f>VLOOKUP(C51,products!A:C,2,FALSE)</f>
        <v>Charger Fast Charging 33W</v>
      </c>
      <c r="G51">
        <f t="shared" si="0"/>
        <v>129000</v>
      </c>
      <c r="H51">
        <f>VLOOKUP(C51,products!A:D,4,FALSE)</f>
        <v>60000</v>
      </c>
      <c r="I51">
        <f t="shared" si="1"/>
        <v>69000</v>
      </c>
      <c r="J51" t="str">
        <f>VLOOKUP(B51,orders!A:B,2,FALSE)</f>
        <v>CUST0042</v>
      </c>
      <c r="K51" t="str">
        <f>VLOOKUP(J51,customers!A:F,6,FALSE)</f>
        <v>Surabaya</v>
      </c>
    </row>
    <row r="52" spans="1:11" x14ac:dyDescent="0.35">
      <c r="A52" s="4" t="s">
        <v>1086</v>
      </c>
      <c r="B52" s="4" t="s">
        <v>967</v>
      </c>
      <c r="C52" s="4" t="s">
        <v>1025</v>
      </c>
      <c r="D52" s="4">
        <v>3</v>
      </c>
      <c r="E52" s="6">
        <v>179000</v>
      </c>
      <c r="F52" t="str">
        <f>VLOOKUP(C52,products!A:C,2,FALSE)</f>
        <v>Rak Penyimpanan Serbaguna</v>
      </c>
      <c r="G52">
        <f t="shared" si="0"/>
        <v>537000</v>
      </c>
      <c r="H52">
        <f>VLOOKUP(C52,products!A:D,4,FALSE)</f>
        <v>90000</v>
      </c>
      <c r="I52">
        <f t="shared" si="1"/>
        <v>267000</v>
      </c>
      <c r="J52" t="str">
        <f>VLOOKUP(B52,orders!A:B,2,FALSE)</f>
        <v>CUST0164</v>
      </c>
      <c r="K52" t="str">
        <f>VLOOKUP(J52,customers!A:F,6,FALSE)</f>
        <v>Semarang</v>
      </c>
    </row>
    <row r="53" spans="1:11" x14ac:dyDescent="0.35">
      <c r="A53" s="4" t="s">
        <v>1087</v>
      </c>
      <c r="B53" s="4" t="s">
        <v>139</v>
      </c>
      <c r="C53" s="4" t="s">
        <v>1023</v>
      </c>
      <c r="D53" s="4">
        <v>1</v>
      </c>
      <c r="E53" s="6">
        <v>69000</v>
      </c>
      <c r="F53" t="str">
        <f>VLOOKUP(C53,products!A:C,2,FALSE)</f>
        <v>Lampu LED Hias 5m</v>
      </c>
      <c r="G53">
        <f t="shared" si="0"/>
        <v>69000</v>
      </c>
      <c r="H53">
        <f>VLOOKUP(C53,products!A:D,4,FALSE)</f>
        <v>30000</v>
      </c>
      <c r="I53">
        <f t="shared" si="1"/>
        <v>39000</v>
      </c>
      <c r="J53" t="str">
        <f>VLOOKUP(B53,orders!A:B,2,FALSE)</f>
        <v>CUST0084</v>
      </c>
      <c r="K53" t="str">
        <f>VLOOKUP(J53,customers!A:F,6,FALSE)</f>
        <v>Surabaya</v>
      </c>
    </row>
    <row r="54" spans="1:11" x14ac:dyDescent="0.35">
      <c r="A54" s="4" t="s">
        <v>1088</v>
      </c>
      <c r="B54" s="4" t="s">
        <v>139</v>
      </c>
      <c r="C54" s="4" t="s">
        <v>1089</v>
      </c>
      <c r="D54" s="4">
        <v>2</v>
      </c>
      <c r="E54" s="6">
        <v>159000</v>
      </c>
      <c r="F54" t="str">
        <f>VLOOKUP(C54,products!A:C,2,FALSE)</f>
        <v>Power Bank 10000mAh</v>
      </c>
      <c r="G54">
        <f t="shared" si="0"/>
        <v>318000</v>
      </c>
      <c r="H54">
        <f>VLOOKUP(C54,products!A:D,4,FALSE)</f>
        <v>80000</v>
      </c>
      <c r="I54">
        <f t="shared" si="1"/>
        <v>158000</v>
      </c>
      <c r="J54" t="str">
        <f>VLOOKUP(B54,orders!A:B,2,FALSE)</f>
        <v>CUST0084</v>
      </c>
      <c r="K54" t="str">
        <f>VLOOKUP(J54,customers!A:F,6,FALSE)</f>
        <v>Surabaya</v>
      </c>
    </row>
    <row r="55" spans="1:11" x14ac:dyDescent="0.35">
      <c r="A55" s="4" t="s">
        <v>1090</v>
      </c>
      <c r="B55" s="4" t="s">
        <v>738</v>
      </c>
      <c r="C55" s="4" t="s">
        <v>1025</v>
      </c>
      <c r="D55" s="4">
        <v>1</v>
      </c>
      <c r="E55" s="6">
        <v>179000</v>
      </c>
      <c r="F55" t="str">
        <f>VLOOKUP(C55,products!A:C,2,FALSE)</f>
        <v>Rak Penyimpanan Serbaguna</v>
      </c>
      <c r="G55">
        <f t="shared" si="0"/>
        <v>179000</v>
      </c>
      <c r="H55">
        <f>VLOOKUP(C55,products!A:D,4,FALSE)</f>
        <v>90000</v>
      </c>
      <c r="I55">
        <f t="shared" si="1"/>
        <v>89000</v>
      </c>
      <c r="J55" t="str">
        <f>VLOOKUP(B55,orders!A:B,2,FALSE)</f>
        <v>CUST0009</v>
      </c>
      <c r="K55" t="str">
        <f>VLOOKUP(J55,customers!A:F,6,FALSE)</f>
        <v>Surabaya</v>
      </c>
    </row>
    <row r="56" spans="1:11" x14ac:dyDescent="0.35">
      <c r="A56" s="4" t="s">
        <v>1091</v>
      </c>
      <c r="B56" s="4" t="s">
        <v>738</v>
      </c>
      <c r="C56" s="4" t="s">
        <v>1082</v>
      </c>
      <c r="D56" s="4">
        <v>1</v>
      </c>
      <c r="E56" s="6">
        <v>399000</v>
      </c>
      <c r="F56" t="str">
        <f>VLOOKUP(C56,products!A:C,2,FALSE)</f>
        <v>Keyboard Mechanical Mini</v>
      </c>
      <c r="G56">
        <f t="shared" si="0"/>
        <v>399000</v>
      </c>
      <c r="H56">
        <f>VLOOKUP(C56,products!A:D,4,FALSE)</f>
        <v>200000</v>
      </c>
      <c r="I56">
        <f t="shared" si="1"/>
        <v>199000</v>
      </c>
      <c r="J56" t="str">
        <f>VLOOKUP(B56,orders!A:B,2,FALSE)</f>
        <v>CUST0009</v>
      </c>
      <c r="K56" t="str">
        <f>VLOOKUP(J56,customers!A:F,6,FALSE)</f>
        <v>Surabaya</v>
      </c>
    </row>
    <row r="57" spans="1:11" x14ac:dyDescent="0.35">
      <c r="A57" s="4" t="s">
        <v>1092</v>
      </c>
      <c r="B57" s="4" t="s">
        <v>316</v>
      </c>
      <c r="C57" s="4" t="s">
        <v>1025</v>
      </c>
      <c r="D57" s="4">
        <v>1</v>
      </c>
      <c r="E57" s="6">
        <v>179000</v>
      </c>
      <c r="F57" t="str">
        <f>VLOOKUP(C57,products!A:C,2,FALSE)</f>
        <v>Rak Penyimpanan Serbaguna</v>
      </c>
      <c r="G57">
        <f t="shared" si="0"/>
        <v>179000</v>
      </c>
      <c r="H57">
        <f>VLOOKUP(C57,products!A:D,4,FALSE)</f>
        <v>90000</v>
      </c>
      <c r="I57">
        <f t="shared" si="1"/>
        <v>89000</v>
      </c>
      <c r="J57" t="str">
        <f>VLOOKUP(B57,orders!A:B,2,FALSE)</f>
        <v>CUST0103</v>
      </c>
      <c r="K57" t="str">
        <f>VLOOKUP(J57,customers!A:F,6,FALSE)</f>
        <v>Semarang</v>
      </c>
    </row>
    <row r="58" spans="1:11" x14ac:dyDescent="0.35">
      <c r="A58" s="4" t="s">
        <v>1093</v>
      </c>
      <c r="B58" s="4" t="s">
        <v>316</v>
      </c>
      <c r="C58" s="4" t="s">
        <v>1023</v>
      </c>
      <c r="D58" s="4">
        <v>1</v>
      </c>
      <c r="E58" s="6">
        <v>69000</v>
      </c>
      <c r="F58" t="str">
        <f>VLOOKUP(C58,products!A:C,2,FALSE)</f>
        <v>Lampu LED Hias 5m</v>
      </c>
      <c r="G58">
        <f t="shared" si="0"/>
        <v>69000</v>
      </c>
      <c r="H58">
        <f>VLOOKUP(C58,products!A:D,4,FALSE)</f>
        <v>30000</v>
      </c>
      <c r="I58">
        <f t="shared" si="1"/>
        <v>39000</v>
      </c>
      <c r="J58" t="str">
        <f>VLOOKUP(B58,orders!A:B,2,FALSE)</f>
        <v>CUST0103</v>
      </c>
      <c r="K58" t="str">
        <f>VLOOKUP(J58,customers!A:F,6,FALSE)</f>
        <v>Semarang</v>
      </c>
    </row>
    <row r="59" spans="1:11" x14ac:dyDescent="0.35">
      <c r="A59" s="4" t="s">
        <v>1094</v>
      </c>
      <c r="B59" s="4" t="s">
        <v>879</v>
      </c>
      <c r="C59" s="4" t="s">
        <v>1029</v>
      </c>
      <c r="D59" s="4">
        <v>1</v>
      </c>
      <c r="E59" s="6">
        <v>39000</v>
      </c>
      <c r="F59" t="str">
        <f>VLOOKUP(C59,products!A:C,2,FALSE)</f>
        <v>Kabel Data USB-C</v>
      </c>
      <c r="G59">
        <f t="shared" si="0"/>
        <v>39000</v>
      </c>
      <c r="H59">
        <f>VLOOKUP(C59,products!A:D,4,FALSE)</f>
        <v>15000</v>
      </c>
      <c r="I59">
        <f t="shared" si="1"/>
        <v>24000</v>
      </c>
      <c r="J59" t="str">
        <f>VLOOKUP(B59,orders!A:B,2,FALSE)</f>
        <v>CUST0055</v>
      </c>
      <c r="K59" t="str">
        <f>VLOOKUP(J59,customers!A:F,6,FALSE)</f>
        <v>Surabaya</v>
      </c>
    </row>
    <row r="60" spans="1:11" x14ac:dyDescent="0.35">
      <c r="A60" s="4" t="s">
        <v>1095</v>
      </c>
      <c r="B60" s="4" t="s">
        <v>879</v>
      </c>
      <c r="C60" s="4" t="s">
        <v>1031</v>
      </c>
      <c r="D60" s="4">
        <v>3</v>
      </c>
      <c r="E60" s="6">
        <v>79000</v>
      </c>
      <c r="F60" t="str">
        <f>VLOOKUP(C60,products!A:C,2,FALSE)</f>
        <v>Kaos Polos Cotton Combed</v>
      </c>
      <c r="G60">
        <f t="shared" si="0"/>
        <v>237000</v>
      </c>
      <c r="H60">
        <f>VLOOKUP(C60,products!A:D,4,FALSE)</f>
        <v>35000</v>
      </c>
      <c r="I60">
        <f t="shared" si="1"/>
        <v>132000</v>
      </c>
      <c r="J60" t="str">
        <f>VLOOKUP(B60,orders!A:B,2,FALSE)</f>
        <v>CUST0055</v>
      </c>
      <c r="K60" t="str">
        <f>VLOOKUP(J60,customers!A:F,6,FALSE)</f>
        <v>Surabaya</v>
      </c>
    </row>
    <row r="61" spans="1:11" x14ac:dyDescent="0.35">
      <c r="A61" s="4" t="s">
        <v>1096</v>
      </c>
      <c r="B61" s="4" t="s">
        <v>529</v>
      </c>
      <c r="C61" s="4" t="s">
        <v>1029</v>
      </c>
      <c r="D61" s="4">
        <v>1</v>
      </c>
      <c r="E61" s="6">
        <v>39000</v>
      </c>
      <c r="F61" t="str">
        <f>VLOOKUP(C61,products!A:C,2,FALSE)</f>
        <v>Kabel Data USB-C</v>
      </c>
      <c r="G61">
        <f t="shared" si="0"/>
        <v>39000</v>
      </c>
      <c r="H61">
        <f>VLOOKUP(C61,products!A:D,4,FALSE)</f>
        <v>15000</v>
      </c>
      <c r="I61">
        <f t="shared" si="1"/>
        <v>24000</v>
      </c>
      <c r="J61" t="str">
        <f>VLOOKUP(B61,orders!A:B,2,FALSE)</f>
        <v>CUST0184</v>
      </c>
      <c r="K61" t="str">
        <f>VLOOKUP(J61,customers!A:F,6,FALSE)</f>
        <v>Denpasar</v>
      </c>
    </row>
    <row r="62" spans="1:11" x14ac:dyDescent="0.35">
      <c r="A62" s="4" t="s">
        <v>1097</v>
      </c>
      <c r="B62" s="4" t="s">
        <v>337</v>
      </c>
      <c r="C62" s="4" t="s">
        <v>1031</v>
      </c>
      <c r="D62" s="4">
        <v>2</v>
      </c>
      <c r="E62" s="6">
        <v>79000</v>
      </c>
      <c r="F62" t="str">
        <f>VLOOKUP(C62,products!A:C,2,FALSE)</f>
        <v>Kaos Polos Cotton Combed</v>
      </c>
      <c r="G62">
        <f t="shared" si="0"/>
        <v>158000</v>
      </c>
      <c r="H62">
        <f>VLOOKUP(C62,products!A:D,4,FALSE)</f>
        <v>35000</v>
      </c>
      <c r="I62">
        <f t="shared" si="1"/>
        <v>88000</v>
      </c>
      <c r="J62" t="str">
        <f>VLOOKUP(B62,orders!A:B,2,FALSE)</f>
        <v>CUST0128</v>
      </c>
      <c r="K62" t="str">
        <f>VLOOKUP(J62,customers!A:F,6,FALSE)</f>
        <v>Jakarta</v>
      </c>
    </row>
    <row r="63" spans="1:11" x14ac:dyDescent="0.35">
      <c r="A63" s="4" t="s">
        <v>1098</v>
      </c>
      <c r="B63" s="4" t="s">
        <v>908</v>
      </c>
      <c r="C63" s="4" t="s">
        <v>1046</v>
      </c>
      <c r="D63" s="4">
        <v>2</v>
      </c>
      <c r="E63" s="6">
        <v>139000</v>
      </c>
      <c r="F63" t="str">
        <f>VLOOKUP(C63,products!A:C,2,FALSE)</f>
        <v>Wajan Anti Lengket 24cm</v>
      </c>
      <c r="G63">
        <f t="shared" si="0"/>
        <v>278000</v>
      </c>
      <c r="H63">
        <f>VLOOKUP(C63,products!A:D,4,FALSE)</f>
        <v>65000</v>
      </c>
      <c r="I63">
        <f t="shared" si="1"/>
        <v>148000</v>
      </c>
      <c r="J63" t="str">
        <f>VLOOKUP(B63,orders!A:B,2,FALSE)</f>
        <v>CUST0165</v>
      </c>
      <c r="K63" t="str">
        <f>VLOOKUP(J63,customers!A:F,6,FALSE)</f>
        <v>Bandung</v>
      </c>
    </row>
    <row r="64" spans="1:11" x14ac:dyDescent="0.35">
      <c r="A64" s="4" t="s">
        <v>1099</v>
      </c>
      <c r="B64" s="4" t="s">
        <v>908</v>
      </c>
      <c r="C64" s="4" t="s">
        <v>1029</v>
      </c>
      <c r="D64" s="4">
        <v>1</v>
      </c>
      <c r="E64" s="6">
        <v>39000</v>
      </c>
      <c r="F64" t="str">
        <f>VLOOKUP(C64,products!A:C,2,FALSE)</f>
        <v>Kabel Data USB-C</v>
      </c>
      <c r="G64">
        <f t="shared" si="0"/>
        <v>39000</v>
      </c>
      <c r="H64">
        <f>VLOOKUP(C64,products!A:D,4,FALSE)</f>
        <v>15000</v>
      </c>
      <c r="I64">
        <f t="shared" si="1"/>
        <v>24000</v>
      </c>
      <c r="J64" t="str">
        <f>VLOOKUP(B64,orders!A:B,2,FALSE)</f>
        <v>CUST0165</v>
      </c>
      <c r="K64" t="str">
        <f>VLOOKUP(J64,customers!A:F,6,FALSE)</f>
        <v>Bandung</v>
      </c>
    </row>
    <row r="65" spans="1:11" x14ac:dyDescent="0.35">
      <c r="A65" s="4" t="s">
        <v>1100</v>
      </c>
      <c r="B65" s="4" t="s">
        <v>908</v>
      </c>
      <c r="C65" s="4" t="s">
        <v>1031</v>
      </c>
      <c r="D65" s="4">
        <v>2</v>
      </c>
      <c r="E65" s="6">
        <v>79000</v>
      </c>
      <c r="F65" t="str">
        <f>VLOOKUP(C65,products!A:C,2,FALSE)</f>
        <v>Kaos Polos Cotton Combed</v>
      </c>
      <c r="G65">
        <f t="shared" si="0"/>
        <v>158000</v>
      </c>
      <c r="H65">
        <f>VLOOKUP(C65,products!A:D,4,FALSE)</f>
        <v>35000</v>
      </c>
      <c r="I65">
        <f t="shared" si="1"/>
        <v>88000</v>
      </c>
      <c r="J65" t="str">
        <f>VLOOKUP(B65,orders!A:B,2,FALSE)</f>
        <v>CUST0165</v>
      </c>
      <c r="K65" t="str">
        <f>VLOOKUP(J65,customers!A:F,6,FALSE)</f>
        <v>Bandung</v>
      </c>
    </row>
    <row r="66" spans="1:11" x14ac:dyDescent="0.35">
      <c r="A66" s="4" t="s">
        <v>1101</v>
      </c>
      <c r="B66" s="4" t="s">
        <v>775</v>
      </c>
      <c r="C66" s="4" t="s">
        <v>1029</v>
      </c>
      <c r="D66" s="4">
        <v>2</v>
      </c>
      <c r="E66" s="6">
        <v>39000</v>
      </c>
      <c r="F66" t="str">
        <f>VLOOKUP(C66,products!A:C,2,FALSE)</f>
        <v>Kabel Data USB-C</v>
      </c>
      <c r="G66">
        <f t="shared" si="0"/>
        <v>78000</v>
      </c>
      <c r="H66">
        <f>VLOOKUP(C66,products!A:D,4,FALSE)</f>
        <v>15000</v>
      </c>
      <c r="I66">
        <f t="shared" si="1"/>
        <v>48000</v>
      </c>
      <c r="J66" t="str">
        <f>VLOOKUP(B66,orders!A:B,2,FALSE)</f>
        <v>CUST0068</v>
      </c>
      <c r="K66" t="str">
        <f>VLOOKUP(J66,customers!A:F,6,FALSE)</f>
        <v>Denpasar</v>
      </c>
    </row>
    <row r="67" spans="1:11" x14ac:dyDescent="0.35">
      <c r="A67" s="4" t="s">
        <v>1102</v>
      </c>
      <c r="B67" s="4" t="s">
        <v>590</v>
      </c>
      <c r="C67" s="4" t="s">
        <v>1082</v>
      </c>
      <c r="D67" s="4">
        <v>2</v>
      </c>
      <c r="E67" s="6">
        <v>399000</v>
      </c>
      <c r="F67" t="str">
        <f>VLOOKUP(C67,products!A:C,2,FALSE)</f>
        <v>Keyboard Mechanical Mini</v>
      </c>
      <c r="G67">
        <f t="shared" ref="G67:G130" si="2">D67*E67</f>
        <v>798000</v>
      </c>
      <c r="H67">
        <f>VLOOKUP(C67,products!A:D,4,FALSE)</f>
        <v>200000</v>
      </c>
      <c r="I67">
        <f t="shared" ref="I67:I130" si="3">(E67-H67)*D67</f>
        <v>398000</v>
      </c>
      <c r="J67" t="str">
        <f>VLOOKUP(B67,orders!A:B,2,FALSE)</f>
        <v>CUST0191</v>
      </c>
      <c r="K67" t="str">
        <f>VLOOKUP(J67,customers!A:F,6,FALSE)</f>
        <v>Jakarta</v>
      </c>
    </row>
    <row r="68" spans="1:11" x14ac:dyDescent="0.35">
      <c r="A68" s="4" t="s">
        <v>1103</v>
      </c>
      <c r="B68" s="4" t="s">
        <v>590</v>
      </c>
      <c r="C68" s="4" t="s">
        <v>1023</v>
      </c>
      <c r="D68" s="4">
        <v>1</v>
      </c>
      <c r="E68" s="6">
        <v>69000</v>
      </c>
      <c r="F68" t="str">
        <f>VLOOKUP(C68,products!A:C,2,FALSE)</f>
        <v>Lampu LED Hias 5m</v>
      </c>
      <c r="G68">
        <f t="shared" si="2"/>
        <v>69000</v>
      </c>
      <c r="H68">
        <f>VLOOKUP(C68,products!A:D,4,FALSE)</f>
        <v>30000</v>
      </c>
      <c r="I68">
        <f t="shared" si="3"/>
        <v>39000</v>
      </c>
      <c r="J68" t="str">
        <f>VLOOKUP(B68,orders!A:B,2,FALSE)</f>
        <v>CUST0191</v>
      </c>
      <c r="K68" t="str">
        <f>VLOOKUP(J68,customers!A:F,6,FALSE)</f>
        <v>Jakarta</v>
      </c>
    </row>
    <row r="69" spans="1:11" x14ac:dyDescent="0.35">
      <c r="A69" s="4" t="s">
        <v>1104</v>
      </c>
      <c r="B69" s="4" t="s">
        <v>590</v>
      </c>
      <c r="C69" s="4" t="s">
        <v>1031</v>
      </c>
      <c r="D69" s="4">
        <v>1</v>
      </c>
      <c r="E69" s="6">
        <v>79000</v>
      </c>
      <c r="F69" t="str">
        <f>VLOOKUP(C69,products!A:C,2,FALSE)</f>
        <v>Kaos Polos Cotton Combed</v>
      </c>
      <c r="G69">
        <f t="shared" si="2"/>
        <v>79000</v>
      </c>
      <c r="H69">
        <f>VLOOKUP(C69,products!A:D,4,FALSE)</f>
        <v>35000</v>
      </c>
      <c r="I69">
        <f t="shared" si="3"/>
        <v>44000</v>
      </c>
      <c r="J69" t="str">
        <f>VLOOKUP(B69,orders!A:B,2,FALSE)</f>
        <v>CUST0191</v>
      </c>
      <c r="K69" t="str">
        <f>VLOOKUP(J69,customers!A:F,6,FALSE)</f>
        <v>Jakarta</v>
      </c>
    </row>
    <row r="70" spans="1:11" x14ac:dyDescent="0.35">
      <c r="A70" s="4" t="s">
        <v>1105</v>
      </c>
      <c r="B70" s="4" t="s">
        <v>286</v>
      </c>
      <c r="C70" s="4" t="s">
        <v>1023</v>
      </c>
      <c r="D70" s="4">
        <v>1</v>
      </c>
      <c r="E70" s="6">
        <v>69000</v>
      </c>
      <c r="F70" t="str">
        <f>VLOOKUP(C70,products!A:C,2,FALSE)</f>
        <v>Lampu LED Hias 5m</v>
      </c>
      <c r="G70">
        <f t="shared" si="2"/>
        <v>69000</v>
      </c>
      <c r="H70">
        <f>VLOOKUP(C70,products!A:D,4,FALSE)</f>
        <v>30000</v>
      </c>
      <c r="I70">
        <f t="shared" si="3"/>
        <v>39000</v>
      </c>
      <c r="J70" t="str">
        <f>VLOOKUP(B70,orders!A:B,2,FALSE)</f>
        <v>CUST0068</v>
      </c>
      <c r="K70" t="str">
        <f>VLOOKUP(J70,customers!A:F,6,FALSE)</f>
        <v>Denpasar</v>
      </c>
    </row>
    <row r="71" spans="1:11" x14ac:dyDescent="0.35">
      <c r="A71" s="4" t="s">
        <v>1106</v>
      </c>
      <c r="B71" s="4" t="s">
        <v>962</v>
      </c>
      <c r="C71" s="4" t="s">
        <v>1049</v>
      </c>
      <c r="D71" s="4">
        <v>1</v>
      </c>
      <c r="E71" s="6">
        <v>349000</v>
      </c>
      <c r="F71" t="str">
        <f>VLOOKUP(C71,products!A:C,2,FALSE)</f>
        <v>Sepatu Sneakers Casual</v>
      </c>
      <c r="G71">
        <f t="shared" si="2"/>
        <v>349000</v>
      </c>
      <c r="H71">
        <f>VLOOKUP(C71,products!A:D,4,FALSE)</f>
        <v>180000</v>
      </c>
      <c r="I71">
        <f t="shared" si="3"/>
        <v>169000</v>
      </c>
      <c r="J71" t="str">
        <f>VLOOKUP(B71,orders!A:B,2,FALSE)</f>
        <v>CUST0110</v>
      </c>
      <c r="K71" t="str">
        <f>VLOOKUP(J71,customers!A:F,6,FALSE)</f>
        <v>Makassar</v>
      </c>
    </row>
    <row r="72" spans="1:11" x14ac:dyDescent="0.35">
      <c r="A72" s="4" t="s">
        <v>1107</v>
      </c>
      <c r="B72" s="4" t="s">
        <v>962</v>
      </c>
      <c r="C72" s="4" t="s">
        <v>1031</v>
      </c>
      <c r="D72" s="4">
        <v>1</v>
      </c>
      <c r="E72" s="6">
        <v>79000</v>
      </c>
      <c r="F72" t="str">
        <f>VLOOKUP(C72,products!A:C,2,FALSE)</f>
        <v>Kaos Polos Cotton Combed</v>
      </c>
      <c r="G72">
        <f t="shared" si="2"/>
        <v>79000</v>
      </c>
      <c r="H72">
        <f>VLOOKUP(C72,products!A:D,4,FALSE)</f>
        <v>35000</v>
      </c>
      <c r="I72">
        <f t="shared" si="3"/>
        <v>44000</v>
      </c>
      <c r="J72" t="str">
        <f>VLOOKUP(B72,orders!A:B,2,FALSE)</f>
        <v>CUST0110</v>
      </c>
      <c r="K72" t="str">
        <f>VLOOKUP(J72,customers!A:F,6,FALSE)</f>
        <v>Makassar</v>
      </c>
    </row>
    <row r="73" spans="1:11" x14ac:dyDescent="0.35">
      <c r="A73" s="4" t="s">
        <v>1108</v>
      </c>
      <c r="B73" s="4" t="s">
        <v>935</v>
      </c>
      <c r="C73" s="4" t="s">
        <v>1023</v>
      </c>
      <c r="D73" s="4">
        <v>1</v>
      </c>
      <c r="E73" s="6">
        <v>69000</v>
      </c>
      <c r="F73" t="str">
        <f>VLOOKUP(C73,products!A:C,2,FALSE)</f>
        <v>Lampu LED Hias 5m</v>
      </c>
      <c r="G73">
        <f t="shared" si="2"/>
        <v>69000</v>
      </c>
      <c r="H73">
        <f>VLOOKUP(C73,products!A:D,4,FALSE)</f>
        <v>30000</v>
      </c>
      <c r="I73">
        <f t="shared" si="3"/>
        <v>39000</v>
      </c>
      <c r="J73" t="str">
        <f>VLOOKUP(B73,orders!A:B,2,FALSE)</f>
        <v>CUST0093</v>
      </c>
      <c r="K73" t="str">
        <f>VLOOKUP(J73,customers!A:F,6,FALSE)</f>
        <v>Surabaya</v>
      </c>
    </row>
    <row r="74" spans="1:11" x14ac:dyDescent="0.35">
      <c r="A74" s="4" t="s">
        <v>1109</v>
      </c>
      <c r="B74" s="4" t="s">
        <v>935</v>
      </c>
      <c r="C74" s="4" t="s">
        <v>1029</v>
      </c>
      <c r="D74" s="4">
        <v>2</v>
      </c>
      <c r="E74" s="6">
        <v>39000</v>
      </c>
      <c r="F74" t="str">
        <f>VLOOKUP(C74,products!A:C,2,FALSE)</f>
        <v>Kabel Data USB-C</v>
      </c>
      <c r="G74">
        <f t="shared" si="2"/>
        <v>78000</v>
      </c>
      <c r="H74">
        <f>VLOOKUP(C74,products!A:D,4,FALSE)</f>
        <v>15000</v>
      </c>
      <c r="I74">
        <f t="shared" si="3"/>
        <v>48000</v>
      </c>
      <c r="J74" t="str">
        <f>VLOOKUP(B74,orders!A:B,2,FALSE)</f>
        <v>CUST0093</v>
      </c>
      <c r="K74" t="str">
        <f>VLOOKUP(J74,customers!A:F,6,FALSE)</f>
        <v>Surabaya</v>
      </c>
    </row>
    <row r="75" spans="1:11" x14ac:dyDescent="0.35">
      <c r="A75" s="4" t="s">
        <v>1110</v>
      </c>
      <c r="B75" s="4" t="s">
        <v>531</v>
      </c>
      <c r="C75" s="4" t="s">
        <v>1111</v>
      </c>
      <c r="D75" s="4">
        <v>1</v>
      </c>
      <c r="E75" s="6">
        <v>149000</v>
      </c>
      <c r="F75" t="str">
        <f>VLOOKUP(C75,products!A:C,2,FALSE)</f>
        <v>Set Pisau Dapur 5pcs</v>
      </c>
      <c r="G75">
        <f t="shared" si="2"/>
        <v>149000</v>
      </c>
      <c r="H75">
        <f>VLOOKUP(C75,products!A:D,4,FALSE)</f>
        <v>70000</v>
      </c>
      <c r="I75">
        <f t="shared" si="3"/>
        <v>79000</v>
      </c>
      <c r="J75" t="str">
        <f>VLOOKUP(B75,orders!A:B,2,FALSE)</f>
        <v>CUST0131</v>
      </c>
      <c r="K75" t="str">
        <f>VLOOKUP(J75,customers!A:F,6,FALSE)</f>
        <v>Semarang</v>
      </c>
    </row>
    <row r="76" spans="1:11" x14ac:dyDescent="0.35">
      <c r="A76" s="4" t="s">
        <v>1112</v>
      </c>
      <c r="B76" s="4" t="s">
        <v>531</v>
      </c>
      <c r="C76" s="4" t="s">
        <v>1023</v>
      </c>
      <c r="D76" s="4">
        <v>1</v>
      </c>
      <c r="E76" s="6">
        <v>69000</v>
      </c>
      <c r="F76" t="str">
        <f>VLOOKUP(C76,products!A:C,2,FALSE)</f>
        <v>Lampu LED Hias 5m</v>
      </c>
      <c r="G76">
        <f t="shared" si="2"/>
        <v>69000</v>
      </c>
      <c r="H76">
        <f>VLOOKUP(C76,products!A:D,4,FALSE)</f>
        <v>30000</v>
      </c>
      <c r="I76">
        <f t="shared" si="3"/>
        <v>39000</v>
      </c>
      <c r="J76" t="str">
        <f>VLOOKUP(B76,orders!A:B,2,FALSE)</f>
        <v>CUST0131</v>
      </c>
      <c r="K76" t="str">
        <f>VLOOKUP(J76,customers!A:F,6,FALSE)</f>
        <v>Semarang</v>
      </c>
    </row>
    <row r="77" spans="1:11" x14ac:dyDescent="0.35">
      <c r="A77" s="4" t="s">
        <v>1113</v>
      </c>
      <c r="B77" s="4" t="s">
        <v>330</v>
      </c>
      <c r="C77" s="4" t="s">
        <v>1023</v>
      </c>
      <c r="D77" s="4">
        <v>1</v>
      </c>
      <c r="E77" s="6">
        <v>69000</v>
      </c>
      <c r="F77" t="str">
        <f>VLOOKUP(C77,products!A:C,2,FALSE)</f>
        <v>Lampu LED Hias 5m</v>
      </c>
      <c r="G77">
        <f t="shared" si="2"/>
        <v>69000</v>
      </c>
      <c r="H77">
        <f>VLOOKUP(C77,products!A:D,4,FALSE)</f>
        <v>30000</v>
      </c>
      <c r="I77">
        <f t="shared" si="3"/>
        <v>39000</v>
      </c>
      <c r="J77" t="str">
        <f>VLOOKUP(B77,orders!A:B,2,FALSE)</f>
        <v>CUST0013</v>
      </c>
      <c r="K77" t="str">
        <f>VLOOKUP(J77,customers!A:F,6,FALSE)</f>
        <v>Bandung</v>
      </c>
    </row>
    <row r="78" spans="1:11" x14ac:dyDescent="0.35">
      <c r="A78" s="4" t="s">
        <v>1114</v>
      </c>
      <c r="B78" s="4" t="s">
        <v>886</v>
      </c>
      <c r="C78" s="4" t="s">
        <v>1023</v>
      </c>
      <c r="D78" s="4">
        <v>2</v>
      </c>
      <c r="E78" s="6">
        <v>69000</v>
      </c>
      <c r="F78" t="str">
        <f>VLOOKUP(C78,products!A:C,2,FALSE)</f>
        <v>Lampu LED Hias 5m</v>
      </c>
      <c r="G78">
        <f t="shared" si="2"/>
        <v>138000</v>
      </c>
      <c r="H78">
        <f>VLOOKUP(C78,products!A:D,4,FALSE)</f>
        <v>30000</v>
      </c>
      <c r="I78">
        <f t="shared" si="3"/>
        <v>78000</v>
      </c>
      <c r="J78" t="str">
        <f>VLOOKUP(B78,orders!A:B,2,FALSE)</f>
        <v>CUST0040</v>
      </c>
      <c r="K78" t="str">
        <f>VLOOKUP(J78,customers!A:F,6,FALSE)</f>
        <v>Bandung</v>
      </c>
    </row>
    <row r="79" spans="1:11" x14ac:dyDescent="0.35">
      <c r="A79" s="4" t="s">
        <v>1115</v>
      </c>
      <c r="B79" s="4" t="s">
        <v>702</v>
      </c>
      <c r="C79" s="4" t="s">
        <v>1023</v>
      </c>
      <c r="D79" s="4">
        <v>1</v>
      </c>
      <c r="E79" s="6">
        <v>69000</v>
      </c>
      <c r="F79" t="str">
        <f>VLOOKUP(C79,products!A:C,2,FALSE)</f>
        <v>Lampu LED Hias 5m</v>
      </c>
      <c r="G79">
        <f t="shared" si="2"/>
        <v>69000</v>
      </c>
      <c r="H79">
        <f>VLOOKUP(C79,products!A:D,4,FALSE)</f>
        <v>30000</v>
      </c>
      <c r="I79">
        <f t="shared" si="3"/>
        <v>39000</v>
      </c>
      <c r="J79" t="str">
        <f>VLOOKUP(B79,orders!A:B,2,FALSE)</f>
        <v>CUST0175</v>
      </c>
      <c r="K79" t="str">
        <f>VLOOKUP(J79,customers!A:F,6,FALSE)</f>
        <v>Bandung</v>
      </c>
    </row>
    <row r="80" spans="1:11" x14ac:dyDescent="0.35">
      <c r="A80" s="4" t="s">
        <v>1116</v>
      </c>
      <c r="B80" s="4" t="s">
        <v>880</v>
      </c>
      <c r="C80" s="4" t="s">
        <v>1023</v>
      </c>
      <c r="D80" s="4">
        <v>1</v>
      </c>
      <c r="E80" s="6">
        <v>69000</v>
      </c>
      <c r="F80" t="str">
        <f>VLOOKUP(C80,products!A:C,2,FALSE)</f>
        <v>Lampu LED Hias 5m</v>
      </c>
      <c r="G80">
        <f t="shared" si="2"/>
        <v>69000</v>
      </c>
      <c r="H80">
        <f>VLOOKUP(C80,products!A:D,4,FALSE)</f>
        <v>30000</v>
      </c>
      <c r="I80">
        <f t="shared" si="3"/>
        <v>39000</v>
      </c>
      <c r="J80" t="str">
        <f>VLOOKUP(B80,orders!A:B,2,FALSE)</f>
        <v>CUST0099</v>
      </c>
      <c r="K80" t="str">
        <f>VLOOKUP(J80,customers!A:F,6,FALSE)</f>
        <v>Depok</v>
      </c>
    </row>
    <row r="81" spans="1:11" x14ac:dyDescent="0.35">
      <c r="A81" s="4" t="s">
        <v>1117</v>
      </c>
      <c r="B81" s="4" t="s">
        <v>880</v>
      </c>
      <c r="C81" s="4" t="s">
        <v>1029</v>
      </c>
      <c r="D81" s="4">
        <v>2</v>
      </c>
      <c r="E81" s="6">
        <v>39000</v>
      </c>
      <c r="F81" t="str">
        <f>VLOOKUP(C81,products!A:C,2,FALSE)</f>
        <v>Kabel Data USB-C</v>
      </c>
      <c r="G81">
        <f t="shared" si="2"/>
        <v>78000</v>
      </c>
      <c r="H81">
        <f>VLOOKUP(C81,products!A:D,4,FALSE)</f>
        <v>15000</v>
      </c>
      <c r="I81">
        <f t="shared" si="3"/>
        <v>48000</v>
      </c>
      <c r="J81" t="str">
        <f>VLOOKUP(B81,orders!A:B,2,FALSE)</f>
        <v>CUST0099</v>
      </c>
      <c r="K81" t="str">
        <f>VLOOKUP(J81,customers!A:F,6,FALSE)</f>
        <v>Depok</v>
      </c>
    </row>
    <row r="82" spans="1:11" x14ac:dyDescent="0.35">
      <c r="A82" s="4" t="s">
        <v>1118</v>
      </c>
      <c r="B82" s="4" t="s">
        <v>545</v>
      </c>
      <c r="C82" s="4" t="s">
        <v>1023</v>
      </c>
      <c r="D82" s="4">
        <v>1</v>
      </c>
      <c r="E82" s="6">
        <v>69000</v>
      </c>
      <c r="F82" t="str">
        <f>VLOOKUP(C82,products!A:C,2,FALSE)</f>
        <v>Lampu LED Hias 5m</v>
      </c>
      <c r="G82">
        <f t="shared" si="2"/>
        <v>69000</v>
      </c>
      <c r="H82">
        <f>VLOOKUP(C82,products!A:D,4,FALSE)</f>
        <v>30000</v>
      </c>
      <c r="I82">
        <f t="shared" si="3"/>
        <v>39000</v>
      </c>
      <c r="J82" t="str">
        <f>VLOOKUP(B82,orders!A:B,2,FALSE)</f>
        <v>CUST0136</v>
      </c>
      <c r="K82" t="str">
        <f>VLOOKUP(J82,customers!A:F,6,FALSE)</f>
        <v>Yogyakarta</v>
      </c>
    </row>
    <row r="83" spans="1:11" x14ac:dyDescent="0.35">
      <c r="A83" s="4" t="s">
        <v>1119</v>
      </c>
      <c r="B83" s="4" t="s">
        <v>545</v>
      </c>
      <c r="C83" s="4" t="s">
        <v>1033</v>
      </c>
      <c r="D83" s="4">
        <v>1</v>
      </c>
      <c r="E83" s="6">
        <v>55000</v>
      </c>
      <c r="F83" t="str">
        <f>VLOOKUP(C83,products!A:C,2,FALSE)</f>
        <v>Sapu + Pengki Set</v>
      </c>
      <c r="G83">
        <f t="shared" si="2"/>
        <v>55000</v>
      </c>
      <c r="H83">
        <f>VLOOKUP(C83,products!A:D,4,FALSE)</f>
        <v>25000</v>
      </c>
      <c r="I83">
        <f t="shared" si="3"/>
        <v>30000</v>
      </c>
      <c r="J83" t="str">
        <f>VLOOKUP(B83,orders!A:B,2,FALSE)</f>
        <v>CUST0136</v>
      </c>
      <c r="K83" t="str">
        <f>VLOOKUP(J83,customers!A:F,6,FALSE)</f>
        <v>Yogyakarta</v>
      </c>
    </row>
    <row r="84" spans="1:11" x14ac:dyDescent="0.35">
      <c r="A84" s="4" t="s">
        <v>1120</v>
      </c>
      <c r="B84" s="4" t="s">
        <v>512</v>
      </c>
      <c r="C84" s="4" t="s">
        <v>1029</v>
      </c>
      <c r="D84" s="4">
        <v>3</v>
      </c>
      <c r="E84" s="6">
        <v>39000</v>
      </c>
      <c r="F84" t="str">
        <f>VLOOKUP(C84,products!A:C,2,FALSE)</f>
        <v>Kabel Data USB-C</v>
      </c>
      <c r="G84">
        <f t="shared" si="2"/>
        <v>117000</v>
      </c>
      <c r="H84">
        <f>VLOOKUP(C84,products!A:D,4,FALSE)</f>
        <v>15000</v>
      </c>
      <c r="I84">
        <f t="shared" si="3"/>
        <v>72000</v>
      </c>
      <c r="J84" t="str">
        <f>VLOOKUP(B84,orders!A:B,2,FALSE)</f>
        <v>CUST0003</v>
      </c>
      <c r="K84" t="str">
        <f>VLOOKUP(J84,customers!A:F,6,FALSE)</f>
        <v>Jakarta</v>
      </c>
    </row>
    <row r="85" spans="1:11" x14ac:dyDescent="0.35">
      <c r="A85" s="4" t="s">
        <v>1121</v>
      </c>
      <c r="B85" s="4" t="s">
        <v>93</v>
      </c>
      <c r="C85" s="4" t="s">
        <v>1023</v>
      </c>
      <c r="D85" s="4">
        <v>1</v>
      </c>
      <c r="E85" s="6">
        <v>69000</v>
      </c>
      <c r="F85" t="str">
        <f>VLOOKUP(C85,products!A:C,2,FALSE)</f>
        <v>Lampu LED Hias 5m</v>
      </c>
      <c r="G85">
        <f t="shared" si="2"/>
        <v>69000</v>
      </c>
      <c r="H85">
        <f>VLOOKUP(C85,products!A:D,4,FALSE)</f>
        <v>30000</v>
      </c>
      <c r="I85">
        <f t="shared" si="3"/>
        <v>39000</v>
      </c>
      <c r="J85" t="str">
        <f>VLOOKUP(B85,orders!A:B,2,FALSE)</f>
        <v>CUST0030</v>
      </c>
      <c r="K85" t="str">
        <f>VLOOKUP(J85,customers!A:F,6,FALSE)</f>
        <v>Jakarta</v>
      </c>
    </row>
    <row r="86" spans="1:11" x14ac:dyDescent="0.35">
      <c r="A86" s="4" t="s">
        <v>1122</v>
      </c>
      <c r="B86" s="4" t="s">
        <v>93</v>
      </c>
      <c r="C86" s="4" t="s">
        <v>1029</v>
      </c>
      <c r="D86" s="4">
        <v>1</v>
      </c>
      <c r="E86" s="6">
        <v>39000</v>
      </c>
      <c r="F86" t="str">
        <f>VLOOKUP(C86,products!A:C,2,FALSE)</f>
        <v>Kabel Data USB-C</v>
      </c>
      <c r="G86">
        <f t="shared" si="2"/>
        <v>39000</v>
      </c>
      <c r="H86">
        <f>VLOOKUP(C86,products!A:D,4,FALSE)</f>
        <v>15000</v>
      </c>
      <c r="I86">
        <f t="shared" si="3"/>
        <v>24000</v>
      </c>
      <c r="J86" t="str">
        <f>VLOOKUP(B86,orders!A:B,2,FALSE)</f>
        <v>CUST0030</v>
      </c>
      <c r="K86" t="str">
        <f>VLOOKUP(J86,customers!A:F,6,FALSE)</f>
        <v>Jakarta</v>
      </c>
    </row>
    <row r="87" spans="1:11" x14ac:dyDescent="0.35">
      <c r="A87" s="4" t="s">
        <v>1123</v>
      </c>
      <c r="B87" s="4" t="s">
        <v>93</v>
      </c>
      <c r="C87" s="4" t="s">
        <v>1033</v>
      </c>
      <c r="D87" s="4">
        <v>1</v>
      </c>
      <c r="E87" s="6">
        <v>55000</v>
      </c>
      <c r="F87" t="str">
        <f>VLOOKUP(C87,products!A:C,2,FALSE)</f>
        <v>Sapu + Pengki Set</v>
      </c>
      <c r="G87">
        <f t="shared" si="2"/>
        <v>55000</v>
      </c>
      <c r="H87">
        <f>VLOOKUP(C87,products!A:D,4,FALSE)</f>
        <v>25000</v>
      </c>
      <c r="I87">
        <f t="shared" si="3"/>
        <v>30000</v>
      </c>
      <c r="J87" t="str">
        <f>VLOOKUP(B87,orders!A:B,2,FALSE)</f>
        <v>CUST0030</v>
      </c>
      <c r="K87" t="str">
        <f>VLOOKUP(J87,customers!A:F,6,FALSE)</f>
        <v>Jakarta</v>
      </c>
    </row>
    <row r="88" spans="1:11" x14ac:dyDescent="0.35">
      <c r="A88" s="4" t="s">
        <v>1124</v>
      </c>
      <c r="B88" s="4" t="s">
        <v>93</v>
      </c>
      <c r="C88" s="4" t="s">
        <v>1036</v>
      </c>
      <c r="D88" s="4">
        <v>2</v>
      </c>
      <c r="E88" s="6">
        <v>229000</v>
      </c>
      <c r="F88" t="str">
        <f>VLOOKUP(C88,products!A:C,2,FALSE)</f>
        <v>Celana Jeans Slimfit</v>
      </c>
      <c r="G88">
        <f t="shared" si="2"/>
        <v>458000</v>
      </c>
      <c r="H88">
        <f>VLOOKUP(C88,products!A:D,4,FALSE)</f>
        <v>110000</v>
      </c>
      <c r="I88">
        <f t="shared" si="3"/>
        <v>238000</v>
      </c>
      <c r="J88" t="str">
        <f>VLOOKUP(B88,orders!A:B,2,FALSE)</f>
        <v>CUST0030</v>
      </c>
      <c r="K88" t="str">
        <f>VLOOKUP(J88,customers!A:F,6,FALSE)</f>
        <v>Jakarta</v>
      </c>
    </row>
    <row r="89" spans="1:11" x14ac:dyDescent="0.35">
      <c r="A89" s="4" t="s">
        <v>1125</v>
      </c>
      <c r="B89" s="4" t="s">
        <v>615</v>
      </c>
      <c r="C89" s="4" t="s">
        <v>1049</v>
      </c>
      <c r="D89" s="4">
        <v>3</v>
      </c>
      <c r="E89" s="6">
        <v>349000</v>
      </c>
      <c r="F89" t="str">
        <f>VLOOKUP(C89,products!A:C,2,FALSE)</f>
        <v>Sepatu Sneakers Casual</v>
      </c>
      <c r="G89">
        <f t="shared" si="2"/>
        <v>1047000</v>
      </c>
      <c r="H89">
        <f>VLOOKUP(C89,products!A:D,4,FALSE)</f>
        <v>180000</v>
      </c>
      <c r="I89">
        <f t="shared" si="3"/>
        <v>507000</v>
      </c>
      <c r="J89" t="str">
        <f>VLOOKUP(B89,orders!A:B,2,FALSE)</f>
        <v>CUST0138</v>
      </c>
      <c r="K89" t="str">
        <f>VLOOKUP(J89,customers!A:F,6,FALSE)</f>
        <v>Medan</v>
      </c>
    </row>
    <row r="90" spans="1:11" x14ac:dyDescent="0.35">
      <c r="A90" s="4" t="s">
        <v>1126</v>
      </c>
      <c r="B90" s="4" t="s">
        <v>736</v>
      </c>
      <c r="C90" s="4" t="s">
        <v>1044</v>
      </c>
      <c r="D90" s="4">
        <v>1</v>
      </c>
      <c r="E90" s="6">
        <v>329000</v>
      </c>
      <c r="F90" t="str">
        <f>VLOOKUP(C90,products!A:C,2,FALSE)</f>
        <v>Rice Cooker Mini 1.5L</v>
      </c>
      <c r="G90">
        <f t="shared" si="2"/>
        <v>329000</v>
      </c>
      <c r="H90">
        <f>VLOOKUP(C90,products!A:D,4,FALSE)</f>
        <v>180000</v>
      </c>
      <c r="I90">
        <f t="shared" si="3"/>
        <v>149000</v>
      </c>
      <c r="J90" t="str">
        <f>VLOOKUP(B90,orders!A:B,2,FALSE)</f>
        <v>CUST0088</v>
      </c>
      <c r="K90" t="str">
        <f>VLOOKUP(J90,customers!A:F,6,FALSE)</f>
        <v>Makassar</v>
      </c>
    </row>
    <row r="91" spans="1:11" x14ac:dyDescent="0.35">
      <c r="A91" s="4" t="s">
        <v>1127</v>
      </c>
      <c r="B91" s="4" t="s">
        <v>736</v>
      </c>
      <c r="C91" s="4" t="s">
        <v>1029</v>
      </c>
      <c r="D91" s="4">
        <v>1</v>
      </c>
      <c r="E91" s="6">
        <v>39000</v>
      </c>
      <c r="F91" t="str">
        <f>VLOOKUP(C91,products!A:C,2,FALSE)</f>
        <v>Kabel Data USB-C</v>
      </c>
      <c r="G91">
        <f t="shared" si="2"/>
        <v>39000</v>
      </c>
      <c r="H91">
        <f>VLOOKUP(C91,products!A:D,4,FALSE)</f>
        <v>15000</v>
      </c>
      <c r="I91">
        <f t="shared" si="3"/>
        <v>24000</v>
      </c>
      <c r="J91" t="str">
        <f>VLOOKUP(B91,orders!A:B,2,FALSE)</f>
        <v>CUST0088</v>
      </c>
      <c r="K91" t="str">
        <f>VLOOKUP(J91,customers!A:F,6,FALSE)</f>
        <v>Makassar</v>
      </c>
    </row>
    <row r="92" spans="1:11" x14ac:dyDescent="0.35">
      <c r="A92" s="4" t="s">
        <v>1128</v>
      </c>
      <c r="B92" s="4" t="s">
        <v>348</v>
      </c>
      <c r="C92" s="4" t="s">
        <v>1082</v>
      </c>
      <c r="D92" s="4">
        <v>1</v>
      </c>
      <c r="E92" s="6">
        <v>399000</v>
      </c>
      <c r="F92" t="str">
        <f>VLOOKUP(C92,products!A:C,2,FALSE)</f>
        <v>Keyboard Mechanical Mini</v>
      </c>
      <c r="G92">
        <f t="shared" si="2"/>
        <v>399000</v>
      </c>
      <c r="H92">
        <f>VLOOKUP(C92,products!A:D,4,FALSE)</f>
        <v>200000</v>
      </c>
      <c r="I92">
        <f t="shared" si="3"/>
        <v>199000</v>
      </c>
      <c r="J92" t="str">
        <f>VLOOKUP(B92,orders!A:B,2,FALSE)</f>
        <v>CUST0041</v>
      </c>
      <c r="K92" t="str">
        <f>VLOOKUP(J92,customers!A:F,6,FALSE)</f>
        <v>Palembang</v>
      </c>
    </row>
    <row r="93" spans="1:11" x14ac:dyDescent="0.35">
      <c r="A93" s="4" t="s">
        <v>1129</v>
      </c>
      <c r="B93" s="4" t="s">
        <v>644</v>
      </c>
      <c r="C93" s="4" t="s">
        <v>1029</v>
      </c>
      <c r="D93" s="4">
        <v>1</v>
      </c>
      <c r="E93" s="6">
        <v>39000</v>
      </c>
      <c r="F93" t="str">
        <f>VLOOKUP(C93,products!A:C,2,FALSE)</f>
        <v>Kabel Data USB-C</v>
      </c>
      <c r="G93">
        <f t="shared" si="2"/>
        <v>39000</v>
      </c>
      <c r="H93">
        <f>VLOOKUP(C93,products!A:D,4,FALSE)</f>
        <v>15000</v>
      </c>
      <c r="I93">
        <f t="shared" si="3"/>
        <v>24000</v>
      </c>
      <c r="J93" t="str">
        <f>VLOOKUP(B93,orders!A:B,2,FALSE)</f>
        <v>CUST0185</v>
      </c>
      <c r="K93" t="str">
        <f>VLOOKUP(J93,customers!A:F,6,FALSE)</f>
        <v>Jakarta</v>
      </c>
    </row>
    <row r="94" spans="1:11" x14ac:dyDescent="0.35">
      <c r="A94" s="4" t="s">
        <v>1130</v>
      </c>
      <c r="B94" s="4" t="s">
        <v>644</v>
      </c>
      <c r="C94" s="4" t="s">
        <v>1033</v>
      </c>
      <c r="D94" s="4">
        <v>1</v>
      </c>
      <c r="E94" s="6">
        <v>55000</v>
      </c>
      <c r="F94" t="str">
        <f>VLOOKUP(C94,products!A:C,2,FALSE)</f>
        <v>Sapu + Pengki Set</v>
      </c>
      <c r="G94">
        <f t="shared" si="2"/>
        <v>55000</v>
      </c>
      <c r="H94">
        <f>VLOOKUP(C94,products!A:D,4,FALSE)</f>
        <v>25000</v>
      </c>
      <c r="I94">
        <f t="shared" si="3"/>
        <v>30000</v>
      </c>
      <c r="J94" t="str">
        <f>VLOOKUP(B94,orders!A:B,2,FALSE)</f>
        <v>CUST0185</v>
      </c>
      <c r="K94" t="str">
        <f>VLOOKUP(J94,customers!A:F,6,FALSE)</f>
        <v>Jakarta</v>
      </c>
    </row>
    <row r="95" spans="1:11" x14ac:dyDescent="0.35">
      <c r="A95" s="4" t="s">
        <v>1131</v>
      </c>
      <c r="B95" s="4" t="s">
        <v>925</v>
      </c>
      <c r="C95" s="4" t="s">
        <v>1082</v>
      </c>
      <c r="D95" s="4">
        <v>1</v>
      </c>
      <c r="E95" s="6">
        <v>399000</v>
      </c>
      <c r="F95" t="str">
        <f>VLOOKUP(C95,products!A:C,2,FALSE)</f>
        <v>Keyboard Mechanical Mini</v>
      </c>
      <c r="G95">
        <f t="shared" si="2"/>
        <v>399000</v>
      </c>
      <c r="H95">
        <f>VLOOKUP(C95,products!A:D,4,FALSE)</f>
        <v>200000</v>
      </c>
      <c r="I95">
        <f t="shared" si="3"/>
        <v>199000</v>
      </c>
      <c r="J95" t="str">
        <f>VLOOKUP(B95,orders!A:B,2,FALSE)</f>
        <v>CUST0046</v>
      </c>
      <c r="K95" t="str">
        <f>VLOOKUP(J95,customers!A:F,6,FALSE)</f>
        <v>Jakarta</v>
      </c>
    </row>
    <row r="96" spans="1:11" x14ac:dyDescent="0.35">
      <c r="A96" s="4" t="s">
        <v>1132</v>
      </c>
      <c r="B96" s="4" t="s">
        <v>786</v>
      </c>
      <c r="C96" s="4" t="s">
        <v>1029</v>
      </c>
      <c r="D96" s="4">
        <v>1</v>
      </c>
      <c r="E96" s="6">
        <v>39000</v>
      </c>
      <c r="F96" t="str">
        <f>VLOOKUP(C96,products!A:C,2,FALSE)</f>
        <v>Kabel Data USB-C</v>
      </c>
      <c r="G96">
        <f t="shared" si="2"/>
        <v>39000</v>
      </c>
      <c r="H96">
        <f>VLOOKUP(C96,products!A:D,4,FALSE)</f>
        <v>15000</v>
      </c>
      <c r="I96">
        <f t="shared" si="3"/>
        <v>24000</v>
      </c>
      <c r="J96" t="str">
        <f>VLOOKUP(B96,orders!A:B,2,FALSE)</f>
        <v>CUST0028</v>
      </c>
      <c r="K96" t="str">
        <f>VLOOKUP(J96,customers!A:F,6,FALSE)</f>
        <v>Semarang</v>
      </c>
    </row>
    <row r="97" spans="1:11" x14ac:dyDescent="0.35">
      <c r="A97" s="4" t="s">
        <v>1133</v>
      </c>
      <c r="B97" s="4" t="s">
        <v>474</v>
      </c>
      <c r="C97" s="4" t="s">
        <v>1023</v>
      </c>
      <c r="D97" s="4">
        <v>1</v>
      </c>
      <c r="E97" s="6">
        <v>69000</v>
      </c>
      <c r="F97" t="str">
        <f>VLOOKUP(C97,products!A:C,2,FALSE)</f>
        <v>Lampu LED Hias 5m</v>
      </c>
      <c r="G97">
        <f t="shared" si="2"/>
        <v>69000</v>
      </c>
      <c r="H97">
        <f>VLOOKUP(C97,products!A:D,4,FALSE)</f>
        <v>30000</v>
      </c>
      <c r="I97">
        <f t="shared" si="3"/>
        <v>39000</v>
      </c>
      <c r="J97" t="str">
        <f>VLOOKUP(B97,orders!A:B,2,FALSE)</f>
        <v>CUST0077</v>
      </c>
      <c r="K97" t="str">
        <f>VLOOKUP(J97,customers!A:F,6,FALSE)</f>
        <v>Jakarta</v>
      </c>
    </row>
    <row r="98" spans="1:11" x14ac:dyDescent="0.35">
      <c r="A98" s="4" t="s">
        <v>1134</v>
      </c>
      <c r="B98" s="4" t="s">
        <v>388</v>
      </c>
      <c r="C98" s="4" t="s">
        <v>1029</v>
      </c>
      <c r="D98" s="4">
        <v>1</v>
      </c>
      <c r="E98" s="6">
        <v>39000</v>
      </c>
      <c r="F98" t="str">
        <f>VLOOKUP(C98,products!A:C,2,FALSE)</f>
        <v>Kabel Data USB-C</v>
      </c>
      <c r="G98">
        <f t="shared" si="2"/>
        <v>39000</v>
      </c>
      <c r="H98">
        <f>VLOOKUP(C98,products!A:D,4,FALSE)</f>
        <v>15000</v>
      </c>
      <c r="I98">
        <f t="shared" si="3"/>
        <v>24000</v>
      </c>
      <c r="J98" t="str">
        <f>VLOOKUP(B98,orders!A:B,2,FALSE)</f>
        <v>CUST0130</v>
      </c>
      <c r="K98" t="str">
        <f>VLOOKUP(J98,customers!A:F,6,FALSE)</f>
        <v>Semarang</v>
      </c>
    </row>
    <row r="99" spans="1:11" x14ac:dyDescent="0.35">
      <c r="A99" s="4" t="s">
        <v>1135</v>
      </c>
      <c r="B99" s="4" t="s">
        <v>388</v>
      </c>
      <c r="C99" s="4" t="s">
        <v>1023</v>
      </c>
      <c r="D99" s="4">
        <v>1</v>
      </c>
      <c r="E99" s="6">
        <v>69000</v>
      </c>
      <c r="F99" t="str">
        <f>VLOOKUP(C99,products!A:C,2,FALSE)</f>
        <v>Lampu LED Hias 5m</v>
      </c>
      <c r="G99">
        <f t="shared" si="2"/>
        <v>69000</v>
      </c>
      <c r="H99">
        <f>VLOOKUP(C99,products!A:D,4,FALSE)</f>
        <v>30000</v>
      </c>
      <c r="I99">
        <f t="shared" si="3"/>
        <v>39000</v>
      </c>
      <c r="J99" t="str">
        <f>VLOOKUP(B99,orders!A:B,2,FALSE)</f>
        <v>CUST0130</v>
      </c>
      <c r="K99" t="str">
        <f>VLOOKUP(J99,customers!A:F,6,FALSE)</f>
        <v>Semarang</v>
      </c>
    </row>
    <row r="100" spans="1:11" x14ac:dyDescent="0.35">
      <c r="A100" s="4" t="s">
        <v>1136</v>
      </c>
      <c r="B100" s="4" t="s">
        <v>867</v>
      </c>
      <c r="C100" s="4" t="s">
        <v>1033</v>
      </c>
      <c r="D100" s="4">
        <v>1</v>
      </c>
      <c r="E100" s="6">
        <v>55000</v>
      </c>
      <c r="F100" t="str">
        <f>VLOOKUP(C100,products!A:C,2,FALSE)</f>
        <v>Sapu + Pengki Set</v>
      </c>
      <c r="G100">
        <f t="shared" si="2"/>
        <v>55000</v>
      </c>
      <c r="H100">
        <f>VLOOKUP(C100,products!A:D,4,FALSE)</f>
        <v>25000</v>
      </c>
      <c r="I100">
        <f t="shared" si="3"/>
        <v>30000</v>
      </c>
      <c r="J100" t="str">
        <f>VLOOKUP(B100,orders!A:B,2,FALSE)</f>
        <v>CUST0040</v>
      </c>
      <c r="K100" t="str">
        <f>VLOOKUP(J100,customers!A:F,6,FALSE)</f>
        <v>Bandung</v>
      </c>
    </row>
    <row r="101" spans="1:11" x14ac:dyDescent="0.35">
      <c r="A101" s="4" t="s">
        <v>1137</v>
      </c>
      <c r="B101" s="4" t="s">
        <v>867</v>
      </c>
      <c r="C101" s="4" t="s">
        <v>1023</v>
      </c>
      <c r="D101" s="4">
        <v>1</v>
      </c>
      <c r="E101" s="6">
        <v>69000</v>
      </c>
      <c r="F101" t="str">
        <f>VLOOKUP(C101,products!A:C,2,FALSE)</f>
        <v>Lampu LED Hias 5m</v>
      </c>
      <c r="G101">
        <f t="shared" si="2"/>
        <v>69000</v>
      </c>
      <c r="H101">
        <f>VLOOKUP(C101,products!A:D,4,FALSE)</f>
        <v>30000</v>
      </c>
      <c r="I101">
        <f t="shared" si="3"/>
        <v>39000</v>
      </c>
      <c r="J101" t="str">
        <f>VLOOKUP(B101,orders!A:B,2,FALSE)</f>
        <v>CUST0040</v>
      </c>
      <c r="K101" t="str">
        <f>VLOOKUP(J101,customers!A:F,6,FALSE)</f>
        <v>Bandung</v>
      </c>
    </row>
    <row r="102" spans="1:11" x14ac:dyDescent="0.35">
      <c r="A102" s="4" t="s">
        <v>1138</v>
      </c>
      <c r="B102" s="4" t="s">
        <v>867</v>
      </c>
      <c r="C102" s="4" t="s">
        <v>1053</v>
      </c>
      <c r="D102" s="4">
        <v>1</v>
      </c>
      <c r="E102" s="6">
        <v>129000</v>
      </c>
      <c r="F102" t="str">
        <f>VLOOKUP(C102,products!A:C,2,FALSE)</f>
        <v>Charger Fast Charging 33W</v>
      </c>
      <c r="G102">
        <f t="shared" si="2"/>
        <v>129000</v>
      </c>
      <c r="H102">
        <f>VLOOKUP(C102,products!A:D,4,FALSE)</f>
        <v>60000</v>
      </c>
      <c r="I102">
        <f t="shared" si="3"/>
        <v>69000</v>
      </c>
      <c r="J102" t="str">
        <f>VLOOKUP(B102,orders!A:B,2,FALSE)</f>
        <v>CUST0040</v>
      </c>
      <c r="K102" t="str">
        <f>VLOOKUP(J102,customers!A:F,6,FALSE)</f>
        <v>Bandung</v>
      </c>
    </row>
    <row r="103" spans="1:11" x14ac:dyDescent="0.35">
      <c r="A103" s="4" t="s">
        <v>1139</v>
      </c>
      <c r="B103" s="4" t="s">
        <v>557</v>
      </c>
      <c r="C103" s="4" t="s">
        <v>1029</v>
      </c>
      <c r="D103" s="4">
        <v>1</v>
      </c>
      <c r="E103" s="6">
        <v>39000</v>
      </c>
      <c r="F103" t="str">
        <f>VLOOKUP(C103,products!A:C,2,FALSE)</f>
        <v>Kabel Data USB-C</v>
      </c>
      <c r="G103">
        <f t="shared" si="2"/>
        <v>39000</v>
      </c>
      <c r="H103">
        <f>VLOOKUP(C103,products!A:D,4,FALSE)</f>
        <v>15000</v>
      </c>
      <c r="I103">
        <f t="shared" si="3"/>
        <v>24000</v>
      </c>
      <c r="J103" t="str">
        <f>VLOOKUP(B103,orders!A:B,2,FALSE)</f>
        <v>CUST0139</v>
      </c>
      <c r="K103" t="str">
        <f>VLOOKUP(J103,customers!A:F,6,FALSE)</f>
        <v>Yogyakarta</v>
      </c>
    </row>
    <row r="104" spans="1:11" x14ac:dyDescent="0.35">
      <c r="A104" s="4" t="s">
        <v>1140</v>
      </c>
      <c r="B104" s="4" t="s">
        <v>557</v>
      </c>
      <c r="C104" s="4" t="s">
        <v>1023</v>
      </c>
      <c r="D104" s="4">
        <v>1</v>
      </c>
      <c r="E104" s="6">
        <v>69000</v>
      </c>
      <c r="F104" t="str">
        <f>VLOOKUP(C104,products!A:C,2,FALSE)</f>
        <v>Lampu LED Hias 5m</v>
      </c>
      <c r="G104">
        <f t="shared" si="2"/>
        <v>69000</v>
      </c>
      <c r="H104">
        <f>VLOOKUP(C104,products!A:D,4,FALSE)</f>
        <v>30000</v>
      </c>
      <c r="I104">
        <f t="shared" si="3"/>
        <v>39000</v>
      </c>
      <c r="J104" t="str">
        <f>VLOOKUP(B104,orders!A:B,2,FALSE)</f>
        <v>CUST0139</v>
      </c>
      <c r="K104" t="str">
        <f>VLOOKUP(J104,customers!A:F,6,FALSE)</f>
        <v>Yogyakarta</v>
      </c>
    </row>
    <row r="105" spans="1:11" x14ac:dyDescent="0.35">
      <c r="A105" s="4" t="s">
        <v>1141</v>
      </c>
      <c r="B105" s="4" t="s">
        <v>680</v>
      </c>
      <c r="C105" s="4" t="s">
        <v>1036</v>
      </c>
      <c r="D105" s="4">
        <v>2</v>
      </c>
      <c r="E105" s="6">
        <v>229000</v>
      </c>
      <c r="F105" t="str">
        <f>VLOOKUP(C105,products!A:C,2,FALSE)</f>
        <v>Celana Jeans Slimfit</v>
      </c>
      <c r="G105">
        <f t="shared" si="2"/>
        <v>458000</v>
      </c>
      <c r="H105">
        <f>VLOOKUP(C105,products!A:D,4,FALSE)</f>
        <v>110000</v>
      </c>
      <c r="I105">
        <f t="shared" si="3"/>
        <v>238000</v>
      </c>
      <c r="J105" t="str">
        <f>VLOOKUP(B105,orders!A:B,2,FALSE)</f>
        <v>CUST0136</v>
      </c>
      <c r="K105" t="str">
        <f>VLOOKUP(J105,customers!A:F,6,FALSE)</f>
        <v>Yogyakarta</v>
      </c>
    </row>
    <row r="106" spans="1:11" x14ac:dyDescent="0.35">
      <c r="A106" s="4" t="s">
        <v>1142</v>
      </c>
      <c r="B106" s="4" t="s">
        <v>680</v>
      </c>
      <c r="C106" s="4" t="s">
        <v>1023</v>
      </c>
      <c r="D106" s="4">
        <v>1</v>
      </c>
      <c r="E106" s="6">
        <v>69000</v>
      </c>
      <c r="F106" t="str">
        <f>VLOOKUP(C106,products!A:C,2,FALSE)</f>
        <v>Lampu LED Hias 5m</v>
      </c>
      <c r="G106">
        <f t="shared" si="2"/>
        <v>69000</v>
      </c>
      <c r="H106">
        <f>VLOOKUP(C106,products!A:D,4,FALSE)</f>
        <v>30000</v>
      </c>
      <c r="I106">
        <f t="shared" si="3"/>
        <v>39000</v>
      </c>
      <c r="J106" t="str">
        <f>VLOOKUP(B106,orders!A:B,2,FALSE)</f>
        <v>CUST0136</v>
      </c>
      <c r="K106" t="str">
        <f>VLOOKUP(J106,customers!A:F,6,FALSE)</f>
        <v>Yogyakarta</v>
      </c>
    </row>
    <row r="107" spans="1:11" x14ac:dyDescent="0.35">
      <c r="A107" s="4" t="s">
        <v>1143</v>
      </c>
      <c r="B107" s="4" t="s">
        <v>680</v>
      </c>
      <c r="C107" s="4" t="s">
        <v>1029</v>
      </c>
      <c r="D107" s="4">
        <v>1</v>
      </c>
      <c r="E107" s="6">
        <v>39000</v>
      </c>
      <c r="F107" t="str">
        <f>VLOOKUP(C107,products!A:C,2,FALSE)</f>
        <v>Kabel Data USB-C</v>
      </c>
      <c r="G107">
        <f t="shared" si="2"/>
        <v>39000</v>
      </c>
      <c r="H107">
        <f>VLOOKUP(C107,products!A:D,4,FALSE)</f>
        <v>15000</v>
      </c>
      <c r="I107">
        <f t="shared" si="3"/>
        <v>24000</v>
      </c>
      <c r="J107" t="str">
        <f>VLOOKUP(B107,orders!A:B,2,FALSE)</f>
        <v>CUST0136</v>
      </c>
      <c r="K107" t="str">
        <f>VLOOKUP(J107,customers!A:F,6,FALSE)</f>
        <v>Yogyakarta</v>
      </c>
    </row>
    <row r="108" spans="1:11" x14ac:dyDescent="0.35">
      <c r="A108" s="4" t="s">
        <v>1144</v>
      </c>
      <c r="B108" s="4" t="s">
        <v>1011</v>
      </c>
      <c r="C108" s="4" t="s">
        <v>1023</v>
      </c>
      <c r="D108" s="4">
        <v>2</v>
      </c>
      <c r="E108" s="6">
        <v>69000</v>
      </c>
      <c r="F108" t="str">
        <f>VLOOKUP(C108,products!A:C,2,FALSE)</f>
        <v>Lampu LED Hias 5m</v>
      </c>
      <c r="G108">
        <f t="shared" si="2"/>
        <v>138000</v>
      </c>
      <c r="H108">
        <f>VLOOKUP(C108,products!A:D,4,FALSE)</f>
        <v>30000</v>
      </c>
      <c r="I108">
        <f t="shared" si="3"/>
        <v>78000</v>
      </c>
      <c r="J108" t="str">
        <f>VLOOKUP(B108,orders!A:B,2,FALSE)</f>
        <v>CUST0083</v>
      </c>
      <c r="K108" t="str">
        <f>VLOOKUP(J108,customers!A:F,6,FALSE)</f>
        <v>Jakarta</v>
      </c>
    </row>
    <row r="109" spans="1:11" x14ac:dyDescent="0.35">
      <c r="A109" s="4" t="s">
        <v>1145</v>
      </c>
      <c r="B109" s="4" t="s">
        <v>840</v>
      </c>
      <c r="C109" s="4" t="s">
        <v>1053</v>
      </c>
      <c r="D109" s="4">
        <v>1</v>
      </c>
      <c r="E109" s="6">
        <v>129000</v>
      </c>
      <c r="F109" t="str">
        <f>VLOOKUP(C109,products!A:C,2,FALSE)</f>
        <v>Charger Fast Charging 33W</v>
      </c>
      <c r="G109">
        <f t="shared" si="2"/>
        <v>129000</v>
      </c>
      <c r="H109">
        <f>VLOOKUP(C109,products!A:D,4,FALSE)</f>
        <v>60000</v>
      </c>
      <c r="I109">
        <f t="shared" si="3"/>
        <v>69000</v>
      </c>
      <c r="J109" t="str">
        <f>VLOOKUP(B109,orders!A:B,2,FALSE)</f>
        <v>CUST0093</v>
      </c>
      <c r="K109" t="str">
        <f>VLOOKUP(J109,customers!A:F,6,FALSE)</f>
        <v>Surabaya</v>
      </c>
    </row>
    <row r="110" spans="1:11" x14ac:dyDescent="0.35">
      <c r="A110" s="4" t="s">
        <v>1146</v>
      </c>
      <c r="B110" s="4" t="s">
        <v>1012</v>
      </c>
      <c r="C110" s="4" t="s">
        <v>1023</v>
      </c>
      <c r="D110" s="4">
        <v>2</v>
      </c>
      <c r="E110" s="6">
        <v>69000</v>
      </c>
      <c r="F110" t="str">
        <f>VLOOKUP(C110,products!A:C,2,FALSE)</f>
        <v>Lampu LED Hias 5m</v>
      </c>
      <c r="G110">
        <f t="shared" si="2"/>
        <v>138000</v>
      </c>
      <c r="H110">
        <f>VLOOKUP(C110,products!A:D,4,FALSE)</f>
        <v>30000</v>
      </c>
      <c r="I110">
        <f t="shared" si="3"/>
        <v>78000</v>
      </c>
      <c r="J110" t="str">
        <f>VLOOKUP(B110,orders!A:B,2,FALSE)</f>
        <v>CUST0079</v>
      </c>
      <c r="K110" t="str">
        <f>VLOOKUP(J110,customers!A:F,6,FALSE)</f>
        <v>Makassar</v>
      </c>
    </row>
    <row r="111" spans="1:11" x14ac:dyDescent="0.35">
      <c r="A111" s="4" t="s">
        <v>1147</v>
      </c>
      <c r="B111" s="4" t="s">
        <v>207</v>
      </c>
      <c r="C111" s="4" t="s">
        <v>1029</v>
      </c>
      <c r="D111" s="4">
        <v>2</v>
      </c>
      <c r="E111" s="6">
        <v>39000</v>
      </c>
      <c r="F111" t="str">
        <f>VLOOKUP(C111,products!A:C,2,FALSE)</f>
        <v>Kabel Data USB-C</v>
      </c>
      <c r="G111">
        <f t="shared" si="2"/>
        <v>78000</v>
      </c>
      <c r="H111">
        <f>VLOOKUP(C111,products!A:D,4,FALSE)</f>
        <v>15000</v>
      </c>
      <c r="I111">
        <f t="shared" si="3"/>
        <v>48000</v>
      </c>
      <c r="J111" t="str">
        <f>VLOOKUP(B111,orders!A:B,2,FALSE)</f>
        <v>CUST0146</v>
      </c>
      <c r="K111" t="str">
        <f>VLOOKUP(J111,customers!A:F,6,FALSE)</f>
        <v>Jakarta</v>
      </c>
    </row>
    <row r="112" spans="1:11" x14ac:dyDescent="0.35">
      <c r="A112" s="4" t="s">
        <v>1148</v>
      </c>
      <c r="B112" s="4" t="s">
        <v>207</v>
      </c>
      <c r="C112" s="4" t="s">
        <v>1023</v>
      </c>
      <c r="D112" s="4">
        <v>2</v>
      </c>
      <c r="E112" s="6">
        <v>69000</v>
      </c>
      <c r="F112" t="str">
        <f>VLOOKUP(C112,products!A:C,2,FALSE)</f>
        <v>Lampu LED Hias 5m</v>
      </c>
      <c r="G112">
        <f t="shared" si="2"/>
        <v>138000</v>
      </c>
      <c r="H112">
        <f>VLOOKUP(C112,products!A:D,4,FALSE)</f>
        <v>30000</v>
      </c>
      <c r="I112">
        <f t="shared" si="3"/>
        <v>78000</v>
      </c>
      <c r="J112" t="str">
        <f>VLOOKUP(B112,orders!A:B,2,FALSE)</f>
        <v>CUST0146</v>
      </c>
      <c r="K112" t="str">
        <f>VLOOKUP(J112,customers!A:F,6,FALSE)</f>
        <v>Jakarta</v>
      </c>
    </row>
    <row r="113" spans="1:11" x14ac:dyDescent="0.35">
      <c r="A113" s="4" t="s">
        <v>1149</v>
      </c>
      <c r="B113" s="4" t="s">
        <v>234</v>
      </c>
      <c r="C113" s="4" t="s">
        <v>1023</v>
      </c>
      <c r="D113" s="4">
        <v>1</v>
      </c>
      <c r="E113" s="6">
        <v>69000</v>
      </c>
      <c r="F113" t="str">
        <f>VLOOKUP(C113,products!A:C,2,FALSE)</f>
        <v>Lampu LED Hias 5m</v>
      </c>
      <c r="G113">
        <f t="shared" si="2"/>
        <v>69000</v>
      </c>
      <c r="H113">
        <f>VLOOKUP(C113,products!A:D,4,FALSE)</f>
        <v>30000</v>
      </c>
      <c r="I113">
        <f t="shared" si="3"/>
        <v>39000</v>
      </c>
      <c r="J113" t="str">
        <f>VLOOKUP(B113,orders!A:B,2,FALSE)</f>
        <v>CUST0125</v>
      </c>
      <c r="K113" t="str">
        <f>VLOOKUP(J113,customers!A:F,6,FALSE)</f>
        <v>Denpasar</v>
      </c>
    </row>
    <row r="114" spans="1:11" x14ac:dyDescent="0.35">
      <c r="A114" s="4" t="s">
        <v>1150</v>
      </c>
      <c r="B114" s="4" t="s">
        <v>234</v>
      </c>
      <c r="C114" s="4" t="s">
        <v>1053</v>
      </c>
      <c r="D114" s="4">
        <v>1</v>
      </c>
      <c r="E114" s="6">
        <v>129000</v>
      </c>
      <c r="F114" t="str">
        <f>VLOOKUP(C114,products!A:C,2,FALSE)</f>
        <v>Charger Fast Charging 33W</v>
      </c>
      <c r="G114">
        <f t="shared" si="2"/>
        <v>129000</v>
      </c>
      <c r="H114">
        <f>VLOOKUP(C114,products!A:D,4,FALSE)</f>
        <v>60000</v>
      </c>
      <c r="I114">
        <f t="shared" si="3"/>
        <v>69000</v>
      </c>
      <c r="J114" t="str">
        <f>VLOOKUP(B114,orders!A:B,2,FALSE)</f>
        <v>CUST0125</v>
      </c>
      <c r="K114" t="str">
        <f>VLOOKUP(J114,customers!A:F,6,FALSE)</f>
        <v>Denpasar</v>
      </c>
    </row>
    <row r="115" spans="1:11" x14ac:dyDescent="0.35">
      <c r="A115" s="4" t="s">
        <v>1151</v>
      </c>
      <c r="B115" s="4" t="s">
        <v>103</v>
      </c>
      <c r="C115" s="4" t="s">
        <v>1040</v>
      </c>
      <c r="D115" s="4">
        <v>3</v>
      </c>
      <c r="E115" s="6">
        <v>99000</v>
      </c>
      <c r="F115" t="str">
        <f>VLOOKUP(C115,products!A:C,2,FALSE)</f>
        <v>Mouse Wireless</v>
      </c>
      <c r="G115">
        <f t="shared" si="2"/>
        <v>297000</v>
      </c>
      <c r="H115">
        <f>VLOOKUP(C115,products!A:D,4,FALSE)</f>
        <v>45000</v>
      </c>
      <c r="I115">
        <f t="shared" si="3"/>
        <v>162000</v>
      </c>
      <c r="J115" t="str">
        <f>VLOOKUP(B115,orders!A:B,2,FALSE)</f>
        <v>CUST0195</v>
      </c>
      <c r="K115" t="str">
        <f>VLOOKUP(J115,customers!A:F,6,FALSE)</f>
        <v>Depok</v>
      </c>
    </row>
    <row r="116" spans="1:11" x14ac:dyDescent="0.35">
      <c r="A116" s="4" t="s">
        <v>1152</v>
      </c>
      <c r="B116" s="4" t="s">
        <v>417</v>
      </c>
      <c r="C116" s="4" t="s">
        <v>1029</v>
      </c>
      <c r="D116" s="4">
        <v>1</v>
      </c>
      <c r="E116" s="6">
        <v>39000</v>
      </c>
      <c r="F116" t="str">
        <f>VLOOKUP(C116,products!A:C,2,FALSE)</f>
        <v>Kabel Data USB-C</v>
      </c>
      <c r="G116">
        <f t="shared" si="2"/>
        <v>39000</v>
      </c>
      <c r="H116">
        <f>VLOOKUP(C116,products!A:D,4,FALSE)</f>
        <v>15000</v>
      </c>
      <c r="I116">
        <f t="shared" si="3"/>
        <v>24000</v>
      </c>
      <c r="J116" t="str">
        <f>VLOOKUP(B116,orders!A:B,2,FALSE)</f>
        <v>CUST0033</v>
      </c>
      <c r="K116" t="str">
        <f>VLOOKUP(J116,customers!A:F,6,FALSE)</f>
        <v>Surabaya</v>
      </c>
    </row>
    <row r="117" spans="1:11" x14ac:dyDescent="0.35">
      <c r="A117" s="4" t="s">
        <v>1153</v>
      </c>
      <c r="B117" s="4" t="s">
        <v>665</v>
      </c>
      <c r="C117" s="4" t="s">
        <v>1029</v>
      </c>
      <c r="D117" s="4">
        <v>2</v>
      </c>
      <c r="E117" s="6">
        <v>39000</v>
      </c>
      <c r="F117" t="str">
        <f>VLOOKUP(C117,products!A:C,2,FALSE)</f>
        <v>Kabel Data USB-C</v>
      </c>
      <c r="G117">
        <f t="shared" si="2"/>
        <v>78000</v>
      </c>
      <c r="H117">
        <f>VLOOKUP(C117,products!A:D,4,FALSE)</f>
        <v>15000</v>
      </c>
      <c r="I117">
        <f t="shared" si="3"/>
        <v>48000</v>
      </c>
      <c r="J117" t="str">
        <f>VLOOKUP(B117,orders!A:B,2,FALSE)</f>
        <v>CUST0141</v>
      </c>
      <c r="K117" t="str">
        <f>VLOOKUP(J117,customers!A:F,6,FALSE)</f>
        <v>Palembang</v>
      </c>
    </row>
    <row r="118" spans="1:11" x14ac:dyDescent="0.35">
      <c r="A118" s="4" t="s">
        <v>1154</v>
      </c>
      <c r="B118" s="4" t="s">
        <v>504</v>
      </c>
      <c r="C118" s="4" t="s">
        <v>1111</v>
      </c>
      <c r="D118" s="4">
        <v>1</v>
      </c>
      <c r="E118" s="6">
        <v>149000</v>
      </c>
      <c r="F118" t="str">
        <f>VLOOKUP(C118,products!A:C,2,FALSE)</f>
        <v>Set Pisau Dapur 5pcs</v>
      </c>
      <c r="G118">
        <f t="shared" si="2"/>
        <v>149000</v>
      </c>
      <c r="H118">
        <f>VLOOKUP(C118,products!A:D,4,FALSE)</f>
        <v>70000</v>
      </c>
      <c r="I118">
        <f t="shared" si="3"/>
        <v>79000</v>
      </c>
      <c r="J118" t="str">
        <f>VLOOKUP(B118,orders!A:B,2,FALSE)</f>
        <v>CUST0136</v>
      </c>
      <c r="K118" t="str">
        <f>VLOOKUP(J118,customers!A:F,6,FALSE)</f>
        <v>Yogyakarta</v>
      </c>
    </row>
    <row r="119" spans="1:11" x14ac:dyDescent="0.35">
      <c r="A119" s="4" t="s">
        <v>1155</v>
      </c>
      <c r="B119" s="4" t="s">
        <v>504</v>
      </c>
      <c r="C119" s="4" t="s">
        <v>1025</v>
      </c>
      <c r="D119" s="4">
        <v>2</v>
      </c>
      <c r="E119" s="6">
        <v>179000</v>
      </c>
      <c r="F119" t="str">
        <f>VLOOKUP(C119,products!A:C,2,FALSE)</f>
        <v>Rak Penyimpanan Serbaguna</v>
      </c>
      <c r="G119">
        <f t="shared" si="2"/>
        <v>358000</v>
      </c>
      <c r="H119">
        <f>VLOOKUP(C119,products!A:D,4,FALSE)</f>
        <v>90000</v>
      </c>
      <c r="I119">
        <f t="shared" si="3"/>
        <v>178000</v>
      </c>
      <c r="J119" t="str">
        <f>VLOOKUP(B119,orders!A:B,2,FALSE)</f>
        <v>CUST0136</v>
      </c>
      <c r="K119" t="str">
        <f>VLOOKUP(J119,customers!A:F,6,FALSE)</f>
        <v>Yogyakarta</v>
      </c>
    </row>
    <row r="120" spans="1:11" x14ac:dyDescent="0.35">
      <c r="A120" s="4" t="s">
        <v>1156</v>
      </c>
      <c r="B120" s="4" t="s">
        <v>320</v>
      </c>
      <c r="C120" s="4" t="s">
        <v>1023</v>
      </c>
      <c r="D120" s="4">
        <v>1</v>
      </c>
      <c r="E120" s="6">
        <v>69000</v>
      </c>
      <c r="F120" t="str">
        <f>VLOOKUP(C120,products!A:C,2,FALSE)</f>
        <v>Lampu LED Hias 5m</v>
      </c>
      <c r="G120">
        <f t="shared" si="2"/>
        <v>69000</v>
      </c>
      <c r="H120">
        <f>VLOOKUP(C120,products!A:D,4,FALSE)</f>
        <v>30000</v>
      </c>
      <c r="I120">
        <f t="shared" si="3"/>
        <v>39000</v>
      </c>
      <c r="J120" t="str">
        <f>VLOOKUP(B120,orders!A:B,2,FALSE)</f>
        <v>CUST0109</v>
      </c>
      <c r="K120" t="str">
        <f>VLOOKUP(J120,customers!A:F,6,FALSE)</f>
        <v>Surabaya</v>
      </c>
    </row>
    <row r="121" spans="1:11" x14ac:dyDescent="0.35">
      <c r="A121" s="4" t="s">
        <v>1157</v>
      </c>
      <c r="B121" s="4" t="s">
        <v>133</v>
      </c>
      <c r="C121" s="4" t="s">
        <v>1049</v>
      </c>
      <c r="D121" s="4">
        <v>1</v>
      </c>
      <c r="E121" s="6">
        <v>349000</v>
      </c>
      <c r="F121" t="str">
        <f>VLOOKUP(C121,products!A:C,2,FALSE)</f>
        <v>Sepatu Sneakers Casual</v>
      </c>
      <c r="G121">
        <f t="shared" si="2"/>
        <v>349000</v>
      </c>
      <c r="H121">
        <f>VLOOKUP(C121,products!A:D,4,FALSE)</f>
        <v>180000</v>
      </c>
      <c r="I121">
        <f t="shared" si="3"/>
        <v>169000</v>
      </c>
      <c r="J121" t="str">
        <f>VLOOKUP(B121,orders!A:B,2,FALSE)</f>
        <v>CUST0139</v>
      </c>
      <c r="K121" t="str">
        <f>VLOOKUP(J121,customers!A:F,6,FALSE)</f>
        <v>Yogyakarta</v>
      </c>
    </row>
    <row r="122" spans="1:11" x14ac:dyDescent="0.35">
      <c r="A122" s="4" t="s">
        <v>1158</v>
      </c>
      <c r="B122" s="4" t="s">
        <v>133</v>
      </c>
      <c r="C122" s="4" t="s">
        <v>1023</v>
      </c>
      <c r="D122" s="4">
        <v>3</v>
      </c>
      <c r="E122" s="6">
        <v>69000</v>
      </c>
      <c r="F122" t="str">
        <f>VLOOKUP(C122,products!A:C,2,FALSE)</f>
        <v>Lampu LED Hias 5m</v>
      </c>
      <c r="G122">
        <f t="shared" si="2"/>
        <v>207000</v>
      </c>
      <c r="H122">
        <f>VLOOKUP(C122,products!A:D,4,FALSE)</f>
        <v>30000</v>
      </c>
      <c r="I122">
        <f t="shared" si="3"/>
        <v>117000</v>
      </c>
      <c r="J122" t="str">
        <f>VLOOKUP(B122,orders!A:B,2,FALSE)</f>
        <v>CUST0139</v>
      </c>
      <c r="K122" t="str">
        <f>VLOOKUP(J122,customers!A:F,6,FALSE)</f>
        <v>Yogyakarta</v>
      </c>
    </row>
    <row r="123" spans="1:11" x14ac:dyDescent="0.35">
      <c r="A123" s="4" t="s">
        <v>1159</v>
      </c>
      <c r="B123" s="4" t="s">
        <v>133</v>
      </c>
      <c r="C123" s="4" t="s">
        <v>1031</v>
      </c>
      <c r="D123" s="4">
        <v>1</v>
      </c>
      <c r="E123" s="6">
        <v>79000</v>
      </c>
      <c r="F123" t="str">
        <f>VLOOKUP(C123,products!A:C,2,FALSE)</f>
        <v>Kaos Polos Cotton Combed</v>
      </c>
      <c r="G123">
        <f t="shared" si="2"/>
        <v>79000</v>
      </c>
      <c r="H123">
        <f>VLOOKUP(C123,products!A:D,4,FALSE)</f>
        <v>35000</v>
      </c>
      <c r="I123">
        <f t="shared" si="3"/>
        <v>44000</v>
      </c>
      <c r="J123" t="str">
        <f>VLOOKUP(B123,orders!A:B,2,FALSE)</f>
        <v>CUST0139</v>
      </c>
      <c r="K123" t="str">
        <f>VLOOKUP(J123,customers!A:F,6,FALSE)</f>
        <v>Yogyakarta</v>
      </c>
    </row>
    <row r="124" spans="1:11" x14ac:dyDescent="0.35">
      <c r="A124" s="4" t="s">
        <v>1160</v>
      </c>
      <c r="B124" s="4" t="s">
        <v>376</v>
      </c>
      <c r="C124" s="4" t="s">
        <v>1053</v>
      </c>
      <c r="D124" s="4">
        <v>1</v>
      </c>
      <c r="E124" s="6">
        <v>129000</v>
      </c>
      <c r="F124" t="str">
        <f>VLOOKUP(C124,products!A:C,2,FALSE)</f>
        <v>Charger Fast Charging 33W</v>
      </c>
      <c r="G124">
        <f t="shared" si="2"/>
        <v>129000</v>
      </c>
      <c r="H124">
        <f>VLOOKUP(C124,products!A:D,4,FALSE)</f>
        <v>60000</v>
      </c>
      <c r="I124">
        <f t="shared" si="3"/>
        <v>69000</v>
      </c>
      <c r="J124" t="str">
        <f>VLOOKUP(B124,orders!A:B,2,FALSE)</f>
        <v>CUST0103</v>
      </c>
      <c r="K124" t="str">
        <f>VLOOKUP(J124,customers!A:F,6,FALSE)</f>
        <v>Semarang</v>
      </c>
    </row>
    <row r="125" spans="1:11" x14ac:dyDescent="0.35">
      <c r="A125" s="4" t="s">
        <v>1161</v>
      </c>
      <c r="B125" s="4" t="s">
        <v>844</v>
      </c>
      <c r="C125" s="4" t="s">
        <v>1023</v>
      </c>
      <c r="D125" s="4">
        <v>1</v>
      </c>
      <c r="E125" s="6">
        <v>69000</v>
      </c>
      <c r="F125" t="str">
        <f>VLOOKUP(C125,products!A:C,2,FALSE)</f>
        <v>Lampu LED Hias 5m</v>
      </c>
      <c r="G125">
        <f t="shared" si="2"/>
        <v>69000</v>
      </c>
      <c r="H125">
        <f>VLOOKUP(C125,products!A:D,4,FALSE)</f>
        <v>30000</v>
      </c>
      <c r="I125">
        <f t="shared" si="3"/>
        <v>39000</v>
      </c>
      <c r="J125" t="str">
        <f>VLOOKUP(B125,orders!A:B,2,FALSE)</f>
        <v>CUST0096</v>
      </c>
      <c r="K125" t="str">
        <f>VLOOKUP(J125,customers!A:F,6,FALSE)</f>
        <v>Jakarta</v>
      </c>
    </row>
    <row r="126" spans="1:11" x14ac:dyDescent="0.35">
      <c r="A126" s="4" t="s">
        <v>1162</v>
      </c>
      <c r="B126" s="4" t="s">
        <v>193</v>
      </c>
      <c r="C126" s="4" t="s">
        <v>1023</v>
      </c>
      <c r="D126" s="4">
        <v>1</v>
      </c>
      <c r="E126" s="6">
        <v>69000</v>
      </c>
      <c r="F126" t="str">
        <f>VLOOKUP(C126,products!A:C,2,FALSE)</f>
        <v>Lampu LED Hias 5m</v>
      </c>
      <c r="G126">
        <f t="shared" si="2"/>
        <v>69000</v>
      </c>
      <c r="H126">
        <f>VLOOKUP(C126,products!A:D,4,FALSE)</f>
        <v>30000</v>
      </c>
      <c r="I126">
        <f t="shared" si="3"/>
        <v>39000</v>
      </c>
      <c r="J126" t="str">
        <f>VLOOKUP(B126,orders!A:B,2,FALSE)</f>
        <v>CUST0031</v>
      </c>
      <c r="K126" t="str">
        <f>VLOOKUP(J126,customers!A:F,6,FALSE)</f>
        <v>Bandung</v>
      </c>
    </row>
    <row r="127" spans="1:11" x14ac:dyDescent="0.35">
      <c r="A127" s="4" t="s">
        <v>1163</v>
      </c>
      <c r="B127" s="4" t="s">
        <v>731</v>
      </c>
      <c r="C127" s="4" t="s">
        <v>1033</v>
      </c>
      <c r="D127" s="4">
        <v>1</v>
      </c>
      <c r="E127" s="6">
        <v>55000</v>
      </c>
      <c r="F127" t="str">
        <f>VLOOKUP(C127,products!A:C,2,FALSE)</f>
        <v>Sapu + Pengki Set</v>
      </c>
      <c r="G127">
        <f t="shared" si="2"/>
        <v>55000</v>
      </c>
      <c r="H127">
        <f>VLOOKUP(C127,products!A:D,4,FALSE)</f>
        <v>25000</v>
      </c>
      <c r="I127">
        <f t="shared" si="3"/>
        <v>30000</v>
      </c>
      <c r="J127" t="str">
        <f>VLOOKUP(B127,orders!A:B,2,FALSE)</f>
        <v>CUST0017</v>
      </c>
      <c r="K127" t="str">
        <f>VLOOKUP(J127,customers!A:F,6,FALSE)</f>
        <v>Jakarta</v>
      </c>
    </row>
    <row r="128" spans="1:11" x14ac:dyDescent="0.35">
      <c r="A128" s="4" t="s">
        <v>1164</v>
      </c>
      <c r="B128" s="4" t="s">
        <v>681</v>
      </c>
      <c r="C128" s="4" t="s">
        <v>1029</v>
      </c>
      <c r="D128" s="4">
        <v>1</v>
      </c>
      <c r="E128" s="6">
        <v>39000</v>
      </c>
      <c r="F128" t="str">
        <f>VLOOKUP(C128,products!A:C,2,FALSE)</f>
        <v>Kabel Data USB-C</v>
      </c>
      <c r="G128">
        <f t="shared" si="2"/>
        <v>39000</v>
      </c>
      <c r="H128">
        <f>VLOOKUP(C128,products!A:D,4,FALSE)</f>
        <v>15000</v>
      </c>
      <c r="I128">
        <f t="shared" si="3"/>
        <v>24000</v>
      </c>
      <c r="J128" t="str">
        <f>VLOOKUP(B128,orders!A:B,2,FALSE)</f>
        <v>CUST0151</v>
      </c>
      <c r="K128" t="str">
        <f>VLOOKUP(J128,customers!A:F,6,FALSE)</f>
        <v>Jakarta</v>
      </c>
    </row>
    <row r="129" spans="1:11" x14ac:dyDescent="0.35">
      <c r="A129" s="4" t="s">
        <v>1165</v>
      </c>
      <c r="B129" s="4" t="s">
        <v>681</v>
      </c>
      <c r="C129" s="4" t="s">
        <v>1033</v>
      </c>
      <c r="D129" s="4">
        <v>2</v>
      </c>
      <c r="E129" s="6">
        <v>55000</v>
      </c>
      <c r="F129" t="str">
        <f>VLOOKUP(C129,products!A:C,2,FALSE)</f>
        <v>Sapu + Pengki Set</v>
      </c>
      <c r="G129">
        <f t="shared" si="2"/>
        <v>110000</v>
      </c>
      <c r="H129">
        <f>VLOOKUP(C129,products!A:D,4,FALSE)</f>
        <v>25000</v>
      </c>
      <c r="I129">
        <f t="shared" si="3"/>
        <v>60000</v>
      </c>
      <c r="J129" t="str">
        <f>VLOOKUP(B129,orders!A:B,2,FALSE)</f>
        <v>CUST0151</v>
      </c>
      <c r="K129" t="str">
        <f>VLOOKUP(J129,customers!A:F,6,FALSE)</f>
        <v>Jakarta</v>
      </c>
    </row>
    <row r="130" spans="1:11" x14ac:dyDescent="0.35">
      <c r="A130" s="4" t="s">
        <v>1166</v>
      </c>
      <c r="B130" s="4" t="s">
        <v>681</v>
      </c>
      <c r="C130" s="4" t="s">
        <v>1044</v>
      </c>
      <c r="D130" s="4">
        <v>2</v>
      </c>
      <c r="E130" s="6">
        <v>329000</v>
      </c>
      <c r="F130" t="str">
        <f>VLOOKUP(C130,products!A:C,2,FALSE)</f>
        <v>Rice Cooker Mini 1.5L</v>
      </c>
      <c r="G130">
        <f t="shared" si="2"/>
        <v>658000</v>
      </c>
      <c r="H130">
        <f>VLOOKUP(C130,products!A:D,4,FALSE)</f>
        <v>180000</v>
      </c>
      <c r="I130">
        <f t="shared" si="3"/>
        <v>298000</v>
      </c>
      <c r="J130" t="str">
        <f>VLOOKUP(B130,orders!A:B,2,FALSE)</f>
        <v>CUST0151</v>
      </c>
      <c r="K130" t="str">
        <f>VLOOKUP(J130,customers!A:F,6,FALSE)</f>
        <v>Jakarta</v>
      </c>
    </row>
    <row r="131" spans="1:11" x14ac:dyDescent="0.35">
      <c r="A131" s="4" t="s">
        <v>1167</v>
      </c>
      <c r="B131" s="4" t="s">
        <v>735</v>
      </c>
      <c r="C131" s="4" t="s">
        <v>1023</v>
      </c>
      <c r="D131" s="4">
        <v>1</v>
      </c>
      <c r="E131" s="6">
        <v>69000</v>
      </c>
      <c r="F131" t="str">
        <f>VLOOKUP(C131,products!A:C,2,FALSE)</f>
        <v>Lampu LED Hias 5m</v>
      </c>
      <c r="G131">
        <f t="shared" ref="G131:G194" si="4">D131*E131</f>
        <v>69000</v>
      </c>
      <c r="H131">
        <f>VLOOKUP(C131,products!A:D,4,FALSE)</f>
        <v>30000</v>
      </c>
      <c r="I131">
        <f t="shared" ref="I131:I194" si="5">(E131-H131)*D131</f>
        <v>39000</v>
      </c>
      <c r="J131" t="str">
        <f>VLOOKUP(B131,orders!A:B,2,FALSE)</f>
        <v>CUST0057</v>
      </c>
      <c r="K131" t="str">
        <f>VLOOKUP(J131,customers!A:F,6,FALSE)</f>
        <v>Palembang</v>
      </c>
    </row>
    <row r="132" spans="1:11" x14ac:dyDescent="0.35">
      <c r="A132" s="4" t="s">
        <v>1168</v>
      </c>
      <c r="B132" s="4" t="s">
        <v>735</v>
      </c>
      <c r="C132" s="4" t="s">
        <v>1053</v>
      </c>
      <c r="D132" s="4">
        <v>3</v>
      </c>
      <c r="E132" s="6">
        <v>129000</v>
      </c>
      <c r="F132" t="str">
        <f>VLOOKUP(C132,products!A:C,2,FALSE)</f>
        <v>Charger Fast Charging 33W</v>
      </c>
      <c r="G132">
        <f t="shared" si="4"/>
        <v>387000</v>
      </c>
      <c r="H132">
        <f>VLOOKUP(C132,products!A:D,4,FALSE)</f>
        <v>60000</v>
      </c>
      <c r="I132">
        <f t="shared" si="5"/>
        <v>207000</v>
      </c>
      <c r="J132" t="str">
        <f>VLOOKUP(B132,orders!A:B,2,FALSE)</f>
        <v>CUST0057</v>
      </c>
      <c r="K132" t="str">
        <f>VLOOKUP(J132,customers!A:F,6,FALSE)</f>
        <v>Palembang</v>
      </c>
    </row>
    <row r="133" spans="1:11" x14ac:dyDescent="0.35">
      <c r="A133" s="4" t="s">
        <v>1169</v>
      </c>
      <c r="B133" s="4" t="s">
        <v>841</v>
      </c>
      <c r="C133" s="4" t="s">
        <v>1170</v>
      </c>
      <c r="D133" s="4">
        <v>1</v>
      </c>
      <c r="E133" s="6">
        <v>89000</v>
      </c>
      <c r="F133" t="str">
        <f>VLOOKUP(C133,products!A:C,2,FALSE)</f>
        <v>Tumbler Termos 500ml</v>
      </c>
      <c r="G133">
        <f t="shared" si="4"/>
        <v>89000</v>
      </c>
      <c r="H133">
        <f>VLOOKUP(C133,products!A:D,4,FALSE)</f>
        <v>40000</v>
      </c>
      <c r="I133">
        <f t="shared" si="5"/>
        <v>49000</v>
      </c>
      <c r="J133" t="str">
        <f>VLOOKUP(B133,orders!A:B,2,FALSE)</f>
        <v>CUST0182</v>
      </c>
      <c r="K133" t="str">
        <f>VLOOKUP(J133,customers!A:F,6,FALSE)</f>
        <v>Bandung</v>
      </c>
    </row>
    <row r="134" spans="1:11" x14ac:dyDescent="0.35">
      <c r="A134" s="4" t="s">
        <v>1171</v>
      </c>
      <c r="B134" s="4" t="s">
        <v>841</v>
      </c>
      <c r="C134" s="4" t="s">
        <v>1025</v>
      </c>
      <c r="D134" s="4">
        <v>1</v>
      </c>
      <c r="E134" s="6">
        <v>179000</v>
      </c>
      <c r="F134" t="str">
        <f>VLOOKUP(C134,products!A:C,2,FALSE)</f>
        <v>Rak Penyimpanan Serbaguna</v>
      </c>
      <c r="G134">
        <f t="shared" si="4"/>
        <v>179000</v>
      </c>
      <c r="H134">
        <f>VLOOKUP(C134,products!A:D,4,FALSE)</f>
        <v>90000</v>
      </c>
      <c r="I134">
        <f t="shared" si="5"/>
        <v>89000</v>
      </c>
      <c r="J134" t="str">
        <f>VLOOKUP(B134,orders!A:B,2,FALSE)</f>
        <v>CUST0182</v>
      </c>
      <c r="K134" t="str">
        <f>VLOOKUP(J134,customers!A:F,6,FALSE)</f>
        <v>Bandung</v>
      </c>
    </row>
    <row r="135" spans="1:11" x14ac:dyDescent="0.35">
      <c r="A135" s="4" t="s">
        <v>1172</v>
      </c>
      <c r="B135" s="4" t="s">
        <v>652</v>
      </c>
      <c r="C135" s="4" t="s">
        <v>1033</v>
      </c>
      <c r="D135" s="4">
        <v>1</v>
      </c>
      <c r="E135" s="6">
        <v>55000</v>
      </c>
      <c r="F135" t="str">
        <f>VLOOKUP(C135,products!A:C,2,FALSE)</f>
        <v>Sapu + Pengki Set</v>
      </c>
      <c r="G135">
        <f t="shared" si="4"/>
        <v>55000</v>
      </c>
      <c r="H135">
        <f>VLOOKUP(C135,products!A:D,4,FALSE)</f>
        <v>25000</v>
      </c>
      <c r="I135">
        <f t="shared" si="5"/>
        <v>30000</v>
      </c>
      <c r="J135" t="str">
        <f>VLOOKUP(B135,orders!A:B,2,FALSE)</f>
        <v>CUST0059</v>
      </c>
      <c r="K135" t="str">
        <f>VLOOKUP(J135,customers!A:F,6,FALSE)</f>
        <v>Yogyakarta</v>
      </c>
    </row>
    <row r="136" spans="1:11" x14ac:dyDescent="0.35">
      <c r="A136" s="4" t="s">
        <v>1173</v>
      </c>
      <c r="B136" s="4" t="s">
        <v>652</v>
      </c>
      <c r="C136" s="4" t="s">
        <v>1044</v>
      </c>
      <c r="D136" s="4">
        <v>2</v>
      </c>
      <c r="E136" s="6">
        <v>329000</v>
      </c>
      <c r="F136" t="str">
        <f>VLOOKUP(C136,products!A:C,2,FALSE)</f>
        <v>Rice Cooker Mini 1.5L</v>
      </c>
      <c r="G136">
        <f t="shared" si="4"/>
        <v>658000</v>
      </c>
      <c r="H136">
        <f>VLOOKUP(C136,products!A:D,4,FALSE)</f>
        <v>180000</v>
      </c>
      <c r="I136">
        <f t="shared" si="5"/>
        <v>298000</v>
      </c>
      <c r="J136" t="str">
        <f>VLOOKUP(B136,orders!A:B,2,FALSE)</f>
        <v>CUST0059</v>
      </c>
      <c r="K136" t="str">
        <f>VLOOKUP(J136,customers!A:F,6,FALSE)</f>
        <v>Yogyakarta</v>
      </c>
    </row>
    <row r="137" spans="1:11" x14ac:dyDescent="0.35">
      <c r="A137" s="4" t="s">
        <v>1174</v>
      </c>
      <c r="B137" s="4" t="s">
        <v>652</v>
      </c>
      <c r="C137" s="4" t="s">
        <v>1023</v>
      </c>
      <c r="D137" s="4">
        <v>1</v>
      </c>
      <c r="E137" s="6">
        <v>69000</v>
      </c>
      <c r="F137" t="str">
        <f>VLOOKUP(C137,products!A:C,2,FALSE)</f>
        <v>Lampu LED Hias 5m</v>
      </c>
      <c r="G137">
        <f t="shared" si="4"/>
        <v>69000</v>
      </c>
      <c r="H137">
        <f>VLOOKUP(C137,products!A:D,4,FALSE)</f>
        <v>30000</v>
      </c>
      <c r="I137">
        <f t="shared" si="5"/>
        <v>39000</v>
      </c>
      <c r="J137" t="str">
        <f>VLOOKUP(B137,orders!A:B,2,FALSE)</f>
        <v>CUST0059</v>
      </c>
      <c r="K137" t="str">
        <f>VLOOKUP(J137,customers!A:F,6,FALSE)</f>
        <v>Yogyakarta</v>
      </c>
    </row>
    <row r="138" spans="1:11" x14ac:dyDescent="0.35">
      <c r="A138" s="4" t="s">
        <v>1175</v>
      </c>
      <c r="B138" s="4" t="s">
        <v>496</v>
      </c>
      <c r="C138" s="4" t="s">
        <v>1044</v>
      </c>
      <c r="D138" s="4">
        <v>1</v>
      </c>
      <c r="E138" s="6">
        <v>329000</v>
      </c>
      <c r="F138" t="str">
        <f>VLOOKUP(C138,products!A:C,2,FALSE)</f>
        <v>Rice Cooker Mini 1.5L</v>
      </c>
      <c r="G138">
        <f t="shared" si="4"/>
        <v>329000</v>
      </c>
      <c r="H138">
        <f>VLOOKUP(C138,products!A:D,4,FALSE)</f>
        <v>180000</v>
      </c>
      <c r="I138">
        <f t="shared" si="5"/>
        <v>149000</v>
      </c>
      <c r="J138" t="str">
        <f>VLOOKUP(B138,orders!A:B,2,FALSE)</f>
        <v>CUST0009</v>
      </c>
      <c r="K138" t="str">
        <f>VLOOKUP(J138,customers!A:F,6,FALSE)</f>
        <v>Surabaya</v>
      </c>
    </row>
    <row r="139" spans="1:11" x14ac:dyDescent="0.35">
      <c r="A139" s="4" t="s">
        <v>1176</v>
      </c>
      <c r="B139" s="4" t="s">
        <v>496</v>
      </c>
      <c r="C139" s="4" t="s">
        <v>1023</v>
      </c>
      <c r="D139" s="4">
        <v>1</v>
      </c>
      <c r="E139" s="6">
        <v>69000</v>
      </c>
      <c r="F139" t="str">
        <f>VLOOKUP(C139,products!A:C,2,FALSE)</f>
        <v>Lampu LED Hias 5m</v>
      </c>
      <c r="G139">
        <f t="shared" si="4"/>
        <v>69000</v>
      </c>
      <c r="H139">
        <f>VLOOKUP(C139,products!A:D,4,FALSE)</f>
        <v>30000</v>
      </c>
      <c r="I139">
        <f t="shared" si="5"/>
        <v>39000</v>
      </c>
      <c r="J139" t="str">
        <f>VLOOKUP(B139,orders!A:B,2,FALSE)</f>
        <v>CUST0009</v>
      </c>
      <c r="K139" t="str">
        <f>VLOOKUP(J139,customers!A:F,6,FALSE)</f>
        <v>Surabaya</v>
      </c>
    </row>
    <row r="140" spans="1:11" x14ac:dyDescent="0.35">
      <c r="A140" s="4" t="s">
        <v>1177</v>
      </c>
      <c r="B140" s="4" t="s">
        <v>550</v>
      </c>
      <c r="C140" s="4" t="s">
        <v>1023</v>
      </c>
      <c r="D140" s="4">
        <v>2</v>
      </c>
      <c r="E140" s="6">
        <v>69000</v>
      </c>
      <c r="F140" t="str">
        <f>VLOOKUP(C140,products!A:C,2,FALSE)</f>
        <v>Lampu LED Hias 5m</v>
      </c>
      <c r="G140">
        <f t="shared" si="4"/>
        <v>138000</v>
      </c>
      <c r="H140">
        <f>VLOOKUP(C140,products!A:D,4,FALSE)</f>
        <v>30000</v>
      </c>
      <c r="I140">
        <f t="shared" si="5"/>
        <v>78000</v>
      </c>
      <c r="J140" t="str">
        <f>VLOOKUP(B140,orders!A:B,2,FALSE)</f>
        <v>CUST0019</v>
      </c>
      <c r="K140" t="str">
        <f>VLOOKUP(J140,customers!A:F,6,FALSE)</f>
        <v>Surabaya</v>
      </c>
    </row>
    <row r="141" spans="1:11" x14ac:dyDescent="0.35">
      <c r="A141" s="4" t="s">
        <v>1178</v>
      </c>
      <c r="B141" s="4" t="s">
        <v>550</v>
      </c>
      <c r="C141" s="4" t="s">
        <v>1031</v>
      </c>
      <c r="D141" s="4">
        <v>1</v>
      </c>
      <c r="E141" s="6">
        <v>79000</v>
      </c>
      <c r="F141" t="str">
        <f>VLOOKUP(C141,products!A:C,2,FALSE)</f>
        <v>Kaos Polos Cotton Combed</v>
      </c>
      <c r="G141">
        <f t="shared" si="4"/>
        <v>79000</v>
      </c>
      <c r="H141">
        <f>VLOOKUP(C141,products!A:D,4,FALSE)</f>
        <v>35000</v>
      </c>
      <c r="I141">
        <f t="shared" si="5"/>
        <v>44000</v>
      </c>
      <c r="J141" t="str">
        <f>VLOOKUP(B141,orders!A:B,2,FALSE)</f>
        <v>CUST0019</v>
      </c>
      <c r="K141" t="str">
        <f>VLOOKUP(J141,customers!A:F,6,FALSE)</f>
        <v>Surabaya</v>
      </c>
    </row>
    <row r="142" spans="1:11" x14ac:dyDescent="0.35">
      <c r="A142" s="4" t="s">
        <v>1179</v>
      </c>
      <c r="B142" s="4" t="s">
        <v>712</v>
      </c>
      <c r="C142" s="4" t="s">
        <v>1023</v>
      </c>
      <c r="D142" s="4">
        <v>3</v>
      </c>
      <c r="E142" s="6">
        <v>69000</v>
      </c>
      <c r="F142" t="str">
        <f>VLOOKUP(C142,products!A:C,2,FALSE)</f>
        <v>Lampu LED Hias 5m</v>
      </c>
      <c r="G142">
        <f t="shared" si="4"/>
        <v>207000</v>
      </c>
      <c r="H142">
        <f>VLOOKUP(C142,products!A:D,4,FALSE)</f>
        <v>30000</v>
      </c>
      <c r="I142">
        <f t="shared" si="5"/>
        <v>117000</v>
      </c>
      <c r="J142" t="str">
        <f>VLOOKUP(B142,orders!A:B,2,FALSE)</f>
        <v>CUST0172</v>
      </c>
      <c r="K142" t="str">
        <f>VLOOKUP(J142,customers!A:F,6,FALSE)</f>
        <v>Jakarta</v>
      </c>
    </row>
    <row r="143" spans="1:11" x14ac:dyDescent="0.35">
      <c r="A143" s="4" t="s">
        <v>1180</v>
      </c>
      <c r="B143" s="4" t="s">
        <v>1002</v>
      </c>
      <c r="C143" s="4" t="s">
        <v>1023</v>
      </c>
      <c r="D143" s="4">
        <v>1</v>
      </c>
      <c r="E143" s="6">
        <v>69000</v>
      </c>
      <c r="F143" t="str">
        <f>VLOOKUP(C143,products!A:C,2,FALSE)</f>
        <v>Lampu LED Hias 5m</v>
      </c>
      <c r="G143">
        <f t="shared" si="4"/>
        <v>69000</v>
      </c>
      <c r="H143">
        <f>VLOOKUP(C143,products!A:D,4,FALSE)</f>
        <v>30000</v>
      </c>
      <c r="I143">
        <f t="shared" si="5"/>
        <v>39000</v>
      </c>
      <c r="J143" t="str">
        <f>VLOOKUP(B143,orders!A:B,2,FALSE)</f>
        <v>CUST0034</v>
      </c>
      <c r="K143" t="str">
        <f>VLOOKUP(J143,customers!A:F,6,FALSE)</f>
        <v>Jakarta</v>
      </c>
    </row>
    <row r="144" spans="1:11" x14ac:dyDescent="0.35">
      <c r="A144" s="4" t="s">
        <v>1181</v>
      </c>
      <c r="B144" s="4" t="s">
        <v>732</v>
      </c>
      <c r="C144" s="4" t="s">
        <v>1023</v>
      </c>
      <c r="D144" s="4">
        <v>1</v>
      </c>
      <c r="E144" s="6">
        <v>69000</v>
      </c>
      <c r="F144" t="str">
        <f>VLOOKUP(C144,products!A:C,2,FALSE)</f>
        <v>Lampu LED Hias 5m</v>
      </c>
      <c r="G144">
        <f t="shared" si="4"/>
        <v>69000</v>
      </c>
      <c r="H144">
        <f>VLOOKUP(C144,products!A:D,4,FALSE)</f>
        <v>30000</v>
      </c>
      <c r="I144">
        <f t="shared" si="5"/>
        <v>39000</v>
      </c>
      <c r="J144" t="str">
        <f>VLOOKUP(B144,orders!A:B,2,FALSE)</f>
        <v>CUST0063</v>
      </c>
      <c r="K144" t="str">
        <f>VLOOKUP(J144,customers!A:F,6,FALSE)</f>
        <v>Surabaya</v>
      </c>
    </row>
    <row r="145" spans="1:11" x14ac:dyDescent="0.35">
      <c r="A145" s="4" t="s">
        <v>1182</v>
      </c>
      <c r="B145" s="4" t="s">
        <v>732</v>
      </c>
      <c r="C145" s="4" t="s">
        <v>1049</v>
      </c>
      <c r="D145" s="4">
        <v>1</v>
      </c>
      <c r="E145" s="6">
        <v>349000</v>
      </c>
      <c r="F145" t="str">
        <f>VLOOKUP(C145,products!A:C,2,FALSE)</f>
        <v>Sepatu Sneakers Casual</v>
      </c>
      <c r="G145">
        <f t="shared" si="4"/>
        <v>349000</v>
      </c>
      <c r="H145">
        <f>VLOOKUP(C145,products!A:D,4,FALSE)</f>
        <v>180000</v>
      </c>
      <c r="I145">
        <f t="shared" si="5"/>
        <v>169000</v>
      </c>
      <c r="J145" t="str">
        <f>VLOOKUP(B145,orders!A:B,2,FALSE)</f>
        <v>CUST0063</v>
      </c>
      <c r="K145" t="str">
        <f>VLOOKUP(J145,customers!A:F,6,FALSE)</f>
        <v>Surabaya</v>
      </c>
    </row>
    <row r="146" spans="1:11" x14ac:dyDescent="0.35">
      <c r="A146" s="4" t="s">
        <v>1183</v>
      </c>
      <c r="B146" s="4" t="s">
        <v>732</v>
      </c>
      <c r="C146" s="4" t="s">
        <v>1029</v>
      </c>
      <c r="D146" s="4">
        <v>1</v>
      </c>
      <c r="E146" s="6">
        <v>39000</v>
      </c>
      <c r="F146" t="str">
        <f>VLOOKUP(C146,products!A:C,2,FALSE)</f>
        <v>Kabel Data USB-C</v>
      </c>
      <c r="G146">
        <f t="shared" si="4"/>
        <v>39000</v>
      </c>
      <c r="H146">
        <f>VLOOKUP(C146,products!A:D,4,FALSE)</f>
        <v>15000</v>
      </c>
      <c r="I146">
        <f t="shared" si="5"/>
        <v>24000</v>
      </c>
      <c r="J146" t="str">
        <f>VLOOKUP(B146,orders!A:B,2,FALSE)</f>
        <v>CUST0063</v>
      </c>
      <c r="K146" t="str">
        <f>VLOOKUP(J146,customers!A:F,6,FALSE)</f>
        <v>Surabaya</v>
      </c>
    </row>
    <row r="147" spans="1:11" x14ac:dyDescent="0.35">
      <c r="A147" s="4" t="s">
        <v>1184</v>
      </c>
      <c r="B147" s="4" t="s">
        <v>732</v>
      </c>
      <c r="C147" s="4" t="s">
        <v>1031</v>
      </c>
      <c r="D147" s="4">
        <v>1</v>
      </c>
      <c r="E147" s="6">
        <v>79000</v>
      </c>
      <c r="F147" t="str">
        <f>VLOOKUP(C147,products!A:C,2,FALSE)</f>
        <v>Kaos Polos Cotton Combed</v>
      </c>
      <c r="G147">
        <f t="shared" si="4"/>
        <v>79000</v>
      </c>
      <c r="H147">
        <f>VLOOKUP(C147,products!A:D,4,FALSE)</f>
        <v>35000</v>
      </c>
      <c r="I147">
        <f t="shared" si="5"/>
        <v>44000</v>
      </c>
      <c r="J147" t="str">
        <f>VLOOKUP(B147,orders!A:B,2,FALSE)</f>
        <v>CUST0063</v>
      </c>
      <c r="K147" t="str">
        <f>VLOOKUP(J147,customers!A:F,6,FALSE)</f>
        <v>Surabaya</v>
      </c>
    </row>
    <row r="148" spans="1:11" x14ac:dyDescent="0.35">
      <c r="A148" s="4" t="s">
        <v>1185</v>
      </c>
      <c r="B148" s="4" t="s">
        <v>982</v>
      </c>
      <c r="C148" s="4" t="s">
        <v>1036</v>
      </c>
      <c r="D148" s="4">
        <v>3</v>
      </c>
      <c r="E148" s="6">
        <v>229000</v>
      </c>
      <c r="F148" t="str">
        <f>VLOOKUP(C148,products!A:C,2,FALSE)</f>
        <v>Celana Jeans Slimfit</v>
      </c>
      <c r="G148">
        <f t="shared" si="4"/>
        <v>687000</v>
      </c>
      <c r="H148">
        <f>VLOOKUP(C148,products!A:D,4,FALSE)</f>
        <v>110000</v>
      </c>
      <c r="I148">
        <f t="shared" si="5"/>
        <v>357000</v>
      </c>
      <c r="J148" t="str">
        <f>VLOOKUP(B148,orders!A:B,2,FALSE)</f>
        <v>CUST0049</v>
      </c>
      <c r="K148" t="str">
        <f>VLOOKUP(J148,customers!A:F,6,FALSE)</f>
        <v>Medan</v>
      </c>
    </row>
    <row r="149" spans="1:11" x14ac:dyDescent="0.35">
      <c r="A149" s="4" t="s">
        <v>1186</v>
      </c>
      <c r="B149" s="4" t="s">
        <v>718</v>
      </c>
      <c r="C149" s="4" t="s">
        <v>1049</v>
      </c>
      <c r="D149" s="4">
        <v>3</v>
      </c>
      <c r="E149" s="6">
        <v>349000</v>
      </c>
      <c r="F149" t="str">
        <f>VLOOKUP(C149,products!A:C,2,FALSE)</f>
        <v>Sepatu Sneakers Casual</v>
      </c>
      <c r="G149">
        <f t="shared" si="4"/>
        <v>1047000</v>
      </c>
      <c r="H149">
        <f>VLOOKUP(C149,products!A:D,4,FALSE)</f>
        <v>180000</v>
      </c>
      <c r="I149">
        <f t="shared" si="5"/>
        <v>507000</v>
      </c>
      <c r="J149" t="str">
        <f>VLOOKUP(B149,orders!A:B,2,FALSE)</f>
        <v>CUST0169</v>
      </c>
      <c r="K149" t="str">
        <f>VLOOKUP(J149,customers!A:F,6,FALSE)</f>
        <v>Palembang</v>
      </c>
    </row>
    <row r="150" spans="1:11" x14ac:dyDescent="0.35">
      <c r="A150" s="4" t="s">
        <v>1187</v>
      </c>
      <c r="B150" s="4" t="s">
        <v>359</v>
      </c>
      <c r="C150" s="4" t="s">
        <v>1023</v>
      </c>
      <c r="D150" s="4">
        <v>1</v>
      </c>
      <c r="E150" s="6">
        <v>69000</v>
      </c>
      <c r="F150" t="str">
        <f>VLOOKUP(C150,products!A:C,2,FALSE)</f>
        <v>Lampu LED Hias 5m</v>
      </c>
      <c r="G150">
        <f t="shared" si="4"/>
        <v>69000</v>
      </c>
      <c r="H150">
        <f>VLOOKUP(C150,products!A:D,4,FALSE)</f>
        <v>30000</v>
      </c>
      <c r="I150">
        <f t="shared" si="5"/>
        <v>39000</v>
      </c>
      <c r="J150" t="str">
        <f>VLOOKUP(B150,orders!A:B,2,FALSE)</f>
        <v>CUST0109</v>
      </c>
      <c r="K150" t="str">
        <f>VLOOKUP(J150,customers!A:F,6,FALSE)</f>
        <v>Surabaya</v>
      </c>
    </row>
    <row r="151" spans="1:11" x14ac:dyDescent="0.35">
      <c r="A151" s="4" t="s">
        <v>1188</v>
      </c>
      <c r="B151" s="4" t="s">
        <v>359</v>
      </c>
      <c r="C151" s="4" t="s">
        <v>1029</v>
      </c>
      <c r="D151" s="4">
        <v>1</v>
      </c>
      <c r="E151" s="6">
        <v>39000</v>
      </c>
      <c r="F151" t="str">
        <f>VLOOKUP(C151,products!A:C,2,FALSE)</f>
        <v>Kabel Data USB-C</v>
      </c>
      <c r="G151">
        <f t="shared" si="4"/>
        <v>39000</v>
      </c>
      <c r="H151">
        <f>VLOOKUP(C151,products!A:D,4,FALSE)</f>
        <v>15000</v>
      </c>
      <c r="I151">
        <f t="shared" si="5"/>
        <v>24000</v>
      </c>
      <c r="J151" t="str">
        <f>VLOOKUP(B151,orders!A:B,2,FALSE)</f>
        <v>CUST0109</v>
      </c>
      <c r="K151" t="str">
        <f>VLOOKUP(J151,customers!A:F,6,FALSE)</f>
        <v>Surabaya</v>
      </c>
    </row>
    <row r="152" spans="1:11" x14ac:dyDescent="0.35">
      <c r="A152" s="4" t="s">
        <v>1189</v>
      </c>
      <c r="B152" s="4" t="s">
        <v>359</v>
      </c>
      <c r="C152" s="4" t="s">
        <v>1036</v>
      </c>
      <c r="D152" s="4">
        <v>1</v>
      </c>
      <c r="E152" s="6">
        <v>229000</v>
      </c>
      <c r="F152" t="str">
        <f>VLOOKUP(C152,products!A:C,2,FALSE)</f>
        <v>Celana Jeans Slimfit</v>
      </c>
      <c r="G152">
        <f t="shared" si="4"/>
        <v>229000</v>
      </c>
      <c r="H152">
        <f>VLOOKUP(C152,products!A:D,4,FALSE)</f>
        <v>110000</v>
      </c>
      <c r="I152">
        <f t="shared" si="5"/>
        <v>119000</v>
      </c>
      <c r="J152" t="str">
        <f>VLOOKUP(B152,orders!A:B,2,FALSE)</f>
        <v>CUST0109</v>
      </c>
      <c r="K152" t="str">
        <f>VLOOKUP(J152,customers!A:F,6,FALSE)</f>
        <v>Surabaya</v>
      </c>
    </row>
    <row r="153" spans="1:11" x14ac:dyDescent="0.35">
      <c r="A153" s="4" t="s">
        <v>1190</v>
      </c>
      <c r="B153" s="4" t="s">
        <v>359</v>
      </c>
      <c r="C153" s="4" t="s">
        <v>1082</v>
      </c>
      <c r="D153" s="4">
        <v>1</v>
      </c>
      <c r="E153" s="6">
        <v>399000</v>
      </c>
      <c r="F153" t="str">
        <f>VLOOKUP(C153,products!A:C,2,FALSE)</f>
        <v>Keyboard Mechanical Mini</v>
      </c>
      <c r="G153">
        <f t="shared" si="4"/>
        <v>399000</v>
      </c>
      <c r="H153">
        <f>VLOOKUP(C153,products!A:D,4,FALSE)</f>
        <v>200000</v>
      </c>
      <c r="I153">
        <f t="shared" si="5"/>
        <v>199000</v>
      </c>
      <c r="J153" t="str">
        <f>VLOOKUP(B153,orders!A:B,2,FALSE)</f>
        <v>CUST0109</v>
      </c>
      <c r="K153" t="str">
        <f>VLOOKUP(J153,customers!A:F,6,FALSE)</f>
        <v>Surabaya</v>
      </c>
    </row>
    <row r="154" spans="1:11" x14ac:dyDescent="0.35">
      <c r="A154" s="4" t="s">
        <v>1191</v>
      </c>
      <c r="B154" s="4" t="s">
        <v>910</v>
      </c>
      <c r="C154" s="4" t="s">
        <v>1023</v>
      </c>
      <c r="D154" s="4">
        <v>1</v>
      </c>
      <c r="E154" s="6">
        <v>69000</v>
      </c>
      <c r="F154" t="str">
        <f>VLOOKUP(C154,products!A:C,2,FALSE)</f>
        <v>Lampu LED Hias 5m</v>
      </c>
      <c r="G154">
        <f t="shared" si="4"/>
        <v>69000</v>
      </c>
      <c r="H154">
        <f>VLOOKUP(C154,products!A:D,4,FALSE)</f>
        <v>30000</v>
      </c>
      <c r="I154">
        <f t="shared" si="5"/>
        <v>39000</v>
      </c>
      <c r="J154" t="str">
        <f>VLOOKUP(B154,orders!A:B,2,FALSE)</f>
        <v>CUST0187</v>
      </c>
      <c r="K154" t="str">
        <f>VLOOKUP(J154,customers!A:F,6,FALSE)</f>
        <v>Jakarta</v>
      </c>
    </row>
    <row r="155" spans="1:11" x14ac:dyDescent="0.35">
      <c r="A155" s="4" t="s">
        <v>1192</v>
      </c>
      <c r="B155" s="4" t="s">
        <v>910</v>
      </c>
      <c r="C155" s="4" t="s">
        <v>1029</v>
      </c>
      <c r="D155" s="4">
        <v>1</v>
      </c>
      <c r="E155" s="6">
        <v>39000</v>
      </c>
      <c r="F155" t="str">
        <f>VLOOKUP(C155,products!A:C,2,FALSE)</f>
        <v>Kabel Data USB-C</v>
      </c>
      <c r="G155">
        <f t="shared" si="4"/>
        <v>39000</v>
      </c>
      <c r="H155">
        <f>VLOOKUP(C155,products!A:D,4,FALSE)</f>
        <v>15000</v>
      </c>
      <c r="I155">
        <f t="shared" si="5"/>
        <v>24000</v>
      </c>
      <c r="J155" t="str">
        <f>VLOOKUP(B155,orders!A:B,2,FALSE)</f>
        <v>CUST0187</v>
      </c>
      <c r="K155" t="str">
        <f>VLOOKUP(J155,customers!A:F,6,FALSE)</f>
        <v>Jakarta</v>
      </c>
    </row>
    <row r="156" spans="1:11" x14ac:dyDescent="0.35">
      <c r="A156" s="4" t="s">
        <v>1193</v>
      </c>
      <c r="B156" s="4" t="s">
        <v>910</v>
      </c>
      <c r="C156" s="4" t="s">
        <v>1025</v>
      </c>
      <c r="D156" s="4">
        <v>1</v>
      </c>
      <c r="E156" s="6">
        <v>179000</v>
      </c>
      <c r="F156" t="str">
        <f>VLOOKUP(C156,products!A:C,2,FALSE)</f>
        <v>Rak Penyimpanan Serbaguna</v>
      </c>
      <c r="G156">
        <f t="shared" si="4"/>
        <v>179000</v>
      </c>
      <c r="H156">
        <f>VLOOKUP(C156,products!A:D,4,FALSE)</f>
        <v>90000</v>
      </c>
      <c r="I156">
        <f t="shared" si="5"/>
        <v>89000</v>
      </c>
      <c r="J156" t="str">
        <f>VLOOKUP(B156,orders!A:B,2,FALSE)</f>
        <v>CUST0187</v>
      </c>
      <c r="K156" t="str">
        <f>VLOOKUP(J156,customers!A:F,6,FALSE)</f>
        <v>Jakarta</v>
      </c>
    </row>
    <row r="157" spans="1:11" x14ac:dyDescent="0.35">
      <c r="A157" s="4" t="s">
        <v>1194</v>
      </c>
      <c r="B157" s="4" t="s">
        <v>325</v>
      </c>
      <c r="C157" s="4" t="s">
        <v>1023</v>
      </c>
      <c r="D157" s="4">
        <v>1</v>
      </c>
      <c r="E157" s="6">
        <v>69000</v>
      </c>
      <c r="F157" t="str">
        <f>VLOOKUP(C157,products!A:C,2,FALSE)</f>
        <v>Lampu LED Hias 5m</v>
      </c>
      <c r="G157">
        <f t="shared" si="4"/>
        <v>69000</v>
      </c>
      <c r="H157">
        <f>VLOOKUP(C157,products!A:D,4,FALSE)</f>
        <v>30000</v>
      </c>
      <c r="I157">
        <f t="shared" si="5"/>
        <v>39000</v>
      </c>
      <c r="J157" t="str">
        <f>VLOOKUP(B157,orders!A:B,2,FALSE)</f>
        <v>CUST0168</v>
      </c>
      <c r="K157" t="str">
        <f>VLOOKUP(J157,customers!A:F,6,FALSE)</f>
        <v>Jakarta</v>
      </c>
    </row>
    <row r="158" spans="1:11" x14ac:dyDescent="0.35">
      <c r="A158" s="4" t="s">
        <v>1195</v>
      </c>
      <c r="B158" s="4" t="s">
        <v>1007</v>
      </c>
      <c r="C158" s="4" t="s">
        <v>1023</v>
      </c>
      <c r="D158" s="4">
        <v>1</v>
      </c>
      <c r="E158" s="6">
        <v>69000</v>
      </c>
      <c r="F158" t="str">
        <f>VLOOKUP(C158,products!A:C,2,FALSE)</f>
        <v>Lampu LED Hias 5m</v>
      </c>
      <c r="G158">
        <f t="shared" si="4"/>
        <v>69000</v>
      </c>
      <c r="H158">
        <f>VLOOKUP(C158,products!A:D,4,FALSE)</f>
        <v>30000</v>
      </c>
      <c r="I158">
        <f t="shared" si="5"/>
        <v>39000</v>
      </c>
      <c r="J158" t="str">
        <f>VLOOKUP(B158,orders!A:B,2,FALSE)</f>
        <v>CUST0016</v>
      </c>
      <c r="K158" t="str">
        <f>VLOOKUP(J158,customers!A:F,6,FALSE)</f>
        <v>Semarang</v>
      </c>
    </row>
    <row r="159" spans="1:11" x14ac:dyDescent="0.35">
      <c r="A159" s="4" t="s">
        <v>1196</v>
      </c>
      <c r="B159" s="4" t="s">
        <v>1007</v>
      </c>
      <c r="C159" s="4" t="s">
        <v>1044</v>
      </c>
      <c r="D159" s="4">
        <v>1</v>
      </c>
      <c r="E159" s="6">
        <v>329000</v>
      </c>
      <c r="F159" t="str">
        <f>VLOOKUP(C159,products!A:C,2,FALSE)</f>
        <v>Rice Cooker Mini 1.5L</v>
      </c>
      <c r="G159">
        <f t="shared" si="4"/>
        <v>329000</v>
      </c>
      <c r="H159">
        <f>VLOOKUP(C159,products!A:D,4,FALSE)</f>
        <v>180000</v>
      </c>
      <c r="I159">
        <f t="shared" si="5"/>
        <v>149000</v>
      </c>
      <c r="J159" t="str">
        <f>VLOOKUP(B159,orders!A:B,2,FALSE)</f>
        <v>CUST0016</v>
      </c>
      <c r="K159" t="str">
        <f>VLOOKUP(J159,customers!A:F,6,FALSE)</f>
        <v>Semarang</v>
      </c>
    </row>
    <row r="160" spans="1:11" x14ac:dyDescent="0.35">
      <c r="A160" s="4" t="s">
        <v>1197</v>
      </c>
      <c r="B160" s="4" t="s">
        <v>1007</v>
      </c>
      <c r="C160" s="4" t="s">
        <v>1036</v>
      </c>
      <c r="D160" s="4">
        <v>2</v>
      </c>
      <c r="E160" s="6">
        <v>229000</v>
      </c>
      <c r="F160" t="str">
        <f>VLOOKUP(C160,products!A:C,2,FALSE)</f>
        <v>Celana Jeans Slimfit</v>
      </c>
      <c r="G160">
        <f t="shared" si="4"/>
        <v>458000</v>
      </c>
      <c r="H160">
        <f>VLOOKUP(C160,products!A:D,4,FALSE)</f>
        <v>110000</v>
      </c>
      <c r="I160">
        <f t="shared" si="5"/>
        <v>238000</v>
      </c>
      <c r="J160" t="str">
        <f>VLOOKUP(B160,orders!A:B,2,FALSE)</f>
        <v>CUST0016</v>
      </c>
      <c r="K160" t="str">
        <f>VLOOKUP(J160,customers!A:F,6,FALSE)</f>
        <v>Semarang</v>
      </c>
    </row>
    <row r="161" spans="1:11" x14ac:dyDescent="0.35">
      <c r="A161" s="4" t="s">
        <v>1198</v>
      </c>
      <c r="B161" s="4" t="s">
        <v>572</v>
      </c>
      <c r="C161" s="4" t="s">
        <v>1029</v>
      </c>
      <c r="D161" s="4">
        <v>1</v>
      </c>
      <c r="E161" s="6">
        <v>39000</v>
      </c>
      <c r="F161" t="str">
        <f>VLOOKUP(C161,products!A:C,2,FALSE)</f>
        <v>Kabel Data USB-C</v>
      </c>
      <c r="G161">
        <f t="shared" si="4"/>
        <v>39000</v>
      </c>
      <c r="H161">
        <f>VLOOKUP(C161,products!A:D,4,FALSE)</f>
        <v>15000</v>
      </c>
      <c r="I161">
        <f t="shared" si="5"/>
        <v>24000</v>
      </c>
      <c r="J161" t="str">
        <f>VLOOKUP(B161,orders!A:B,2,FALSE)</f>
        <v>CUST0028</v>
      </c>
      <c r="K161" t="str">
        <f>VLOOKUP(J161,customers!A:F,6,FALSE)</f>
        <v>Semarang</v>
      </c>
    </row>
    <row r="162" spans="1:11" x14ac:dyDescent="0.35">
      <c r="A162" s="4" t="s">
        <v>1199</v>
      </c>
      <c r="B162" s="4" t="s">
        <v>572</v>
      </c>
      <c r="C162" s="4" t="s">
        <v>1200</v>
      </c>
      <c r="D162" s="4">
        <v>2</v>
      </c>
      <c r="E162" s="6">
        <v>209000</v>
      </c>
      <c r="F162" t="str">
        <f>VLOOKUP(C162,products!A:C,2,FALSE)</f>
        <v>Jaket Hoodie Unisex</v>
      </c>
      <c r="G162">
        <f t="shared" si="4"/>
        <v>418000</v>
      </c>
      <c r="H162">
        <f>VLOOKUP(C162,products!A:D,4,FALSE)</f>
        <v>95000</v>
      </c>
      <c r="I162">
        <f t="shared" si="5"/>
        <v>228000</v>
      </c>
      <c r="J162" t="str">
        <f>VLOOKUP(B162,orders!A:B,2,FALSE)</f>
        <v>CUST0028</v>
      </c>
      <c r="K162" t="str">
        <f>VLOOKUP(J162,customers!A:F,6,FALSE)</f>
        <v>Semarang</v>
      </c>
    </row>
    <row r="163" spans="1:11" x14ac:dyDescent="0.35">
      <c r="A163" s="4" t="s">
        <v>1201</v>
      </c>
      <c r="B163" s="4" t="s">
        <v>619</v>
      </c>
      <c r="C163" s="4" t="s">
        <v>1029</v>
      </c>
      <c r="D163" s="4">
        <v>3</v>
      </c>
      <c r="E163" s="6">
        <v>39000</v>
      </c>
      <c r="F163" t="str">
        <f>VLOOKUP(C163,products!A:C,2,FALSE)</f>
        <v>Kabel Data USB-C</v>
      </c>
      <c r="G163">
        <f t="shared" si="4"/>
        <v>117000</v>
      </c>
      <c r="H163">
        <f>VLOOKUP(C163,products!A:D,4,FALSE)</f>
        <v>15000</v>
      </c>
      <c r="I163">
        <f t="shared" si="5"/>
        <v>72000</v>
      </c>
      <c r="J163" t="str">
        <f>VLOOKUP(B163,orders!A:B,2,FALSE)</f>
        <v>CUST0138</v>
      </c>
      <c r="K163" t="str">
        <f>VLOOKUP(J163,customers!A:F,6,FALSE)</f>
        <v>Medan</v>
      </c>
    </row>
    <row r="164" spans="1:11" x14ac:dyDescent="0.35">
      <c r="A164" s="4" t="s">
        <v>1202</v>
      </c>
      <c r="B164" s="4" t="s">
        <v>619</v>
      </c>
      <c r="C164" s="4" t="s">
        <v>1023</v>
      </c>
      <c r="D164" s="4">
        <v>1</v>
      </c>
      <c r="E164" s="6">
        <v>69000</v>
      </c>
      <c r="F164" t="str">
        <f>VLOOKUP(C164,products!A:C,2,FALSE)</f>
        <v>Lampu LED Hias 5m</v>
      </c>
      <c r="G164">
        <f t="shared" si="4"/>
        <v>69000</v>
      </c>
      <c r="H164">
        <f>VLOOKUP(C164,products!A:D,4,FALSE)</f>
        <v>30000</v>
      </c>
      <c r="I164">
        <f t="shared" si="5"/>
        <v>39000</v>
      </c>
      <c r="J164" t="str">
        <f>VLOOKUP(B164,orders!A:B,2,FALSE)</f>
        <v>CUST0138</v>
      </c>
      <c r="K164" t="str">
        <f>VLOOKUP(J164,customers!A:F,6,FALSE)</f>
        <v>Medan</v>
      </c>
    </row>
    <row r="165" spans="1:11" x14ac:dyDescent="0.35">
      <c r="A165" s="4" t="s">
        <v>1203</v>
      </c>
      <c r="B165" s="4" t="s">
        <v>619</v>
      </c>
      <c r="C165" s="4" t="s">
        <v>1046</v>
      </c>
      <c r="D165" s="4">
        <v>1</v>
      </c>
      <c r="E165" s="6">
        <v>139000</v>
      </c>
      <c r="F165" t="str">
        <f>VLOOKUP(C165,products!A:C,2,FALSE)</f>
        <v>Wajan Anti Lengket 24cm</v>
      </c>
      <c r="G165">
        <f t="shared" si="4"/>
        <v>139000</v>
      </c>
      <c r="H165">
        <f>VLOOKUP(C165,products!A:D,4,FALSE)</f>
        <v>65000</v>
      </c>
      <c r="I165">
        <f t="shared" si="5"/>
        <v>74000</v>
      </c>
      <c r="J165" t="str">
        <f>VLOOKUP(B165,orders!A:B,2,FALSE)</f>
        <v>CUST0138</v>
      </c>
      <c r="K165" t="str">
        <f>VLOOKUP(J165,customers!A:F,6,FALSE)</f>
        <v>Medan</v>
      </c>
    </row>
    <row r="166" spans="1:11" x14ac:dyDescent="0.35">
      <c r="A166" s="4" t="s">
        <v>1204</v>
      </c>
      <c r="B166" s="4" t="s">
        <v>619</v>
      </c>
      <c r="C166" s="4" t="s">
        <v>1033</v>
      </c>
      <c r="D166" s="4">
        <v>1</v>
      </c>
      <c r="E166" s="6">
        <v>55000</v>
      </c>
      <c r="F166" t="str">
        <f>VLOOKUP(C166,products!A:C,2,FALSE)</f>
        <v>Sapu + Pengki Set</v>
      </c>
      <c r="G166">
        <f t="shared" si="4"/>
        <v>55000</v>
      </c>
      <c r="H166">
        <f>VLOOKUP(C166,products!A:D,4,FALSE)</f>
        <v>25000</v>
      </c>
      <c r="I166">
        <f t="shared" si="5"/>
        <v>30000</v>
      </c>
      <c r="J166" t="str">
        <f>VLOOKUP(B166,orders!A:B,2,FALSE)</f>
        <v>CUST0138</v>
      </c>
      <c r="K166" t="str">
        <f>VLOOKUP(J166,customers!A:F,6,FALSE)</f>
        <v>Medan</v>
      </c>
    </row>
    <row r="167" spans="1:11" x14ac:dyDescent="0.35">
      <c r="A167" s="4" t="s">
        <v>1205</v>
      </c>
      <c r="B167" s="4" t="s">
        <v>864</v>
      </c>
      <c r="C167" s="4" t="s">
        <v>1023</v>
      </c>
      <c r="D167" s="4">
        <v>1</v>
      </c>
      <c r="E167" s="6">
        <v>69000</v>
      </c>
      <c r="F167" t="str">
        <f>VLOOKUP(C167,products!A:C,2,FALSE)</f>
        <v>Lampu LED Hias 5m</v>
      </c>
      <c r="G167">
        <f t="shared" si="4"/>
        <v>69000</v>
      </c>
      <c r="H167">
        <f>VLOOKUP(C167,products!A:D,4,FALSE)</f>
        <v>30000</v>
      </c>
      <c r="I167">
        <f t="shared" si="5"/>
        <v>39000</v>
      </c>
      <c r="J167" t="str">
        <f>VLOOKUP(B167,orders!A:B,2,FALSE)</f>
        <v>CUST0047</v>
      </c>
      <c r="K167" t="str">
        <f>VLOOKUP(J167,customers!A:F,6,FALSE)</f>
        <v>Depok</v>
      </c>
    </row>
    <row r="168" spans="1:11" x14ac:dyDescent="0.35">
      <c r="A168" s="4" t="s">
        <v>1206</v>
      </c>
      <c r="B168" s="4" t="s">
        <v>864</v>
      </c>
      <c r="C168" s="4" t="s">
        <v>1025</v>
      </c>
      <c r="D168" s="4">
        <v>1</v>
      </c>
      <c r="E168" s="6">
        <v>179000</v>
      </c>
      <c r="F168" t="str">
        <f>VLOOKUP(C168,products!A:C,2,FALSE)</f>
        <v>Rak Penyimpanan Serbaguna</v>
      </c>
      <c r="G168">
        <f t="shared" si="4"/>
        <v>179000</v>
      </c>
      <c r="H168">
        <f>VLOOKUP(C168,products!A:D,4,FALSE)</f>
        <v>90000</v>
      </c>
      <c r="I168">
        <f t="shared" si="5"/>
        <v>89000</v>
      </c>
      <c r="J168" t="str">
        <f>VLOOKUP(B168,orders!A:B,2,FALSE)</f>
        <v>CUST0047</v>
      </c>
      <c r="K168" t="str">
        <f>VLOOKUP(J168,customers!A:F,6,FALSE)</f>
        <v>Depok</v>
      </c>
    </row>
    <row r="169" spans="1:11" x14ac:dyDescent="0.35">
      <c r="A169" s="4" t="s">
        <v>1207</v>
      </c>
      <c r="B169" s="4" t="s">
        <v>864</v>
      </c>
      <c r="C169" s="4" t="s">
        <v>1044</v>
      </c>
      <c r="D169" s="4">
        <v>1</v>
      </c>
      <c r="E169" s="6">
        <v>329000</v>
      </c>
      <c r="F169" t="str">
        <f>VLOOKUP(C169,products!A:C,2,FALSE)</f>
        <v>Rice Cooker Mini 1.5L</v>
      </c>
      <c r="G169">
        <f t="shared" si="4"/>
        <v>329000</v>
      </c>
      <c r="H169">
        <f>VLOOKUP(C169,products!A:D,4,FALSE)</f>
        <v>180000</v>
      </c>
      <c r="I169">
        <f t="shared" si="5"/>
        <v>149000</v>
      </c>
      <c r="J169" t="str">
        <f>VLOOKUP(B169,orders!A:B,2,FALSE)</f>
        <v>CUST0047</v>
      </c>
      <c r="K169" t="str">
        <f>VLOOKUP(J169,customers!A:F,6,FALSE)</f>
        <v>Depok</v>
      </c>
    </row>
    <row r="170" spans="1:11" x14ac:dyDescent="0.35">
      <c r="A170" s="4" t="s">
        <v>1208</v>
      </c>
      <c r="B170" s="4" t="s">
        <v>740</v>
      </c>
      <c r="C170" s="4" t="s">
        <v>1023</v>
      </c>
      <c r="D170" s="4">
        <v>2</v>
      </c>
      <c r="E170" s="6">
        <v>69000</v>
      </c>
      <c r="F170" t="str">
        <f>VLOOKUP(C170,products!A:C,2,FALSE)</f>
        <v>Lampu LED Hias 5m</v>
      </c>
      <c r="G170">
        <f t="shared" si="4"/>
        <v>138000</v>
      </c>
      <c r="H170">
        <f>VLOOKUP(C170,products!A:D,4,FALSE)</f>
        <v>30000</v>
      </c>
      <c r="I170">
        <f t="shared" si="5"/>
        <v>78000</v>
      </c>
      <c r="J170" t="str">
        <f>VLOOKUP(B170,orders!A:B,2,FALSE)</f>
        <v>CUST0064</v>
      </c>
      <c r="K170" t="str">
        <f>VLOOKUP(J170,customers!A:F,6,FALSE)</f>
        <v>Yogyakarta</v>
      </c>
    </row>
    <row r="171" spans="1:11" x14ac:dyDescent="0.35">
      <c r="A171" s="4" t="s">
        <v>1209</v>
      </c>
      <c r="B171" s="4" t="s">
        <v>740</v>
      </c>
      <c r="C171" s="4" t="s">
        <v>1076</v>
      </c>
      <c r="D171" s="4">
        <v>1</v>
      </c>
      <c r="E171" s="6">
        <v>499000</v>
      </c>
      <c r="F171" t="str">
        <f>VLOOKUP(C171,products!A:C,2,FALSE)</f>
        <v>Smartwatch Lite</v>
      </c>
      <c r="G171">
        <f t="shared" si="4"/>
        <v>499000</v>
      </c>
      <c r="H171">
        <f>VLOOKUP(C171,products!A:D,4,FALSE)</f>
        <v>250000</v>
      </c>
      <c r="I171">
        <f t="shared" si="5"/>
        <v>249000</v>
      </c>
      <c r="J171" t="str">
        <f>VLOOKUP(B171,orders!A:B,2,FALSE)</f>
        <v>CUST0064</v>
      </c>
      <c r="K171" t="str">
        <f>VLOOKUP(J171,customers!A:F,6,FALSE)</f>
        <v>Yogyakarta</v>
      </c>
    </row>
    <row r="172" spans="1:11" x14ac:dyDescent="0.35">
      <c r="A172" s="4" t="s">
        <v>1210</v>
      </c>
      <c r="B172" s="4" t="s">
        <v>740</v>
      </c>
      <c r="C172" s="4" t="s">
        <v>1029</v>
      </c>
      <c r="D172" s="4">
        <v>2</v>
      </c>
      <c r="E172" s="6">
        <v>39000</v>
      </c>
      <c r="F172" t="str">
        <f>VLOOKUP(C172,products!A:C,2,FALSE)</f>
        <v>Kabel Data USB-C</v>
      </c>
      <c r="G172">
        <f t="shared" si="4"/>
        <v>78000</v>
      </c>
      <c r="H172">
        <f>VLOOKUP(C172,products!A:D,4,FALSE)</f>
        <v>15000</v>
      </c>
      <c r="I172">
        <f t="shared" si="5"/>
        <v>48000</v>
      </c>
      <c r="J172" t="str">
        <f>VLOOKUP(B172,orders!A:B,2,FALSE)</f>
        <v>CUST0064</v>
      </c>
      <c r="K172" t="str">
        <f>VLOOKUP(J172,customers!A:F,6,FALSE)</f>
        <v>Yogyakarta</v>
      </c>
    </row>
    <row r="173" spans="1:11" x14ac:dyDescent="0.35">
      <c r="A173" s="4" t="s">
        <v>1211</v>
      </c>
      <c r="B173" s="4" t="s">
        <v>837</v>
      </c>
      <c r="C173" s="4" t="s">
        <v>1029</v>
      </c>
      <c r="D173" s="4">
        <v>1</v>
      </c>
      <c r="E173" s="6">
        <v>39000</v>
      </c>
      <c r="F173" t="str">
        <f>VLOOKUP(C173,products!A:C,2,FALSE)</f>
        <v>Kabel Data USB-C</v>
      </c>
      <c r="G173">
        <f t="shared" si="4"/>
        <v>39000</v>
      </c>
      <c r="H173">
        <f>VLOOKUP(C173,products!A:D,4,FALSE)</f>
        <v>15000</v>
      </c>
      <c r="I173">
        <f t="shared" si="5"/>
        <v>24000</v>
      </c>
      <c r="J173" t="str">
        <f>VLOOKUP(B173,orders!A:B,2,FALSE)</f>
        <v>CUST0020</v>
      </c>
      <c r="K173" t="str">
        <f>VLOOKUP(J173,customers!A:F,6,FALSE)</f>
        <v>Makassar</v>
      </c>
    </row>
    <row r="174" spans="1:11" x14ac:dyDescent="0.35">
      <c r="A174" s="4" t="s">
        <v>1212</v>
      </c>
      <c r="B174" s="4" t="s">
        <v>436</v>
      </c>
      <c r="C174" s="4" t="s">
        <v>1025</v>
      </c>
      <c r="D174" s="4">
        <v>2</v>
      </c>
      <c r="E174" s="6">
        <v>179000</v>
      </c>
      <c r="F174" t="str">
        <f>VLOOKUP(C174,products!A:C,2,FALSE)</f>
        <v>Rak Penyimpanan Serbaguna</v>
      </c>
      <c r="G174">
        <f t="shared" si="4"/>
        <v>358000</v>
      </c>
      <c r="H174">
        <f>VLOOKUP(C174,products!A:D,4,FALSE)</f>
        <v>90000</v>
      </c>
      <c r="I174">
        <f t="shared" si="5"/>
        <v>178000</v>
      </c>
      <c r="J174" t="str">
        <f>VLOOKUP(B174,orders!A:B,2,FALSE)</f>
        <v>CUST0141</v>
      </c>
      <c r="K174" t="str">
        <f>VLOOKUP(J174,customers!A:F,6,FALSE)</f>
        <v>Palembang</v>
      </c>
    </row>
    <row r="175" spans="1:11" x14ac:dyDescent="0.35">
      <c r="A175" s="4" t="s">
        <v>1213</v>
      </c>
      <c r="B175" s="4" t="s">
        <v>436</v>
      </c>
      <c r="C175" s="4" t="s">
        <v>1023</v>
      </c>
      <c r="D175" s="4">
        <v>1</v>
      </c>
      <c r="E175" s="6">
        <v>69000</v>
      </c>
      <c r="F175" t="str">
        <f>VLOOKUP(C175,products!A:C,2,FALSE)</f>
        <v>Lampu LED Hias 5m</v>
      </c>
      <c r="G175">
        <f t="shared" si="4"/>
        <v>69000</v>
      </c>
      <c r="H175">
        <f>VLOOKUP(C175,products!A:D,4,FALSE)</f>
        <v>30000</v>
      </c>
      <c r="I175">
        <f t="shared" si="5"/>
        <v>39000</v>
      </c>
      <c r="J175" t="str">
        <f>VLOOKUP(B175,orders!A:B,2,FALSE)</f>
        <v>CUST0141</v>
      </c>
      <c r="K175" t="str">
        <f>VLOOKUP(J175,customers!A:F,6,FALSE)</f>
        <v>Palembang</v>
      </c>
    </row>
    <row r="176" spans="1:11" x14ac:dyDescent="0.35">
      <c r="A176" s="4" t="s">
        <v>1214</v>
      </c>
      <c r="B176" s="4" t="s">
        <v>856</v>
      </c>
      <c r="C176" s="4" t="s">
        <v>1033</v>
      </c>
      <c r="D176" s="4">
        <v>1</v>
      </c>
      <c r="E176" s="6">
        <v>55000</v>
      </c>
      <c r="F176" t="str">
        <f>VLOOKUP(C176,products!A:C,2,FALSE)</f>
        <v>Sapu + Pengki Set</v>
      </c>
      <c r="G176">
        <f t="shared" si="4"/>
        <v>55000</v>
      </c>
      <c r="H176">
        <f>VLOOKUP(C176,products!A:D,4,FALSE)</f>
        <v>25000</v>
      </c>
      <c r="I176">
        <f t="shared" si="5"/>
        <v>30000</v>
      </c>
      <c r="J176" t="str">
        <f>VLOOKUP(B176,orders!A:B,2,FALSE)</f>
        <v>CUST0167</v>
      </c>
      <c r="K176" t="str">
        <f>VLOOKUP(J176,customers!A:F,6,FALSE)</f>
        <v>Jakarta</v>
      </c>
    </row>
    <row r="177" spans="1:11" x14ac:dyDescent="0.35">
      <c r="A177" s="4" t="s">
        <v>1215</v>
      </c>
      <c r="B177" s="4" t="s">
        <v>856</v>
      </c>
      <c r="C177" s="4" t="s">
        <v>1029</v>
      </c>
      <c r="D177" s="4">
        <v>1</v>
      </c>
      <c r="E177" s="6">
        <v>39000</v>
      </c>
      <c r="F177" t="str">
        <f>VLOOKUP(C177,products!A:C,2,FALSE)</f>
        <v>Kabel Data USB-C</v>
      </c>
      <c r="G177">
        <f t="shared" si="4"/>
        <v>39000</v>
      </c>
      <c r="H177">
        <f>VLOOKUP(C177,products!A:D,4,FALSE)</f>
        <v>15000</v>
      </c>
      <c r="I177">
        <f t="shared" si="5"/>
        <v>24000</v>
      </c>
      <c r="J177" t="str">
        <f>VLOOKUP(B177,orders!A:B,2,FALSE)</f>
        <v>CUST0167</v>
      </c>
      <c r="K177" t="str">
        <f>VLOOKUP(J177,customers!A:F,6,FALSE)</f>
        <v>Jakarta</v>
      </c>
    </row>
    <row r="178" spans="1:11" x14ac:dyDescent="0.35">
      <c r="A178" s="4" t="s">
        <v>1216</v>
      </c>
      <c r="B178" s="4" t="s">
        <v>200</v>
      </c>
      <c r="C178" s="4" t="s">
        <v>1023</v>
      </c>
      <c r="D178" s="4">
        <v>1</v>
      </c>
      <c r="E178" s="6">
        <v>69000</v>
      </c>
      <c r="F178" t="str">
        <f>VLOOKUP(C178,products!A:C,2,FALSE)</f>
        <v>Lampu LED Hias 5m</v>
      </c>
      <c r="G178">
        <f t="shared" si="4"/>
        <v>69000</v>
      </c>
      <c r="H178">
        <f>VLOOKUP(C178,products!A:D,4,FALSE)</f>
        <v>30000</v>
      </c>
      <c r="I178">
        <f t="shared" si="5"/>
        <v>39000</v>
      </c>
      <c r="J178" t="str">
        <f>VLOOKUP(B178,orders!A:B,2,FALSE)</f>
        <v>CUST0004</v>
      </c>
      <c r="K178" t="str">
        <f>VLOOKUP(J178,customers!A:F,6,FALSE)</f>
        <v>Jakarta</v>
      </c>
    </row>
    <row r="179" spans="1:11" x14ac:dyDescent="0.35">
      <c r="A179" s="4" t="s">
        <v>1217</v>
      </c>
      <c r="B179" s="4" t="s">
        <v>200</v>
      </c>
      <c r="C179" s="4" t="s">
        <v>1044</v>
      </c>
      <c r="D179" s="4">
        <v>2</v>
      </c>
      <c r="E179" s="6">
        <v>329000</v>
      </c>
      <c r="F179" t="str">
        <f>VLOOKUP(C179,products!A:C,2,FALSE)</f>
        <v>Rice Cooker Mini 1.5L</v>
      </c>
      <c r="G179">
        <f t="shared" si="4"/>
        <v>658000</v>
      </c>
      <c r="H179">
        <f>VLOOKUP(C179,products!A:D,4,FALSE)</f>
        <v>180000</v>
      </c>
      <c r="I179">
        <f t="shared" si="5"/>
        <v>298000</v>
      </c>
      <c r="J179" t="str">
        <f>VLOOKUP(B179,orders!A:B,2,FALSE)</f>
        <v>CUST0004</v>
      </c>
      <c r="K179" t="str">
        <f>VLOOKUP(J179,customers!A:F,6,FALSE)</f>
        <v>Jakarta</v>
      </c>
    </row>
    <row r="180" spans="1:11" x14ac:dyDescent="0.35">
      <c r="A180" s="4" t="s">
        <v>1218</v>
      </c>
      <c r="B180" s="4" t="s">
        <v>976</v>
      </c>
      <c r="C180" s="4" t="s">
        <v>1023</v>
      </c>
      <c r="D180" s="4">
        <v>1</v>
      </c>
      <c r="E180" s="6">
        <v>69000</v>
      </c>
      <c r="F180" t="str">
        <f>VLOOKUP(C180,products!A:C,2,FALSE)</f>
        <v>Lampu LED Hias 5m</v>
      </c>
      <c r="G180">
        <f t="shared" si="4"/>
        <v>69000</v>
      </c>
      <c r="H180">
        <f>VLOOKUP(C180,products!A:D,4,FALSE)</f>
        <v>30000</v>
      </c>
      <c r="I180">
        <f t="shared" si="5"/>
        <v>39000</v>
      </c>
      <c r="J180" t="str">
        <f>VLOOKUP(B180,orders!A:B,2,FALSE)</f>
        <v>CUST0193</v>
      </c>
      <c r="K180" t="str">
        <f>VLOOKUP(J180,customers!A:F,6,FALSE)</f>
        <v>Depok</v>
      </c>
    </row>
    <row r="181" spans="1:11" x14ac:dyDescent="0.35">
      <c r="A181" s="4" t="s">
        <v>1219</v>
      </c>
      <c r="B181" s="4" t="s">
        <v>141</v>
      </c>
      <c r="C181" s="4" t="s">
        <v>1044</v>
      </c>
      <c r="D181" s="4">
        <v>1</v>
      </c>
      <c r="E181" s="6">
        <v>329000</v>
      </c>
      <c r="F181" t="str">
        <f>VLOOKUP(C181,products!A:C,2,FALSE)</f>
        <v>Rice Cooker Mini 1.5L</v>
      </c>
      <c r="G181">
        <f t="shared" si="4"/>
        <v>329000</v>
      </c>
      <c r="H181">
        <f>VLOOKUP(C181,products!A:D,4,FALSE)</f>
        <v>180000</v>
      </c>
      <c r="I181">
        <f t="shared" si="5"/>
        <v>149000</v>
      </c>
      <c r="J181" t="str">
        <f>VLOOKUP(B181,orders!A:B,2,FALSE)</f>
        <v>CUST0125</v>
      </c>
      <c r="K181" t="str">
        <f>VLOOKUP(J181,customers!A:F,6,FALSE)</f>
        <v>Denpasar</v>
      </c>
    </row>
    <row r="182" spans="1:11" x14ac:dyDescent="0.35">
      <c r="A182" s="4" t="s">
        <v>1220</v>
      </c>
      <c r="B182" s="4" t="s">
        <v>338</v>
      </c>
      <c r="C182" s="4" t="s">
        <v>1033</v>
      </c>
      <c r="D182" s="4">
        <v>2</v>
      </c>
      <c r="E182" s="6">
        <v>55000</v>
      </c>
      <c r="F182" t="str">
        <f>VLOOKUP(C182,products!A:C,2,FALSE)</f>
        <v>Sapu + Pengki Set</v>
      </c>
      <c r="G182">
        <f t="shared" si="4"/>
        <v>110000</v>
      </c>
      <c r="H182">
        <f>VLOOKUP(C182,products!A:D,4,FALSE)</f>
        <v>25000</v>
      </c>
      <c r="I182">
        <f t="shared" si="5"/>
        <v>60000</v>
      </c>
      <c r="J182" t="str">
        <f>VLOOKUP(B182,orders!A:B,2,FALSE)</f>
        <v>CUST0103</v>
      </c>
      <c r="K182" t="str">
        <f>VLOOKUP(J182,customers!A:F,6,FALSE)</f>
        <v>Semarang</v>
      </c>
    </row>
    <row r="183" spans="1:11" x14ac:dyDescent="0.35">
      <c r="A183" s="4" t="s">
        <v>1221</v>
      </c>
      <c r="B183" s="4" t="s">
        <v>788</v>
      </c>
      <c r="C183" s="4" t="s">
        <v>1029</v>
      </c>
      <c r="D183" s="4">
        <v>1</v>
      </c>
      <c r="E183" s="6">
        <v>39000</v>
      </c>
      <c r="F183" t="str">
        <f>VLOOKUP(C183,products!A:C,2,FALSE)</f>
        <v>Kabel Data USB-C</v>
      </c>
      <c r="G183">
        <f t="shared" si="4"/>
        <v>39000</v>
      </c>
      <c r="H183">
        <f>VLOOKUP(C183,products!A:D,4,FALSE)</f>
        <v>15000</v>
      </c>
      <c r="I183">
        <f t="shared" si="5"/>
        <v>24000</v>
      </c>
      <c r="J183" t="str">
        <f>VLOOKUP(B183,orders!A:B,2,FALSE)</f>
        <v>CUST0098</v>
      </c>
      <c r="K183" t="str">
        <f>VLOOKUP(J183,customers!A:F,6,FALSE)</f>
        <v>Surabaya</v>
      </c>
    </row>
    <row r="184" spans="1:11" x14ac:dyDescent="0.35">
      <c r="A184" s="4" t="s">
        <v>1222</v>
      </c>
      <c r="B184" s="4" t="s">
        <v>788</v>
      </c>
      <c r="C184" s="4" t="s">
        <v>1023</v>
      </c>
      <c r="D184" s="4">
        <v>3</v>
      </c>
      <c r="E184" s="6">
        <v>69000</v>
      </c>
      <c r="F184" t="str">
        <f>VLOOKUP(C184,products!A:C,2,FALSE)</f>
        <v>Lampu LED Hias 5m</v>
      </c>
      <c r="G184">
        <f t="shared" si="4"/>
        <v>207000</v>
      </c>
      <c r="H184">
        <f>VLOOKUP(C184,products!A:D,4,FALSE)</f>
        <v>30000</v>
      </c>
      <c r="I184">
        <f t="shared" si="5"/>
        <v>117000</v>
      </c>
      <c r="J184" t="str">
        <f>VLOOKUP(B184,orders!A:B,2,FALSE)</f>
        <v>CUST0098</v>
      </c>
      <c r="K184" t="str">
        <f>VLOOKUP(J184,customers!A:F,6,FALSE)</f>
        <v>Surabaya</v>
      </c>
    </row>
    <row r="185" spans="1:11" x14ac:dyDescent="0.35">
      <c r="A185" s="4" t="s">
        <v>1223</v>
      </c>
      <c r="B185" s="4" t="s">
        <v>497</v>
      </c>
      <c r="C185" s="4" t="s">
        <v>1023</v>
      </c>
      <c r="D185" s="4">
        <v>1</v>
      </c>
      <c r="E185" s="6">
        <v>69000</v>
      </c>
      <c r="F185" t="str">
        <f>VLOOKUP(C185,products!A:C,2,FALSE)</f>
        <v>Lampu LED Hias 5m</v>
      </c>
      <c r="G185">
        <f t="shared" si="4"/>
        <v>69000</v>
      </c>
      <c r="H185">
        <f>VLOOKUP(C185,products!A:D,4,FALSE)</f>
        <v>30000</v>
      </c>
      <c r="I185">
        <f t="shared" si="5"/>
        <v>39000</v>
      </c>
      <c r="J185" t="str">
        <f>VLOOKUP(B185,orders!A:B,2,FALSE)</f>
        <v>CUST0117</v>
      </c>
      <c r="K185" t="str">
        <f>VLOOKUP(J185,customers!A:F,6,FALSE)</f>
        <v>Semarang</v>
      </c>
    </row>
    <row r="186" spans="1:11" x14ac:dyDescent="0.35">
      <c r="A186" s="4" t="s">
        <v>1224</v>
      </c>
      <c r="B186" s="4" t="s">
        <v>497</v>
      </c>
      <c r="C186" s="4" t="s">
        <v>1033</v>
      </c>
      <c r="D186" s="4">
        <v>1</v>
      </c>
      <c r="E186" s="6">
        <v>55000</v>
      </c>
      <c r="F186" t="str">
        <f>VLOOKUP(C186,products!A:C,2,FALSE)</f>
        <v>Sapu + Pengki Set</v>
      </c>
      <c r="G186">
        <f t="shared" si="4"/>
        <v>55000</v>
      </c>
      <c r="H186">
        <f>VLOOKUP(C186,products!A:D,4,FALSE)</f>
        <v>25000</v>
      </c>
      <c r="I186">
        <f t="shared" si="5"/>
        <v>30000</v>
      </c>
      <c r="J186" t="str">
        <f>VLOOKUP(B186,orders!A:B,2,FALSE)</f>
        <v>CUST0117</v>
      </c>
      <c r="K186" t="str">
        <f>VLOOKUP(J186,customers!A:F,6,FALSE)</f>
        <v>Semarang</v>
      </c>
    </row>
    <row r="187" spans="1:11" x14ac:dyDescent="0.35">
      <c r="A187" s="4" t="s">
        <v>1225</v>
      </c>
      <c r="B187" s="4" t="s">
        <v>184</v>
      </c>
      <c r="C187" s="4" t="s">
        <v>1029</v>
      </c>
      <c r="D187" s="4">
        <v>1</v>
      </c>
      <c r="E187" s="6">
        <v>39000</v>
      </c>
      <c r="F187" t="str">
        <f>VLOOKUP(C187,products!A:C,2,FALSE)</f>
        <v>Kabel Data USB-C</v>
      </c>
      <c r="G187">
        <f t="shared" si="4"/>
        <v>39000</v>
      </c>
      <c r="H187">
        <f>VLOOKUP(C187,products!A:D,4,FALSE)</f>
        <v>15000</v>
      </c>
      <c r="I187">
        <f t="shared" si="5"/>
        <v>24000</v>
      </c>
      <c r="J187" t="str">
        <f>VLOOKUP(B187,orders!A:B,2,FALSE)</f>
        <v>CUST0188</v>
      </c>
      <c r="K187" t="str">
        <f>VLOOKUP(J187,customers!A:F,6,FALSE)</f>
        <v>Jakarta</v>
      </c>
    </row>
    <row r="188" spans="1:11" x14ac:dyDescent="0.35">
      <c r="A188" s="4" t="s">
        <v>1226</v>
      </c>
      <c r="B188" s="4" t="s">
        <v>317</v>
      </c>
      <c r="C188" s="4" t="s">
        <v>1033</v>
      </c>
      <c r="D188" s="4">
        <v>2</v>
      </c>
      <c r="E188" s="6">
        <v>55000</v>
      </c>
      <c r="F188" t="str">
        <f>VLOOKUP(C188,products!A:C,2,FALSE)</f>
        <v>Sapu + Pengki Set</v>
      </c>
      <c r="G188">
        <f t="shared" si="4"/>
        <v>110000</v>
      </c>
      <c r="H188">
        <f>VLOOKUP(C188,products!A:D,4,FALSE)</f>
        <v>25000</v>
      </c>
      <c r="I188">
        <f t="shared" si="5"/>
        <v>60000</v>
      </c>
      <c r="J188" t="str">
        <f>VLOOKUP(B188,orders!A:B,2,FALSE)</f>
        <v>CUST0170</v>
      </c>
      <c r="K188" t="str">
        <f>VLOOKUP(J188,customers!A:F,6,FALSE)</f>
        <v>Medan</v>
      </c>
    </row>
    <row r="189" spans="1:11" x14ac:dyDescent="0.35">
      <c r="A189" s="4" t="s">
        <v>1227</v>
      </c>
      <c r="B189" s="4" t="s">
        <v>857</v>
      </c>
      <c r="C189" s="4" t="s">
        <v>1023</v>
      </c>
      <c r="D189" s="4">
        <v>1</v>
      </c>
      <c r="E189" s="6">
        <v>69000</v>
      </c>
      <c r="F189" t="str">
        <f>VLOOKUP(C189,products!A:C,2,FALSE)</f>
        <v>Lampu LED Hias 5m</v>
      </c>
      <c r="G189">
        <f t="shared" si="4"/>
        <v>69000</v>
      </c>
      <c r="H189">
        <f>VLOOKUP(C189,products!A:D,4,FALSE)</f>
        <v>30000</v>
      </c>
      <c r="I189">
        <f t="shared" si="5"/>
        <v>39000</v>
      </c>
      <c r="J189" t="str">
        <f>VLOOKUP(B189,orders!A:B,2,FALSE)</f>
        <v>CUST0040</v>
      </c>
      <c r="K189" t="str">
        <f>VLOOKUP(J189,customers!A:F,6,FALSE)</f>
        <v>Bandung</v>
      </c>
    </row>
    <row r="190" spans="1:11" x14ac:dyDescent="0.35">
      <c r="A190" s="4" t="s">
        <v>1228</v>
      </c>
      <c r="B190" s="4" t="s">
        <v>857</v>
      </c>
      <c r="C190" s="4" t="s">
        <v>1029</v>
      </c>
      <c r="D190" s="4">
        <v>2</v>
      </c>
      <c r="E190" s="6">
        <v>39000</v>
      </c>
      <c r="F190" t="str">
        <f>VLOOKUP(C190,products!A:C,2,FALSE)</f>
        <v>Kabel Data USB-C</v>
      </c>
      <c r="G190">
        <f t="shared" si="4"/>
        <v>78000</v>
      </c>
      <c r="H190">
        <f>VLOOKUP(C190,products!A:D,4,FALSE)</f>
        <v>15000</v>
      </c>
      <c r="I190">
        <f t="shared" si="5"/>
        <v>48000</v>
      </c>
      <c r="J190" t="str">
        <f>VLOOKUP(B190,orders!A:B,2,FALSE)</f>
        <v>CUST0040</v>
      </c>
      <c r="K190" t="str">
        <f>VLOOKUP(J190,customers!A:F,6,FALSE)</f>
        <v>Bandung</v>
      </c>
    </row>
    <row r="191" spans="1:11" x14ac:dyDescent="0.35">
      <c r="A191" s="4" t="s">
        <v>1229</v>
      </c>
      <c r="B191" s="4" t="s">
        <v>857</v>
      </c>
      <c r="C191" s="4" t="s">
        <v>1089</v>
      </c>
      <c r="D191" s="4">
        <v>1</v>
      </c>
      <c r="E191" s="6">
        <v>159000</v>
      </c>
      <c r="F191" t="str">
        <f>VLOOKUP(C191,products!A:C,2,FALSE)</f>
        <v>Power Bank 10000mAh</v>
      </c>
      <c r="G191">
        <f t="shared" si="4"/>
        <v>159000</v>
      </c>
      <c r="H191">
        <f>VLOOKUP(C191,products!A:D,4,FALSE)</f>
        <v>80000</v>
      </c>
      <c r="I191">
        <f t="shared" si="5"/>
        <v>79000</v>
      </c>
      <c r="J191" t="str">
        <f>VLOOKUP(B191,orders!A:B,2,FALSE)</f>
        <v>CUST0040</v>
      </c>
      <c r="K191" t="str">
        <f>VLOOKUP(J191,customers!A:F,6,FALSE)</f>
        <v>Bandung</v>
      </c>
    </row>
    <row r="192" spans="1:11" x14ac:dyDescent="0.35">
      <c r="A192" s="4" t="s">
        <v>1230</v>
      </c>
      <c r="B192" s="4" t="s">
        <v>31</v>
      </c>
      <c r="C192" s="4" t="s">
        <v>1053</v>
      </c>
      <c r="D192" s="4">
        <v>1</v>
      </c>
      <c r="E192" s="6">
        <v>129000</v>
      </c>
      <c r="F192" t="str">
        <f>VLOOKUP(C192,products!A:C,2,FALSE)</f>
        <v>Charger Fast Charging 33W</v>
      </c>
      <c r="G192">
        <f t="shared" si="4"/>
        <v>129000</v>
      </c>
      <c r="H192">
        <f>VLOOKUP(C192,products!A:D,4,FALSE)</f>
        <v>60000</v>
      </c>
      <c r="I192">
        <f t="shared" si="5"/>
        <v>69000</v>
      </c>
      <c r="J192" t="str">
        <f>VLOOKUP(B192,orders!A:B,2,FALSE)</f>
        <v>CUST0015</v>
      </c>
      <c r="K192" t="str">
        <f>VLOOKUP(J192,customers!A:F,6,FALSE)</f>
        <v>Semarang</v>
      </c>
    </row>
    <row r="193" spans="1:11" x14ac:dyDescent="0.35">
      <c r="A193" s="4" t="s">
        <v>1231</v>
      </c>
      <c r="B193" s="4" t="s">
        <v>31</v>
      </c>
      <c r="C193" s="4" t="s">
        <v>1025</v>
      </c>
      <c r="D193" s="4">
        <v>1</v>
      </c>
      <c r="E193" s="6">
        <v>179000</v>
      </c>
      <c r="F193" t="str">
        <f>VLOOKUP(C193,products!A:C,2,FALSE)</f>
        <v>Rak Penyimpanan Serbaguna</v>
      </c>
      <c r="G193">
        <f t="shared" si="4"/>
        <v>179000</v>
      </c>
      <c r="H193">
        <f>VLOOKUP(C193,products!A:D,4,FALSE)</f>
        <v>90000</v>
      </c>
      <c r="I193">
        <f t="shared" si="5"/>
        <v>89000</v>
      </c>
      <c r="J193" t="str">
        <f>VLOOKUP(B193,orders!A:B,2,FALSE)</f>
        <v>CUST0015</v>
      </c>
      <c r="K193" t="str">
        <f>VLOOKUP(J193,customers!A:F,6,FALSE)</f>
        <v>Semarang</v>
      </c>
    </row>
    <row r="194" spans="1:11" x14ac:dyDescent="0.35">
      <c r="A194" s="4" t="s">
        <v>1232</v>
      </c>
      <c r="B194" s="4" t="s">
        <v>204</v>
      </c>
      <c r="C194" s="4" t="s">
        <v>1082</v>
      </c>
      <c r="D194" s="4">
        <v>1</v>
      </c>
      <c r="E194" s="6">
        <v>399000</v>
      </c>
      <c r="F194" t="str">
        <f>VLOOKUP(C194,products!A:C,2,FALSE)</f>
        <v>Keyboard Mechanical Mini</v>
      </c>
      <c r="G194">
        <f t="shared" si="4"/>
        <v>399000</v>
      </c>
      <c r="H194">
        <f>VLOOKUP(C194,products!A:D,4,FALSE)</f>
        <v>200000</v>
      </c>
      <c r="I194">
        <f t="shared" si="5"/>
        <v>199000</v>
      </c>
      <c r="J194" t="str">
        <f>VLOOKUP(B194,orders!A:B,2,FALSE)</f>
        <v>CUST0139</v>
      </c>
      <c r="K194" t="str">
        <f>VLOOKUP(J194,customers!A:F,6,FALSE)</f>
        <v>Yogyakarta</v>
      </c>
    </row>
    <row r="195" spans="1:11" x14ac:dyDescent="0.35">
      <c r="A195" s="4" t="s">
        <v>1233</v>
      </c>
      <c r="B195" s="4" t="s">
        <v>204</v>
      </c>
      <c r="C195" s="4" t="s">
        <v>1044</v>
      </c>
      <c r="D195" s="4">
        <v>1</v>
      </c>
      <c r="E195" s="6">
        <v>329000</v>
      </c>
      <c r="F195" t="str">
        <f>VLOOKUP(C195,products!A:C,2,FALSE)</f>
        <v>Rice Cooker Mini 1.5L</v>
      </c>
      <c r="G195">
        <f t="shared" ref="G195:G258" si="6">D195*E195</f>
        <v>329000</v>
      </c>
      <c r="H195">
        <f>VLOOKUP(C195,products!A:D,4,FALSE)</f>
        <v>180000</v>
      </c>
      <c r="I195">
        <f t="shared" ref="I195:I258" si="7">(E195-H195)*D195</f>
        <v>149000</v>
      </c>
      <c r="J195" t="str">
        <f>VLOOKUP(B195,orders!A:B,2,FALSE)</f>
        <v>CUST0139</v>
      </c>
      <c r="K195" t="str">
        <f>VLOOKUP(J195,customers!A:F,6,FALSE)</f>
        <v>Yogyakarta</v>
      </c>
    </row>
    <row r="196" spans="1:11" x14ac:dyDescent="0.35">
      <c r="A196" s="4" t="s">
        <v>1234</v>
      </c>
      <c r="B196" s="4" t="s">
        <v>783</v>
      </c>
      <c r="C196" s="4" t="s">
        <v>1023</v>
      </c>
      <c r="D196" s="4">
        <v>2</v>
      </c>
      <c r="E196" s="6">
        <v>69000</v>
      </c>
      <c r="F196" t="str">
        <f>VLOOKUP(C196,products!A:C,2,FALSE)</f>
        <v>Lampu LED Hias 5m</v>
      </c>
      <c r="G196">
        <f t="shared" si="6"/>
        <v>138000</v>
      </c>
      <c r="H196">
        <f>VLOOKUP(C196,products!A:D,4,FALSE)</f>
        <v>30000</v>
      </c>
      <c r="I196">
        <f t="shared" si="7"/>
        <v>78000</v>
      </c>
      <c r="J196" t="str">
        <f>VLOOKUP(B196,orders!A:B,2,FALSE)</f>
        <v>CUST0081</v>
      </c>
      <c r="K196" t="str">
        <f>VLOOKUP(J196,customers!A:F,6,FALSE)</f>
        <v>Bandung</v>
      </c>
    </row>
    <row r="197" spans="1:11" x14ac:dyDescent="0.35">
      <c r="A197" s="4" t="s">
        <v>1235</v>
      </c>
      <c r="B197" s="4" t="s">
        <v>287</v>
      </c>
      <c r="C197" s="4" t="s">
        <v>1029</v>
      </c>
      <c r="D197" s="4">
        <v>1</v>
      </c>
      <c r="E197" s="6">
        <v>39000</v>
      </c>
      <c r="F197" t="str">
        <f>VLOOKUP(C197,products!A:C,2,FALSE)</f>
        <v>Kabel Data USB-C</v>
      </c>
      <c r="G197">
        <f t="shared" si="6"/>
        <v>39000</v>
      </c>
      <c r="H197">
        <f>VLOOKUP(C197,products!A:D,4,FALSE)</f>
        <v>15000</v>
      </c>
      <c r="I197">
        <f t="shared" si="7"/>
        <v>24000</v>
      </c>
      <c r="J197" t="str">
        <f>VLOOKUP(B197,orders!A:B,2,FALSE)</f>
        <v>CUST0123</v>
      </c>
      <c r="K197" t="str">
        <f>VLOOKUP(J197,customers!A:F,6,FALSE)</f>
        <v>Jakarta</v>
      </c>
    </row>
    <row r="198" spans="1:11" x14ac:dyDescent="0.35">
      <c r="A198" s="4" t="s">
        <v>1236</v>
      </c>
      <c r="B198" s="4" t="s">
        <v>287</v>
      </c>
      <c r="C198" s="4" t="s">
        <v>1023</v>
      </c>
      <c r="D198" s="4">
        <v>1</v>
      </c>
      <c r="E198" s="6">
        <v>69000</v>
      </c>
      <c r="F198" t="str">
        <f>VLOOKUP(C198,products!A:C,2,FALSE)</f>
        <v>Lampu LED Hias 5m</v>
      </c>
      <c r="G198">
        <f t="shared" si="6"/>
        <v>69000</v>
      </c>
      <c r="H198">
        <f>VLOOKUP(C198,products!A:D,4,FALSE)</f>
        <v>30000</v>
      </c>
      <c r="I198">
        <f t="shared" si="7"/>
        <v>39000</v>
      </c>
      <c r="J198" t="str">
        <f>VLOOKUP(B198,orders!A:B,2,FALSE)</f>
        <v>CUST0123</v>
      </c>
      <c r="K198" t="str">
        <f>VLOOKUP(J198,customers!A:F,6,FALSE)</f>
        <v>Jakarta</v>
      </c>
    </row>
    <row r="199" spans="1:11" x14ac:dyDescent="0.35">
      <c r="A199" s="4" t="s">
        <v>1237</v>
      </c>
      <c r="B199" s="4" t="s">
        <v>226</v>
      </c>
      <c r="C199" s="4" t="s">
        <v>1025</v>
      </c>
      <c r="D199" s="4">
        <v>1</v>
      </c>
      <c r="E199" s="6">
        <v>179000</v>
      </c>
      <c r="F199" t="str">
        <f>VLOOKUP(C199,products!A:C,2,FALSE)</f>
        <v>Rak Penyimpanan Serbaguna</v>
      </c>
      <c r="G199">
        <f t="shared" si="6"/>
        <v>179000</v>
      </c>
      <c r="H199">
        <f>VLOOKUP(C199,products!A:D,4,FALSE)</f>
        <v>90000</v>
      </c>
      <c r="I199">
        <f t="shared" si="7"/>
        <v>89000</v>
      </c>
      <c r="J199" t="str">
        <f>VLOOKUP(B199,orders!A:B,2,FALSE)</f>
        <v>CUST0041</v>
      </c>
      <c r="K199" t="str">
        <f>VLOOKUP(J199,customers!A:F,6,FALSE)</f>
        <v>Palembang</v>
      </c>
    </row>
    <row r="200" spans="1:11" x14ac:dyDescent="0.35">
      <c r="A200" s="4" t="s">
        <v>1238</v>
      </c>
      <c r="B200" s="4" t="s">
        <v>295</v>
      </c>
      <c r="C200" s="4" t="s">
        <v>1031</v>
      </c>
      <c r="D200" s="4">
        <v>1</v>
      </c>
      <c r="E200" s="6">
        <v>79000</v>
      </c>
      <c r="F200" t="str">
        <f>VLOOKUP(C200,products!A:C,2,FALSE)</f>
        <v>Kaos Polos Cotton Combed</v>
      </c>
      <c r="G200">
        <f t="shared" si="6"/>
        <v>79000</v>
      </c>
      <c r="H200">
        <f>VLOOKUP(C200,products!A:D,4,FALSE)</f>
        <v>35000</v>
      </c>
      <c r="I200">
        <f t="shared" si="7"/>
        <v>44000</v>
      </c>
      <c r="J200" t="str">
        <f>VLOOKUP(B200,orders!A:B,2,FALSE)</f>
        <v>CUST0021</v>
      </c>
      <c r="K200" t="str">
        <f>VLOOKUP(J200,customers!A:F,6,FALSE)</f>
        <v>Jakarta</v>
      </c>
    </row>
    <row r="201" spans="1:11" x14ac:dyDescent="0.35">
      <c r="A201" s="4" t="s">
        <v>1239</v>
      </c>
      <c r="B201" s="4" t="s">
        <v>583</v>
      </c>
      <c r="C201" s="4" t="s">
        <v>1023</v>
      </c>
      <c r="D201" s="4">
        <v>1</v>
      </c>
      <c r="E201" s="6">
        <v>69000</v>
      </c>
      <c r="F201" t="str">
        <f>VLOOKUP(C201,products!A:C,2,FALSE)</f>
        <v>Lampu LED Hias 5m</v>
      </c>
      <c r="G201">
        <f t="shared" si="6"/>
        <v>69000</v>
      </c>
      <c r="H201">
        <f>VLOOKUP(C201,products!A:D,4,FALSE)</f>
        <v>30000</v>
      </c>
      <c r="I201">
        <f t="shared" si="7"/>
        <v>39000</v>
      </c>
      <c r="J201" t="str">
        <f>VLOOKUP(B201,orders!A:B,2,FALSE)</f>
        <v>CUST0018</v>
      </c>
      <c r="K201" t="str">
        <f>VLOOKUP(J201,customers!A:F,6,FALSE)</f>
        <v>Denpasar</v>
      </c>
    </row>
    <row r="202" spans="1:11" x14ac:dyDescent="0.35">
      <c r="A202" s="4" t="s">
        <v>1240</v>
      </c>
      <c r="B202" s="4" t="s">
        <v>948</v>
      </c>
      <c r="C202" s="4" t="s">
        <v>1029</v>
      </c>
      <c r="D202" s="4">
        <v>2</v>
      </c>
      <c r="E202" s="6">
        <v>39000</v>
      </c>
      <c r="F202" t="str">
        <f>VLOOKUP(C202,products!A:C,2,FALSE)</f>
        <v>Kabel Data USB-C</v>
      </c>
      <c r="G202">
        <f t="shared" si="6"/>
        <v>78000</v>
      </c>
      <c r="H202">
        <f>VLOOKUP(C202,products!A:D,4,FALSE)</f>
        <v>15000</v>
      </c>
      <c r="I202">
        <f t="shared" si="7"/>
        <v>48000</v>
      </c>
      <c r="J202" t="str">
        <f>VLOOKUP(B202,orders!A:B,2,FALSE)</f>
        <v>CUST0061</v>
      </c>
      <c r="K202" t="str">
        <f>VLOOKUP(J202,customers!A:F,6,FALSE)</f>
        <v>Yogyakarta</v>
      </c>
    </row>
    <row r="203" spans="1:11" x14ac:dyDescent="0.35">
      <c r="A203" s="4" t="s">
        <v>1241</v>
      </c>
      <c r="B203" s="4" t="s">
        <v>948</v>
      </c>
      <c r="C203" s="4" t="s">
        <v>1025</v>
      </c>
      <c r="D203" s="4">
        <v>2</v>
      </c>
      <c r="E203" s="6">
        <v>179000</v>
      </c>
      <c r="F203" t="str">
        <f>VLOOKUP(C203,products!A:C,2,FALSE)</f>
        <v>Rak Penyimpanan Serbaguna</v>
      </c>
      <c r="G203">
        <f t="shared" si="6"/>
        <v>358000</v>
      </c>
      <c r="H203">
        <f>VLOOKUP(C203,products!A:D,4,FALSE)</f>
        <v>90000</v>
      </c>
      <c r="I203">
        <f t="shared" si="7"/>
        <v>178000</v>
      </c>
      <c r="J203" t="str">
        <f>VLOOKUP(B203,orders!A:B,2,FALSE)</f>
        <v>CUST0061</v>
      </c>
      <c r="K203" t="str">
        <f>VLOOKUP(J203,customers!A:F,6,FALSE)</f>
        <v>Yogyakarta</v>
      </c>
    </row>
    <row r="204" spans="1:11" x14ac:dyDescent="0.35">
      <c r="A204" s="4" t="s">
        <v>1242</v>
      </c>
      <c r="B204" s="4" t="s">
        <v>948</v>
      </c>
      <c r="C204" s="4" t="s">
        <v>1023</v>
      </c>
      <c r="D204" s="4">
        <v>1</v>
      </c>
      <c r="E204" s="6">
        <v>69000</v>
      </c>
      <c r="F204" t="str">
        <f>VLOOKUP(C204,products!A:C,2,FALSE)</f>
        <v>Lampu LED Hias 5m</v>
      </c>
      <c r="G204">
        <f t="shared" si="6"/>
        <v>69000</v>
      </c>
      <c r="H204">
        <f>VLOOKUP(C204,products!A:D,4,FALSE)</f>
        <v>30000</v>
      </c>
      <c r="I204">
        <f t="shared" si="7"/>
        <v>39000</v>
      </c>
      <c r="J204" t="str">
        <f>VLOOKUP(B204,orders!A:B,2,FALSE)</f>
        <v>CUST0061</v>
      </c>
      <c r="K204" t="str">
        <f>VLOOKUP(J204,customers!A:F,6,FALSE)</f>
        <v>Yogyakarta</v>
      </c>
    </row>
    <row r="205" spans="1:11" x14ac:dyDescent="0.35">
      <c r="A205" s="4" t="s">
        <v>1243</v>
      </c>
      <c r="B205" s="4" t="s">
        <v>763</v>
      </c>
      <c r="C205" s="4" t="s">
        <v>1025</v>
      </c>
      <c r="D205" s="4">
        <v>1</v>
      </c>
      <c r="E205" s="6">
        <v>179000</v>
      </c>
      <c r="F205" t="str">
        <f>VLOOKUP(C205,products!A:C,2,FALSE)</f>
        <v>Rak Penyimpanan Serbaguna</v>
      </c>
      <c r="G205">
        <f t="shared" si="6"/>
        <v>179000</v>
      </c>
      <c r="H205">
        <f>VLOOKUP(C205,products!A:D,4,FALSE)</f>
        <v>90000</v>
      </c>
      <c r="I205">
        <f t="shared" si="7"/>
        <v>89000</v>
      </c>
      <c r="J205" t="str">
        <f>VLOOKUP(B205,orders!A:B,2,FALSE)</f>
        <v>CUST0146</v>
      </c>
      <c r="K205" t="str">
        <f>VLOOKUP(J205,customers!A:F,6,FALSE)</f>
        <v>Jakarta</v>
      </c>
    </row>
    <row r="206" spans="1:11" x14ac:dyDescent="0.35">
      <c r="A206" s="4" t="s">
        <v>1244</v>
      </c>
      <c r="B206" s="4" t="s">
        <v>763</v>
      </c>
      <c r="C206" s="4" t="s">
        <v>1023</v>
      </c>
      <c r="D206" s="4">
        <v>2</v>
      </c>
      <c r="E206" s="6">
        <v>69000</v>
      </c>
      <c r="F206" t="str">
        <f>VLOOKUP(C206,products!A:C,2,FALSE)</f>
        <v>Lampu LED Hias 5m</v>
      </c>
      <c r="G206">
        <f t="shared" si="6"/>
        <v>138000</v>
      </c>
      <c r="H206">
        <f>VLOOKUP(C206,products!A:D,4,FALSE)</f>
        <v>30000</v>
      </c>
      <c r="I206">
        <f t="shared" si="7"/>
        <v>78000</v>
      </c>
      <c r="J206" t="str">
        <f>VLOOKUP(B206,orders!A:B,2,FALSE)</f>
        <v>CUST0146</v>
      </c>
      <c r="K206" t="str">
        <f>VLOOKUP(J206,customers!A:F,6,FALSE)</f>
        <v>Jakarta</v>
      </c>
    </row>
    <row r="207" spans="1:11" x14ac:dyDescent="0.35">
      <c r="A207" s="4" t="s">
        <v>1245</v>
      </c>
      <c r="B207" s="4" t="s">
        <v>763</v>
      </c>
      <c r="C207" s="4" t="s">
        <v>1044</v>
      </c>
      <c r="D207" s="4">
        <v>1</v>
      </c>
      <c r="E207" s="6">
        <v>329000</v>
      </c>
      <c r="F207" t="str">
        <f>VLOOKUP(C207,products!A:C,2,FALSE)</f>
        <v>Rice Cooker Mini 1.5L</v>
      </c>
      <c r="G207">
        <f t="shared" si="6"/>
        <v>329000</v>
      </c>
      <c r="H207">
        <f>VLOOKUP(C207,products!A:D,4,FALSE)</f>
        <v>180000</v>
      </c>
      <c r="I207">
        <f t="shared" si="7"/>
        <v>149000</v>
      </c>
      <c r="J207" t="str">
        <f>VLOOKUP(B207,orders!A:B,2,FALSE)</f>
        <v>CUST0146</v>
      </c>
      <c r="K207" t="str">
        <f>VLOOKUP(J207,customers!A:F,6,FALSE)</f>
        <v>Jakarta</v>
      </c>
    </row>
    <row r="208" spans="1:11" x14ac:dyDescent="0.35">
      <c r="A208" s="4" t="s">
        <v>1246</v>
      </c>
      <c r="B208" s="4" t="s">
        <v>405</v>
      </c>
      <c r="C208" s="4" t="s">
        <v>1023</v>
      </c>
      <c r="D208" s="4">
        <v>3</v>
      </c>
      <c r="E208" s="6">
        <v>69000</v>
      </c>
      <c r="F208" t="str">
        <f>VLOOKUP(C208,products!A:C,2,FALSE)</f>
        <v>Lampu LED Hias 5m</v>
      </c>
      <c r="G208">
        <f t="shared" si="6"/>
        <v>207000</v>
      </c>
      <c r="H208">
        <f>VLOOKUP(C208,products!A:D,4,FALSE)</f>
        <v>30000</v>
      </c>
      <c r="I208">
        <f t="shared" si="7"/>
        <v>117000</v>
      </c>
      <c r="J208" t="str">
        <f>VLOOKUP(B208,orders!A:B,2,FALSE)</f>
        <v>CUST0153</v>
      </c>
      <c r="K208" t="str">
        <f>VLOOKUP(J208,customers!A:F,6,FALSE)</f>
        <v>Depok</v>
      </c>
    </row>
    <row r="209" spans="1:11" x14ac:dyDescent="0.35">
      <c r="A209" s="4" t="s">
        <v>1247</v>
      </c>
      <c r="B209" s="4" t="s">
        <v>205</v>
      </c>
      <c r="C209" s="4" t="s">
        <v>1023</v>
      </c>
      <c r="D209" s="4">
        <v>2</v>
      </c>
      <c r="E209" s="6">
        <v>69000</v>
      </c>
      <c r="F209" t="str">
        <f>VLOOKUP(C209,products!A:C,2,FALSE)</f>
        <v>Lampu LED Hias 5m</v>
      </c>
      <c r="G209">
        <f t="shared" si="6"/>
        <v>138000</v>
      </c>
      <c r="H209">
        <f>VLOOKUP(C209,products!A:D,4,FALSE)</f>
        <v>30000</v>
      </c>
      <c r="I209">
        <f t="shared" si="7"/>
        <v>78000</v>
      </c>
      <c r="J209" t="str">
        <f>VLOOKUP(B209,orders!A:B,2,FALSE)</f>
        <v>CUST0108</v>
      </c>
      <c r="K209" t="str">
        <f>VLOOKUP(J209,customers!A:F,6,FALSE)</f>
        <v>Depok</v>
      </c>
    </row>
    <row r="210" spans="1:11" x14ac:dyDescent="0.35">
      <c r="A210" s="4" t="s">
        <v>1248</v>
      </c>
      <c r="B210" s="4" t="s">
        <v>205</v>
      </c>
      <c r="C210" s="4" t="s">
        <v>1084</v>
      </c>
      <c r="D210" s="4">
        <v>1</v>
      </c>
      <c r="E210" s="6">
        <v>79000</v>
      </c>
      <c r="F210" t="str">
        <f>VLOOKUP(C210,products!A:C,2,FALSE)</f>
        <v>Botol Minum Stainless 1L</v>
      </c>
      <c r="G210">
        <f t="shared" si="6"/>
        <v>79000</v>
      </c>
      <c r="H210">
        <f>VLOOKUP(C210,products!A:D,4,FALSE)</f>
        <v>35000</v>
      </c>
      <c r="I210">
        <f t="shared" si="7"/>
        <v>44000</v>
      </c>
      <c r="J210" t="str">
        <f>VLOOKUP(B210,orders!A:B,2,FALSE)</f>
        <v>CUST0108</v>
      </c>
      <c r="K210" t="str">
        <f>VLOOKUP(J210,customers!A:F,6,FALSE)</f>
        <v>Depok</v>
      </c>
    </row>
    <row r="211" spans="1:11" x14ac:dyDescent="0.35">
      <c r="A211" s="4" t="s">
        <v>1249</v>
      </c>
      <c r="B211" s="4" t="s">
        <v>946</v>
      </c>
      <c r="C211" s="4" t="s">
        <v>1029</v>
      </c>
      <c r="D211" s="4">
        <v>1</v>
      </c>
      <c r="E211" s="6">
        <v>39000</v>
      </c>
      <c r="F211" t="str">
        <f>VLOOKUP(C211,products!A:C,2,FALSE)</f>
        <v>Kabel Data USB-C</v>
      </c>
      <c r="G211">
        <f t="shared" si="6"/>
        <v>39000</v>
      </c>
      <c r="H211">
        <f>VLOOKUP(C211,products!A:D,4,FALSE)</f>
        <v>15000</v>
      </c>
      <c r="I211">
        <f t="shared" si="7"/>
        <v>24000</v>
      </c>
      <c r="J211" t="str">
        <f>VLOOKUP(B211,orders!A:B,2,FALSE)</f>
        <v>CUST0145</v>
      </c>
      <c r="K211" t="str">
        <f>VLOOKUP(J211,customers!A:F,6,FALSE)</f>
        <v>Surabaya</v>
      </c>
    </row>
    <row r="212" spans="1:11" x14ac:dyDescent="0.35">
      <c r="A212" s="4" t="s">
        <v>1250</v>
      </c>
      <c r="B212" s="4" t="s">
        <v>282</v>
      </c>
      <c r="C212" s="4" t="s">
        <v>1029</v>
      </c>
      <c r="D212" s="4">
        <v>1</v>
      </c>
      <c r="E212" s="6">
        <v>39000</v>
      </c>
      <c r="F212" t="str">
        <f>VLOOKUP(C212,products!A:C,2,FALSE)</f>
        <v>Kabel Data USB-C</v>
      </c>
      <c r="G212">
        <f t="shared" si="6"/>
        <v>39000</v>
      </c>
      <c r="H212">
        <f>VLOOKUP(C212,products!A:D,4,FALSE)</f>
        <v>15000</v>
      </c>
      <c r="I212">
        <f t="shared" si="7"/>
        <v>24000</v>
      </c>
      <c r="J212" t="str">
        <f>VLOOKUP(B212,orders!A:B,2,FALSE)</f>
        <v>CUST0067</v>
      </c>
      <c r="K212" t="str">
        <f>VLOOKUP(J212,customers!A:F,6,FALSE)</f>
        <v>Jakarta</v>
      </c>
    </row>
    <row r="213" spans="1:11" x14ac:dyDescent="0.35">
      <c r="A213" s="4" t="s">
        <v>1251</v>
      </c>
      <c r="B213" s="4" t="s">
        <v>282</v>
      </c>
      <c r="C213" s="4" t="s">
        <v>1033</v>
      </c>
      <c r="D213" s="4">
        <v>2</v>
      </c>
      <c r="E213" s="6">
        <v>55000</v>
      </c>
      <c r="F213" t="str">
        <f>VLOOKUP(C213,products!A:C,2,FALSE)</f>
        <v>Sapu + Pengki Set</v>
      </c>
      <c r="G213">
        <f t="shared" si="6"/>
        <v>110000</v>
      </c>
      <c r="H213">
        <f>VLOOKUP(C213,products!A:D,4,FALSE)</f>
        <v>25000</v>
      </c>
      <c r="I213">
        <f t="shared" si="7"/>
        <v>60000</v>
      </c>
      <c r="J213" t="str">
        <f>VLOOKUP(B213,orders!A:B,2,FALSE)</f>
        <v>CUST0067</v>
      </c>
      <c r="K213" t="str">
        <f>VLOOKUP(J213,customers!A:F,6,FALSE)</f>
        <v>Jakarta</v>
      </c>
    </row>
    <row r="214" spans="1:11" x14ac:dyDescent="0.35">
      <c r="A214" s="4" t="s">
        <v>1252</v>
      </c>
      <c r="B214" s="4" t="s">
        <v>282</v>
      </c>
      <c r="C214" s="4" t="s">
        <v>1049</v>
      </c>
      <c r="D214" s="4">
        <v>2</v>
      </c>
      <c r="E214" s="6">
        <v>349000</v>
      </c>
      <c r="F214" t="str">
        <f>VLOOKUP(C214,products!A:C,2,FALSE)</f>
        <v>Sepatu Sneakers Casual</v>
      </c>
      <c r="G214">
        <f t="shared" si="6"/>
        <v>698000</v>
      </c>
      <c r="H214">
        <f>VLOOKUP(C214,products!A:D,4,FALSE)</f>
        <v>180000</v>
      </c>
      <c r="I214">
        <f t="shared" si="7"/>
        <v>338000</v>
      </c>
      <c r="J214" t="str">
        <f>VLOOKUP(B214,orders!A:B,2,FALSE)</f>
        <v>CUST0067</v>
      </c>
      <c r="K214" t="str">
        <f>VLOOKUP(J214,customers!A:F,6,FALSE)</f>
        <v>Jakarta</v>
      </c>
    </row>
    <row r="215" spans="1:11" x14ac:dyDescent="0.35">
      <c r="A215" s="4" t="s">
        <v>1253</v>
      </c>
      <c r="B215" s="4" t="s">
        <v>528</v>
      </c>
      <c r="C215" s="4" t="s">
        <v>1025</v>
      </c>
      <c r="D215" s="4">
        <v>2</v>
      </c>
      <c r="E215" s="6">
        <v>179000</v>
      </c>
      <c r="F215" t="str">
        <f>VLOOKUP(C215,products!A:C,2,FALSE)</f>
        <v>Rak Penyimpanan Serbaguna</v>
      </c>
      <c r="G215">
        <f t="shared" si="6"/>
        <v>358000</v>
      </c>
      <c r="H215">
        <f>VLOOKUP(C215,products!A:D,4,FALSE)</f>
        <v>90000</v>
      </c>
      <c r="I215">
        <f t="shared" si="7"/>
        <v>178000</v>
      </c>
      <c r="J215" t="str">
        <f>VLOOKUP(B215,orders!A:B,2,FALSE)</f>
        <v>CUST0184</v>
      </c>
      <c r="K215" t="str">
        <f>VLOOKUP(J215,customers!A:F,6,FALSE)</f>
        <v>Denpasar</v>
      </c>
    </row>
    <row r="216" spans="1:11" x14ac:dyDescent="0.35">
      <c r="A216" s="4" t="s">
        <v>1254</v>
      </c>
      <c r="B216" s="4" t="s">
        <v>528</v>
      </c>
      <c r="C216" s="4" t="s">
        <v>1049</v>
      </c>
      <c r="D216" s="4">
        <v>3</v>
      </c>
      <c r="E216" s="6">
        <v>349000</v>
      </c>
      <c r="F216" t="str">
        <f>VLOOKUP(C216,products!A:C,2,FALSE)</f>
        <v>Sepatu Sneakers Casual</v>
      </c>
      <c r="G216">
        <f t="shared" si="6"/>
        <v>1047000</v>
      </c>
      <c r="H216">
        <f>VLOOKUP(C216,products!A:D,4,FALSE)</f>
        <v>180000</v>
      </c>
      <c r="I216">
        <f t="shared" si="7"/>
        <v>507000</v>
      </c>
      <c r="J216" t="str">
        <f>VLOOKUP(B216,orders!A:B,2,FALSE)</f>
        <v>CUST0184</v>
      </c>
      <c r="K216" t="str">
        <f>VLOOKUP(J216,customers!A:F,6,FALSE)</f>
        <v>Denpasar</v>
      </c>
    </row>
    <row r="217" spans="1:11" x14ac:dyDescent="0.35">
      <c r="A217" s="4" t="s">
        <v>1255</v>
      </c>
      <c r="B217" s="4" t="s">
        <v>528</v>
      </c>
      <c r="C217" s="4" t="s">
        <v>1023</v>
      </c>
      <c r="D217" s="4">
        <v>1</v>
      </c>
      <c r="E217" s="6">
        <v>69000</v>
      </c>
      <c r="F217" t="str">
        <f>VLOOKUP(C217,products!A:C,2,FALSE)</f>
        <v>Lampu LED Hias 5m</v>
      </c>
      <c r="G217">
        <f t="shared" si="6"/>
        <v>69000</v>
      </c>
      <c r="H217">
        <f>VLOOKUP(C217,products!A:D,4,FALSE)</f>
        <v>30000</v>
      </c>
      <c r="I217">
        <f t="shared" si="7"/>
        <v>39000</v>
      </c>
      <c r="J217" t="str">
        <f>VLOOKUP(B217,orders!A:B,2,FALSE)</f>
        <v>CUST0184</v>
      </c>
      <c r="K217" t="str">
        <f>VLOOKUP(J217,customers!A:F,6,FALSE)</f>
        <v>Denpasar</v>
      </c>
    </row>
    <row r="218" spans="1:11" x14ac:dyDescent="0.35">
      <c r="A218" s="4" t="s">
        <v>1256</v>
      </c>
      <c r="B218" s="4" t="s">
        <v>660</v>
      </c>
      <c r="C218" s="4" t="s">
        <v>1031</v>
      </c>
      <c r="D218" s="4">
        <v>1</v>
      </c>
      <c r="E218" s="6">
        <v>79000</v>
      </c>
      <c r="F218" t="str">
        <f>VLOOKUP(C218,products!A:C,2,FALSE)</f>
        <v>Kaos Polos Cotton Combed</v>
      </c>
      <c r="G218">
        <f t="shared" si="6"/>
        <v>79000</v>
      </c>
      <c r="H218">
        <f>VLOOKUP(C218,products!A:D,4,FALSE)</f>
        <v>35000</v>
      </c>
      <c r="I218">
        <f t="shared" si="7"/>
        <v>44000</v>
      </c>
      <c r="J218" t="str">
        <f>VLOOKUP(B218,orders!A:B,2,FALSE)</f>
        <v>CUST0102</v>
      </c>
      <c r="K218" t="str">
        <f>VLOOKUP(J218,customers!A:F,6,FALSE)</f>
        <v>Jakarta</v>
      </c>
    </row>
    <row r="219" spans="1:11" x14ac:dyDescent="0.35">
      <c r="A219" s="4" t="s">
        <v>1257</v>
      </c>
      <c r="B219" s="4" t="s">
        <v>810</v>
      </c>
      <c r="C219" s="4" t="s">
        <v>1023</v>
      </c>
      <c r="D219" s="4">
        <v>1</v>
      </c>
      <c r="E219" s="6">
        <v>69000</v>
      </c>
      <c r="F219" t="str">
        <f>VLOOKUP(C219,products!A:C,2,FALSE)</f>
        <v>Lampu LED Hias 5m</v>
      </c>
      <c r="G219">
        <f t="shared" si="6"/>
        <v>69000</v>
      </c>
      <c r="H219">
        <f>VLOOKUP(C219,products!A:D,4,FALSE)</f>
        <v>30000</v>
      </c>
      <c r="I219">
        <f t="shared" si="7"/>
        <v>39000</v>
      </c>
      <c r="J219" t="str">
        <f>VLOOKUP(B219,orders!A:B,2,FALSE)</f>
        <v>CUST0077</v>
      </c>
      <c r="K219" t="str">
        <f>VLOOKUP(J219,customers!A:F,6,FALSE)</f>
        <v>Jakarta</v>
      </c>
    </row>
    <row r="220" spans="1:11" x14ac:dyDescent="0.35">
      <c r="A220" s="4" t="s">
        <v>1258</v>
      </c>
      <c r="B220" s="4" t="s">
        <v>955</v>
      </c>
      <c r="C220" s="4" t="s">
        <v>1049</v>
      </c>
      <c r="D220" s="4">
        <v>1</v>
      </c>
      <c r="E220" s="6">
        <v>349000</v>
      </c>
      <c r="F220" t="str">
        <f>VLOOKUP(C220,products!A:C,2,FALSE)</f>
        <v>Sepatu Sneakers Casual</v>
      </c>
      <c r="G220">
        <f t="shared" si="6"/>
        <v>349000</v>
      </c>
      <c r="H220">
        <f>VLOOKUP(C220,products!A:D,4,FALSE)</f>
        <v>180000</v>
      </c>
      <c r="I220">
        <f t="shared" si="7"/>
        <v>169000</v>
      </c>
      <c r="J220" t="str">
        <f>VLOOKUP(B220,orders!A:B,2,FALSE)</f>
        <v>CUST0193</v>
      </c>
      <c r="K220" t="str">
        <f>VLOOKUP(J220,customers!A:F,6,FALSE)</f>
        <v>Depok</v>
      </c>
    </row>
    <row r="221" spans="1:11" x14ac:dyDescent="0.35">
      <c r="A221" s="4" t="s">
        <v>1259</v>
      </c>
      <c r="B221" s="4" t="s">
        <v>955</v>
      </c>
      <c r="C221" s="4" t="s">
        <v>1029</v>
      </c>
      <c r="D221" s="4">
        <v>1</v>
      </c>
      <c r="E221" s="6">
        <v>39000</v>
      </c>
      <c r="F221" t="str">
        <f>VLOOKUP(C221,products!A:C,2,FALSE)</f>
        <v>Kabel Data USB-C</v>
      </c>
      <c r="G221">
        <f t="shared" si="6"/>
        <v>39000</v>
      </c>
      <c r="H221">
        <f>VLOOKUP(C221,products!A:D,4,FALSE)</f>
        <v>15000</v>
      </c>
      <c r="I221">
        <f t="shared" si="7"/>
        <v>24000</v>
      </c>
      <c r="J221" t="str">
        <f>VLOOKUP(B221,orders!A:B,2,FALSE)</f>
        <v>CUST0193</v>
      </c>
      <c r="K221" t="str">
        <f>VLOOKUP(J221,customers!A:F,6,FALSE)</f>
        <v>Depok</v>
      </c>
    </row>
    <row r="222" spans="1:11" x14ac:dyDescent="0.35">
      <c r="A222" s="4" t="s">
        <v>1260</v>
      </c>
      <c r="B222" s="4" t="s">
        <v>489</v>
      </c>
      <c r="C222" s="4" t="s">
        <v>1029</v>
      </c>
      <c r="D222" s="4">
        <v>1</v>
      </c>
      <c r="E222" s="6">
        <v>39000</v>
      </c>
      <c r="F222" t="str">
        <f>VLOOKUP(C222,products!A:C,2,FALSE)</f>
        <v>Kabel Data USB-C</v>
      </c>
      <c r="G222">
        <f t="shared" si="6"/>
        <v>39000</v>
      </c>
      <c r="H222">
        <f>VLOOKUP(C222,products!A:D,4,FALSE)</f>
        <v>15000</v>
      </c>
      <c r="I222">
        <f t="shared" si="7"/>
        <v>24000</v>
      </c>
      <c r="J222" t="str">
        <f>VLOOKUP(B222,orders!A:B,2,FALSE)</f>
        <v>CUST0160</v>
      </c>
      <c r="K222" t="str">
        <f>VLOOKUP(J222,customers!A:F,6,FALSE)</f>
        <v>Jakarta</v>
      </c>
    </row>
    <row r="223" spans="1:11" x14ac:dyDescent="0.35">
      <c r="A223" s="4" t="s">
        <v>1261</v>
      </c>
      <c r="B223" s="4" t="s">
        <v>489</v>
      </c>
      <c r="C223" s="4" t="s">
        <v>1023</v>
      </c>
      <c r="D223" s="4">
        <v>2</v>
      </c>
      <c r="E223" s="6">
        <v>69000</v>
      </c>
      <c r="F223" t="str">
        <f>VLOOKUP(C223,products!A:C,2,FALSE)</f>
        <v>Lampu LED Hias 5m</v>
      </c>
      <c r="G223">
        <f t="shared" si="6"/>
        <v>138000</v>
      </c>
      <c r="H223">
        <f>VLOOKUP(C223,products!A:D,4,FALSE)</f>
        <v>30000</v>
      </c>
      <c r="I223">
        <f t="shared" si="7"/>
        <v>78000</v>
      </c>
      <c r="J223" t="str">
        <f>VLOOKUP(B223,orders!A:B,2,FALSE)</f>
        <v>CUST0160</v>
      </c>
      <c r="K223" t="str">
        <f>VLOOKUP(J223,customers!A:F,6,FALSE)</f>
        <v>Jakarta</v>
      </c>
    </row>
    <row r="224" spans="1:11" x14ac:dyDescent="0.35">
      <c r="A224" s="4" t="s">
        <v>1262</v>
      </c>
      <c r="B224" s="4" t="s">
        <v>547</v>
      </c>
      <c r="C224" s="4" t="s">
        <v>1029</v>
      </c>
      <c r="D224" s="4">
        <v>1</v>
      </c>
      <c r="E224" s="6">
        <v>39000</v>
      </c>
      <c r="F224" t="str">
        <f>VLOOKUP(C224,products!A:C,2,FALSE)</f>
        <v>Kabel Data USB-C</v>
      </c>
      <c r="G224">
        <f t="shared" si="6"/>
        <v>39000</v>
      </c>
      <c r="H224">
        <f>VLOOKUP(C224,products!A:D,4,FALSE)</f>
        <v>15000</v>
      </c>
      <c r="I224">
        <f t="shared" si="7"/>
        <v>24000</v>
      </c>
      <c r="J224" t="str">
        <f>VLOOKUP(B224,orders!A:B,2,FALSE)</f>
        <v>CUST0019</v>
      </c>
      <c r="K224" t="str">
        <f>VLOOKUP(J224,customers!A:F,6,FALSE)</f>
        <v>Surabaya</v>
      </c>
    </row>
    <row r="225" spans="1:11" x14ac:dyDescent="0.35">
      <c r="A225" s="4" t="s">
        <v>1263</v>
      </c>
      <c r="B225" s="4" t="s">
        <v>547</v>
      </c>
      <c r="C225" s="4" t="s">
        <v>1033</v>
      </c>
      <c r="D225" s="4">
        <v>1</v>
      </c>
      <c r="E225" s="6">
        <v>55000</v>
      </c>
      <c r="F225" t="str">
        <f>VLOOKUP(C225,products!A:C,2,FALSE)</f>
        <v>Sapu + Pengki Set</v>
      </c>
      <c r="G225">
        <f t="shared" si="6"/>
        <v>55000</v>
      </c>
      <c r="H225">
        <f>VLOOKUP(C225,products!A:D,4,FALSE)</f>
        <v>25000</v>
      </c>
      <c r="I225">
        <f t="shared" si="7"/>
        <v>30000</v>
      </c>
      <c r="J225" t="str">
        <f>VLOOKUP(B225,orders!A:B,2,FALSE)</f>
        <v>CUST0019</v>
      </c>
      <c r="K225" t="str">
        <f>VLOOKUP(J225,customers!A:F,6,FALSE)</f>
        <v>Surabaya</v>
      </c>
    </row>
    <row r="226" spans="1:11" x14ac:dyDescent="0.35">
      <c r="A226" s="4" t="s">
        <v>1264</v>
      </c>
      <c r="B226" s="4" t="s">
        <v>57</v>
      </c>
      <c r="C226" s="4" t="s">
        <v>1023</v>
      </c>
      <c r="D226" s="4">
        <v>1</v>
      </c>
      <c r="E226" s="6">
        <v>69000</v>
      </c>
      <c r="F226" t="str">
        <f>VLOOKUP(C226,products!A:C,2,FALSE)</f>
        <v>Lampu LED Hias 5m</v>
      </c>
      <c r="G226">
        <f t="shared" si="6"/>
        <v>69000</v>
      </c>
      <c r="H226">
        <f>VLOOKUP(C226,products!A:D,4,FALSE)</f>
        <v>30000</v>
      </c>
      <c r="I226">
        <f t="shared" si="7"/>
        <v>39000</v>
      </c>
      <c r="J226" t="str">
        <f>VLOOKUP(B226,orders!A:B,2,FALSE)</f>
        <v>CUST0068</v>
      </c>
      <c r="K226" t="str">
        <f>VLOOKUP(J226,customers!A:F,6,FALSE)</f>
        <v>Denpasar</v>
      </c>
    </row>
    <row r="227" spans="1:11" x14ac:dyDescent="0.35">
      <c r="A227" s="4" t="s">
        <v>1265</v>
      </c>
      <c r="B227" s="4" t="s">
        <v>411</v>
      </c>
      <c r="C227" s="4" t="s">
        <v>1029</v>
      </c>
      <c r="D227" s="4">
        <v>1</v>
      </c>
      <c r="E227" s="6">
        <v>39000</v>
      </c>
      <c r="F227" t="str">
        <f>VLOOKUP(C227,products!A:C,2,FALSE)</f>
        <v>Kabel Data USB-C</v>
      </c>
      <c r="G227">
        <f t="shared" si="6"/>
        <v>39000</v>
      </c>
      <c r="H227">
        <f>VLOOKUP(C227,products!A:D,4,FALSE)</f>
        <v>15000</v>
      </c>
      <c r="I227">
        <f t="shared" si="7"/>
        <v>24000</v>
      </c>
      <c r="J227" t="str">
        <f>VLOOKUP(B227,orders!A:B,2,FALSE)</f>
        <v>CUST0090</v>
      </c>
      <c r="K227" t="str">
        <f>VLOOKUP(J227,customers!A:F,6,FALSE)</f>
        <v>Denpasar</v>
      </c>
    </row>
    <row r="228" spans="1:11" x14ac:dyDescent="0.35">
      <c r="A228" s="4" t="s">
        <v>1266</v>
      </c>
      <c r="B228" s="4" t="s">
        <v>411</v>
      </c>
      <c r="C228" s="4" t="s">
        <v>1076</v>
      </c>
      <c r="D228" s="4">
        <v>1</v>
      </c>
      <c r="E228" s="6">
        <v>499000</v>
      </c>
      <c r="F228" t="str">
        <f>VLOOKUP(C228,products!A:C,2,FALSE)</f>
        <v>Smartwatch Lite</v>
      </c>
      <c r="G228">
        <f t="shared" si="6"/>
        <v>499000</v>
      </c>
      <c r="H228">
        <f>VLOOKUP(C228,products!A:D,4,FALSE)</f>
        <v>250000</v>
      </c>
      <c r="I228">
        <f t="shared" si="7"/>
        <v>249000</v>
      </c>
      <c r="J228" t="str">
        <f>VLOOKUP(B228,orders!A:B,2,FALSE)</f>
        <v>CUST0090</v>
      </c>
      <c r="K228" t="str">
        <f>VLOOKUP(J228,customers!A:F,6,FALSE)</f>
        <v>Denpasar</v>
      </c>
    </row>
    <row r="229" spans="1:11" x14ac:dyDescent="0.35">
      <c r="A229" s="4" t="s">
        <v>1267</v>
      </c>
      <c r="B229" s="4" t="s">
        <v>716</v>
      </c>
      <c r="C229" s="4" t="s">
        <v>1023</v>
      </c>
      <c r="D229" s="4">
        <v>1</v>
      </c>
      <c r="E229" s="6">
        <v>69000</v>
      </c>
      <c r="F229" t="str">
        <f>VLOOKUP(C229,products!A:C,2,FALSE)</f>
        <v>Lampu LED Hias 5m</v>
      </c>
      <c r="G229">
        <f t="shared" si="6"/>
        <v>69000</v>
      </c>
      <c r="H229">
        <f>VLOOKUP(C229,products!A:D,4,FALSE)</f>
        <v>30000</v>
      </c>
      <c r="I229">
        <f t="shared" si="7"/>
        <v>39000</v>
      </c>
      <c r="J229" t="str">
        <f>VLOOKUP(B229,orders!A:B,2,FALSE)</f>
        <v>CUST0063</v>
      </c>
      <c r="K229" t="str">
        <f>VLOOKUP(J229,customers!A:F,6,FALSE)</f>
        <v>Surabaya</v>
      </c>
    </row>
    <row r="230" spans="1:11" x14ac:dyDescent="0.35">
      <c r="A230" s="4" t="s">
        <v>1268</v>
      </c>
      <c r="B230" s="4" t="s">
        <v>36</v>
      </c>
      <c r="C230" s="4" t="s">
        <v>1025</v>
      </c>
      <c r="D230" s="4">
        <v>1</v>
      </c>
      <c r="E230" s="6">
        <v>179000</v>
      </c>
      <c r="F230" t="str">
        <f>VLOOKUP(C230,products!A:C,2,FALSE)</f>
        <v>Rak Penyimpanan Serbaguna</v>
      </c>
      <c r="G230">
        <f t="shared" si="6"/>
        <v>179000</v>
      </c>
      <c r="H230">
        <f>VLOOKUP(C230,products!A:D,4,FALSE)</f>
        <v>90000</v>
      </c>
      <c r="I230">
        <f t="shared" si="7"/>
        <v>89000</v>
      </c>
      <c r="J230" t="str">
        <f>VLOOKUP(B230,orders!A:B,2,FALSE)</f>
        <v>CUST0041</v>
      </c>
      <c r="K230" t="str">
        <f>VLOOKUP(J230,customers!A:F,6,FALSE)</f>
        <v>Palembang</v>
      </c>
    </row>
    <row r="231" spans="1:11" x14ac:dyDescent="0.35">
      <c r="A231" s="4" t="s">
        <v>1269</v>
      </c>
      <c r="B231" s="4" t="s">
        <v>165</v>
      </c>
      <c r="C231" s="4" t="s">
        <v>1029</v>
      </c>
      <c r="D231" s="4">
        <v>1</v>
      </c>
      <c r="E231" s="6">
        <v>39000</v>
      </c>
      <c r="F231" t="str">
        <f>VLOOKUP(C231,products!A:C,2,FALSE)</f>
        <v>Kabel Data USB-C</v>
      </c>
      <c r="G231">
        <f t="shared" si="6"/>
        <v>39000</v>
      </c>
      <c r="H231">
        <f>VLOOKUP(C231,products!A:D,4,FALSE)</f>
        <v>15000</v>
      </c>
      <c r="I231">
        <f t="shared" si="7"/>
        <v>24000</v>
      </c>
      <c r="J231" t="str">
        <f>VLOOKUP(B231,orders!A:B,2,FALSE)</f>
        <v>CUST0181</v>
      </c>
      <c r="K231" t="str">
        <f>VLOOKUP(J231,customers!A:F,6,FALSE)</f>
        <v>Bandung</v>
      </c>
    </row>
    <row r="232" spans="1:11" x14ac:dyDescent="0.35">
      <c r="A232" s="4" t="s">
        <v>1270</v>
      </c>
      <c r="B232" s="4" t="s">
        <v>651</v>
      </c>
      <c r="C232" s="4" t="s">
        <v>1033</v>
      </c>
      <c r="D232" s="4">
        <v>1</v>
      </c>
      <c r="E232" s="6">
        <v>55000</v>
      </c>
      <c r="F232" t="str">
        <f>VLOOKUP(C232,products!A:C,2,FALSE)</f>
        <v>Sapu + Pengki Set</v>
      </c>
      <c r="G232">
        <f t="shared" si="6"/>
        <v>55000</v>
      </c>
      <c r="H232">
        <f>VLOOKUP(C232,products!A:D,4,FALSE)</f>
        <v>25000</v>
      </c>
      <c r="I232">
        <f t="shared" si="7"/>
        <v>30000</v>
      </c>
      <c r="J232" t="str">
        <f>VLOOKUP(B232,orders!A:B,2,FALSE)</f>
        <v>CUST0168</v>
      </c>
      <c r="K232" t="str">
        <f>VLOOKUP(J232,customers!A:F,6,FALSE)</f>
        <v>Jakarta</v>
      </c>
    </row>
    <row r="233" spans="1:11" x14ac:dyDescent="0.35">
      <c r="A233" s="4" t="s">
        <v>1271</v>
      </c>
      <c r="B233" s="4" t="s">
        <v>651</v>
      </c>
      <c r="C233" s="4" t="s">
        <v>1089</v>
      </c>
      <c r="D233" s="4">
        <v>1</v>
      </c>
      <c r="E233" s="6">
        <v>159000</v>
      </c>
      <c r="F233" t="str">
        <f>VLOOKUP(C233,products!A:C,2,FALSE)</f>
        <v>Power Bank 10000mAh</v>
      </c>
      <c r="G233">
        <f t="shared" si="6"/>
        <v>159000</v>
      </c>
      <c r="H233">
        <f>VLOOKUP(C233,products!A:D,4,FALSE)</f>
        <v>80000</v>
      </c>
      <c r="I233">
        <f t="shared" si="7"/>
        <v>79000</v>
      </c>
      <c r="J233" t="str">
        <f>VLOOKUP(B233,orders!A:B,2,FALSE)</f>
        <v>CUST0168</v>
      </c>
      <c r="K233" t="str">
        <f>VLOOKUP(J233,customers!A:F,6,FALSE)</f>
        <v>Jakarta</v>
      </c>
    </row>
    <row r="234" spans="1:11" x14ac:dyDescent="0.35">
      <c r="A234" s="4" t="s">
        <v>1272</v>
      </c>
      <c r="B234" s="4" t="s">
        <v>651</v>
      </c>
      <c r="C234" s="4" t="s">
        <v>1023</v>
      </c>
      <c r="D234" s="4">
        <v>1</v>
      </c>
      <c r="E234" s="6">
        <v>69000</v>
      </c>
      <c r="F234" t="str">
        <f>VLOOKUP(C234,products!A:C,2,FALSE)</f>
        <v>Lampu LED Hias 5m</v>
      </c>
      <c r="G234">
        <f t="shared" si="6"/>
        <v>69000</v>
      </c>
      <c r="H234">
        <f>VLOOKUP(C234,products!A:D,4,FALSE)</f>
        <v>30000</v>
      </c>
      <c r="I234">
        <f t="shared" si="7"/>
        <v>39000</v>
      </c>
      <c r="J234" t="str">
        <f>VLOOKUP(B234,orders!A:B,2,FALSE)</f>
        <v>CUST0168</v>
      </c>
      <c r="K234" t="str">
        <f>VLOOKUP(J234,customers!A:F,6,FALSE)</f>
        <v>Jakarta</v>
      </c>
    </row>
    <row r="235" spans="1:11" x14ac:dyDescent="0.35">
      <c r="A235" s="4" t="s">
        <v>1273</v>
      </c>
      <c r="B235" s="4" t="s">
        <v>651</v>
      </c>
      <c r="C235" s="4" t="s">
        <v>1025</v>
      </c>
      <c r="D235" s="4">
        <v>1</v>
      </c>
      <c r="E235" s="6">
        <v>179000</v>
      </c>
      <c r="F235" t="str">
        <f>VLOOKUP(C235,products!A:C,2,FALSE)</f>
        <v>Rak Penyimpanan Serbaguna</v>
      </c>
      <c r="G235">
        <f t="shared" si="6"/>
        <v>179000</v>
      </c>
      <c r="H235">
        <f>VLOOKUP(C235,products!A:D,4,FALSE)</f>
        <v>90000</v>
      </c>
      <c r="I235">
        <f t="shared" si="7"/>
        <v>89000</v>
      </c>
      <c r="J235" t="str">
        <f>VLOOKUP(B235,orders!A:B,2,FALSE)</f>
        <v>CUST0168</v>
      </c>
      <c r="K235" t="str">
        <f>VLOOKUP(J235,customers!A:F,6,FALSE)</f>
        <v>Jakarta</v>
      </c>
    </row>
    <row r="236" spans="1:11" x14ac:dyDescent="0.35">
      <c r="A236" s="4" t="s">
        <v>1274</v>
      </c>
      <c r="B236" s="4" t="s">
        <v>485</v>
      </c>
      <c r="C236" s="4" t="s">
        <v>1033</v>
      </c>
      <c r="D236" s="4">
        <v>1</v>
      </c>
      <c r="E236" s="6">
        <v>55000</v>
      </c>
      <c r="F236" t="str">
        <f>VLOOKUP(C236,products!A:C,2,FALSE)</f>
        <v>Sapu + Pengki Set</v>
      </c>
      <c r="G236">
        <f t="shared" si="6"/>
        <v>55000</v>
      </c>
      <c r="H236">
        <f>VLOOKUP(C236,products!A:D,4,FALSE)</f>
        <v>25000</v>
      </c>
      <c r="I236">
        <f t="shared" si="7"/>
        <v>30000</v>
      </c>
      <c r="J236" t="str">
        <f>VLOOKUP(B236,orders!A:B,2,FALSE)</f>
        <v>CUST0171</v>
      </c>
      <c r="K236" t="str">
        <f>VLOOKUP(J236,customers!A:F,6,FALSE)</f>
        <v>Medan</v>
      </c>
    </row>
    <row r="237" spans="1:11" x14ac:dyDescent="0.35">
      <c r="A237" s="4" t="s">
        <v>1275</v>
      </c>
      <c r="B237" s="4" t="s">
        <v>245</v>
      </c>
      <c r="C237" s="4" t="s">
        <v>1023</v>
      </c>
      <c r="D237" s="4">
        <v>1</v>
      </c>
      <c r="E237" s="6">
        <v>69000</v>
      </c>
      <c r="F237" t="str">
        <f>VLOOKUP(C237,products!A:C,2,FALSE)</f>
        <v>Lampu LED Hias 5m</v>
      </c>
      <c r="G237">
        <f t="shared" si="6"/>
        <v>69000</v>
      </c>
      <c r="H237">
        <f>VLOOKUP(C237,products!A:D,4,FALSE)</f>
        <v>30000</v>
      </c>
      <c r="I237">
        <f t="shared" si="7"/>
        <v>39000</v>
      </c>
      <c r="J237" t="str">
        <f>VLOOKUP(B237,orders!A:B,2,FALSE)</f>
        <v>CUST0170</v>
      </c>
      <c r="K237" t="str">
        <f>VLOOKUP(J237,customers!A:F,6,FALSE)</f>
        <v>Medan</v>
      </c>
    </row>
    <row r="238" spans="1:11" x14ac:dyDescent="0.35">
      <c r="A238" s="4" t="s">
        <v>1276</v>
      </c>
      <c r="B238" s="4" t="s">
        <v>720</v>
      </c>
      <c r="C238" s="4" t="s">
        <v>1089</v>
      </c>
      <c r="D238" s="4">
        <v>2</v>
      </c>
      <c r="E238" s="6">
        <v>159000</v>
      </c>
      <c r="F238" t="str">
        <f>VLOOKUP(C238,products!A:C,2,FALSE)</f>
        <v>Power Bank 10000mAh</v>
      </c>
      <c r="G238">
        <f t="shared" si="6"/>
        <v>318000</v>
      </c>
      <c r="H238">
        <f>VLOOKUP(C238,products!A:D,4,FALSE)</f>
        <v>80000</v>
      </c>
      <c r="I238">
        <f t="shared" si="7"/>
        <v>158000</v>
      </c>
      <c r="J238" t="str">
        <f>VLOOKUP(B238,orders!A:B,2,FALSE)</f>
        <v>CUST0030</v>
      </c>
      <c r="K238" t="str">
        <f>VLOOKUP(J238,customers!A:F,6,FALSE)</f>
        <v>Jakarta</v>
      </c>
    </row>
    <row r="239" spans="1:11" x14ac:dyDescent="0.35">
      <c r="A239" s="4" t="s">
        <v>1277</v>
      </c>
      <c r="B239" s="4" t="s">
        <v>860</v>
      </c>
      <c r="C239" s="4" t="s">
        <v>1033</v>
      </c>
      <c r="D239" s="4">
        <v>1</v>
      </c>
      <c r="E239" s="6">
        <v>55000</v>
      </c>
      <c r="F239" t="str">
        <f>VLOOKUP(C239,products!A:C,2,FALSE)</f>
        <v>Sapu + Pengki Set</v>
      </c>
      <c r="G239">
        <f t="shared" si="6"/>
        <v>55000</v>
      </c>
      <c r="H239">
        <f>VLOOKUP(C239,products!A:D,4,FALSE)</f>
        <v>25000</v>
      </c>
      <c r="I239">
        <f t="shared" si="7"/>
        <v>30000</v>
      </c>
      <c r="J239" t="str">
        <f>VLOOKUP(B239,orders!A:B,2,FALSE)</f>
        <v>CUST0142</v>
      </c>
      <c r="K239" t="str">
        <f>VLOOKUP(J239,customers!A:F,6,FALSE)</f>
        <v>Bandung</v>
      </c>
    </row>
    <row r="240" spans="1:11" x14ac:dyDescent="0.35">
      <c r="A240" s="4" t="s">
        <v>1278</v>
      </c>
      <c r="B240" s="4" t="s">
        <v>240</v>
      </c>
      <c r="C240" s="4" t="s">
        <v>1023</v>
      </c>
      <c r="D240" s="4">
        <v>1</v>
      </c>
      <c r="E240" s="6">
        <v>69000</v>
      </c>
      <c r="F240" t="str">
        <f>VLOOKUP(C240,products!A:C,2,FALSE)</f>
        <v>Lampu LED Hias 5m</v>
      </c>
      <c r="G240">
        <f t="shared" si="6"/>
        <v>69000</v>
      </c>
      <c r="H240">
        <f>VLOOKUP(C240,products!A:D,4,FALSE)</f>
        <v>30000</v>
      </c>
      <c r="I240">
        <f t="shared" si="7"/>
        <v>39000</v>
      </c>
      <c r="J240" t="str">
        <f>VLOOKUP(B240,orders!A:B,2,FALSE)</f>
        <v>CUST0073</v>
      </c>
      <c r="K240" t="str">
        <f>VLOOKUP(J240,customers!A:F,6,FALSE)</f>
        <v>Surabaya</v>
      </c>
    </row>
    <row r="241" spans="1:11" x14ac:dyDescent="0.35">
      <c r="A241" s="4" t="s">
        <v>1279</v>
      </c>
      <c r="B241" s="4" t="s">
        <v>872</v>
      </c>
      <c r="C241" s="4" t="s">
        <v>1023</v>
      </c>
      <c r="D241" s="4">
        <v>2</v>
      </c>
      <c r="E241" s="6">
        <v>69000</v>
      </c>
      <c r="F241" t="str">
        <f>VLOOKUP(C241,products!A:C,2,FALSE)</f>
        <v>Lampu LED Hias 5m</v>
      </c>
      <c r="G241">
        <f t="shared" si="6"/>
        <v>138000</v>
      </c>
      <c r="H241">
        <f>VLOOKUP(C241,products!A:D,4,FALSE)</f>
        <v>30000</v>
      </c>
      <c r="I241">
        <f t="shared" si="7"/>
        <v>78000</v>
      </c>
      <c r="J241" t="str">
        <f>VLOOKUP(B241,orders!A:B,2,FALSE)</f>
        <v>CUST0088</v>
      </c>
      <c r="K241" t="str">
        <f>VLOOKUP(J241,customers!A:F,6,FALSE)</f>
        <v>Makassar</v>
      </c>
    </row>
    <row r="242" spans="1:11" x14ac:dyDescent="0.35">
      <c r="A242" s="4" t="s">
        <v>1280</v>
      </c>
      <c r="B242" s="4" t="s">
        <v>616</v>
      </c>
      <c r="C242" s="4" t="s">
        <v>1023</v>
      </c>
      <c r="D242" s="4">
        <v>3</v>
      </c>
      <c r="E242" s="6">
        <v>69000</v>
      </c>
      <c r="F242" t="str">
        <f>VLOOKUP(C242,products!A:C,2,FALSE)</f>
        <v>Lampu LED Hias 5m</v>
      </c>
      <c r="G242">
        <f t="shared" si="6"/>
        <v>207000</v>
      </c>
      <c r="H242">
        <f>VLOOKUP(C242,products!A:D,4,FALSE)</f>
        <v>30000</v>
      </c>
      <c r="I242">
        <f t="shared" si="7"/>
        <v>117000</v>
      </c>
      <c r="J242" t="str">
        <f>VLOOKUP(B242,orders!A:B,2,FALSE)</f>
        <v>CUST0163</v>
      </c>
      <c r="K242" t="str">
        <f>VLOOKUP(J242,customers!A:F,6,FALSE)</f>
        <v>Denpasar</v>
      </c>
    </row>
    <row r="243" spans="1:11" x14ac:dyDescent="0.35">
      <c r="A243" s="4" t="s">
        <v>1281</v>
      </c>
      <c r="B243" s="4" t="s">
        <v>751</v>
      </c>
      <c r="C243" s="4" t="s">
        <v>1023</v>
      </c>
      <c r="D243" s="4">
        <v>1</v>
      </c>
      <c r="E243" s="6">
        <v>69000</v>
      </c>
      <c r="F243" t="str">
        <f>VLOOKUP(C243,products!A:C,2,FALSE)</f>
        <v>Lampu LED Hias 5m</v>
      </c>
      <c r="G243">
        <f t="shared" si="6"/>
        <v>69000</v>
      </c>
      <c r="H243">
        <f>VLOOKUP(C243,products!A:D,4,FALSE)</f>
        <v>30000</v>
      </c>
      <c r="I243">
        <f t="shared" si="7"/>
        <v>39000</v>
      </c>
      <c r="J243" t="str">
        <f>VLOOKUP(B243,orders!A:B,2,FALSE)</f>
        <v>CUST0065</v>
      </c>
      <c r="K243" t="str">
        <f>VLOOKUP(J243,customers!A:F,6,FALSE)</f>
        <v>Jakarta</v>
      </c>
    </row>
    <row r="244" spans="1:11" x14ac:dyDescent="0.35">
      <c r="A244" s="4" t="s">
        <v>1282</v>
      </c>
      <c r="B244" s="4" t="s">
        <v>751</v>
      </c>
      <c r="C244" s="4" t="s">
        <v>1049</v>
      </c>
      <c r="D244" s="4">
        <v>1</v>
      </c>
      <c r="E244" s="6">
        <v>349000</v>
      </c>
      <c r="F244" t="str">
        <f>VLOOKUP(C244,products!A:C,2,FALSE)</f>
        <v>Sepatu Sneakers Casual</v>
      </c>
      <c r="G244">
        <f t="shared" si="6"/>
        <v>349000</v>
      </c>
      <c r="H244">
        <f>VLOOKUP(C244,products!A:D,4,FALSE)</f>
        <v>180000</v>
      </c>
      <c r="I244">
        <f t="shared" si="7"/>
        <v>169000</v>
      </c>
      <c r="J244" t="str">
        <f>VLOOKUP(B244,orders!A:B,2,FALSE)</f>
        <v>CUST0065</v>
      </c>
      <c r="K244" t="str">
        <f>VLOOKUP(J244,customers!A:F,6,FALSE)</f>
        <v>Jakarta</v>
      </c>
    </row>
    <row r="245" spans="1:11" x14ac:dyDescent="0.35">
      <c r="A245" s="4" t="s">
        <v>1283</v>
      </c>
      <c r="B245" s="4" t="s">
        <v>62</v>
      </c>
      <c r="C245" s="4" t="s">
        <v>1036</v>
      </c>
      <c r="D245" s="4">
        <v>1</v>
      </c>
      <c r="E245" s="6">
        <v>229000</v>
      </c>
      <c r="F245" t="str">
        <f>VLOOKUP(C245,products!A:C,2,FALSE)</f>
        <v>Celana Jeans Slimfit</v>
      </c>
      <c r="G245">
        <f t="shared" si="6"/>
        <v>229000</v>
      </c>
      <c r="H245">
        <f>VLOOKUP(C245,products!A:D,4,FALSE)</f>
        <v>110000</v>
      </c>
      <c r="I245">
        <f t="shared" si="7"/>
        <v>119000</v>
      </c>
      <c r="J245" t="str">
        <f>VLOOKUP(B245,orders!A:B,2,FALSE)</f>
        <v>CUST0109</v>
      </c>
      <c r="K245" t="str">
        <f>VLOOKUP(J245,customers!A:F,6,FALSE)</f>
        <v>Surabaya</v>
      </c>
    </row>
    <row r="246" spans="1:11" x14ac:dyDescent="0.35">
      <c r="A246" s="4" t="s">
        <v>1284</v>
      </c>
      <c r="B246" s="4" t="s">
        <v>322</v>
      </c>
      <c r="C246" s="4" t="s">
        <v>1285</v>
      </c>
      <c r="D246" s="4">
        <v>1</v>
      </c>
      <c r="E246" s="6">
        <v>139000</v>
      </c>
      <c r="F246" t="str">
        <f>VLOOKUP(C246,products!A:C,2,FALSE)</f>
        <v>Tas Selempang Kanvas</v>
      </c>
      <c r="G246">
        <f t="shared" si="6"/>
        <v>139000</v>
      </c>
      <c r="H246">
        <f>VLOOKUP(C246,products!A:D,4,FALSE)</f>
        <v>60000</v>
      </c>
      <c r="I246">
        <f t="shared" si="7"/>
        <v>79000</v>
      </c>
      <c r="J246" t="str">
        <f>VLOOKUP(B246,orders!A:B,2,FALSE)</f>
        <v>CUST0086</v>
      </c>
      <c r="K246" t="str">
        <f>VLOOKUP(J246,customers!A:F,6,FALSE)</f>
        <v>Makassar</v>
      </c>
    </row>
    <row r="247" spans="1:11" x14ac:dyDescent="0.35">
      <c r="A247" s="4" t="s">
        <v>1286</v>
      </c>
      <c r="B247" s="4" t="s">
        <v>322</v>
      </c>
      <c r="C247" s="4" t="s">
        <v>1089</v>
      </c>
      <c r="D247" s="4">
        <v>1</v>
      </c>
      <c r="E247" s="6">
        <v>159000</v>
      </c>
      <c r="F247" t="str">
        <f>VLOOKUP(C247,products!A:C,2,FALSE)</f>
        <v>Power Bank 10000mAh</v>
      </c>
      <c r="G247">
        <f t="shared" si="6"/>
        <v>159000</v>
      </c>
      <c r="H247">
        <f>VLOOKUP(C247,products!A:D,4,FALSE)</f>
        <v>80000</v>
      </c>
      <c r="I247">
        <f t="shared" si="7"/>
        <v>79000</v>
      </c>
      <c r="J247" t="str">
        <f>VLOOKUP(B247,orders!A:B,2,FALSE)</f>
        <v>CUST0086</v>
      </c>
      <c r="K247" t="str">
        <f>VLOOKUP(J247,customers!A:F,6,FALSE)</f>
        <v>Makassar</v>
      </c>
    </row>
    <row r="248" spans="1:11" x14ac:dyDescent="0.35">
      <c r="A248" s="4" t="s">
        <v>1287</v>
      </c>
      <c r="B248" s="4" t="s">
        <v>939</v>
      </c>
      <c r="C248" s="4" t="s">
        <v>1023</v>
      </c>
      <c r="D248" s="4">
        <v>1</v>
      </c>
      <c r="E248" s="6">
        <v>69000</v>
      </c>
      <c r="F248" t="str">
        <f>VLOOKUP(C248,products!A:C,2,FALSE)</f>
        <v>Lampu LED Hias 5m</v>
      </c>
      <c r="G248">
        <f t="shared" si="6"/>
        <v>69000</v>
      </c>
      <c r="H248">
        <f>VLOOKUP(C248,products!A:D,4,FALSE)</f>
        <v>30000</v>
      </c>
      <c r="I248">
        <f t="shared" si="7"/>
        <v>39000</v>
      </c>
      <c r="J248" t="str">
        <f>VLOOKUP(B248,orders!A:B,2,FALSE)</f>
        <v>CUST0164</v>
      </c>
      <c r="K248" t="str">
        <f>VLOOKUP(J248,customers!A:F,6,FALSE)</f>
        <v>Semarang</v>
      </c>
    </row>
    <row r="249" spans="1:11" x14ac:dyDescent="0.35">
      <c r="A249" s="4" t="s">
        <v>1288</v>
      </c>
      <c r="B249" s="4" t="s">
        <v>210</v>
      </c>
      <c r="C249" s="4" t="s">
        <v>1029</v>
      </c>
      <c r="D249" s="4">
        <v>1</v>
      </c>
      <c r="E249" s="6">
        <v>39000</v>
      </c>
      <c r="F249" t="str">
        <f>VLOOKUP(C249,products!A:C,2,FALSE)</f>
        <v>Kabel Data USB-C</v>
      </c>
      <c r="G249">
        <f t="shared" si="6"/>
        <v>39000</v>
      </c>
      <c r="H249">
        <f>VLOOKUP(C249,products!A:D,4,FALSE)</f>
        <v>15000</v>
      </c>
      <c r="I249">
        <f t="shared" si="7"/>
        <v>24000</v>
      </c>
      <c r="J249" t="str">
        <f>VLOOKUP(B249,orders!A:B,2,FALSE)</f>
        <v>CUST0114</v>
      </c>
      <c r="K249" t="str">
        <f>VLOOKUP(J249,customers!A:F,6,FALSE)</f>
        <v>Denpasar</v>
      </c>
    </row>
    <row r="250" spans="1:11" x14ac:dyDescent="0.35">
      <c r="A250" s="4" t="s">
        <v>1289</v>
      </c>
      <c r="B250" s="4" t="s">
        <v>377</v>
      </c>
      <c r="C250" s="4" t="s">
        <v>1023</v>
      </c>
      <c r="D250" s="4">
        <v>1</v>
      </c>
      <c r="E250" s="6">
        <v>69000</v>
      </c>
      <c r="F250" t="str">
        <f>VLOOKUP(C250,products!A:C,2,FALSE)</f>
        <v>Lampu LED Hias 5m</v>
      </c>
      <c r="G250">
        <f t="shared" si="6"/>
        <v>69000</v>
      </c>
      <c r="H250">
        <f>VLOOKUP(C250,products!A:D,4,FALSE)</f>
        <v>30000</v>
      </c>
      <c r="I250">
        <f t="shared" si="7"/>
        <v>39000</v>
      </c>
      <c r="J250" t="str">
        <f>VLOOKUP(B250,orders!A:B,2,FALSE)</f>
        <v>CUST0144</v>
      </c>
      <c r="K250" t="str">
        <f>VLOOKUP(J250,customers!A:F,6,FALSE)</f>
        <v>Bandung</v>
      </c>
    </row>
    <row r="251" spans="1:11" x14ac:dyDescent="0.35">
      <c r="A251" s="4" t="s">
        <v>1290</v>
      </c>
      <c r="B251" s="4" t="s">
        <v>377</v>
      </c>
      <c r="C251" s="4" t="s">
        <v>1033</v>
      </c>
      <c r="D251" s="4">
        <v>1</v>
      </c>
      <c r="E251" s="6">
        <v>55000</v>
      </c>
      <c r="F251" t="str">
        <f>VLOOKUP(C251,products!A:C,2,FALSE)</f>
        <v>Sapu + Pengki Set</v>
      </c>
      <c r="G251">
        <f t="shared" si="6"/>
        <v>55000</v>
      </c>
      <c r="H251">
        <f>VLOOKUP(C251,products!A:D,4,FALSE)</f>
        <v>25000</v>
      </c>
      <c r="I251">
        <f t="shared" si="7"/>
        <v>30000</v>
      </c>
      <c r="J251" t="str">
        <f>VLOOKUP(B251,orders!A:B,2,FALSE)</f>
        <v>CUST0144</v>
      </c>
      <c r="K251" t="str">
        <f>VLOOKUP(J251,customers!A:F,6,FALSE)</f>
        <v>Bandung</v>
      </c>
    </row>
    <row r="252" spans="1:11" x14ac:dyDescent="0.35">
      <c r="A252" s="4" t="s">
        <v>1291</v>
      </c>
      <c r="B252" s="4" t="s">
        <v>486</v>
      </c>
      <c r="C252" s="4" t="s">
        <v>1023</v>
      </c>
      <c r="D252" s="4">
        <v>1</v>
      </c>
      <c r="E252" s="6">
        <v>69000</v>
      </c>
      <c r="F252" t="str">
        <f>VLOOKUP(C252,products!A:C,2,FALSE)</f>
        <v>Lampu LED Hias 5m</v>
      </c>
      <c r="G252">
        <f t="shared" si="6"/>
        <v>69000</v>
      </c>
      <c r="H252">
        <f>VLOOKUP(C252,products!A:D,4,FALSE)</f>
        <v>30000</v>
      </c>
      <c r="I252">
        <f t="shared" si="7"/>
        <v>39000</v>
      </c>
      <c r="J252" t="str">
        <f>VLOOKUP(B252,orders!A:B,2,FALSE)</f>
        <v>CUST0020</v>
      </c>
      <c r="K252" t="str">
        <f>VLOOKUP(J252,customers!A:F,6,FALSE)</f>
        <v>Makassar</v>
      </c>
    </row>
    <row r="253" spans="1:11" x14ac:dyDescent="0.35">
      <c r="A253" s="4" t="s">
        <v>1292</v>
      </c>
      <c r="B253" s="4" t="s">
        <v>486</v>
      </c>
      <c r="C253" s="4" t="s">
        <v>1031</v>
      </c>
      <c r="D253" s="4">
        <v>1</v>
      </c>
      <c r="E253" s="6">
        <v>79000</v>
      </c>
      <c r="F253" t="str">
        <f>VLOOKUP(C253,products!A:C,2,FALSE)</f>
        <v>Kaos Polos Cotton Combed</v>
      </c>
      <c r="G253">
        <f t="shared" si="6"/>
        <v>79000</v>
      </c>
      <c r="H253">
        <f>VLOOKUP(C253,products!A:D,4,FALSE)</f>
        <v>35000</v>
      </c>
      <c r="I253">
        <f t="shared" si="7"/>
        <v>44000</v>
      </c>
      <c r="J253" t="str">
        <f>VLOOKUP(B253,orders!A:B,2,FALSE)</f>
        <v>CUST0020</v>
      </c>
      <c r="K253" t="str">
        <f>VLOOKUP(J253,customers!A:F,6,FALSE)</f>
        <v>Makassar</v>
      </c>
    </row>
    <row r="254" spans="1:11" x14ac:dyDescent="0.35">
      <c r="A254" s="4" t="s">
        <v>1293</v>
      </c>
      <c r="B254" s="4" t="s">
        <v>486</v>
      </c>
      <c r="C254" s="4" t="s">
        <v>1029</v>
      </c>
      <c r="D254" s="4">
        <v>1</v>
      </c>
      <c r="E254" s="6">
        <v>39000</v>
      </c>
      <c r="F254" t="str">
        <f>VLOOKUP(C254,products!A:C,2,FALSE)</f>
        <v>Kabel Data USB-C</v>
      </c>
      <c r="G254">
        <f t="shared" si="6"/>
        <v>39000</v>
      </c>
      <c r="H254">
        <f>VLOOKUP(C254,products!A:D,4,FALSE)</f>
        <v>15000</v>
      </c>
      <c r="I254">
        <f t="shared" si="7"/>
        <v>24000</v>
      </c>
      <c r="J254" t="str">
        <f>VLOOKUP(B254,orders!A:B,2,FALSE)</f>
        <v>CUST0020</v>
      </c>
      <c r="K254" t="str">
        <f>VLOOKUP(J254,customers!A:F,6,FALSE)</f>
        <v>Makassar</v>
      </c>
    </row>
    <row r="255" spans="1:11" x14ac:dyDescent="0.35">
      <c r="A255" s="4" t="s">
        <v>1294</v>
      </c>
      <c r="B255" s="4" t="s">
        <v>486</v>
      </c>
      <c r="C255" s="4" t="s">
        <v>1044</v>
      </c>
      <c r="D255" s="4">
        <v>1</v>
      </c>
      <c r="E255" s="6">
        <v>329000</v>
      </c>
      <c r="F255" t="str">
        <f>VLOOKUP(C255,products!A:C,2,FALSE)</f>
        <v>Rice Cooker Mini 1.5L</v>
      </c>
      <c r="G255">
        <f t="shared" si="6"/>
        <v>329000</v>
      </c>
      <c r="H255">
        <f>VLOOKUP(C255,products!A:D,4,FALSE)</f>
        <v>180000</v>
      </c>
      <c r="I255">
        <f t="shared" si="7"/>
        <v>149000</v>
      </c>
      <c r="J255" t="str">
        <f>VLOOKUP(B255,orders!A:B,2,FALSE)</f>
        <v>CUST0020</v>
      </c>
      <c r="K255" t="str">
        <f>VLOOKUP(J255,customers!A:F,6,FALSE)</f>
        <v>Makassar</v>
      </c>
    </row>
    <row r="256" spans="1:11" x14ac:dyDescent="0.35">
      <c r="A256" s="4" t="s">
        <v>1295</v>
      </c>
      <c r="B256" s="4" t="s">
        <v>960</v>
      </c>
      <c r="C256" s="4" t="s">
        <v>1082</v>
      </c>
      <c r="D256" s="4">
        <v>1</v>
      </c>
      <c r="E256" s="6">
        <v>399000</v>
      </c>
      <c r="F256" t="str">
        <f>VLOOKUP(C256,products!A:C,2,FALSE)</f>
        <v>Keyboard Mechanical Mini</v>
      </c>
      <c r="G256">
        <f t="shared" si="6"/>
        <v>399000</v>
      </c>
      <c r="H256">
        <f>VLOOKUP(C256,products!A:D,4,FALSE)</f>
        <v>200000</v>
      </c>
      <c r="I256">
        <f t="shared" si="7"/>
        <v>199000</v>
      </c>
      <c r="J256" t="str">
        <f>VLOOKUP(B256,orders!A:B,2,FALSE)</f>
        <v>CUST0039</v>
      </c>
      <c r="K256" t="str">
        <f>VLOOKUP(J256,customers!A:F,6,FALSE)</f>
        <v>Yogyakarta</v>
      </c>
    </row>
    <row r="257" spans="1:11" x14ac:dyDescent="0.35">
      <c r="A257" s="4" t="s">
        <v>1296</v>
      </c>
      <c r="B257" s="4" t="s">
        <v>960</v>
      </c>
      <c r="C257" s="4" t="s">
        <v>1023</v>
      </c>
      <c r="D257" s="4">
        <v>1</v>
      </c>
      <c r="E257" s="6">
        <v>69000</v>
      </c>
      <c r="F257" t="str">
        <f>VLOOKUP(C257,products!A:C,2,FALSE)</f>
        <v>Lampu LED Hias 5m</v>
      </c>
      <c r="G257">
        <f t="shared" si="6"/>
        <v>69000</v>
      </c>
      <c r="H257">
        <f>VLOOKUP(C257,products!A:D,4,FALSE)</f>
        <v>30000</v>
      </c>
      <c r="I257">
        <f t="shared" si="7"/>
        <v>39000</v>
      </c>
      <c r="J257" t="str">
        <f>VLOOKUP(B257,orders!A:B,2,FALSE)</f>
        <v>CUST0039</v>
      </c>
      <c r="K257" t="str">
        <f>VLOOKUP(J257,customers!A:F,6,FALSE)</f>
        <v>Yogyakarta</v>
      </c>
    </row>
    <row r="258" spans="1:11" x14ac:dyDescent="0.35">
      <c r="A258" s="4" t="s">
        <v>1297</v>
      </c>
      <c r="B258" s="4" t="s">
        <v>78</v>
      </c>
      <c r="C258" s="4" t="s">
        <v>1023</v>
      </c>
      <c r="D258" s="4">
        <v>1</v>
      </c>
      <c r="E258" s="6">
        <v>69000</v>
      </c>
      <c r="F258" t="str">
        <f>VLOOKUP(C258,products!A:C,2,FALSE)</f>
        <v>Lampu LED Hias 5m</v>
      </c>
      <c r="G258">
        <f t="shared" si="6"/>
        <v>69000</v>
      </c>
      <c r="H258">
        <f>VLOOKUP(C258,products!A:D,4,FALSE)</f>
        <v>30000</v>
      </c>
      <c r="I258">
        <f t="shared" si="7"/>
        <v>39000</v>
      </c>
      <c r="J258" t="str">
        <f>VLOOKUP(B258,orders!A:B,2,FALSE)</f>
        <v>CUST0095</v>
      </c>
      <c r="K258" t="str">
        <f>VLOOKUP(J258,customers!A:F,6,FALSE)</f>
        <v>Medan</v>
      </c>
    </row>
    <row r="259" spans="1:11" x14ac:dyDescent="0.35">
      <c r="A259" s="4" t="s">
        <v>1298</v>
      </c>
      <c r="B259" s="4" t="s">
        <v>742</v>
      </c>
      <c r="C259" s="4" t="s">
        <v>1053</v>
      </c>
      <c r="D259" s="4">
        <v>2</v>
      </c>
      <c r="E259" s="6">
        <v>129000</v>
      </c>
      <c r="F259" t="str">
        <f>VLOOKUP(C259,products!A:C,2,FALSE)</f>
        <v>Charger Fast Charging 33W</v>
      </c>
      <c r="G259">
        <f t="shared" ref="G259:G322" si="8">D259*E259</f>
        <v>258000</v>
      </c>
      <c r="H259">
        <f>VLOOKUP(C259,products!A:D,4,FALSE)</f>
        <v>60000</v>
      </c>
      <c r="I259">
        <f t="shared" ref="I259:I322" si="9">(E259-H259)*D259</f>
        <v>138000</v>
      </c>
      <c r="J259" t="str">
        <f>VLOOKUP(B259,orders!A:B,2,FALSE)</f>
        <v>CUST0038</v>
      </c>
      <c r="K259" t="str">
        <f>VLOOKUP(J259,customers!A:F,6,FALSE)</f>
        <v>Depok</v>
      </c>
    </row>
    <row r="260" spans="1:11" x14ac:dyDescent="0.35">
      <c r="A260" s="4" t="s">
        <v>1299</v>
      </c>
      <c r="B260" s="4" t="s">
        <v>742</v>
      </c>
      <c r="C260" s="4" t="s">
        <v>1033</v>
      </c>
      <c r="D260" s="4">
        <v>1</v>
      </c>
      <c r="E260" s="6">
        <v>55000</v>
      </c>
      <c r="F260" t="str">
        <f>VLOOKUP(C260,products!A:C,2,FALSE)</f>
        <v>Sapu + Pengki Set</v>
      </c>
      <c r="G260">
        <f t="shared" si="8"/>
        <v>55000</v>
      </c>
      <c r="H260">
        <f>VLOOKUP(C260,products!A:D,4,FALSE)</f>
        <v>25000</v>
      </c>
      <c r="I260">
        <f t="shared" si="9"/>
        <v>30000</v>
      </c>
      <c r="J260" t="str">
        <f>VLOOKUP(B260,orders!A:B,2,FALSE)</f>
        <v>CUST0038</v>
      </c>
      <c r="K260" t="str">
        <f>VLOOKUP(J260,customers!A:F,6,FALSE)</f>
        <v>Depok</v>
      </c>
    </row>
    <row r="261" spans="1:11" x14ac:dyDescent="0.35">
      <c r="A261" s="4" t="s">
        <v>1300</v>
      </c>
      <c r="B261" s="4" t="s">
        <v>1016</v>
      </c>
      <c r="C261" s="4" t="s">
        <v>1089</v>
      </c>
      <c r="D261" s="4">
        <v>1</v>
      </c>
      <c r="E261" s="6">
        <v>159000</v>
      </c>
      <c r="F261" t="str">
        <f>VLOOKUP(C261,products!A:C,2,FALSE)</f>
        <v>Power Bank 10000mAh</v>
      </c>
      <c r="G261">
        <f t="shared" si="8"/>
        <v>159000</v>
      </c>
      <c r="H261">
        <f>VLOOKUP(C261,products!A:D,4,FALSE)</f>
        <v>80000</v>
      </c>
      <c r="I261">
        <f t="shared" si="9"/>
        <v>79000</v>
      </c>
      <c r="J261" t="str">
        <f>VLOOKUP(B261,orders!A:B,2,FALSE)</f>
        <v>CUST0079</v>
      </c>
      <c r="K261" t="str">
        <f>VLOOKUP(J261,customers!A:F,6,FALSE)</f>
        <v>Makassar</v>
      </c>
    </row>
    <row r="262" spans="1:11" x14ac:dyDescent="0.35">
      <c r="A262" s="4" t="s">
        <v>1301</v>
      </c>
      <c r="B262" s="4" t="s">
        <v>747</v>
      </c>
      <c r="C262" s="4" t="s">
        <v>1023</v>
      </c>
      <c r="D262" s="4">
        <v>2</v>
      </c>
      <c r="E262" s="6">
        <v>69000</v>
      </c>
      <c r="F262" t="str">
        <f>VLOOKUP(C262,products!A:C,2,FALSE)</f>
        <v>Lampu LED Hias 5m</v>
      </c>
      <c r="G262">
        <f t="shared" si="8"/>
        <v>138000</v>
      </c>
      <c r="H262">
        <f>VLOOKUP(C262,products!A:D,4,FALSE)</f>
        <v>30000</v>
      </c>
      <c r="I262">
        <f t="shared" si="9"/>
        <v>78000</v>
      </c>
      <c r="J262" t="str">
        <f>VLOOKUP(B262,orders!A:B,2,FALSE)</f>
        <v>CUST0011</v>
      </c>
      <c r="K262" t="str">
        <f>VLOOKUP(J262,customers!A:F,6,FALSE)</f>
        <v>Semarang</v>
      </c>
    </row>
    <row r="263" spans="1:11" x14ac:dyDescent="0.35">
      <c r="A263" s="4" t="s">
        <v>1302</v>
      </c>
      <c r="B263" s="4" t="s">
        <v>871</v>
      </c>
      <c r="C263" s="4" t="s">
        <v>1023</v>
      </c>
      <c r="D263" s="4">
        <v>2</v>
      </c>
      <c r="E263" s="6">
        <v>69000</v>
      </c>
      <c r="F263" t="str">
        <f>VLOOKUP(C263,products!A:C,2,FALSE)</f>
        <v>Lampu LED Hias 5m</v>
      </c>
      <c r="G263">
        <f t="shared" si="8"/>
        <v>138000</v>
      </c>
      <c r="H263">
        <f>VLOOKUP(C263,products!A:D,4,FALSE)</f>
        <v>30000</v>
      </c>
      <c r="I263">
        <f t="shared" si="9"/>
        <v>78000</v>
      </c>
      <c r="J263" t="str">
        <f>VLOOKUP(B263,orders!A:B,2,FALSE)</f>
        <v>CUST0064</v>
      </c>
      <c r="K263" t="str">
        <f>VLOOKUP(J263,customers!A:F,6,FALSE)</f>
        <v>Yogyakarta</v>
      </c>
    </row>
    <row r="264" spans="1:11" x14ac:dyDescent="0.35">
      <c r="A264" s="4" t="s">
        <v>1303</v>
      </c>
      <c r="B264" s="4" t="s">
        <v>469</v>
      </c>
      <c r="C264" s="4" t="s">
        <v>1023</v>
      </c>
      <c r="D264" s="4">
        <v>1</v>
      </c>
      <c r="E264" s="6">
        <v>69000</v>
      </c>
      <c r="F264" t="str">
        <f>VLOOKUP(C264,products!A:C,2,FALSE)</f>
        <v>Lampu LED Hias 5m</v>
      </c>
      <c r="G264">
        <f t="shared" si="8"/>
        <v>69000</v>
      </c>
      <c r="H264">
        <f>VLOOKUP(C264,products!A:D,4,FALSE)</f>
        <v>30000</v>
      </c>
      <c r="I264">
        <f t="shared" si="9"/>
        <v>39000</v>
      </c>
      <c r="J264" t="str">
        <f>VLOOKUP(B264,orders!A:B,2,FALSE)</f>
        <v>CUST0091</v>
      </c>
      <c r="K264" t="str">
        <f>VLOOKUP(J264,customers!A:F,6,FALSE)</f>
        <v>Surabaya</v>
      </c>
    </row>
    <row r="265" spans="1:11" x14ac:dyDescent="0.35">
      <c r="A265" s="4" t="s">
        <v>1304</v>
      </c>
      <c r="B265" s="4" t="s">
        <v>469</v>
      </c>
      <c r="C265" s="4" t="s">
        <v>1029</v>
      </c>
      <c r="D265" s="4">
        <v>2</v>
      </c>
      <c r="E265" s="6">
        <v>39000</v>
      </c>
      <c r="F265" t="str">
        <f>VLOOKUP(C265,products!A:C,2,FALSE)</f>
        <v>Kabel Data USB-C</v>
      </c>
      <c r="G265">
        <f t="shared" si="8"/>
        <v>78000</v>
      </c>
      <c r="H265">
        <f>VLOOKUP(C265,products!A:D,4,FALSE)</f>
        <v>15000</v>
      </c>
      <c r="I265">
        <f t="shared" si="9"/>
        <v>48000</v>
      </c>
      <c r="J265" t="str">
        <f>VLOOKUP(B265,orders!A:B,2,FALSE)</f>
        <v>CUST0091</v>
      </c>
      <c r="K265" t="str">
        <f>VLOOKUP(J265,customers!A:F,6,FALSE)</f>
        <v>Surabaya</v>
      </c>
    </row>
    <row r="266" spans="1:11" x14ac:dyDescent="0.35">
      <c r="A266" s="4" t="s">
        <v>1305</v>
      </c>
      <c r="B266" s="4" t="s">
        <v>469</v>
      </c>
      <c r="C266" s="4" t="s">
        <v>1049</v>
      </c>
      <c r="D266" s="4">
        <v>1</v>
      </c>
      <c r="E266" s="6">
        <v>349000</v>
      </c>
      <c r="F266" t="str">
        <f>VLOOKUP(C266,products!A:C,2,FALSE)</f>
        <v>Sepatu Sneakers Casual</v>
      </c>
      <c r="G266">
        <f t="shared" si="8"/>
        <v>349000</v>
      </c>
      <c r="H266">
        <f>VLOOKUP(C266,products!A:D,4,FALSE)</f>
        <v>180000</v>
      </c>
      <c r="I266">
        <f t="shared" si="9"/>
        <v>169000</v>
      </c>
      <c r="J266" t="str">
        <f>VLOOKUP(B266,orders!A:B,2,FALSE)</f>
        <v>CUST0091</v>
      </c>
      <c r="K266" t="str">
        <f>VLOOKUP(J266,customers!A:F,6,FALSE)</f>
        <v>Surabaya</v>
      </c>
    </row>
    <row r="267" spans="1:11" x14ac:dyDescent="0.35">
      <c r="A267" s="4" t="s">
        <v>1306</v>
      </c>
      <c r="B267" s="4" t="s">
        <v>472</v>
      </c>
      <c r="C267" s="4" t="s">
        <v>1023</v>
      </c>
      <c r="D267" s="4">
        <v>1</v>
      </c>
      <c r="E267" s="6">
        <v>69000</v>
      </c>
      <c r="F267" t="str">
        <f>VLOOKUP(C267,products!A:C,2,FALSE)</f>
        <v>Lampu LED Hias 5m</v>
      </c>
      <c r="G267">
        <f t="shared" si="8"/>
        <v>69000</v>
      </c>
      <c r="H267">
        <f>VLOOKUP(C267,products!A:D,4,FALSE)</f>
        <v>30000</v>
      </c>
      <c r="I267">
        <f t="shared" si="9"/>
        <v>39000</v>
      </c>
      <c r="J267" t="str">
        <f>VLOOKUP(B267,orders!A:B,2,FALSE)</f>
        <v>CUST0159</v>
      </c>
      <c r="K267" t="str">
        <f>VLOOKUP(J267,customers!A:F,6,FALSE)</f>
        <v>Bandung</v>
      </c>
    </row>
    <row r="268" spans="1:11" x14ac:dyDescent="0.35">
      <c r="A268" s="4" t="s">
        <v>1307</v>
      </c>
      <c r="B268" s="4" t="s">
        <v>147</v>
      </c>
      <c r="C268" s="4" t="s">
        <v>1029</v>
      </c>
      <c r="D268" s="4">
        <v>1</v>
      </c>
      <c r="E268" s="6">
        <v>39000</v>
      </c>
      <c r="F268" t="str">
        <f>VLOOKUP(C268,products!A:C,2,FALSE)</f>
        <v>Kabel Data USB-C</v>
      </c>
      <c r="G268">
        <f t="shared" si="8"/>
        <v>39000</v>
      </c>
      <c r="H268">
        <f>VLOOKUP(C268,products!A:D,4,FALSE)</f>
        <v>15000</v>
      </c>
      <c r="I268">
        <f t="shared" si="9"/>
        <v>24000</v>
      </c>
      <c r="J268" t="str">
        <f>VLOOKUP(B268,orders!A:B,2,FALSE)</f>
        <v>CUST0061</v>
      </c>
      <c r="K268" t="str">
        <f>VLOOKUP(J268,customers!A:F,6,FALSE)</f>
        <v>Yogyakarta</v>
      </c>
    </row>
    <row r="269" spans="1:11" x14ac:dyDescent="0.35">
      <c r="A269" s="4" t="s">
        <v>1308</v>
      </c>
      <c r="B269" s="4" t="s">
        <v>147</v>
      </c>
      <c r="C269" s="4" t="s">
        <v>1049</v>
      </c>
      <c r="D269" s="4">
        <v>1</v>
      </c>
      <c r="E269" s="6">
        <v>349000</v>
      </c>
      <c r="F269" t="str">
        <f>VLOOKUP(C269,products!A:C,2,FALSE)</f>
        <v>Sepatu Sneakers Casual</v>
      </c>
      <c r="G269">
        <f t="shared" si="8"/>
        <v>349000</v>
      </c>
      <c r="H269">
        <f>VLOOKUP(C269,products!A:D,4,FALSE)</f>
        <v>180000</v>
      </c>
      <c r="I269">
        <f t="shared" si="9"/>
        <v>169000</v>
      </c>
      <c r="J269" t="str">
        <f>VLOOKUP(B269,orders!A:B,2,FALSE)</f>
        <v>CUST0061</v>
      </c>
      <c r="K269" t="str">
        <f>VLOOKUP(J269,customers!A:F,6,FALSE)</f>
        <v>Yogyakarta</v>
      </c>
    </row>
    <row r="270" spans="1:11" x14ac:dyDescent="0.35">
      <c r="A270" s="4" t="s">
        <v>1309</v>
      </c>
      <c r="B270" s="4" t="s">
        <v>798</v>
      </c>
      <c r="C270" s="4" t="s">
        <v>1046</v>
      </c>
      <c r="D270" s="4">
        <v>2</v>
      </c>
      <c r="E270" s="6">
        <v>139000</v>
      </c>
      <c r="F270" t="str">
        <f>VLOOKUP(C270,products!A:C,2,FALSE)</f>
        <v>Wajan Anti Lengket 24cm</v>
      </c>
      <c r="G270">
        <f t="shared" si="8"/>
        <v>278000</v>
      </c>
      <c r="H270">
        <f>VLOOKUP(C270,products!A:D,4,FALSE)</f>
        <v>65000</v>
      </c>
      <c r="I270">
        <f t="shared" si="9"/>
        <v>148000</v>
      </c>
      <c r="J270" t="str">
        <f>VLOOKUP(B270,orders!A:B,2,FALSE)</f>
        <v>CUST0046</v>
      </c>
      <c r="K270" t="str">
        <f>VLOOKUP(J270,customers!A:F,6,FALSE)</f>
        <v>Jakarta</v>
      </c>
    </row>
    <row r="271" spans="1:11" x14ac:dyDescent="0.35">
      <c r="A271" s="4" t="s">
        <v>1310</v>
      </c>
      <c r="B271" s="4" t="s">
        <v>798</v>
      </c>
      <c r="C271" s="4" t="s">
        <v>1029</v>
      </c>
      <c r="D271" s="4">
        <v>1</v>
      </c>
      <c r="E271" s="6">
        <v>39000</v>
      </c>
      <c r="F271" t="str">
        <f>VLOOKUP(C271,products!A:C,2,FALSE)</f>
        <v>Kabel Data USB-C</v>
      </c>
      <c r="G271">
        <f t="shared" si="8"/>
        <v>39000</v>
      </c>
      <c r="H271">
        <f>VLOOKUP(C271,products!A:D,4,FALSE)</f>
        <v>15000</v>
      </c>
      <c r="I271">
        <f t="shared" si="9"/>
        <v>24000</v>
      </c>
      <c r="J271" t="str">
        <f>VLOOKUP(B271,orders!A:B,2,FALSE)</f>
        <v>CUST0046</v>
      </c>
      <c r="K271" t="str">
        <f>VLOOKUP(J271,customers!A:F,6,FALSE)</f>
        <v>Jakarta</v>
      </c>
    </row>
    <row r="272" spans="1:11" x14ac:dyDescent="0.35">
      <c r="A272" s="4" t="s">
        <v>1311</v>
      </c>
      <c r="B272" s="4" t="s">
        <v>538</v>
      </c>
      <c r="C272" s="4" t="s">
        <v>1023</v>
      </c>
      <c r="D272" s="4">
        <v>1</v>
      </c>
      <c r="E272" s="6">
        <v>69000</v>
      </c>
      <c r="F272" t="str">
        <f>VLOOKUP(C272,products!A:C,2,FALSE)</f>
        <v>Lampu LED Hias 5m</v>
      </c>
      <c r="G272">
        <f t="shared" si="8"/>
        <v>69000</v>
      </c>
      <c r="H272">
        <f>VLOOKUP(C272,products!A:D,4,FALSE)</f>
        <v>30000</v>
      </c>
      <c r="I272">
        <f t="shared" si="9"/>
        <v>39000</v>
      </c>
      <c r="J272" t="str">
        <f>VLOOKUP(B272,orders!A:B,2,FALSE)</f>
        <v>CUST0189</v>
      </c>
      <c r="K272" t="str">
        <f>VLOOKUP(J272,customers!A:F,6,FALSE)</f>
        <v>Yogyakarta</v>
      </c>
    </row>
    <row r="273" spans="1:11" x14ac:dyDescent="0.35">
      <c r="A273" s="4" t="s">
        <v>1312</v>
      </c>
      <c r="B273" s="4" t="s">
        <v>318</v>
      </c>
      <c r="C273" s="4" t="s">
        <v>1029</v>
      </c>
      <c r="D273" s="4">
        <v>1</v>
      </c>
      <c r="E273" s="6">
        <v>39000</v>
      </c>
      <c r="F273" t="str">
        <f>VLOOKUP(C273,products!A:C,2,FALSE)</f>
        <v>Kabel Data USB-C</v>
      </c>
      <c r="G273">
        <f t="shared" si="8"/>
        <v>39000</v>
      </c>
      <c r="H273">
        <f>VLOOKUP(C273,products!A:D,4,FALSE)</f>
        <v>15000</v>
      </c>
      <c r="I273">
        <f t="shared" si="9"/>
        <v>24000</v>
      </c>
      <c r="J273" t="str">
        <f>VLOOKUP(B273,orders!A:B,2,FALSE)</f>
        <v>CUST0106</v>
      </c>
      <c r="K273" t="str">
        <f>VLOOKUP(J273,customers!A:F,6,FALSE)</f>
        <v>Medan</v>
      </c>
    </row>
    <row r="274" spans="1:11" x14ac:dyDescent="0.35">
      <c r="A274" s="4" t="s">
        <v>1313</v>
      </c>
      <c r="B274" s="4" t="s">
        <v>827</v>
      </c>
      <c r="C274" s="4" t="s">
        <v>1040</v>
      </c>
      <c r="D274" s="4">
        <v>1</v>
      </c>
      <c r="E274" s="6">
        <v>99000</v>
      </c>
      <c r="F274" t="str">
        <f>VLOOKUP(C274,products!A:C,2,FALSE)</f>
        <v>Mouse Wireless</v>
      </c>
      <c r="G274">
        <f t="shared" si="8"/>
        <v>99000</v>
      </c>
      <c r="H274">
        <f>VLOOKUP(C274,products!A:D,4,FALSE)</f>
        <v>45000</v>
      </c>
      <c r="I274">
        <f t="shared" si="9"/>
        <v>54000</v>
      </c>
      <c r="J274" t="str">
        <f>VLOOKUP(B274,orders!A:B,2,FALSE)</f>
        <v>CUST0189</v>
      </c>
      <c r="K274" t="str">
        <f>VLOOKUP(J274,customers!A:F,6,FALSE)</f>
        <v>Yogyakarta</v>
      </c>
    </row>
    <row r="275" spans="1:11" x14ac:dyDescent="0.35">
      <c r="A275" s="4" t="s">
        <v>1314</v>
      </c>
      <c r="B275" s="4" t="s">
        <v>827</v>
      </c>
      <c r="C275" s="4" t="s">
        <v>1023</v>
      </c>
      <c r="D275" s="4">
        <v>1</v>
      </c>
      <c r="E275" s="6">
        <v>69000</v>
      </c>
      <c r="F275" t="str">
        <f>VLOOKUP(C275,products!A:C,2,FALSE)</f>
        <v>Lampu LED Hias 5m</v>
      </c>
      <c r="G275">
        <f t="shared" si="8"/>
        <v>69000</v>
      </c>
      <c r="H275">
        <f>VLOOKUP(C275,products!A:D,4,FALSE)</f>
        <v>30000</v>
      </c>
      <c r="I275">
        <f t="shared" si="9"/>
        <v>39000</v>
      </c>
      <c r="J275" t="str">
        <f>VLOOKUP(B275,orders!A:B,2,FALSE)</f>
        <v>CUST0189</v>
      </c>
      <c r="K275" t="str">
        <f>VLOOKUP(J275,customers!A:F,6,FALSE)</f>
        <v>Yogyakarta</v>
      </c>
    </row>
    <row r="276" spans="1:11" x14ac:dyDescent="0.35">
      <c r="A276" s="4" t="s">
        <v>1315</v>
      </c>
      <c r="B276" s="4" t="s">
        <v>397</v>
      </c>
      <c r="C276" s="4" t="s">
        <v>1023</v>
      </c>
      <c r="D276" s="4">
        <v>3</v>
      </c>
      <c r="E276" s="6">
        <v>69000</v>
      </c>
      <c r="F276" t="str">
        <f>VLOOKUP(C276,products!A:C,2,FALSE)</f>
        <v>Lampu LED Hias 5m</v>
      </c>
      <c r="G276">
        <f t="shared" si="8"/>
        <v>207000</v>
      </c>
      <c r="H276">
        <f>VLOOKUP(C276,products!A:D,4,FALSE)</f>
        <v>30000</v>
      </c>
      <c r="I276">
        <f t="shared" si="9"/>
        <v>117000</v>
      </c>
      <c r="J276" t="str">
        <f>VLOOKUP(B276,orders!A:B,2,FALSE)</f>
        <v>CUST0069</v>
      </c>
      <c r="K276" t="str">
        <f>VLOOKUP(J276,customers!A:F,6,FALSE)</f>
        <v>Medan</v>
      </c>
    </row>
    <row r="277" spans="1:11" x14ac:dyDescent="0.35">
      <c r="A277" s="4" t="s">
        <v>1316</v>
      </c>
      <c r="B277" s="4" t="s">
        <v>397</v>
      </c>
      <c r="C277" s="4" t="s">
        <v>1025</v>
      </c>
      <c r="D277" s="4">
        <v>1</v>
      </c>
      <c r="E277" s="6">
        <v>179000</v>
      </c>
      <c r="F277" t="str">
        <f>VLOOKUP(C277,products!A:C,2,FALSE)</f>
        <v>Rak Penyimpanan Serbaguna</v>
      </c>
      <c r="G277">
        <f t="shared" si="8"/>
        <v>179000</v>
      </c>
      <c r="H277">
        <f>VLOOKUP(C277,products!A:D,4,FALSE)</f>
        <v>90000</v>
      </c>
      <c r="I277">
        <f t="shared" si="9"/>
        <v>89000</v>
      </c>
      <c r="J277" t="str">
        <f>VLOOKUP(B277,orders!A:B,2,FALSE)</f>
        <v>CUST0069</v>
      </c>
      <c r="K277" t="str">
        <f>VLOOKUP(J277,customers!A:F,6,FALSE)</f>
        <v>Medan</v>
      </c>
    </row>
    <row r="278" spans="1:11" x14ac:dyDescent="0.35">
      <c r="A278" s="4" t="s">
        <v>1317</v>
      </c>
      <c r="B278" s="4" t="s">
        <v>397</v>
      </c>
      <c r="C278" s="4" t="s">
        <v>1044</v>
      </c>
      <c r="D278" s="4">
        <v>1</v>
      </c>
      <c r="E278" s="6">
        <v>329000</v>
      </c>
      <c r="F278" t="str">
        <f>VLOOKUP(C278,products!A:C,2,FALSE)</f>
        <v>Rice Cooker Mini 1.5L</v>
      </c>
      <c r="G278">
        <f t="shared" si="8"/>
        <v>329000</v>
      </c>
      <c r="H278">
        <f>VLOOKUP(C278,products!A:D,4,FALSE)</f>
        <v>180000</v>
      </c>
      <c r="I278">
        <f t="shared" si="9"/>
        <v>149000</v>
      </c>
      <c r="J278" t="str">
        <f>VLOOKUP(B278,orders!A:B,2,FALSE)</f>
        <v>CUST0069</v>
      </c>
      <c r="K278" t="str">
        <f>VLOOKUP(J278,customers!A:F,6,FALSE)</f>
        <v>Medan</v>
      </c>
    </row>
    <row r="279" spans="1:11" x14ac:dyDescent="0.35">
      <c r="A279" s="4" t="s">
        <v>1318</v>
      </c>
      <c r="B279" s="4" t="s">
        <v>397</v>
      </c>
      <c r="C279" s="4" t="s">
        <v>1076</v>
      </c>
      <c r="D279" s="4">
        <v>1</v>
      </c>
      <c r="E279" s="6">
        <v>499000</v>
      </c>
      <c r="F279" t="str">
        <f>VLOOKUP(C279,products!A:C,2,FALSE)</f>
        <v>Smartwatch Lite</v>
      </c>
      <c r="G279">
        <f t="shared" si="8"/>
        <v>499000</v>
      </c>
      <c r="H279">
        <f>VLOOKUP(C279,products!A:D,4,FALSE)</f>
        <v>250000</v>
      </c>
      <c r="I279">
        <f t="shared" si="9"/>
        <v>249000</v>
      </c>
      <c r="J279" t="str">
        <f>VLOOKUP(B279,orders!A:B,2,FALSE)</f>
        <v>CUST0069</v>
      </c>
      <c r="K279" t="str">
        <f>VLOOKUP(J279,customers!A:F,6,FALSE)</f>
        <v>Medan</v>
      </c>
    </row>
    <row r="280" spans="1:11" x14ac:dyDescent="0.35">
      <c r="A280" s="4" t="s">
        <v>1319</v>
      </c>
      <c r="B280" s="4" t="s">
        <v>593</v>
      </c>
      <c r="C280" s="4" t="s">
        <v>1023</v>
      </c>
      <c r="D280" s="4">
        <v>1</v>
      </c>
      <c r="E280" s="6">
        <v>69000</v>
      </c>
      <c r="F280" t="str">
        <f>VLOOKUP(C280,products!A:C,2,FALSE)</f>
        <v>Lampu LED Hias 5m</v>
      </c>
      <c r="G280">
        <f t="shared" si="8"/>
        <v>69000</v>
      </c>
      <c r="H280">
        <f>VLOOKUP(C280,products!A:D,4,FALSE)</f>
        <v>30000</v>
      </c>
      <c r="I280">
        <f t="shared" si="9"/>
        <v>39000</v>
      </c>
      <c r="J280" t="str">
        <f>VLOOKUP(B280,orders!A:B,2,FALSE)</f>
        <v>CUST0028</v>
      </c>
      <c r="K280" t="str">
        <f>VLOOKUP(J280,customers!A:F,6,FALSE)</f>
        <v>Semarang</v>
      </c>
    </row>
    <row r="281" spans="1:11" x14ac:dyDescent="0.35">
      <c r="A281" s="4" t="s">
        <v>1320</v>
      </c>
      <c r="B281" s="4" t="s">
        <v>990</v>
      </c>
      <c r="C281" s="4" t="s">
        <v>1053</v>
      </c>
      <c r="D281" s="4">
        <v>3</v>
      </c>
      <c r="E281" s="6">
        <v>129000</v>
      </c>
      <c r="F281" t="str">
        <f>VLOOKUP(C281,products!A:C,2,FALSE)</f>
        <v>Charger Fast Charging 33W</v>
      </c>
      <c r="G281">
        <f t="shared" si="8"/>
        <v>387000</v>
      </c>
      <c r="H281">
        <f>VLOOKUP(C281,products!A:D,4,FALSE)</f>
        <v>60000</v>
      </c>
      <c r="I281">
        <f t="shared" si="9"/>
        <v>207000</v>
      </c>
      <c r="J281" t="str">
        <f>VLOOKUP(B281,orders!A:B,2,FALSE)</f>
        <v>CUST0121</v>
      </c>
      <c r="K281" t="str">
        <f>VLOOKUP(J281,customers!A:F,6,FALSE)</f>
        <v>Denpasar</v>
      </c>
    </row>
    <row r="282" spans="1:11" x14ac:dyDescent="0.35">
      <c r="A282" s="4" t="s">
        <v>1321</v>
      </c>
      <c r="B282" s="4" t="s">
        <v>990</v>
      </c>
      <c r="C282" s="4" t="s">
        <v>1036</v>
      </c>
      <c r="D282" s="4">
        <v>1</v>
      </c>
      <c r="E282" s="6">
        <v>229000</v>
      </c>
      <c r="F282" t="str">
        <f>VLOOKUP(C282,products!A:C,2,FALSE)</f>
        <v>Celana Jeans Slimfit</v>
      </c>
      <c r="G282">
        <f t="shared" si="8"/>
        <v>229000</v>
      </c>
      <c r="H282">
        <f>VLOOKUP(C282,products!A:D,4,FALSE)</f>
        <v>110000</v>
      </c>
      <c r="I282">
        <f t="shared" si="9"/>
        <v>119000</v>
      </c>
      <c r="J282" t="str">
        <f>VLOOKUP(B282,orders!A:B,2,FALSE)</f>
        <v>CUST0121</v>
      </c>
      <c r="K282" t="str">
        <f>VLOOKUP(J282,customers!A:F,6,FALSE)</f>
        <v>Denpasar</v>
      </c>
    </row>
    <row r="283" spans="1:11" x14ac:dyDescent="0.35">
      <c r="A283" s="4" t="s">
        <v>1322</v>
      </c>
      <c r="B283" s="4" t="s">
        <v>990</v>
      </c>
      <c r="C283" s="4" t="s">
        <v>1029</v>
      </c>
      <c r="D283" s="4">
        <v>2</v>
      </c>
      <c r="E283" s="6">
        <v>39000</v>
      </c>
      <c r="F283" t="str">
        <f>VLOOKUP(C283,products!A:C,2,FALSE)</f>
        <v>Kabel Data USB-C</v>
      </c>
      <c r="G283">
        <f t="shared" si="8"/>
        <v>78000</v>
      </c>
      <c r="H283">
        <f>VLOOKUP(C283,products!A:D,4,FALSE)</f>
        <v>15000</v>
      </c>
      <c r="I283">
        <f t="shared" si="9"/>
        <v>48000</v>
      </c>
      <c r="J283" t="str">
        <f>VLOOKUP(B283,orders!A:B,2,FALSE)</f>
        <v>CUST0121</v>
      </c>
      <c r="K283" t="str">
        <f>VLOOKUP(J283,customers!A:F,6,FALSE)</f>
        <v>Denpasar</v>
      </c>
    </row>
    <row r="284" spans="1:11" x14ac:dyDescent="0.35">
      <c r="A284" s="4" t="s">
        <v>1323</v>
      </c>
      <c r="B284" s="4" t="s">
        <v>384</v>
      </c>
      <c r="C284" s="4" t="s">
        <v>1023</v>
      </c>
      <c r="D284" s="4">
        <v>1</v>
      </c>
      <c r="E284" s="6">
        <v>69000</v>
      </c>
      <c r="F284" t="str">
        <f>VLOOKUP(C284,products!A:C,2,FALSE)</f>
        <v>Lampu LED Hias 5m</v>
      </c>
      <c r="G284">
        <f t="shared" si="8"/>
        <v>69000</v>
      </c>
      <c r="H284">
        <f>VLOOKUP(C284,products!A:D,4,FALSE)</f>
        <v>30000</v>
      </c>
      <c r="I284">
        <f t="shared" si="9"/>
        <v>39000</v>
      </c>
      <c r="J284" t="str">
        <f>VLOOKUP(B284,orders!A:B,2,FALSE)</f>
        <v>CUST0118</v>
      </c>
      <c r="K284" t="str">
        <f>VLOOKUP(J284,customers!A:F,6,FALSE)</f>
        <v>Jakarta</v>
      </c>
    </row>
    <row r="285" spans="1:11" x14ac:dyDescent="0.35">
      <c r="A285" s="4" t="s">
        <v>1324</v>
      </c>
      <c r="B285" s="4" t="s">
        <v>349</v>
      </c>
      <c r="C285" s="4" t="s">
        <v>1325</v>
      </c>
      <c r="D285" s="4">
        <v>1</v>
      </c>
      <c r="E285" s="6">
        <v>199000</v>
      </c>
      <c r="F285" t="str">
        <f>VLOOKUP(C285,products!A:C,2,FALSE)</f>
        <v>Speaker Bluetooth Mini</v>
      </c>
      <c r="G285">
        <f t="shared" si="8"/>
        <v>199000</v>
      </c>
      <c r="H285">
        <f>VLOOKUP(C285,products!A:D,4,FALSE)</f>
        <v>100000</v>
      </c>
      <c r="I285">
        <f t="shared" si="9"/>
        <v>99000</v>
      </c>
      <c r="J285" t="str">
        <f>VLOOKUP(B285,orders!A:B,2,FALSE)</f>
        <v>CUST0059</v>
      </c>
      <c r="K285" t="str">
        <f>VLOOKUP(J285,customers!A:F,6,FALSE)</f>
        <v>Yogyakarta</v>
      </c>
    </row>
    <row r="286" spans="1:11" x14ac:dyDescent="0.35">
      <c r="A286" s="4" t="s">
        <v>1326</v>
      </c>
      <c r="B286" s="4" t="s">
        <v>349</v>
      </c>
      <c r="C286" s="4" t="s">
        <v>1082</v>
      </c>
      <c r="D286" s="4">
        <v>1</v>
      </c>
      <c r="E286" s="6">
        <v>399000</v>
      </c>
      <c r="F286" t="str">
        <f>VLOOKUP(C286,products!A:C,2,FALSE)</f>
        <v>Keyboard Mechanical Mini</v>
      </c>
      <c r="G286">
        <f t="shared" si="8"/>
        <v>399000</v>
      </c>
      <c r="H286">
        <f>VLOOKUP(C286,products!A:D,4,FALSE)</f>
        <v>200000</v>
      </c>
      <c r="I286">
        <f t="shared" si="9"/>
        <v>199000</v>
      </c>
      <c r="J286" t="str">
        <f>VLOOKUP(B286,orders!A:B,2,FALSE)</f>
        <v>CUST0059</v>
      </c>
      <c r="K286" t="str">
        <f>VLOOKUP(J286,customers!A:F,6,FALSE)</f>
        <v>Yogyakarta</v>
      </c>
    </row>
    <row r="287" spans="1:11" x14ac:dyDescent="0.35">
      <c r="A287" s="4" t="s">
        <v>1327</v>
      </c>
      <c r="B287" s="4" t="s">
        <v>873</v>
      </c>
      <c r="C287" s="4" t="s">
        <v>1023</v>
      </c>
      <c r="D287" s="4">
        <v>2</v>
      </c>
      <c r="E287" s="6">
        <v>69000</v>
      </c>
      <c r="F287" t="str">
        <f>VLOOKUP(C287,products!A:C,2,FALSE)</f>
        <v>Lampu LED Hias 5m</v>
      </c>
      <c r="G287">
        <f t="shared" si="8"/>
        <v>138000</v>
      </c>
      <c r="H287">
        <f>VLOOKUP(C287,products!A:D,4,FALSE)</f>
        <v>30000</v>
      </c>
      <c r="I287">
        <f t="shared" si="9"/>
        <v>78000</v>
      </c>
      <c r="J287" t="str">
        <f>VLOOKUP(B287,orders!A:B,2,FALSE)</f>
        <v>CUST0169</v>
      </c>
      <c r="K287" t="str">
        <f>VLOOKUP(J287,customers!A:F,6,FALSE)</f>
        <v>Palembang</v>
      </c>
    </row>
    <row r="288" spans="1:11" x14ac:dyDescent="0.35">
      <c r="A288" s="4" t="s">
        <v>1328</v>
      </c>
      <c r="B288" s="4" t="s">
        <v>873</v>
      </c>
      <c r="C288" s="4" t="s">
        <v>1082</v>
      </c>
      <c r="D288" s="4">
        <v>1</v>
      </c>
      <c r="E288" s="6">
        <v>399000</v>
      </c>
      <c r="F288" t="str">
        <f>VLOOKUP(C288,products!A:C,2,FALSE)</f>
        <v>Keyboard Mechanical Mini</v>
      </c>
      <c r="G288">
        <f t="shared" si="8"/>
        <v>399000</v>
      </c>
      <c r="H288">
        <f>VLOOKUP(C288,products!A:D,4,FALSE)</f>
        <v>200000</v>
      </c>
      <c r="I288">
        <f t="shared" si="9"/>
        <v>199000</v>
      </c>
      <c r="J288" t="str">
        <f>VLOOKUP(B288,orders!A:B,2,FALSE)</f>
        <v>CUST0169</v>
      </c>
      <c r="K288" t="str">
        <f>VLOOKUP(J288,customers!A:F,6,FALSE)</f>
        <v>Palembang</v>
      </c>
    </row>
    <row r="289" spans="1:11" x14ac:dyDescent="0.35">
      <c r="A289" s="4" t="s">
        <v>1329</v>
      </c>
      <c r="B289" s="4" t="s">
        <v>730</v>
      </c>
      <c r="C289" s="4" t="s">
        <v>1036</v>
      </c>
      <c r="D289" s="4">
        <v>1</v>
      </c>
      <c r="E289" s="6">
        <v>229000</v>
      </c>
      <c r="F289" t="str">
        <f>VLOOKUP(C289,products!A:C,2,FALSE)</f>
        <v>Celana Jeans Slimfit</v>
      </c>
      <c r="G289">
        <f t="shared" si="8"/>
        <v>229000</v>
      </c>
      <c r="H289">
        <f>VLOOKUP(C289,products!A:D,4,FALSE)</f>
        <v>110000</v>
      </c>
      <c r="I289">
        <f t="shared" si="9"/>
        <v>119000</v>
      </c>
      <c r="J289" t="str">
        <f>VLOOKUP(B289,orders!A:B,2,FALSE)</f>
        <v>CUST0085</v>
      </c>
      <c r="K289" t="str">
        <f>VLOOKUP(J289,customers!A:F,6,FALSE)</f>
        <v>Jakarta</v>
      </c>
    </row>
    <row r="290" spans="1:11" x14ac:dyDescent="0.35">
      <c r="A290" s="4" t="s">
        <v>1330</v>
      </c>
      <c r="B290" s="4" t="s">
        <v>730</v>
      </c>
      <c r="C290" s="4" t="s">
        <v>1084</v>
      </c>
      <c r="D290" s="4">
        <v>1</v>
      </c>
      <c r="E290" s="6">
        <v>79000</v>
      </c>
      <c r="F290" t="str">
        <f>VLOOKUP(C290,products!A:C,2,FALSE)</f>
        <v>Botol Minum Stainless 1L</v>
      </c>
      <c r="G290">
        <f t="shared" si="8"/>
        <v>79000</v>
      </c>
      <c r="H290">
        <f>VLOOKUP(C290,products!A:D,4,FALSE)</f>
        <v>35000</v>
      </c>
      <c r="I290">
        <f t="shared" si="9"/>
        <v>44000</v>
      </c>
      <c r="J290" t="str">
        <f>VLOOKUP(B290,orders!A:B,2,FALSE)</f>
        <v>CUST0085</v>
      </c>
      <c r="K290" t="str">
        <f>VLOOKUP(J290,customers!A:F,6,FALSE)</f>
        <v>Jakarta</v>
      </c>
    </row>
    <row r="291" spans="1:11" x14ac:dyDescent="0.35">
      <c r="A291" s="4" t="s">
        <v>1331</v>
      </c>
      <c r="B291" s="4" t="s">
        <v>612</v>
      </c>
      <c r="C291" s="4" t="s">
        <v>1023</v>
      </c>
      <c r="D291" s="4">
        <v>1</v>
      </c>
      <c r="E291" s="6">
        <v>69000</v>
      </c>
      <c r="F291" t="str">
        <f>VLOOKUP(C291,products!A:C,2,FALSE)</f>
        <v>Lampu LED Hias 5m</v>
      </c>
      <c r="G291">
        <f t="shared" si="8"/>
        <v>69000</v>
      </c>
      <c r="H291">
        <f>VLOOKUP(C291,products!A:D,4,FALSE)</f>
        <v>30000</v>
      </c>
      <c r="I291">
        <f t="shared" si="9"/>
        <v>39000</v>
      </c>
      <c r="J291" t="str">
        <f>VLOOKUP(B291,orders!A:B,2,FALSE)</f>
        <v>CUST0018</v>
      </c>
      <c r="K291" t="str">
        <f>VLOOKUP(J291,customers!A:F,6,FALSE)</f>
        <v>Denpasar</v>
      </c>
    </row>
    <row r="292" spans="1:11" x14ac:dyDescent="0.35">
      <c r="A292" s="4" t="s">
        <v>1332</v>
      </c>
      <c r="B292" s="4" t="s">
        <v>612</v>
      </c>
      <c r="C292" s="4" t="s">
        <v>1082</v>
      </c>
      <c r="D292" s="4">
        <v>1</v>
      </c>
      <c r="E292" s="6">
        <v>399000</v>
      </c>
      <c r="F292" t="str">
        <f>VLOOKUP(C292,products!A:C,2,FALSE)</f>
        <v>Keyboard Mechanical Mini</v>
      </c>
      <c r="G292">
        <f t="shared" si="8"/>
        <v>399000</v>
      </c>
      <c r="H292">
        <f>VLOOKUP(C292,products!A:D,4,FALSE)</f>
        <v>200000</v>
      </c>
      <c r="I292">
        <f t="shared" si="9"/>
        <v>199000</v>
      </c>
      <c r="J292" t="str">
        <f>VLOOKUP(B292,orders!A:B,2,FALSE)</f>
        <v>CUST0018</v>
      </c>
      <c r="K292" t="str">
        <f>VLOOKUP(J292,customers!A:F,6,FALSE)</f>
        <v>Denpasar</v>
      </c>
    </row>
    <row r="293" spans="1:11" x14ac:dyDescent="0.35">
      <c r="A293" s="4" t="s">
        <v>1333</v>
      </c>
      <c r="B293" s="4" t="s">
        <v>612</v>
      </c>
      <c r="C293" s="4" t="s">
        <v>1029</v>
      </c>
      <c r="D293" s="4">
        <v>1</v>
      </c>
      <c r="E293" s="6">
        <v>39000</v>
      </c>
      <c r="F293" t="str">
        <f>VLOOKUP(C293,products!A:C,2,FALSE)</f>
        <v>Kabel Data USB-C</v>
      </c>
      <c r="G293">
        <f t="shared" si="8"/>
        <v>39000</v>
      </c>
      <c r="H293">
        <f>VLOOKUP(C293,products!A:D,4,FALSE)</f>
        <v>15000</v>
      </c>
      <c r="I293">
        <f t="shared" si="9"/>
        <v>24000</v>
      </c>
      <c r="J293" t="str">
        <f>VLOOKUP(B293,orders!A:B,2,FALSE)</f>
        <v>CUST0018</v>
      </c>
      <c r="K293" t="str">
        <f>VLOOKUP(J293,customers!A:F,6,FALSE)</f>
        <v>Denpasar</v>
      </c>
    </row>
    <row r="294" spans="1:11" x14ac:dyDescent="0.35">
      <c r="A294" s="4" t="s">
        <v>1334</v>
      </c>
      <c r="B294" s="4" t="s">
        <v>968</v>
      </c>
      <c r="C294" s="4" t="s">
        <v>1029</v>
      </c>
      <c r="D294" s="4">
        <v>1</v>
      </c>
      <c r="E294" s="6">
        <v>39000</v>
      </c>
      <c r="F294" t="str">
        <f>VLOOKUP(C294,products!A:C,2,FALSE)</f>
        <v>Kabel Data USB-C</v>
      </c>
      <c r="G294">
        <f t="shared" si="8"/>
        <v>39000</v>
      </c>
      <c r="H294">
        <f>VLOOKUP(C294,products!A:D,4,FALSE)</f>
        <v>15000</v>
      </c>
      <c r="I294">
        <f t="shared" si="9"/>
        <v>24000</v>
      </c>
      <c r="J294" t="str">
        <f>VLOOKUP(B294,orders!A:B,2,FALSE)</f>
        <v>CUST0090</v>
      </c>
      <c r="K294" t="str">
        <f>VLOOKUP(J294,customers!A:F,6,FALSE)</f>
        <v>Denpasar</v>
      </c>
    </row>
    <row r="295" spans="1:11" x14ac:dyDescent="0.35">
      <c r="A295" s="4" t="s">
        <v>1335</v>
      </c>
      <c r="B295" s="4" t="s">
        <v>968</v>
      </c>
      <c r="C295" s="4" t="s">
        <v>1023</v>
      </c>
      <c r="D295" s="4">
        <v>2</v>
      </c>
      <c r="E295" s="6">
        <v>69000</v>
      </c>
      <c r="F295" t="str">
        <f>VLOOKUP(C295,products!A:C,2,FALSE)</f>
        <v>Lampu LED Hias 5m</v>
      </c>
      <c r="G295">
        <f t="shared" si="8"/>
        <v>138000</v>
      </c>
      <c r="H295">
        <f>VLOOKUP(C295,products!A:D,4,FALSE)</f>
        <v>30000</v>
      </c>
      <c r="I295">
        <f t="shared" si="9"/>
        <v>78000</v>
      </c>
      <c r="J295" t="str">
        <f>VLOOKUP(B295,orders!A:B,2,FALSE)</f>
        <v>CUST0090</v>
      </c>
      <c r="K295" t="str">
        <f>VLOOKUP(J295,customers!A:F,6,FALSE)</f>
        <v>Denpasar</v>
      </c>
    </row>
    <row r="296" spans="1:11" x14ac:dyDescent="0.35">
      <c r="A296" s="4" t="s">
        <v>1336</v>
      </c>
      <c r="B296" s="4" t="s">
        <v>968</v>
      </c>
      <c r="C296" s="4" t="s">
        <v>1033</v>
      </c>
      <c r="D296" s="4">
        <v>1</v>
      </c>
      <c r="E296" s="6">
        <v>55000</v>
      </c>
      <c r="F296" t="str">
        <f>VLOOKUP(C296,products!A:C,2,FALSE)</f>
        <v>Sapu + Pengki Set</v>
      </c>
      <c r="G296">
        <f t="shared" si="8"/>
        <v>55000</v>
      </c>
      <c r="H296">
        <f>VLOOKUP(C296,products!A:D,4,FALSE)</f>
        <v>25000</v>
      </c>
      <c r="I296">
        <f t="shared" si="9"/>
        <v>30000</v>
      </c>
      <c r="J296" t="str">
        <f>VLOOKUP(B296,orders!A:B,2,FALSE)</f>
        <v>CUST0090</v>
      </c>
      <c r="K296" t="str">
        <f>VLOOKUP(J296,customers!A:F,6,FALSE)</f>
        <v>Denpasar</v>
      </c>
    </row>
    <row r="297" spans="1:11" x14ac:dyDescent="0.35">
      <c r="A297" s="4" t="s">
        <v>1337</v>
      </c>
      <c r="B297" s="4" t="s">
        <v>372</v>
      </c>
      <c r="C297" s="4" t="s">
        <v>1023</v>
      </c>
      <c r="D297" s="4">
        <v>1</v>
      </c>
      <c r="E297" s="6">
        <v>69000</v>
      </c>
      <c r="F297" t="str">
        <f>VLOOKUP(C297,products!A:C,2,FALSE)</f>
        <v>Lampu LED Hias 5m</v>
      </c>
      <c r="G297">
        <f t="shared" si="8"/>
        <v>69000</v>
      </c>
      <c r="H297">
        <f>VLOOKUP(C297,products!A:D,4,FALSE)</f>
        <v>30000</v>
      </c>
      <c r="I297">
        <f t="shared" si="9"/>
        <v>39000</v>
      </c>
      <c r="J297" t="str">
        <f>VLOOKUP(B297,orders!A:B,2,FALSE)</f>
        <v>CUST0103</v>
      </c>
      <c r="K297" t="str">
        <f>VLOOKUP(J297,customers!A:F,6,FALSE)</f>
        <v>Semarang</v>
      </c>
    </row>
    <row r="298" spans="1:11" x14ac:dyDescent="0.35">
      <c r="A298" s="4" t="s">
        <v>1338</v>
      </c>
      <c r="B298" s="4" t="s">
        <v>372</v>
      </c>
      <c r="C298" s="4" t="s">
        <v>1029</v>
      </c>
      <c r="D298" s="4">
        <v>1</v>
      </c>
      <c r="E298" s="6">
        <v>39000</v>
      </c>
      <c r="F298" t="str">
        <f>VLOOKUP(C298,products!A:C,2,FALSE)</f>
        <v>Kabel Data USB-C</v>
      </c>
      <c r="G298">
        <f t="shared" si="8"/>
        <v>39000</v>
      </c>
      <c r="H298">
        <f>VLOOKUP(C298,products!A:D,4,FALSE)</f>
        <v>15000</v>
      </c>
      <c r="I298">
        <f t="shared" si="9"/>
        <v>24000</v>
      </c>
      <c r="J298" t="str">
        <f>VLOOKUP(B298,orders!A:B,2,FALSE)</f>
        <v>CUST0103</v>
      </c>
      <c r="K298" t="str">
        <f>VLOOKUP(J298,customers!A:F,6,FALSE)</f>
        <v>Semarang</v>
      </c>
    </row>
    <row r="299" spans="1:11" x14ac:dyDescent="0.35">
      <c r="A299" s="4" t="s">
        <v>1339</v>
      </c>
      <c r="B299" s="4" t="s">
        <v>372</v>
      </c>
      <c r="C299" s="4" t="s">
        <v>1044</v>
      </c>
      <c r="D299" s="4">
        <v>2</v>
      </c>
      <c r="E299" s="6">
        <v>329000</v>
      </c>
      <c r="F299" t="str">
        <f>VLOOKUP(C299,products!A:C,2,FALSE)</f>
        <v>Rice Cooker Mini 1.5L</v>
      </c>
      <c r="G299">
        <f t="shared" si="8"/>
        <v>658000</v>
      </c>
      <c r="H299">
        <f>VLOOKUP(C299,products!A:D,4,FALSE)</f>
        <v>180000</v>
      </c>
      <c r="I299">
        <f t="shared" si="9"/>
        <v>298000</v>
      </c>
      <c r="J299" t="str">
        <f>VLOOKUP(B299,orders!A:B,2,FALSE)</f>
        <v>CUST0103</v>
      </c>
      <c r="K299" t="str">
        <f>VLOOKUP(J299,customers!A:F,6,FALSE)</f>
        <v>Semarang</v>
      </c>
    </row>
    <row r="300" spans="1:11" x14ac:dyDescent="0.35">
      <c r="A300" s="4" t="s">
        <v>1340</v>
      </c>
      <c r="B300" s="4" t="s">
        <v>617</v>
      </c>
      <c r="C300" s="4" t="s">
        <v>1084</v>
      </c>
      <c r="D300" s="4">
        <v>1</v>
      </c>
      <c r="E300" s="6">
        <v>79000</v>
      </c>
      <c r="F300" t="str">
        <f>VLOOKUP(C300,products!A:C,2,FALSE)</f>
        <v>Botol Minum Stainless 1L</v>
      </c>
      <c r="G300">
        <f t="shared" si="8"/>
        <v>79000</v>
      </c>
      <c r="H300">
        <f>VLOOKUP(C300,products!A:D,4,FALSE)</f>
        <v>35000</v>
      </c>
      <c r="I300">
        <f t="shared" si="9"/>
        <v>44000</v>
      </c>
      <c r="J300" t="str">
        <f>VLOOKUP(B300,orders!A:B,2,FALSE)</f>
        <v>CUST0138</v>
      </c>
      <c r="K300" t="str">
        <f>VLOOKUP(J300,customers!A:F,6,FALSE)</f>
        <v>Medan</v>
      </c>
    </row>
    <row r="301" spans="1:11" x14ac:dyDescent="0.35">
      <c r="A301" s="4" t="s">
        <v>1341</v>
      </c>
      <c r="B301" s="4" t="s">
        <v>487</v>
      </c>
      <c r="C301" s="4" t="s">
        <v>1023</v>
      </c>
      <c r="D301" s="4">
        <v>1</v>
      </c>
      <c r="E301" s="6">
        <v>69000</v>
      </c>
      <c r="F301" t="str">
        <f>VLOOKUP(C301,products!A:C,2,FALSE)</f>
        <v>Lampu LED Hias 5m</v>
      </c>
      <c r="G301">
        <f t="shared" si="8"/>
        <v>69000</v>
      </c>
      <c r="H301">
        <f>VLOOKUP(C301,products!A:D,4,FALSE)</f>
        <v>30000</v>
      </c>
      <c r="I301">
        <f t="shared" si="9"/>
        <v>39000</v>
      </c>
      <c r="J301" t="str">
        <f>VLOOKUP(B301,orders!A:B,2,FALSE)</f>
        <v>CUST0067</v>
      </c>
      <c r="K301" t="str">
        <f>VLOOKUP(J301,customers!A:F,6,FALSE)</f>
        <v>Jakarta</v>
      </c>
    </row>
    <row r="302" spans="1:11" x14ac:dyDescent="0.35">
      <c r="A302" s="4" t="s">
        <v>1342</v>
      </c>
      <c r="B302" s="4" t="s">
        <v>413</v>
      </c>
      <c r="C302" s="4" t="s">
        <v>1029</v>
      </c>
      <c r="D302" s="4">
        <v>1</v>
      </c>
      <c r="E302" s="6">
        <v>39000</v>
      </c>
      <c r="F302" t="str">
        <f>VLOOKUP(C302,products!A:C,2,FALSE)</f>
        <v>Kabel Data USB-C</v>
      </c>
      <c r="G302">
        <f t="shared" si="8"/>
        <v>39000</v>
      </c>
      <c r="H302">
        <f>VLOOKUP(C302,products!A:D,4,FALSE)</f>
        <v>15000</v>
      </c>
      <c r="I302">
        <f t="shared" si="9"/>
        <v>24000</v>
      </c>
      <c r="J302" t="str">
        <f>VLOOKUP(B302,orders!A:B,2,FALSE)</f>
        <v>CUST0068</v>
      </c>
      <c r="K302" t="str">
        <f>VLOOKUP(J302,customers!A:F,6,FALSE)</f>
        <v>Denpasar</v>
      </c>
    </row>
    <row r="303" spans="1:11" x14ac:dyDescent="0.35">
      <c r="A303" s="4" t="s">
        <v>1343</v>
      </c>
      <c r="B303" s="4" t="s">
        <v>571</v>
      </c>
      <c r="C303" s="4" t="s">
        <v>1029</v>
      </c>
      <c r="D303" s="4">
        <v>2</v>
      </c>
      <c r="E303" s="6">
        <v>39000</v>
      </c>
      <c r="F303" t="str">
        <f>VLOOKUP(C303,products!A:C,2,FALSE)</f>
        <v>Kabel Data USB-C</v>
      </c>
      <c r="G303">
        <f t="shared" si="8"/>
        <v>78000</v>
      </c>
      <c r="H303">
        <f>VLOOKUP(C303,products!A:D,4,FALSE)</f>
        <v>15000</v>
      </c>
      <c r="I303">
        <f t="shared" si="9"/>
        <v>48000</v>
      </c>
      <c r="J303" t="str">
        <f>VLOOKUP(B303,orders!A:B,2,FALSE)</f>
        <v>CUST0153</v>
      </c>
      <c r="K303" t="str">
        <f>VLOOKUP(J303,customers!A:F,6,FALSE)</f>
        <v>Depok</v>
      </c>
    </row>
    <row r="304" spans="1:11" x14ac:dyDescent="0.35">
      <c r="A304" s="4" t="s">
        <v>1344</v>
      </c>
      <c r="B304" s="4" t="s">
        <v>410</v>
      </c>
      <c r="C304" s="4" t="s">
        <v>1023</v>
      </c>
      <c r="D304" s="4">
        <v>1</v>
      </c>
      <c r="E304" s="6">
        <v>69000</v>
      </c>
      <c r="F304" t="str">
        <f>VLOOKUP(C304,products!A:C,2,FALSE)</f>
        <v>Lampu LED Hias 5m</v>
      </c>
      <c r="G304">
        <f t="shared" si="8"/>
        <v>69000</v>
      </c>
      <c r="H304">
        <f>VLOOKUP(C304,products!A:D,4,FALSE)</f>
        <v>30000</v>
      </c>
      <c r="I304">
        <f t="shared" si="9"/>
        <v>39000</v>
      </c>
      <c r="J304" t="str">
        <f>VLOOKUP(B304,orders!A:B,2,FALSE)</f>
        <v>CUST0187</v>
      </c>
      <c r="K304" t="str">
        <f>VLOOKUP(J304,customers!A:F,6,FALSE)</f>
        <v>Jakarta</v>
      </c>
    </row>
    <row r="305" spans="1:11" x14ac:dyDescent="0.35">
      <c r="A305" s="4" t="s">
        <v>1345</v>
      </c>
      <c r="B305" s="4" t="s">
        <v>410</v>
      </c>
      <c r="C305" s="4" t="s">
        <v>1029</v>
      </c>
      <c r="D305" s="4">
        <v>1</v>
      </c>
      <c r="E305" s="6">
        <v>39000</v>
      </c>
      <c r="F305" t="str">
        <f>VLOOKUP(C305,products!A:C,2,FALSE)</f>
        <v>Kabel Data USB-C</v>
      </c>
      <c r="G305">
        <f t="shared" si="8"/>
        <v>39000</v>
      </c>
      <c r="H305">
        <f>VLOOKUP(C305,products!A:D,4,FALSE)</f>
        <v>15000</v>
      </c>
      <c r="I305">
        <f t="shared" si="9"/>
        <v>24000</v>
      </c>
      <c r="J305" t="str">
        <f>VLOOKUP(B305,orders!A:B,2,FALSE)</f>
        <v>CUST0187</v>
      </c>
      <c r="K305" t="str">
        <f>VLOOKUP(J305,customers!A:F,6,FALSE)</f>
        <v>Jakarta</v>
      </c>
    </row>
    <row r="306" spans="1:11" x14ac:dyDescent="0.35">
      <c r="A306" s="4" t="s">
        <v>1346</v>
      </c>
      <c r="B306" s="4" t="s">
        <v>622</v>
      </c>
      <c r="C306" s="4" t="s">
        <v>1029</v>
      </c>
      <c r="D306" s="4">
        <v>1</v>
      </c>
      <c r="E306" s="6">
        <v>39000</v>
      </c>
      <c r="F306" t="str">
        <f>VLOOKUP(C306,products!A:C,2,FALSE)</f>
        <v>Kabel Data USB-C</v>
      </c>
      <c r="G306">
        <f t="shared" si="8"/>
        <v>39000</v>
      </c>
      <c r="H306">
        <f>VLOOKUP(C306,products!A:D,4,FALSE)</f>
        <v>15000</v>
      </c>
      <c r="I306">
        <f t="shared" si="9"/>
        <v>24000</v>
      </c>
      <c r="J306" t="str">
        <f>VLOOKUP(B306,orders!A:B,2,FALSE)</f>
        <v>CUST0131</v>
      </c>
      <c r="K306" t="str">
        <f>VLOOKUP(J306,customers!A:F,6,FALSE)</f>
        <v>Semarang</v>
      </c>
    </row>
    <row r="307" spans="1:11" x14ac:dyDescent="0.35">
      <c r="A307" s="4" t="s">
        <v>1347</v>
      </c>
      <c r="B307" s="4" t="s">
        <v>369</v>
      </c>
      <c r="C307" s="4" t="s">
        <v>1023</v>
      </c>
      <c r="D307" s="4">
        <v>2</v>
      </c>
      <c r="E307" s="6">
        <v>69000</v>
      </c>
      <c r="F307" t="str">
        <f>VLOOKUP(C307,products!A:C,2,FALSE)</f>
        <v>Lampu LED Hias 5m</v>
      </c>
      <c r="G307">
        <f t="shared" si="8"/>
        <v>138000</v>
      </c>
      <c r="H307">
        <f>VLOOKUP(C307,products!A:D,4,FALSE)</f>
        <v>30000</v>
      </c>
      <c r="I307">
        <f t="shared" si="9"/>
        <v>78000</v>
      </c>
      <c r="J307" t="str">
        <f>VLOOKUP(B307,orders!A:B,2,FALSE)</f>
        <v>CUST0148</v>
      </c>
      <c r="K307" t="str">
        <f>VLOOKUP(J307,customers!A:F,6,FALSE)</f>
        <v>Jakarta</v>
      </c>
    </row>
    <row r="308" spans="1:11" x14ac:dyDescent="0.35">
      <c r="A308" s="4" t="s">
        <v>1348</v>
      </c>
      <c r="B308" s="4" t="s">
        <v>358</v>
      </c>
      <c r="C308" s="4" t="s">
        <v>1049</v>
      </c>
      <c r="D308" s="4">
        <v>1</v>
      </c>
      <c r="E308" s="6">
        <v>349000</v>
      </c>
      <c r="F308" t="str">
        <f>VLOOKUP(C308,products!A:C,2,FALSE)</f>
        <v>Sepatu Sneakers Casual</v>
      </c>
      <c r="G308">
        <f t="shared" si="8"/>
        <v>349000</v>
      </c>
      <c r="H308">
        <f>VLOOKUP(C308,products!A:D,4,FALSE)</f>
        <v>180000</v>
      </c>
      <c r="I308">
        <f t="shared" si="9"/>
        <v>169000</v>
      </c>
      <c r="J308" t="str">
        <f>VLOOKUP(B308,orders!A:B,2,FALSE)</f>
        <v>CUST0182</v>
      </c>
      <c r="K308" t="str">
        <f>VLOOKUP(J308,customers!A:F,6,FALSE)</f>
        <v>Bandung</v>
      </c>
    </row>
    <row r="309" spans="1:11" x14ac:dyDescent="0.35">
      <c r="A309" s="4" t="s">
        <v>1349</v>
      </c>
      <c r="B309" s="4" t="s">
        <v>628</v>
      </c>
      <c r="C309" s="4" t="s">
        <v>1089</v>
      </c>
      <c r="D309" s="4">
        <v>3</v>
      </c>
      <c r="E309" s="6">
        <v>159000</v>
      </c>
      <c r="F309" t="str">
        <f>VLOOKUP(C309,products!A:C,2,FALSE)</f>
        <v>Power Bank 10000mAh</v>
      </c>
      <c r="G309">
        <f t="shared" si="8"/>
        <v>477000</v>
      </c>
      <c r="H309">
        <f>VLOOKUP(C309,products!A:D,4,FALSE)</f>
        <v>80000</v>
      </c>
      <c r="I309">
        <f t="shared" si="9"/>
        <v>237000</v>
      </c>
      <c r="J309" t="str">
        <f>VLOOKUP(B309,orders!A:B,2,FALSE)</f>
        <v>CUST0138</v>
      </c>
      <c r="K309" t="str">
        <f>VLOOKUP(J309,customers!A:F,6,FALSE)</f>
        <v>Medan</v>
      </c>
    </row>
    <row r="310" spans="1:11" x14ac:dyDescent="0.35">
      <c r="A310" s="4" t="s">
        <v>1350</v>
      </c>
      <c r="B310" s="4" t="s">
        <v>820</v>
      </c>
      <c r="C310" s="4" t="s">
        <v>1031</v>
      </c>
      <c r="D310" s="4">
        <v>1</v>
      </c>
      <c r="E310" s="6">
        <v>79000</v>
      </c>
      <c r="F310" t="str">
        <f>VLOOKUP(C310,products!A:C,2,FALSE)</f>
        <v>Kaos Polos Cotton Combed</v>
      </c>
      <c r="G310">
        <f t="shared" si="8"/>
        <v>79000</v>
      </c>
      <c r="H310">
        <f>VLOOKUP(C310,products!A:D,4,FALSE)</f>
        <v>35000</v>
      </c>
      <c r="I310">
        <f t="shared" si="9"/>
        <v>44000</v>
      </c>
      <c r="J310" t="str">
        <f>VLOOKUP(B310,orders!A:B,2,FALSE)</f>
        <v>CUST0189</v>
      </c>
      <c r="K310" t="str">
        <f>VLOOKUP(J310,customers!A:F,6,FALSE)</f>
        <v>Yogyakarta</v>
      </c>
    </row>
    <row r="311" spans="1:11" x14ac:dyDescent="0.35">
      <c r="A311" s="4" t="s">
        <v>1351</v>
      </c>
      <c r="B311" s="4" t="s">
        <v>726</v>
      </c>
      <c r="C311" s="4" t="s">
        <v>1029</v>
      </c>
      <c r="D311" s="4">
        <v>2</v>
      </c>
      <c r="E311" s="6">
        <v>39000</v>
      </c>
      <c r="F311" t="str">
        <f>VLOOKUP(C311,products!A:C,2,FALSE)</f>
        <v>Kabel Data USB-C</v>
      </c>
      <c r="G311">
        <f t="shared" si="8"/>
        <v>78000</v>
      </c>
      <c r="H311">
        <f>VLOOKUP(C311,products!A:D,4,FALSE)</f>
        <v>15000</v>
      </c>
      <c r="I311">
        <f t="shared" si="9"/>
        <v>48000</v>
      </c>
      <c r="J311" t="str">
        <f>VLOOKUP(B311,orders!A:B,2,FALSE)</f>
        <v>CUST0094</v>
      </c>
      <c r="K311" t="str">
        <f>VLOOKUP(J311,customers!A:F,6,FALSE)</f>
        <v>Yogyakarta</v>
      </c>
    </row>
    <row r="312" spans="1:11" x14ac:dyDescent="0.35">
      <c r="A312" s="4" t="s">
        <v>1352</v>
      </c>
      <c r="B312" s="4" t="s">
        <v>329</v>
      </c>
      <c r="C312" s="4" t="s">
        <v>1023</v>
      </c>
      <c r="D312" s="4">
        <v>1</v>
      </c>
      <c r="E312" s="6">
        <v>69000</v>
      </c>
      <c r="F312" t="str">
        <f>VLOOKUP(C312,products!A:C,2,FALSE)</f>
        <v>Lampu LED Hias 5m</v>
      </c>
      <c r="G312">
        <f t="shared" si="8"/>
        <v>69000</v>
      </c>
      <c r="H312">
        <f>VLOOKUP(C312,products!A:D,4,FALSE)</f>
        <v>30000</v>
      </c>
      <c r="I312">
        <f t="shared" si="9"/>
        <v>39000</v>
      </c>
      <c r="J312" t="str">
        <f>VLOOKUP(B312,orders!A:B,2,FALSE)</f>
        <v>CUST0085</v>
      </c>
      <c r="K312" t="str">
        <f>VLOOKUP(J312,customers!A:F,6,FALSE)</f>
        <v>Jakarta</v>
      </c>
    </row>
    <row r="313" spans="1:11" x14ac:dyDescent="0.35">
      <c r="A313" s="4" t="s">
        <v>1353</v>
      </c>
      <c r="B313" s="4" t="s">
        <v>329</v>
      </c>
      <c r="C313" s="4" t="s">
        <v>1036</v>
      </c>
      <c r="D313" s="4">
        <v>1</v>
      </c>
      <c r="E313" s="6">
        <v>229000</v>
      </c>
      <c r="F313" t="str">
        <f>VLOOKUP(C313,products!A:C,2,FALSE)</f>
        <v>Celana Jeans Slimfit</v>
      </c>
      <c r="G313">
        <f t="shared" si="8"/>
        <v>229000</v>
      </c>
      <c r="H313">
        <f>VLOOKUP(C313,products!A:D,4,FALSE)</f>
        <v>110000</v>
      </c>
      <c r="I313">
        <f t="shared" si="9"/>
        <v>119000</v>
      </c>
      <c r="J313" t="str">
        <f>VLOOKUP(B313,orders!A:B,2,FALSE)</f>
        <v>CUST0085</v>
      </c>
      <c r="K313" t="str">
        <f>VLOOKUP(J313,customers!A:F,6,FALSE)</f>
        <v>Jakarta</v>
      </c>
    </row>
    <row r="314" spans="1:11" x14ac:dyDescent="0.35">
      <c r="A314" s="4" t="s">
        <v>1354</v>
      </c>
      <c r="B314" s="4" t="s">
        <v>649</v>
      </c>
      <c r="C314" s="4" t="s">
        <v>1049</v>
      </c>
      <c r="D314" s="4">
        <v>1</v>
      </c>
      <c r="E314" s="6">
        <v>349000</v>
      </c>
      <c r="F314" t="str">
        <f>VLOOKUP(C314,products!A:C,2,FALSE)</f>
        <v>Sepatu Sneakers Casual</v>
      </c>
      <c r="G314">
        <f t="shared" si="8"/>
        <v>349000</v>
      </c>
      <c r="H314">
        <f>VLOOKUP(C314,products!A:D,4,FALSE)</f>
        <v>180000</v>
      </c>
      <c r="I314">
        <f t="shared" si="9"/>
        <v>169000</v>
      </c>
      <c r="J314" t="str">
        <f>VLOOKUP(B314,orders!A:B,2,FALSE)</f>
        <v>CUST0170</v>
      </c>
      <c r="K314" t="str">
        <f>VLOOKUP(J314,customers!A:F,6,FALSE)</f>
        <v>Medan</v>
      </c>
    </row>
    <row r="315" spans="1:11" x14ac:dyDescent="0.35">
      <c r="A315" s="4" t="s">
        <v>1355</v>
      </c>
      <c r="B315" s="4" t="s">
        <v>649</v>
      </c>
      <c r="C315" s="4" t="s">
        <v>1053</v>
      </c>
      <c r="D315" s="4">
        <v>3</v>
      </c>
      <c r="E315" s="6">
        <v>129000</v>
      </c>
      <c r="F315" t="str">
        <f>VLOOKUP(C315,products!A:C,2,FALSE)</f>
        <v>Charger Fast Charging 33W</v>
      </c>
      <c r="G315">
        <f t="shared" si="8"/>
        <v>387000</v>
      </c>
      <c r="H315">
        <f>VLOOKUP(C315,products!A:D,4,FALSE)</f>
        <v>60000</v>
      </c>
      <c r="I315">
        <f t="shared" si="9"/>
        <v>207000</v>
      </c>
      <c r="J315" t="str">
        <f>VLOOKUP(B315,orders!A:B,2,FALSE)</f>
        <v>CUST0170</v>
      </c>
      <c r="K315" t="str">
        <f>VLOOKUP(J315,customers!A:F,6,FALSE)</f>
        <v>Medan</v>
      </c>
    </row>
    <row r="316" spans="1:11" x14ac:dyDescent="0.35">
      <c r="A316" s="4" t="s">
        <v>1356</v>
      </c>
      <c r="B316" s="4" t="s">
        <v>645</v>
      </c>
      <c r="C316" s="4" t="s">
        <v>1031</v>
      </c>
      <c r="D316" s="4">
        <v>1</v>
      </c>
      <c r="E316" s="6">
        <v>79000</v>
      </c>
      <c r="F316" t="str">
        <f>VLOOKUP(C316,products!A:C,2,FALSE)</f>
        <v>Kaos Polos Cotton Combed</v>
      </c>
      <c r="G316">
        <f t="shared" si="8"/>
        <v>79000</v>
      </c>
      <c r="H316">
        <f>VLOOKUP(C316,products!A:D,4,FALSE)</f>
        <v>35000</v>
      </c>
      <c r="I316">
        <f t="shared" si="9"/>
        <v>44000</v>
      </c>
      <c r="J316" t="str">
        <f>VLOOKUP(B316,orders!A:B,2,FALSE)</f>
        <v>CUST0185</v>
      </c>
      <c r="K316" t="str">
        <f>VLOOKUP(J316,customers!A:F,6,FALSE)</f>
        <v>Jakarta</v>
      </c>
    </row>
    <row r="317" spans="1:11" x14ac:dyDescent="0.35">
      <c r="A317" s="4" t="s">
        <v>1357</v>
      </c>
      <c r="B317" s="4" t="s">
        <v>921</v>
      </c>
      <c r="C317" s="4" t="s">
        <v>1023</v>
      </c>
      <c r="D317" s="4">
        <v>1</v>
      </c>
      <c r="E317" s="6">
        <v>69000</v>
      </c>
      <c r="F317" t="str">
        <f>VLOOKUP(C317,products!A:C,2,FALSE)</f>
        <v>Lampu LED Hias 5m</v>
      </c>
      <c r="G317">
        <f t="shared" si="8"/>
        <v>69000</v>
      </c>
      <c r="H317">
        <f>VLOOKUP(C317,products!A:D,4,FALSE)</f>
        <v>30000</v>
      </c>
      <c r="I317">
        <f t="shared" si="9"/>
        <v>39000</v>
      </c>
      <c r="J317" t="str">
        <f>VLOOKUP(B317,orders!A:B,2,FALSE)</f>
        <v>CUST0171</v>
      </c>
      <c r="K317" t="str">
        <f>VLOOKUP(J317,customers!A:F,6,FALSE)</f>
        <v>Medan</v>
      </c>
    </row>
    <row r="318" spans="1:11" x14ac:dyDescent="0.35">
      <c r="A318" s="4" t="s">
        <v>1358</v>
      </c>
      <c r="B318" s="4" t="s">
        <v>102</v>
      </c>
      <c r="C318" s="4" t="s">
        <v>1023</v>
      </c>
      <c r="D318" s="4">
        <v>1</v>
      </c>
      <c r="E318" s="6">
        <v>69000</v>
      </c>
      <c r="F318" t="str">
        <f>VLOOKUP(C318,products!A:C,2,FALSE)</f>
        <v>Lampu LED Hias 5m</v>
      </c>
      <c r="G318">
        <f t="shared" si="8"/>
        <v>69000</v>
      </c>
      <c r="H318">
        <f>VLOOKUP(C318,products!A:D,4,FALSE)</f>
        <v>30000</v>
      </c>
      <c r="I318">
        <f t="shared" si="9"/>
        <v>39000</v>
      </c>
      <c r="J318" t="str">
        <f>VLOOKUP(B318,orders!A:B,2,FALSE)</f>
        <v>CUST0104</v>
      </c>
      <c r="K318" t="str">
        <f>VLOOKUP(J318,customers!A:F,6,FALSE)</f>
        <v>Jakarta</v>
      </c>
    </row>
    <row r="319" spans="1:11" x14ac:dyDescent="0.35">
      <c r="A319" s="4" t="s">
        <v>1359</v>
      </c>
      <c r="B319" s="4" t="s">
        <v>102</v>
      </c>
      <c r="C319" s="4" t="s">
        <v>1029</v>
      </c>
      <c r="D319" s="4">
        <v>1</v>
      </c>
      <c r="E319" s="6">
        <v>39000</v>
      </c>
      <c r="F319" t="str">
        <f>VLOOKUP(C319,products!A:C,2,FALSE)</f>
        <v>Kabel Data USB-C</v>
      </c>
      <c r="G319">
        <f t="shared" si="8"/>
        <v>39000</v>
      </c>
      <c r="H319">
        <f>VLOOKUP(C319,products!A:D,4,FALSE)</f>
        <v>15000</v>
      </c>
      <c r="I319">
        <f t="shared" si="9"/>
        <v>24000</v>
      </c>
      <c r="J319" t="str">
        <f>VLOOKUP(B319,orders!A:B,2,FALSE)</f>
        <v>CUST0104</v>
      </c>
      <c r="K319" t="str">
        <f>VLOOKUP(J319,customers!A:F,6,FALSE)</f>
        <v>Jakarta</v>
      </c>
    </row>
    <row r="320" spans="1:11" x14ac:dyDescent="0.35">
      <c r="A320" s="4" t="s">
        <v>1360</v>
      </c>
      <c r="B320" s="4" t="s">
        <v>365</v>
      </c>
      <c r="C320" s="4" t="s">
        <v>1023</v>
      </c>
      <c r="D320" s="4">
        <v>1</v>
      </c>
      <c r="E320" s="6">
        <v>69000</v>
      </c>
      <c r="F320" t="str">
        <f>VLOOKUP(C320,products!A:C,2,FALSE)</f>
        <v>Lampu LED Hias 5m</v>
      </c>
      <c r="G320">
        <f t="shared" si="8"/>
        <v>69000</v>
      </c>
      <c r="H320">
        <f>VLOOKUP(C320,products!A:D,4,FALSE)</f>
        <v>30000</v>
      </c>
      <c r="I320">
        <f t="shared" si="9"/>
        <v>39000</v>
      </c>
      <c r="J320" t="str">
        <f>VLOOKUP(B320,orders!A:B,2,FALSE)</f>
        <v>CUST0050</v>
      </c>
      <c r="K320" t="str">
        <f>VLOOKUP(J320,customers!A:F,6,FALSE)</f>
        <v>Jakarta</v>
      </c>
    </row>
    <row r="321" spans="1:11" x14ac:dyDescent="0.35">
      <c r="A321" s="4" t="s">
        <v>1361</v>
      </c>
      <c r="B321" s="4" t="s">
        <v>836</v>
      </c>
      <c r="C321" s="4" t="s">
        <v>1023</v>
      </c>
      <c r="D321" s="4">
        <v>1</v>
      </c>
      <c r="E321" s="6">
        <v>69000</v>
      </c>
      <c r="F321" t="str">
        <f>VLOOKUP(C321,products!A:C,2,FALSE)</f>
        <v>Lampu LED Hias 5m</v>
      </c>
      <c r="G321">
        <f t="shared" si="8"/>
        <v>69000</v>
      </c>
      <c r="H321">
        <f>VLOOKUP(C321,products!A:D,4,FALSE)</f>
        <v>30000</v>
      </c>
      <c r="I321">
        <f t="shared" si="9"/>
        <v>39000</v>
      </c>
      <c r="J321" t="str">
        <f>VLOOKUP(B321,orders!A:B,2,FALSE)</f>
        <v>CUST0098</v>
      </c>
      <c r="K321" t="str">
        <f>VLOOKUP(J321,customers!A:F,6,FALSE)</f>
        <v>Surabaya</v>
      </c>
    </row>
    <row r="322" spans="1:11" x14ac:dyDescent="0.35">
      <c r="A322" s="4" t="s">
        <v>1362</v>
      </c>
      <c r="B322" s="4" t="s">
        <v>836</v>
      </c>
      <c r="C322" s="4" t="s">
        <v>1029</v>
      </c>
      <c r="D322" s="4">
        <v>1</v>
      </c>
      <c r="E322" s="6">
        <v>39000</v>
      </c>
      <c r="F322" t="str">
        <f>VLOOKUP(C322,products!A:C,2,FALSE)</f>
        <v>Kabel Data USB-C</v>
      </c>
      <c r="G322">
        <f t="shared" si="8"/>
        <v>39000</v>
      </c>
      <c r="H322">
        <f>VLOOKUP(C322,products!A:D,4,FALSE)</f>
        <v>15000</v>
      </c>
      <c r="I322">
        <f t="shared" si="9"/>
        <v>24000</v>
      </c>
      <c r="J322" t="str">
        <f>VLOOKUP(B322,orders!A:B,2,FALSE)</f>
        <v>CUST0098</v>
      </c>
      <c r="K322" t="str">
        <f>VLOOKUP(J322,customers!A:F,6,FALSE)</f>
        <v>Surabaya</v>
      </c>
    </row>
    <row r="323" spans="1:11" x14ac:dyDescent="0.35">
      <c r="A323" s="4" t="s">
        <v>1363</v>
      </c>
      <c r="B323" s="4" t="s">
        <v>965</v>
      </c>
      <c r="C323" s="4" t="s">
        <v>1023</v>
      </c>
      <c r="D323" s="4">
        <v>1</v>
      </c>
      <c r="E323" s="6">
        <v>69000</v>
      </c>
      <c r="F323" t="str">
        <f>VLOOKUP(C323,products!A:C,2,FALSE)</f>
        <v>Lampu LED Hias 5m</v>
      </c>
      <c r="G323">
        <f t="shared" ref="G323:G386" si="10">D323*E323</f>
        <v>69000</v>
      </c>
      <c r="H323">
        <f>VLOOKUP(C323,products!A:D,4,FALSE)</f>
        <v>30000</v>
      </c>
      <c r="I323">
        <f t="shared" ref="I323:I386" si="11">(E323-H323)*D323</f>
        <v>39000</v>
      </c>
      <c r="J323" t="str">
        <f>VLOOKUP(B323,orders!A:B,2,FALSE)</f>
        <v>CUST0045</v>
      </c>
      <c r="K323" t="str">
        <f>VLOOKUP(J323,customers!A:F,6,FALSE)</f>
        <v>Palembang</v>
      </c>
    </row>
    <row r="324" spans="1:11" x14ac:dyDescent="0.35">
      <c r="A324" s="4" t="s">
        <v>1364</v>
      </c>
      <c r="B324" s="4" t="s">
        <v>965</v>
      </c>
      <c r="C324" s="4" t="s">
        <v>1089</v>
      </c>
      <c r="D324" s="4">
        <v>2</v>
      </c>
      <c r="E324" s="6">
        <v>159000</v>
      </c>
      <c r="F324" t="str">
        <f>VLOOKUP(C324,products!A:C,2,FALSE)</f>
        <v>Power Bank 10000mAh</v>
      </c>
      <c r="G324">
        <f t="shared" si="10"/>
        <v>318000</v>
      </c>
      <c r="H324">
        <f>VLOOKUP(C324,products!A:D,4,FALSE)</f>
        <v>80000</v>
      </c>
      <c r="I324">
        <f t="shared" si="11"/>
        <v>158000</v>
      </c>
      <c r="J324" t="str">
        <f>VLOOKUP(B324,orders!A:B,2,FALSE)</f>
        <v>CUST0045</v>
      </c>
      <c r="K324" t="str">
        <f>VLOOKUP(J324,customers!A:F,6,FALSE)</f>
        <v>Palembang</v>
      </c>
    </row>
    <row r="325" spans="1:11" x14ac:dyDescent="0.35">
      <c r="A325" s="4" t="s">
        <v>1365</v>
      </c>
      <c r="B325" s="4" t="s">
        <v>965</v>
      </c>
      <c r="C325" s="4" t="s">
        <v>1053</v>
      </c>
      <c r="D325" s="4">
        <v>1</v>
      </c>
      <c r="E325" s="6">
        <v>129000</v>
      </c>
      <c r="F325" t="str">
        <f>VLOOKUP(C325,products!A:C,2,FALSE)</f>
        <v>Charger Fast Charging 33W</v>
      </c>
      <c r="G325">
        <f t="shared" si="10"/>
        <v>129000</v>
      </c>
      <c r="H325">
        <f>VLOOKUP(C325,products!A:D,4,FALSE)</f>
        <v>60000</v>
      </c>
      <c r="I325">
        <f t="shared" si="11"/>
        <v>69000</v>
      </c>
      <c r="J325" t="str">
        <f>VLOOKUP(B325,orders!A:B,2,FALSE)</f>
        <v>CUST0045</v>
      </c>
      <c r="K325" t="str">
        <f>VLOOKUP(J325,customers!A:F,6,FALSE)</f>
        <v>Palembang</v>
      </c>
    </row>
    <row r="326" spans="1:11" x14ac:dyDescent="0.35">
      <c r="A326" s="4" t="s">
        <v>1366</v>
      </c>
      <c r="B326" s="4" t="s">
        <v>965</v>
      </c>
      <c r="C326" s="4" t="s">
        <v>1029</v>
      </c>
      <c r="D326" s="4">
        <v>1</v>
      </c>
      <c r="E326" s="6">
        <v>39000</v>
      </c>
      <c r="F326" t="str">
        <f>VLOOKUP(C326,products!A:C,2,FALSE)</f>
        <v>Kabel Data USB-C</v>
      </c>
      <c r="G326">
        <f t="shared" si="10"/>
        <v>39000</v>
      </c>
      <c r="H326">
        <f>VLOOKUP(C326,products!A:D,4,FALSE)</f>
        <v>15000</v>
      </c>
      <c r="I326">
        <f t="shared" si="11"/>
        <v>24000</v>
      </c>
      <c r="J326" t="str">
        <f>VLOOKUP(B326,orders!A:B,2,FALSE)</f>
        <v>CUST0045</v>
      </c>
      <c r="K326" t="str">
        <f>VLOOKUP(J326,customers!A:F,6,FALSE)</f>
        <v>Palembang</v>
      </c>
    </row>
    <row r="327" spans="1:11" x14ac:dyDescent="0.35">
      <c r="A327" s="4" t="s">
        <v>1367</v>
      </c>
      <c r="B327" s="4" t="s">
        <v>370</v>
      </c>
      <c r="C327" s="4" t="s">
        <v>1025</v>
      </c>
      <c r="D327" s="4">
        <v>1</v>
      </c>
      <c r="E327" s="6">
        <v>179000</v>
      </c>
      <c r="F327" t="str">
        <f>VLOOKUP(C327,products!A:C,2,FALSE)</f>
        <v>Rak Penyimpanan Serbaguna</v>
      </c>
      <c r="G327">
        <f t="shared" si="10"/>
        <v>179000</v>
      </c>
      <c r="H327">
        <f>VLOOKUP(C327,products!A:D,4,FALSE)</f>
        <v>90000</v>
      </c>
      <c r="I327">
        <f t="shared" si="11"/>
        <v>89000</v>
      </c>
      <c r="J327" t="str">
        <f>VLOOKUP(B327,orders!A:B,2,FALSE)</f>
        <v>CUST0078</v>
      </c>
      <c r="K327" t="str">
        <f>VLOOKUP(J327,customers!A:F,6,FALSE)</f>
        <v>Denpasar</v>
      </c>
    </row>
    <row r="328" spans="1:11" x14ac:dyDescent="0.35">
      <c r="A328" s="4" t="s">
        <v>1368</v>
      </c>
      <c r="B328" s="4" t="s">
        <v>370</v>
      </c>
      <c r="C328" s="4" t="s">
        <v>1023</v>
      </c>
      <c r="D328" s="4">
        <v>1</v>
      </c>
      <c r="E328" s="6">
        <v>69000</v>
      </c>
      <c r="F328" t="str">
        <f>VLOOKUP(C328,products!A:C,2,FALSE)</f>
        <v>Lampu LED Hias 5m</v>
      </c>
      <c r="G328">
        <f t="shared" si="10"/>
        <v>69000</v>
      </c>
      <c r="H328">
        <f>VLOOKUP(C328,products!A:D,4,FALSE)</f>
        <v>30000</v>
      </c>
      <c r="I328">
        <f t="shared" si="11"/>
        <v>39000</v>
      </c>
      <c r="J328" t="str">
        <f>VLOOKUP(B328,orders!A:B,2,FALSE)</f>
        <v>CUST0078</v>
      </c>
      <c r="K328" t="str">
        <f>VLOOKUP(J328,customers!A:F,6,FALSE)</f>
        <v>Denpasar</v>
      </c>
    </row>
    <row r="329" spans="1:11" x14ac:dyDescent="0.35">
      <c r="A329" s="4" t="s">
        <v>1369</v>
      </c>
      <c r="B329" s="4" t="s">
        <v>463</v>
      </c>
      <c r="C329" s="4" t="s">
        <v>1031</v>
      </c>
      <c r="D329" s="4">
        <v>1</v>
      </c>
      <c r="E329" s="6">
        <v>79000</v>
      </c>
      <c r="F329" t="str">
        <f>VLOOKUP(C329,products!A:C,2,FALSE)</f>
        <v>Kaos Polos Cotton Combed</v>
      </c>
      <c r="G329">
        <f t="shared" si="10"/>
        <v>79000</v>
      </c>
      <c r="H329">
        <f>VLOOKUP(C329,products!A:D,4,FALSE)</f>
        <v>35000</v>
      </c>
      <c r="I329">
        <f t="shared" si="11"/>
        <v>44000</v>
      </c>
      <c r="J329" t="str">
        <f>VLOOKUP(B329,orders!A:B,2,FALSE)</f>
        <v>CUST0001</v>
      </c>
      <c r="K329" t="str">
        <f>VLOOKUP(J329,customers!A:F,6,FALSE)</f>
        <v>Bandung</v>
      </c>
    </row>
    <row r="330" spans="1:11" x14ac:dyDescent="0.35">
      <c r="A330" s="4" t="s">
        <v>1370</v>
      </c>
      <c r="B330" s="4" t="s">
        <v>515</v>
      </c>
      <c r="C330" s="4" t="s">
        <v>1033</v>
      </c>
      <c r="D330" s="4">
        <v>1</v>
      </c>
      <c r="E330" s="6">
        <v>55000</v>
      </c>
      <c r="F330" t="str">
        <f>VLOOKUP(C330,products!A:C,2,FALSE)</f>
        <v>Sapu + Pengki Set</v>
      </c>
      <c r="G330">
        <f t="shared" si="10"/>
        <v>55000</v>
      </c>
      <c r="H330">
        <f>VLOOKUP(C330,products!A:D,4,FALSE)</f>
        <v>25000</v>
      </c>
      <c r="I330">
        <f t="shared" si="11"/>
        <v>30000</v>
      </c>
      <c r="J330" t="str">
        <f>VLOOKUP(B330,orders!A:B,2,FALSE)</f>
        <v>CUST0111</v>
      </c>
      <c r="K330" t="str">
        <f>VLOOKUP(J330,customers!A:F,6,FALSE)</f>
        <v>Makassar</v>
      </c>
    </row>
    <row r="331" spans="1:11" x14ac:dyDescent="0.35">
      <c r="A331" s="4" t="s">
        <v>1371</v>
      </c>
      <c r="B331" s="4" t="s">
        <v>172</v>
      </c>
      <c r="C331" s="4" t="s">
        <v>1023</v>
      </c>
      <c r="D331" s="4">
        <v>2</v>
      </c>
      <c r="E331" s="6">
        <v>69000</v>
      </c>
      <c r="F331" t="str">
        <f>VLOOKUP(C331,products!A:C,2,FALSE)</f>
        <v>Lampu LED Hias 5m</v>
      </c>
      <c r="G331">
        <f t="shared" si="10"/>
        <v>138000</v>
      </c>
      <c r="H331">
        <f>VLOOKUP(C331,products!A:D,4,FALSE)</f>
        <v>30000</v>
      </c>
      <c r="I331">
        <f t="shared" si="11"/>
        <v>78000</v>
      </c>
      <c r="J331" t="str">
        <f>VLOOKUP(B331,orders!A:B,2,FALSE)</f>
        <v>CUST0156</v>
      </c>
      <c r="K331" t="str">
        <f>VLOOKUP(J331,customers!A:F,6,FALSE)</f>
        <v>Bandung</v>
      </c>
    </row>
    <row r="332" spans="1:11" x14ac:dyDescent="0.35">
      <c r="A332" s="4" t="s">
        <v>1372</v>
      </c>
      <c r="B332" s="4" t="s">
        <v>892</v>
      </c>
      <c r="C332" s="4" t="s">
        <v>1029</v>
      </c>
      <c r="D332" s="4">
        <v>1</v>
      </c>
      <c r="E332" s="6">
        <v>39000</v>
      </c>
      <c r="F332" t="str">
        <f>VLOOKUP(C332,products!A:C,2,FALSE)</f>
        <v>Kabel Data USB-C</v>
      </c>
      <c r="G332">
        <f t="shared" si="10"/>
        <v>39000</v>
      </c>
      <c r="H332">
        <f>VLOOKUP(C332,products!A:D,4,FALSE)</f>
        <v>15000</v>
      </c>
      <c r="I332">
        <f t="shared" si="11"/>
        <v>24000</v>
      </c>
      <c r="J332" t="str">
        <f>VLOOKUP(B332,orders!A:B,2,FALSE)</f>
        <v>CUST0114</v>
      </c>
      <c r="K332" t="str">
        <f>VLOOKUP(J332,customers!A:F,6,FALSE)</f>
        <v>Denpasar</v>
      </c>
    </row>
    <row r="333" spans="1:11" x14ac:dyDescent="0.35">
      <c r="A333" s="4" t="s">
        <v>1373</v>
      </c>
      <c r="B333" s="4" t="s">
        <v>892</v>
      </c>
      <c r="C333" s="4" t="s">
        <v>1033</v>
      </c>
      <c r="D333" s="4">
        <v>1</v>
      </c>
      <c r="E333" s="6">
        <v>55000</v>
      </c>
      <c r="F333" t="str">
        <f>VLOOKUP(C333,products!A:C,2,FALSE)</f>
        <v>Sapu + Pengki Set</v>
      </c>
      <c r="G333">
        <f t="shared" si="10"/>
        <v>55000</v>
      </c>
      <c r="H333">
        <f>VLOOKUP(C333,products!A:D,4,FALSE)</f>
        <v>25000</v>
      </c>
      <c r="I333">
        <f t="shared" si="11"/>
        <v>30000</v>
      </c>
      <c r="J333" t="str">
        <f>VLOOKUP(B333,orders!A:B,2,FALSE)</f>
        <v>CUST0114</v>
      </c>
      <c r="K333" t="str">
        <f>VLOOKUP(J333,customers!A:F,6,FALSE)</f>
        <v>Denpasar</v>
      </c>
    </row>
    <row r="334" spans="1:11" x14ac:dyDescent="0.35">
      <c r="A334" s="4" t="s">
        <v>1374</v>
      </c>
      <c r="B334" s="4" t="s">
        <v>47</v>
      </c>
      <c r="C334" s="4" t="s">
        <v>1040</v>
      </c>
      <c r="D334" s="4">
        <v>1</v>
      </c>
      <c r="E334" s="6">
        <v>99000</v>
      </c>
      <c r="F334" t="str">
        <f>VLOOKUP(C334,products!A:C,2,FALSE)</f>
        <v>Mouse Wireless</v>
      </c>
      <c r="G334">
        <f t="shared" si="10"/>
        <v>99000</v>
      </c>
      <c r="H334">
        <f>VLOOKUP(C334,products!A:D,4,FALSE)</f>
        <v>45000</v>
      </c>
      <c r="I334">
        <f t="shared" si="11"/>
        <v>54000</v>
      </c>
      <c r="J334" t="str">
        <f>VLOOKUP(B334,orders!A:B,2,FALSE)</f>
        <v>CUST0055</v>
      </c>
      <c r="K334" t="str">
        <f>VLOOKUP(J334,customers!A:F,6,FALSE)</f>
        <v>Surabaya</v>
      </c>
    </row>
    <row r="335" spans="1:11" x14ac:dyDescent="0.35">
      <c r="A335" s="4" t="s">
        <v>1375</v>
      </c>
      <c r="B335" s="4" t="s">
        <v>47</v>
      </c>
      <c r="C335" s="4" t="s">
        <v>1025</v>
      </c>
      <c r="D335" s="4">
        <v>1</v>
      </c>
      <c r="E335" s="6">
        <v>179000</v>
      </c>
      <c r="F335" t="str">
        <f>VLOOKUP(C335,products!A:C,2,FALSE)</f>
        <v>Rak Penyimpanan Serbaguna</v>
      </c>
      <c r="G335">
        <f t="shared" si="10"/>
        <v>179000</v>
      </c>
      <c r="H335">
        <f>VLOOKUP(C335,products!A:D,4,FALSE)</f>
        <v>90000</v>
      </c>
      <c r="I335">
        <f t="shared" si="11"/>
        <v>89000</v>
      </c>
      <c r="J335" t="str">
        <f>VLOOKUP(B335,orders!A:B,2,FALSE)</f>
        <v>CUST0055</v>
      </c>
      <c r="K335" t="str">
        <f>VLOOKUP(J335,customers!A:F,6,FALSE)</f>
        <v>Surabaya</v>
      </c>
    </row>
    <row r="336" spans="1:11" x14ac:dyDescent="0.35">
      <c r="A336" s="4" t="s">
        <v>1376</v>
      </c>
      <c r="B336" s="4" t="s">
        <v>534</v>
      </c>
      <c r="C336" s="4" t="s">
        <v>1084</v>
      </c>
      <c r="D336" s="4">
        <v>2</v>
      </c>
      <c r="E336" s="6">
        <v>79000</v>
      </c>
      <c r="F336" t="str">
        <f>VLOOKUP(C336,products!A:C,2,FALSE)</f>
        <v>Botol Minum Stainless 1L</v>
      </c>
      <c r="G336">
        <f t="shared" si="10"/>
        <v>158000</v>
      </c>
      <c r="H336">
        <f>VLOOKUP(C336,products!A:D,4,FALSE)</f>
        <v>35000</v>
      </c>
      <c r="I336">
        <f t="shared" si="11"/>
        <v>88000</v>
      </c>
      <c r="J336" t="str">
        <f>VLOOKUP(B336,orders!A:B,2,FALSE)</f>
        <v>CUST0189</v>
      </c>
      <c r="K336" t="str">
        <f>VLOOKUP(J336,customers!A:F,6,FALSE)</f>
        <v>Yogyakarta</v>
      </c>
    </row>
    <row r="337" spans="1:11" x14ac:dyDescent="0.35">
      <c r="A337" s="4" t="s">
        <v>1377</v>
      </c>
      <c r="B337" s="4" t="s">
        <v>453</v>
      </c>
      <c r="C337" s="4" t="s">
        <v>1023</v>
      </c>
      <c r="D337" s="4">
        <v>1</v>
      </c>
      <c r="E337" s="6">
        <v>69000</v>
      </c>
      <c r="F337" t="str">
        <f>VLOOKUP(C337,products!A:C,2,FALSE)</f>
        <v>Lampu LED Hias 5m</v>
      </c>
      <c r="G337">
        <f t="shared" si="10"/>
        <v>69000</v>
      </c>
      <c r="H337">
        <f>VLOOKUP(C337,products!A:D,4,FALSE)</f>
        <v>30000</v>
      </c>
      <c r="I337">
        <f t="shared" si="11"/>
        <v>39000</v>
      </c>
      <c r="J337" t="str">
        <f>VLOOKUP(B337,orders!A:B,2,FALSE)</f>
        <v>CUST0073</v>
      </c>
      <c r="K337" t="str">
        <f>VLOOKUP(J337,customers!A:F,6,FALSE)</f>
        <v>Surabaya</v>
      </c>
    </row>
    <row r="338" spans="1:11" x14ac:dyDescent="0.35">
      <c r="A338" s="4" t="s">
        <v>1378</v>
      </c>
      <c r="B338" s="4" t="s">
        <v>453</v>
      </c>
      <c r="C338" s="4" t="s">
        <v>1029</v>
      </c>
      <c r="D338" s="4">
        <v>1</v>
      </c>
      <c r="E338" s="6">
        <v>39000</v>
      </c>
      <c r="F338" t="str">
        <f>VLOOKUP(C338,products!A:C,2,FALSE)</f>
        <v>Kabel Data USB-C</v>
      </c>
      <c r="G338">
        <f t="shared" si="10"/>
        <v>39000</v>
      </c>
      <c r="H338">
        <f>VLOOKUP(C338,products!A:D,4,FALSE)</f>
        <v>15000</v>
      </c>
      <c r="I338">
        <f t="shared" si="11"/>
        <v>24000</v>
      </c>
      <c r="J338" t="str">
        <f>VLOOKUP(B338,orders!A:B,2,FALSE)</f>
        <v>CUST0073</v>
      </c>
      <c r="K338" t="str">
        <f>VLOOKUP(J338,customers!A:F,6,FALSE)</f>
        <v>Surabaya</v>
      </c>
    </row>
    <row r="339" spans="1:11" x14ac:dyDescent="0.35">
      <c r="A339" s="4" t="s">
        <v>1379</v>
      </c>
      <c r="B339" s="4" t="s">
        <v>924</v>
      </c>
      <c r="C339" s="4" t="s">
        <v>1044</v>
      </c>
      <c r="D339" s="4">
        <v>1</v>
      </c>
      <c r="E339" s="6">
        <v>329000</v>
      </c>
      <c r="F339" t="str">
        <f>VLOOKUP(C339,products!A:C,2,FALSE)</f>
        <v>Rice Cooker Mini 1.5L</v>
      </c>
      <c r="G339">
        <f t="shared" si="10"/>
        <v>329000</v>
      </c>
      <c r="H339">
        <f>VLOOKUP(C339,products!A:D,4,FALSE)</f>
        <v>180000</v>
      </c>
      <c r="I339">
        <f t="shared" si="11"/>
        <v>149000</v>
      </c>
      <c r="J339" t="str">
        <f>VLOOKUP(B339,orders!A:B,2,FALSE)</f>
        <v>CUST0163</v>
      </c>
      <c r="K339" t="str">
        <f>VLOOKUP(J339,customers!A:F,6,FALSE)</f>
        <v>Denpasar</v>
      </c>
    </row>
    <row r="340" spans="1:11" x14ac:dyDescent="0.35">
      <c r="A340" s="4" t="s">
        <v>1380</v>
      </c>
      <c r="B340" s="4" t="s">
        <v>650</v>
      </c>
      <c r="C340" s="4" t="s">
        <v>1029</v>
      </c>
      <c r="D340" s="4">
        <v>1</v>
      </c>
      <c r="E340" s="6">
        <v>39000</v>
      </c>
      <c r="F340" t="str">
        <f>VLOOKUP(C340,products!A:C,2,FALSE)</f>
        <v>Kabel Data USB-C</v>
      </c>
      <c r="G340">
        <f t="shared" si="10"/>
        <v>39000</v>
      </c>
      <c r="H340">
        <f>VLOOKUP(C340,products!A:D,4,FALSE)</f>
        <v>15000</v>
      </c>
      <c r="I340">
        <f t="shared" si="11"/>
        <v>24000</v>
      </c>
      <c r="J340" t="str">
        <f>VLOOKUP(B340,orders!A:B,2,FALSE)</f>
        <v>CUST0024</v>
      </c>
      <c r="K340" t="str">
        <f>VLOOKUP(J340,customers!A:F,6,FALSE)</f>
        <v>Surabaya</v>
      </c>
    </row>
    <row r="341" spans="1:11" x14ac:dyDescent="0.35">
      <c r="A341" s="4" t="s">
        <v>1381</v>
      </c>
      <c r="B341" s="4" t="s">
        <v>223</v>
      </c>
      <c r="C341" s="4" t="s">
        <v>1023</v>
      </c>
      <c r="D341" s="4">
        <v>2</v>
      </c>
      <c r="E341" s="6">
        <v>69000</v>
      </c>
      <c r="F341" t="str">
        <f>VLOOKUP(C341,products!A:C,2,FALSE)</f>
        <v>Lampu LED Hias 5m</v>
      </c>
      <c r="G341">
        <f t="shared" si="10"/>
        <v>138000</v>
      </c>
      <c r="H341">
        <f>VLOOKUP(C341,products!A:D,4,FALSE)</f>
        <v>30000</v>
      </c>
      <c r="I341">
        <f t="shared" si="11"/>
        <v>78000</v>
      </c>
      <c r="J341" t="str">
        <f>VLOOKUP(B341,orders!A:B,2,FALSE)</f>
        <v>CUST0061</v>
      </c>
      <c r="K341" t="str">
        <f>VLOOKUP(J341,customers!A:F,6,FALSE)</f>
        <v>Yogyakarta</v>
      </c>
    </row>
    <row r="342" spans="1:11" x14ac:dyDescent="0.35">
      <c r="A342" s="4" t="s">
        <v>1382</v>
      </c>
      <c r="B342" s="4" t="s">
        <v>223</v>
      </c>
      <c r="C342" s="4" t="s">
        <v>1029</v>
      </c>
      <c r="D342" s="4">
        <v>1</v>
      </c>
      <c r="E342" s="6">
        <v>39000</v>
      </c>
      <c r="F342" t="str">
        <f>VLOOKUP(C342,products!A:C,2,FALSE)</f>
        <v>Kabel Data USB-C</v>
      </c>
      <c r="G342">
        <f t="shared" si="10"/>
        <v>39000</v>
      </c>
      <c r="H342">
        <f>VLOOKUP(C342,products!A:D,4,FALSE)</f>
        <v>15000</v>
      </c>
      <c r="I342">
        <f t="shared" si="11"/>
        <v>24000</v>
      </c>
      <c r="J342" t="str">
        <f>VLOOKUP(B342,orders!A:B,2,FALSE)</f>
        <v>CUST0061</v>
      </c>
      <c r="K342" t="str">
        <f>VLOOKUP(J342,customers!A:F,6,FALSE)</f>
        <v>Yogyakarta</v>
      </c>
    </row>
    <row r="343" spans="1:11" x14ac:dyDescent="0.35">
      <c r="A343" s="4" t="s">
        <v>1383</v>
      </c>
      <c r="B343" s="4" t="s">
        <v>301</v>
      </c>
      <c r="C343" s="4" t="s">
        <v>1023</v>
      </c>
      <c r="D343" s="4">
        <v>2</v>
      </c>
      <c r="E343" s="6">
        <v>69000</v>
      </c>
      <c r="F343" t="str">
        <f>VLOOKUP(C343,products!A:C,2,FALSE)</f>
        <v>Lampu LED Hias 5m</v>
      </c>
      <c r="G343">
        <f t="shared" si="10"/>
        <v>138000</v>
      </c>
      <c r="H343">
        <f>VLOOKUP(C343,products!A:D,4,FALSE)</f>
        <v>30000</v>
      </c>
      <c r="I343">
        <f t="shared" si="11"/>
        <v>78000</v>
      </c>
      <c r="J343" t="str">
        <f>VLOOKUP(B343,orders!A:B,2,FALSE)</f>
        <v>CUST0058</v>
      </c>
      <c r="K343" t="str">
        <f>VLOOKUP(J343,customers!A:F,6,FALSE)</f>
        <v>Makassar</v>
      </c>
    </row>
    <row r="344" spans="1:11" x14ac:dyDescent="0.35">
      <c r="A344" s="4" t="s">
        <v>1384</v>
      </c>
      <c r="B344" s="4" t="s">
        <v>301</v>
      </c>
      <c r="C344" s="4" t="s">
        <v>1089</v>
      </c>
      <c r="D344" s="4">
        <v>2</v>
      </c>
      <c r="E344" s="6">
        <v>159000</v>
      </c>
      <c r="F344" t="str">
        <f>VLOOKUP(C344,products!A:C,2,FALSE)</f>
        <v>Power Bank 10000mAh</v>
      </c>
      <c r="G344">
        <f t="shared" si="10"/>
        <v>318000</v>
      </c>
      <c r="H344">
        <f>VLOOKUP(C344,products!A:D,4,FALSE)</f>
        <v>80000</v>
      </c>
      <c r="I344">
        <f t="shared" si="11"/>
        <v>158000</v>
      </c>
      <c r="J344" t="str">
        <f>VLOOKUP(B344,orders!A:B,2,FALSE)</f>
        <v>CUST0058</v>
      </c>
      <c r="K344" t="str">
        <f>VLOOKUP(J344,customers!A:F,6,FALSE)</f>
        <v>Makassar</v>
      </c>
    </row>
    <row r="345" spans="1:11" x14ac:dyDescent="0.35">
      <c r="A345" s="4" t="s">
        <v>1385</v>
      </c>
      <c r="B345" s="4" t="s">
        <v>301</v>
      </c>
      <c r="C345" s="4" t="s">
        <v>1025</v>
      </c>
      <c r="D345" s="4">
        <v>1</v>
      </c>
      <c r="E345" s="6">
        <v>179000</v>
      </c>
      <c r="F345" t="str">
        <f>VLOOKUP(C345,products!A:C,2,FALSE)</f>
        <v>Rak Penyimpanan Serbaguna</v>
      </c>
      <c r="G345">
        <f t="shared" si="10"/>
        <v>179000</v>
      </c>
      <c r="H345">
        <f>VLOOKUP(C345,products!A:D,4,FALSE)</f>
        <v>90000</v>
      </c>
      <c r="I345">
        <f t="shared" si="11"/>
        <v>89000</v>
      </c>
      <c r="J345" t="str">
        <f>VLOOKUP(B345,orders!A:B,2,FALSE)</f>
        <v>CUST0058</v>
      </c>
      <c r="K345" t="str">
        <f>VLOOKUP(J345,customers!A:F,6,FALSE)</f>
        <v>Makassar</v>
      </c>
    </row>
    <row r="346" spans="1:11" x14ac:dyDescent="0.35">
      <c r="A346" s="4" t="s">
        <v>1386</v>
      </c>
      <c r="B346" s="4" t="s">
        <v>559</v>
      </c>
      <c r="C346" s="4" t="s">
        <v>1044</v>
      </c>
      <c r="D346" s="4">
        <v>2</v>
      </c>
      <c r="E346" s="6">
        <v>329000</v>
      </c>
      <c r="F346" t="str">
        <f>VLOOKUP(C346,products!A:C,2,FALSE)</f>
        <v>Rice Cooker Mini 1.5L</v>
      </c>
      <c r="G346">
        <f t="shared" si="10"/>
        <v>658000</v>
      </c>
      <c r="H346">
        <f>VLOOKUP(C346,products!A:D,4,FALSE)</f>
        <v>180000</v>
      </c>
      <c r="I346">
        <f t="shared" si="11"/>
        <v>298000</v>
      </c>
      <c r="J346" t="str">
        <f>VLOOKUP(B346,orders!A:B,2,FALSE)</f>
        <v>CUST0012</v>
      </c>
      <c r="K346" t="str">
        <f>VLOOKUP(J346,customers!A:F,6,FALSE)</f>
        <v>Surabaya</v>
      </c>
    </row>
    <row r="347" spans="1:11" x14ac:dyDescent="0.35">
      <c r="A347" s="4" t="s">
        <v>1387</v>
      </c>
      <c r="B347" s="4" t="s">
        <v>536</v>
      </c>
      <c r="C347" s="4" t="s">
        <v>1089</v>
      </c>
      <c r="D347" s="4">
        <v>1</v>
      </c>
      <c r="E347" s="6">
        <v>159000</v>
      </c>
      <c r="F347" t="str">
        <f>VLOOKUP(C347,products!A:C,2,FALSE)</f>
        <v>Power Bank 10000mAh</v>
      </c>
      <c r="G347">
        <f t="shared" si="10"/>
        <v>159000</v>
      </c>
      <c r="H347">
        <f>VLOOKUP(C347,products!A:D,4,FALSE)</f>
        <v>80000</v>
      </c>
      <c r="I347">
        <f t="shared" si="11"/>
        <v>79000</v>
      </c>
      <c r="J347" t="str">
        <f>VLOOKUP(B347,orders!A:B,2,FALSE)</f>
        <v>CUST0197</v>
      </c>
      <c r="K347" t="str">
        <f>VLOOKUP(J347,customers!A:F,6,FALSE)</f>
        <v>Bandung</v>
      </c>
    </row>
    <row r="348" spans="1:11" x14ac:dyDescent="0.35">
      <c r="A348" s="4" t="s">
        <v>1388</v>
      </c>
      <c r="B348" s="4" t="s">
        <v>536</v>
      </c>
      <c r="C348" s="4" t="s">
        <v>1029</v>
      </c>
      <c r="D348" s="4">
        <v>1</v>
      </c>
      <c r="E348" s="6">
        <v>39000</v>
      </c>
      <c r="F348" t="str">
        <f>VLOOKUP(C348,products!A:C,2,FALSE)</f>
        <v>Kabel Data USB-C</v>
      </c>
      <c r="G348">
        <f t="shared" si="10"/>
        <v>39000</v>
      </c>
      <c r="H348">
        <f>VLOOKUP(C348,products!A:D,4,FALSE)</f>
        <v>15000</v>
      </c>
      <c r="I348">
        <f t="shared" si="11"/>
        <v>24000</v>
      </c>
      <c r="J348" t="str">
        <f>VLOOKUP(B348,orders!A:B,2,FALSE)</f>
        <v>CUST0197</v>
      </c>
      <c r="K348" t="str">
        <f>VLOOKUP(J348,customers!A:F,6,FALSE)</f>
        <v>Bandung</v>
      </c>
    </row>
    <row r="349" spans="1:11" x14ac:dyDescent="0.35">
      <c r="A349" s="4" t="s">
        <v>1389</v>
      </c>
      <c r="B349" s="4" t="s">
        <v>233</v>
      </c>
      <c r="C349" s="4" t="s">
        <v>1044</v>
      </c>
      <c r="D349" s="4">
        <v>1</v>
      </c>
      <c r="E349" s="6">
        <v>329000</v>
      </c>
      <c r="F349" t="str">
        <f>VLOOKUP(C349,products!A:C,2,FALSE)</f>
        <v>Rice Cooker Mini 1.5L</v>
      </c>
      <c r="G349">
        <f t="shared" si="10"/>
        <v>329000</v>
      </c>
      <c r="H349">
        <f>VLOOKUP(C349,products!A:D,4,FALSE)</f>
        <v>180000</v>
      </c>
      <c r="I349">
        <f t="shared" si="11"/>
        <v>149000</v>
      </c>
      <c r="J349" t="str">
        <f>VLOOKUP(B349,orders!A:B,2,FALSE)</f>
        <v>CUST0107</v>
      </c>
      <c r="K349" t="str">
        <f>VLOOKUP(J349,customers!A:F,6,FALSE)</f>
        <v>Makassar</v>
      </c>
    </row>
    <row r="350" spans="1:11" x14ac:dyDescent="0.35">
      <c r="A350" s="4" t="s">
        <v>1390</v>
      </c>
      <c r="B350" s="4" t="s">
        <v>233</v>
      </c>
      <c r="C350" s="4" t="s">
        <v>1023</v>
      </c>
      <c r="D350" s="4">
        <v>1</v>
      </c>
      <c r="E350" s="6">
        <v>69000</v>
      </c>
      <c r="F350" t="str">
        <f>VLOOKUP(C350,products!A:C,2,FALSE)</f>
        <v>Lampu LED Hias 5m</v>
      </c>
      <c r="G350">
        <f t="shared" si="10"/>
        <v>69000</v>
      </c>
      <c r="H350">
        <f>VLOOKUP(C350,products!A:D,4,FALSE)</f>
        <v>30000</v>
      </c>
      <c r="I350">
        <f t="shared" si="11"/>
        <v>39000</v>
      </c>
      <c r="J350" t="str">
        <f>VLOOKUP(B350,orders!A:B,2,FALSE)</f>
        <v>CUST0107</v>
      </c>
      <c r="K350" t="str">
        <f>VLOOKUP(J350,customers!A:F,6,FALSE)</f>
        <v>Makassar</v>
      </c>
    </row>
    <row r="351" spans="1:11" x14ac:dyDescent="0.35">
      <c r="A351" s="4" t="s">
        <v>1391</v>
      </c>
      <c r="B351" s="4" t="s">
        <v>451</v>
      </c>
      <c r="C351" s="4" t="s">
        <v>1023</v>
      </c>
      <c r="D351" s="4">
        <v>1</v>
      </c>
      <c r="E351" s="6">
        <v>69000</v>
      </c>
      <c r="F351" t="str">
        <f>VLOOKUP(C351,products!A:C,2,FALSE)</f>
        <v>Lampu LED Hias 5m</v>
      </c>
      <c r="G351">
        <f t="shared" si="10"/>
        <v>69000</v>
      </c>
      <c r="H351">
        <f>VLOOKUP(C351,products!A:D,4,FALSE)</f>
        <v>30000</v>
      </c>
      <c r="I351">
        <f t="shared" si="11"/>
        <v>39000</v>
      </c>
      <c r="J351" t="str">
        <f>VLOOKUP(B351,orders!A:B,2,FALSE)</f>
        <v>CUST0050</v>
      </c>
      <c r="K351" t="str">
        <f>VLOOKUP(J351,customers!A:F,6,FALSE)</f>
        <v>Jakarta</v>
      </c>
    </row>
    <row r="352" spans="1:11" x14ac:dyDescent="0.35">
      <c r="A352" s="4" t="s">
        <v>1392</v>
      </c>
      <c r="B352" s="4" t="s">
        <v>884</v>
      </c>
      <c r="C352" s="4" t="s">
        <v>1023</v>
      </c>
      <c r="D352" s="4">
        <v>3</v>
      </c>
      <c r="E352" s="6">
        <v>69000</v>
      </c>
      <c r="F352" t="str">
        <f>VLOOKUP(C352,products!A:C,2,FALSE)</f>
        <v>Lampu LED Hias 5m</v>
      </c>
      <c r="G352">
        <f t="shared" si="10"/>
        <v>207000</v>
      </c>
      <c r="H352">
        <f>VLOOKUP(C352,products!A:D,4,FALSE)</f>
        <v>30000</v>
      </c>
      <c r="I352">
        <f t="shared" si="11"/>
        <v>117000</v>
      </c>
      <c r="J352" t="str">
        <f>VLOOKUP(B352,orders!A:B,2,FALSE)</f>
        <v>CUST0099</v>
      </c>
      <c r="K352" t="str">
        <f>VLOOKUP(J352,customers!A:F,6,FALSE)</f>
        <v>Depok</v>
      </c>
    </row>
    <row r="353" spans="1:11" x14ac:dyDescent="0.35">
      <c r="A353" s="4" t="s">
        <v>1393</v>
      </c>
      <c r="B353" s="4" t="s">
        <v>764</v>
      </c>
      <c r="C353" s="4" t="s">
        <v>1049</v>
      </c>
      <c r="D353" s="4">
        <v>1</v>
      </c>
      <c r="E353" s="6">
        <v>349000</v>
      </c>
      <c r="F353" t="str">
        <f>VLOOKUP(C353,products!A:C,2,FALSE)</f>
        <v>Sepatu Sneakers Casual</v>
      </c>
      <c r="G353">
        <f t="shared" si="10"/>
        <v>349000</v>
      </c>
      <c r="H353">
        <f>VLOOKUP(C353,products!A:D,4,FALSE)</f>
        <v>180000</v>
      </c>
      <c r="I353">
        <f t="shared" si="11"/>
        <v>169000</v>
      </c>
      <c r="J353" t="str">
        <f>VLOOKUP(B353,orders!A:B,2,FALSE)</f>
        <v>CUST0038</v>
      </c>
      <c r="K353" t="str">
        <f>VLOOKUP(J353,customers!A:F,6,FALSE)</f>
        <v>Depok</v>
      </c>
    </row>
    <row r="354" spans="1:11" x14ac:dyDescent="0.35">
      <c r="A354" s="4" t="s">
        <v>1394</v>
      </c>
      <c r="B354" s="4" t="s">
        <v>764</v>
      </c>
      <c r="C354" s="4" t="s">
        <v>1029</v>
      </c>
      <c r="D354" s="4">
        <v>1</v>
      </c>
      <c r="E354" s="6">
        <v>39000</v>
      </c>
      <c r="F354" t="str">
        <f>VLOOKUP(C354,products!A:C,2,FALSE)</f>
        <v>Kabel Data USB-C</v>
      </c>
      <c r="G354">
        <f t="shared" si="10"/>
        <v>39000</v>
      </c>
      <c r="H354">
        <f>VLOOKUP(C354,products!A:D,4,FALSE)</f>
        <v>15000</v>
      </c>
      <c r="I354">
        <f t="shared" si="11"/>
        <v>24000</v>
      </c>
      <c r="J354" t="str">
        <f>VLOOKUP(B354,orders!A:B,2,FALSE)</f>
        <v>CUST0038</v>
      </c>
      <c r="K354" t="str">
        <f>VLOOKUP(J354,customers!A:F,6,FALSE)</f>
        <v>Depok</v>
      </c>
    </row>
    <row r="355" spans="1:11" x14ac:dyDescent="0.35">
      <c r="A355" s="4" t="s">
        <v>1395</v>
      </c>
      <c r="B355" s="4" t="s">
        <v>950</v>
      </c>
      <c r="C355" s="4" t="s">
        <v>1023</v>
      </c>
      <c r="D355" s="4">
        <v>1</v>
      </c>
      <c r="E355" s="6">
        <v>69000</v>
      </c>
      <c r="F355" t="str">
        <f>VLOOKUP(C355,products!A:C,2,FALSE)</f>
        <v>Lampu LED Hias 5m</v>
      </c>
      <c r="G355">
        <f t="shared" si="10"/>
        <v>69000</v>
      </c>
      <c r="H355">
        <f>VLOOKUP(C355,products!A:D,4,FALSE)</f>
        <v>30000</v>
      </c>
      <c r="I355">
        <f t="shared" si="11"/>
        <v>39000</v>
      </c>
      <c r="J355" t="str">
        <f>VLOOKUP(B355,orders!A:B,2,FALSE)</f>
        <v>CUST0193</v>
      </c>
      <c r="K355" t="str">
        <f>VLOOKUP(J355,customers!A:F,6,FALSE)</f>
        <v>Depok</v>
      </c>
    </row>
    <row r="356" spans="1:11" x14ac:dyDescent="0.35">
      <c r="A356" s="4" t="s">
        <v>1396</v>
      </c>
      <c r="B356" s="4" t="s">
        <v>950</v>
      </c>
      <c r="C356" s="4" t="s">
        <v>1082</v>
      </c>
      <c r="D356" s="4">
        <v>1</v>
      </c>
      <c r="E356" s="6">
        <v>399000</v>
      </c>
      <c r="F356" t="str">
        <f>VLOOKUP(C356,products!A:C,2,FALSE)</f>
        <v>Keyboard Mechanical Mini</v>
      </c>
      <c r="G356">
        <f t="shared" si="10"/>
        <v>399000</v>
      </c>
      <c r="H356">
        <f>VLOOKUP(C356,products!A:D,4,FALSE)</f>
        <v>200000</v>
      </c>
      <c r="I356">
        <f t="shared" si="11"/>
        <v>199000</v>
      </c>
      <c r="J356" t="str">
        <f>VLOOKUP(B356,orders!A:B,2,FALSE)</f>
        <v>CUST0193</v>
      </c>
      <c r="K356" t="str">
        <f>VLOOKUP(J356,customers!A:F,6,FALSE)</f>
        <v>Depok</v>
      </c>
    </row>
    <row r="357" spans="1:11" x14ac:dyDescent="0.35">
      <c r="A357" s="4" t="s">
        <v>1397</v>
      </c>
      <c r="B357" s="4" t="s">
        <v>950</v>
      </c>
      <c r="C357" s="4" t="s">
        <v>1029</v>
      </c>
      <c r="D357" s="4">
        <v>1</v>
      </c>
      <c r="E357" s="6">
        <v>39000</v>
      </c>
      <c r="F357" t="str">
        <f>VLOOKUP(C357,products!A:C,2,FALSE)</f>
        <v>Kabel Data USB-C</v>
      </c>
      <c r="G357">
        <f t="shared" si="10"/>
        <v>39000</v>
      </c>
      <c r="H357">
        <f>VLOOKUP(C357,products!A:D,4,FALSE)</f>
        <v>15000</v>
      </c>
      <c r="I357">
        <f t="shared" si="11"/>
        <v>24000</v>
      </c>
      <c r="J357" t="str">
        <f>VLOOKUP(B357,orders!A:B,2,FALSE)</f>
        <v>CUST0193</v>
      </c>
      <c r="K357" t="str">
        <f>VLOOKUP(J357,customers!A:F,6,FALSE)</f>
        <v>Depok</v>
      </c>
    </row>
    <row r="358" spans="1:11" x14ac:dyDescent="0.35">
      <c r="A358" s="4" t="s">
        <v>1398</v>
      </c>
      <c r="B358" s="4" t="s">
        <v>970</v>
      </c>
      <c r="C358" s="4" t="s">
        <v>1025</v>
      </c>
      <c r="D358" s="4">
        <v>1</v>
      </c>
      <c r="E358" s="6">
        <v>179000</v>
      </c>
      <c r="F358" t="str">
        <f>VLOOKUP(C358,products!A:C,2,FALSE)</f>
        <v>Rak Penyimpanan Serbaguna</v>
      </c>
      <c r="G358">
        <f t="shared" si="10"/>
        <v>179000</v>
      </c>
      <c r="H358">
        <f>VLOOKUP(C358,products!A:D,4,FALSE)</f>
        <v>90000</v>
      </c>
      <c r="I358">
        <f t="shared" si="11"/>
        <v>89000</v>
      </c>
      <c r="J358" t="str">
        <f>VLOOKUP(B358,orders!A:B,2,FALSE)</f>
        <v>CUST0057</v>
      </c>
      <c r="K358" t="str">
        <f>VLOOKUP(J358,customers!A:F,6,FALSE)</f>
        <v>Palembang</v>
      </c>
    </row>
    <row r="359" spans="1:11" x14ac:dyDescent="0.35">
      <c r="A359" s="4" t="s">
        <v>1399</v>
      </c>
      <c r="B359" s="4" t="s">
        <v>244</v>
      </c>
      <c r="C359" s="4" t="s">
        <v>1023</v>
      </c>
      <c r="D359" s="4">
        <v>1</v>
      </c>
      <c r="E359" s="6">
        <v>69000</v>
      </c>
      <c r="F359" t="str">
        <f>VLOOKUP(C359,products!A:C,2,FALSE)</f>
        <v>Lampu LED Hias 5m</v>
      </c>
      <c r="G359">
        <f t="shared" si="10"/>
        <v>69000</v>
      </c>
      <c r="H359">
        <f>VLOOKUP(C359,products!A:D,4,FALSE)</f>
        <v>30000</v>
      </c>
      <c r="I359">
        <f t="shared" si="11"/>
        <v>39000</v>
      </c>
      <c r="J359" t="str">
        <f>VLOOKUP(B359,orders!A:B,2,FALSE)</f>
        <v>CUST0179</v>
      </c>
      <c r="K359" t="str">
        <f>VLOOKUP(J359,customers!A:F,6,FALSE)</f>
        <v>Jakarta</v>
      </c>
    </row>
    <row r="360" spans="1:11" x14ac:dyDescent="0.35">
      <c r="A360" s="4" t="s">
        <v>1400</v>
      </c>
      <c r="B360" s="4" t="s">
        <v>634</v>
      </c>
      <c r="C360" s="4" t="s">
        <v>1033</v>
      </c>
      <c r="D360" s="4">
        <v>1</v>
      </c>
      <c r="E360" s="6">
        <v>55000</v>
      </c>
      <c r="F360" t="str">
        <f>VLOOKUP(C360,products!A:C,2,FALSE)</f>
        <v>Sapu + Pengki Set</v>
      </c>
      <c r="G360">
        <f t="shared" si="10"/>
        <v>55000</v>
      </c>
      <c r="H360">
        <f>VLOOKUP(C360,products!A:D,4,FALSE)</f>
        <v>25000</v>
      </c>
      <c r="I360">
        <f t="shared" si="11"/>
        <v>30000</v>
      </c>
      <c r="J360" t="str">
        <f>VLOOKUP(B360,orders!A:B,2,FALSE)</f>
        <v>CUST0013</v>
      </c>
      <c r="K360" t="str">
        <f>VLOOKUP(J360,customers!A:F,6,FALSE)</f>
        <v>Bandung</v>
      </c>
    </row>
    <row r="361" spans="1:11" x14ac:dyDescent="0.35">
      <c r="A361" s="4" t="s">
        <v>1401</v>
      </c>
      <c r="B361" s="4" t="s">
        <v>928</v>
      </c>
      <c r="C361" s="4" t="s">
        <v>1044</v>
      </c>
      <c r="D361" s="4">
        <v>3</v>
      </c>
      <c r="E361" s="6">
        <v>329000</v>
      </c>
      <c r="F361" t="str">
        <f>VLOOKUP(C361,products!A:C,2,FALSE)</f>
        <v>Rice Cooker Mini 1.5L</v>
      </c>
      <c r="G361">
        <f t="shared" si="10"/>
        <v>987000</v>
      </c>
      <c r="H361">
        <f>VLOOKUP(C361,products!A:D,4,FALSE)</f>
        <v>180000</v>
      </c>
      <c r="I361">
        <f t="shared" si="11"/>
        <v>447000</v>
      </c>
      <c r="J361" t="str">
        <f>VLOOKUP(B361,orders!A:B,2,FALSE)</f>
        <v>CUST0032</v>
      </c>
      <c r="K361" t="str">
        <f>VLOOKUP(J361,customers!A:F,6,FALSE)</f>
        <v>Yogyakarta</v>
      </c>
    </row>
    <row r="362" spans="1:11" x14ac:dyDescent="0.35">
      <c r="A362" s="4" t="s">
        <v>1402</v>
      </c>
      <c r="B362" s="4" t="s">
        <v>933</v>
      </c>
      <c r="C362" s="4" t="s">
        <v>1023</v>
      </c>
      <c r="D362" s="4">
        <v>1</v>
      </c>
      <c r="E362" s="6">
        <v>69000</v>
      </c>
      <c r="F362" t="str">
        <f>VLOOKUP(C362,products!A:C,2,FALSE)</f>
        <v>Lampu LED Hias 5m</v>
      </c>
      <c r="G362">
        <f t="shared" si="10"/>
        <v>69000</v>
      </c>
      <c r="H362">
        <f>VLOOKUP(C362,products!A:D,4,FALSE)</f>
        <v>30000</v>
      </c>
      <c r="I362">
        <f t="shared" si="11"/>
        <v>39000</v>
      </c>
      <c r="J362" t="str">
        <f>VLOOKUP(B362,orders!A:B,2,FALSE)</f>
        <v>CUST0119</v>
      </c>
      <c r="K362" t="str">
        <f>VLOOKUP(J362,customers!A:F,6,FALSE)</f>
        <v>Surabaya</v>
      </c>
    </row>
    <row r="363" spans="1:11" x14ac:dyDescent="0.35">
      <c r="A363" s="4" t="s">
        <v>1403</v>
      </c>
      <c r="B363" s="4" t="s">
        <v>635</v>
      </c>
      <c r="C363" s="4" t="s">
        <v>1029</v>
      </c>
      <c r="D363" s="4">
        <v>1</v>
      </c>
      <c r="E363" s="6">
        <v>39000</v>
      </c>
      <c r="F363" t="str">
        <f>VLOOKUP(C363,products!A:C,2,FALSE)</f>
        <v>Kabel Data USB-C</v>
      </c>
      <c r="G363">
        <f t="shared" si="10"/>
        <v>39000</v>
      </c>
      <c r="H363">
        <f>VLOOKUP(C363,products!A:D,4,FALSE)</f>
        <v>15000</v>
      </c>
      <c r="I363">
        <f t="shared" si="11"/>
        <v>24000</v>
      </c>
      <c r="J363" t="str">
        <f>VLOOKUP(B363,orders!A:B,2,FALSE)</f>
        <v>CUST0153</v>
      </c>
      <c r="K363" t="str">
        <f>VLOOKUP(J363,customers!A:F,6,FALSE)</f>
        <v>Depok</v>
      </c>
    </row>
    <row r="364" spans="1:11" x14ac:dyDescent="0.35">
      <c r="A364" s="4" t="s">
        <v>1404</v>
      </c>
      <c r="B364" s="4" t="s">
        <v>895</v>
      </c>
      <c r="C364" s="4" t="s">
        <v>1029</v>
      </c>
      <c r="D364" s="4">
        <v>1</v>
      </c>
      <c r="E364" s="6">
        <v>39000</v>
      </c>
      <c r="F364" t="str">
        <f>VLOOKUP(C364,products!A:C,2,FALSE)</f>
        <v>Kabel Data USB-C</v>
      </c>
      <c r="G364">
        <f t="shared" si="10"/>
        <v>39000</v>
      </c>
      <c r="H364">
        <f>VLOOKUP(C364,products!A:D,4,FALSE)</f>
        <v>15000</v>
      </c>
      <c r="I364">
        <f t="shared" si="11"/>
        <v>24000</v>
      </c>
      <c r="J364" t="str">
        <f>VLOOKUP(B364,orders!A:B,2,FALSE)</f>
        <v>CUST0114</v>
      </c>
      <c r="K364" t="str">
        <f>VLOOKUP(J364,customers!A:F,6,FALSE)</f>
        <v>Denpasar</v>
      </c>
    </row>
    <row r="365" spans="1:11" x14ac:dyDescent="0.35">
      <c r="A365" s="4" t="s">
        <v>1405</v>
      </c>
      <c r="B365" s="4" t="s">
        <v>895</v>
      </c>
      <c r="C365" s="4" t="s">
        <v>1082</v>
      </c>
      <c r="D365" s="4">
        <v>1</v>
      </c>
      <c r="E365" s="6">
        <v>399000</v>
      </c>
      <c r="F365" t="str">
        <f>VLOOKUP(C365,products!A:C,2,FALSE)</f>
        <v>Keyboard Mechanical Mini</v>
      </c>
      <c r="G365">
        <f t="shared" si="10"/>
        <v>399000</v>
      </c>
      <c r="H365">
        <f>VLOOKUP(C365,products!A:D,4,FALSE)</f>
        <v>200000</v>
      </c>
      <c r="I365">
        <f t="shared" si="11"/>
        <v>199000</v>
      </c>
      <c r="J365" t="str">
        <f>VLOOKUP(B365,orders!A:B,2,FALSE)</f>
        <v>CUST0114</v>
      </c>
      <c r="K365" t="str">
        <f>VLOOKUP(J365,customers!A:F,6,FALSE)</f>
        <v>Denpasar</v>
      </c>
    </row>
    <row r="366" spans="1:11" x14ac:dyDescent="0.35">
      <c r="A366" s="4" t="s">
        <v>1406</v>
      </c>
      <c r="B366" s="4" t="s">
        <v>895</v>
      </c>
      <c r="C366" s="4" t="s">
        <v>1053</v>
      </c>
      <c r="D366" s="4">
        <v>2</v>
      </c>
      <c r="E366" s="6">
        <v>129000</v>
      </c>
      <c r="F366" t="str">
        <f>VLOOKUP(C366,products!A:C,2,FALSE)</f>
        <v>Charger Fast Charging 33W</v>
      </c>
      <c r="G366">
        <f t="shared" si="10"/>
        <v>258000</v>
      </c>
      <c r="H366">
        <f>VLOOKUP(C366,products!A:D,4,FALSE)</f>
        <v>60000</v>
      </c>
      <c r="I366">
        <f t="shared" si="11"/>
        <v>138000</v>
      </c>
      <c r="J366" t="str">
        <f>VLOOKUP(B366,orders!A:B,2,FALSE)</f>
        <v>CUST0114</v>
      </c>
      <c r="K366" t="str">
        <f>VLOOKUP(J366,customers!A:F,6,FALSE)</f>
        <v>Denpasar</v>
      </c>
    </row>
    <row r="367" spans="1:11" x14ac:dyDescent="0.35">
      <c r="A367" s="4" t="s">
        <v>1407</v>
      </c>
      <c r="B367" s="4" t="s">
        <v>895</v>
      </c>
      <c r="C367" s="4" t="s">
        <v>1044</v>
      </c>
      <c r="D367" s="4">
        <v>1</v>
      </c>
      <c r="E367" s="6">
        <v>329000</v>
      </c>
      <c r="F367" t="str">
        <f>VLOOKUP(C367,products!A:C,2,FALSE)</f>
        <v>Rice Cooker Mini 1.5L</v>
      </c>
      <c r="G367">
        <f t="shared" si="10"/>
        <v>329000</v>
      </c>
      <c r="H367">
        <f>VLOOKUP(C367,products!A:D,4,FALSE)</f>
        <v>180000</v>
      </c>
      <c r="I367">
        <f t="shared" si="11"/>
        <v>149000</v>
      </c>
      <c r="J367" t="str">
        <f>VLOOKUP(B367,orders!A:B,2,FALSE)</f>
        <v>CUST0114</v>
      </c>
      <c r="K367" t="str">
        <f>VLOOKUP(J367,customers!A:F,6,FALSE)</f>
        <v>Denpasar</v>
      </c>
    </row>
    <row r="368" spans="1:11" x14ac:dyDescent="0.35">
      <c r="A368" s="4" t="s">
        <v>1408</v>
      </c>
      <c r="B368" s="4" t="s">
        <v>806</v>
      </c>
      <c r="C368" s="4" t="s">
        <v>1023</v>
      </c>
      <c r="D368" s="4">
        <v>1</v>
      </c>
      <c r="E368" s="6">
        <v>69000</v>
      </c>
      <c r="F368" t="str">
        <f>VLOOKUP(C368,products!A:C,2,FALSE)</f>
        <v>Lampu LED Hias 5m</v>
      </c>
      <c r="G368">
        <f t="shared" si="10"/>
        <v>69000</v>
      </c>
      <c r="H368">
        <f>VLOOKUP(C368,products!A:D,4,FALSE)</f>
        <v>30000</v>
      </c>
      <c r="I368">
        <f t="shared" si="11"/>
        <v>39000</v>
      </c>
      <c r="J368" t="str">
        <f>VLOOKUP(B368,orders!A:B,2,FALSE)</f>
        <v>CUST0185</v>
      </c>
      <c r="K368" t="str">
        <f>VLOOKUP(J368,customers!A:F,6,FALSE)</f>
        <v>Jakarta</v>
      </c>
    </row>
    <row r="369" spans="1:11" x14ac:dyDescent="0.35">
      <c r="A369" s="4" t="s">
        <v>1409</v>
      </c>
      <c r="B369" s="4" t="s">
        <v>441</v>
      </c>
      <c r="C369" s="4" t="s">
        <v>1049</v>
      </c>
      <c r="D369" s="4">
        <v>1</v>
      </c>
      <c r="E369" s="6">
        <v>349000</v>
      </c>
      <c r="F369" t="str">
        <f>VLOOKUP(C369,products!A:C,2,FALSE)</f>
        <v>Sepatu Sneakers Casual</v>
      </c>
      <c r="G369">
        <f t="shared" si="10"/>
        <v>349000</v>
      </c>
      <c r="H369">
        <f>VLOOKUP(C369,products!A:D,4,FALSE)</f>
        <v>180000</v>
      </c>
      <c r="I369">
        <f t="shared" si="11"/>
        <v>169000</v>
      </c>
      <c r="J369" t="str">
        <f>VLOOKUP(B369,orders!A:B,2,FALSE)</f>
        <v>CUST0141</v>
      </c>
      <c r="K369" t="str">
        <f>VLOOKUP(J369,customers!A:F,6,FALSE)</f>
        <v>Palembang</v>
      </c>
    </row>
    <row r="370" spans="1:11" x14ac:dyDescent="0.35">
      <c r="A370" s="4" t="s">
        <v>1410</v>
      </c>
      <c r="B370" s="4" t="s">
        <v>441</v>
      </c>
      <c r="C370" s="4" t="s">
        <v>1031</v>
      </c>
      <c r="D370" s="4">
        <v>1</v>
      </c>
      <c r="E370" s="6">
        <v>79000</v>
      </c>
      <c r="F370" t="str">
        <f>VLOOKUP(C370,products!A:C,2,FALSE)</f>
        <v>Kaos Polos Cotton Combed</v>
      </c>
      <c r="G370">
        <f t="shared" si="10"/>
        <v>79000</v>
      </c>
      <c r="H370">
        <f>VLOOKUP(C370,products!A:D,4,FALSE)</f>
        <v>35000</v>
      </c>
      <c r="I370">
        <f t="shared" si="11"/>
        <v>44000</v>
      </c>
      <c r="J370" t="str">
        <f>VLOOKUP(B370,orders!A:B,2,FALSE)</f>
        <v>CUST0141</v>
      </c>
      <c r="K370" t="str">
        <f>VLOOKUP(J370,customers!A:F,6,FALSE)</f>
        <v>Palembang</v>
      </c>
    </row>
    <row r="371" spans="1:11" x14ac:dyDescent="0.35">
      <c r="A371" s="4" t="s">
        <v>1411</v>
      </c>
      <c r="B371" s="4" t="s">
        <v>918</v>
      </c>
      <c r="C371" s="4" t="s">
        <v>1049</v>
      </c>
      <c r="D371" s="4">
        <v>2</v>
      </c>
      <c r="E371" s="6">
        <v>349000</v>
      </c>
      <c r="F371" t="str">
        <f>VLOOKUP(C371,products!A:C,2,FALSE)</f>
        <v>Sepatu Sneakers Casual</v>
      </c>
      <c r="G371">
        <f t="shared" si="10"/>
        <v>698000</v>
      </c>
      <c r="H371">
        <f>VLOOKUP(C371,products!A:D,4,FALSE)</f>
        <v>180000</v>
      </c>
      <c r="I371">
        <f t="shared" si="11"/>
        <v>338000</v>
      </c>
      <c r="J371" t="str">
        <f>VLOOKUP(B371,orders!A:B,2,FALSE)</f>
        <v>CUST0041</v>
      </c>
      <c r="K371" t="str">
        <f>VLOOKUP(J371,customers!A:F,6,FALSE)</f>
        <v>Palembang</v>
      </c>
    </row>
    <row r="372" spans="1:11" x14ac:dyDescent="0.35">
      <c r="A372" s="4" t="s">
        <v>1412</v>
      </c>
      <c r="B372" s="4" t="s">
        <v>964</v>
      </c>
      <c r="C372" s="4" t="s">
        <v>1023</v>
      </c>
      <c r="D372" s="4">
        <v>1</v>
      </c>
      <c r="E372" s="6">
        <v>69000</v>
      </c>
      <c r="F372" t="str">
        <f>VLOOKUP(C372,products!A:C,2,FALSE)</f>
        <v>Lampu LED Hias 5m</v>
      </c>
      <c r="G372">
        <f t="shared" si="10"/>
        <v>69000</v>
      </c>
      <c r="H372">
        <f>VLOOKUP(C372,products!A:D,4,FALSE)</f>
        <v>30000</v>
      </c>
      <c r="I372">
        <f t="shared" si="11"/>
        <v>39000</v>
      </c>
      <c r="J372" t="str">
        <f>VLOOKUP(B372,orders!A:B,2,FALSE)</f>
        <v>CUST0122</v>
      </c>
      <c r="K372" t="str">
        <f>VLOOKUP(J372,customers!A:F,6,FALSE)</f>
        <v>Palembang</v>
      </c>
    </row>
    <row r="373" spans="1:11" x14ac:dyDescent="0.35">
      <c r="A373" s="4" t="s">
        <v>1413</v>
      </c>
      <c r="B373" s="4" t="s">
        <v>969</v>
      </c>
      <c r="C373" s="4" t="s">
        <v>1031</v>
      </c>
      <c r="D373" s="4">
        <v>1</v>
      </c>
      <c r="E373" s="6">
        <v>79000</v>
      </c>
      <c r="F373" t="str">
        <f>VLOOKUP(C373,products!A:C,2,FALSE)</f>
        <v>Kaos Polos Cotton Combed</v>
      </c>
      <c r="G373">
        <f t="shared" si="10"/>
        <v>79000</v>
      </c>
      <c r="H373">
        <f>VLOOKUP(C373,products!A:D,4,FALSE)</f>
        <v>35000</v>
      </c>
      <c r="I373">
        <f t="shared" si="11"/>
        <v>44000</v>
      </c>
      <c r="J373" t="str">
        <f>VLOOKUP(B373,orders!A:B,2,FALSE)</f>
        <v>CUST0193</v>
      </c>
      <c r="K373" t="str">
        <f>VLOOKUP(J373,customers!A:F,6,FALSE)</f>
        <v>Depok</v>
      </c>
    </row>
    <row r="374" spans="1:11" x14ac:dyDescent="0.35">
      <c r="A374" s="4" t="s">
        <v>1414</v>
      </c>
      <c r="B374" s="4" t="s">
        <v>969</v>
      </c>
      <c r="C374" s="4" t="s">
        <v>1029</v>
      </c>
      <c r="D374" s="4">
        <v>1</v>
      </c>
      <c r="E374" s="6">
        <v>39000</v>
      </c>
      <c r="F374" t="str">
        <f>VLOOKUP(C374,products!A:C,2,FALSE)</f>
        <v>Kabel Data USB-C</v>
      </c>
      <c r="G374">
        <f t="shared" si="10"/>
        <v>39000</v>
      </c>
      <c r="H374">
        <f>VLOOKUP(C374,products!A:D,4,FALSE)</f>
        <v>15000</v>
      </c>
      <c r="I374">
        <f t="shared" si="11"/>
        <v>24000</v>
      </c>
      <c r="J374" t="str">
        <f>VLOOKUP(B374,orders!A:B,2,FALSE)</f>
        <v>CUST0193</v>
      </c>
      <c r="K374" t="str">
        <f>VLOOKUP(J374,customers!A:F,6,FALSE)</f>
        <v>Depok</v>
      </c>
    </row>
    <row r="375" spans="1:11" x14ac:dyDescent="0.35">
      <c r="A375" s="4" t="s">
        <v>1415</v>
      </c>
      <c r="B375" s="4" t="s">
        <v>832</v>
      </c>
      <c r="C375" s="4" t="s">
        <v>1029</v>
      </c>
      <c r="D375" s="4">
        <v>1</v>
      </c>
      <c r="E375" s="6">
        <v>39000</v>
      </c>
      <c r="F375" t="str">
        <f>VLOOKUP(C375,products!A:C,2,FALSE)</f>
        <v>Kabel Data USB-C</v>
      </c>
      <c r="G375">
        <f t="shared" si="10"/>
        <v>39000</v>
      </c>
      <c r="H375">
        <f>VLOOKUP(C375,products!A:D,4,FALSE)</f>
        <v>15000</v>
      </c>
      <c r="I375">
        <f t="shared" si="11"/>
        <v>24000</v>
      </c>
      <c r="J375" t="str">
        <f>VLOOKUP(B375,orders!A:B,2,FALSE)</f>
        <v>CUST0071</v>
      </c>
      <c r="K375" t="str">
        <f>VLOOKUP(J375,customers!A:F,6,FALSE)</f>
        <v>Denpasar</v>
      </c>
    </row>
    <row r="376" spans="1:11" x14ac:dyDescent="0.35">
      <c r="A376" s="4" t="s">
        <v>1416</v>
      </c>
      <c r="B376" s="4" t="s">
        <v>832</v>
      </c>
      <c r="C376" s="4" t="s">
        <v>1023</v>
      </c>
      <c r="D376" s="4">
        <v>2</v>
      </c>
      <c r="E376" s="6">
        <v>69000</v>
      </c>
      <c r="F376" t="str">
        <f>VLOOKUP(C376,products!A:C,2,FALSE)</f>
        <v>Lampu LED Hias 5m</v>
      </c>
      <c r="G376">
        <f t="shared" si="10"/>
        <v>138000</v>
      </c>
      <c r="H376">
        <f>VLOOKUP(C376,products!A:D,4,FALSE)</f>
        <v>30000</v>
      </c>
      <c r="I376">
        <f t="shared" si="11"/>
        <v>78000</v>
      </c>
      <c r="J376" t="str">
        <f>VLOOKUP(B376,orders!A:B,2,FALSE)</f>
        <v>CUST0071</v>
      </c>
      <c r="K376" t="str">
        <f>VLOOKUP(J376,customers!A:F,6,FALSE)</f>
        <v>Denpasar</v>
      </c>
    </row>
    <row r="377" spans="1:11" x14ac:dyDescent="0.35">
      <c r="A377" s="4" t="s">
        <v>1417</v>
      </c>
      <c r="B377" s="4" t="s">
        <v>506</v>
      </c>
      <c r="C377" s="4" t="s">
        <v>1023</v>
      </c>
      <c r="D377" s="4">
        <v>1</v>
      </c>
      <c r="E377" s="6">
        <v>69000</v>
      </c>
      <c r="F377" t="str">
        <f>VLOOKUP(C377,products!A:C,2,FALSE)</f>
        <v>Lampu LED Hias 5m</v>
      </c>
      <c r="G377">
        <f t="shared" si="10"/>
        <v>69000</v>
      </c>
      <c r="H377">
        <f>VLOOKUP(C377,products!A:D,4,FALSE)</f>
        <v>30000</v>
      </c>
      <c r="I377">
        <f t="shared" si="11"/>
        <v>39000</v>
      </c>
      <c r="J377" t="str">
        <f>VLOOKUP(B377,orders!A:B,2,FALSE)</f>
        <v>CUST0134</v>
      </c>
      <c r="K377" t="str">
        <f>VLOOKUP(J377,customers!A:F,6,FALSE)</f>
        <v>Makassar</v>
      </c>
    </row>
    <row r="378" spans="1:11" x14ac:dyDescent="0.35">
      <c r="A378" s="4" t="s">
        <v>1418</v>
      </c>
      <c r="B378" s="4" t="s">
        <v>656</v>
      </c>
      <c r="C378" s="4" t="s">
        <v>1044</v>
      </c>
      <c r="D378" s="4">
        <v>1</v>
      </c>
      <c r="E378" s="6">
        <v>329000</v>
      </c>
      <c r="F378" t="str">
        <f>VLOOKUP(C378,products!A:C,2,FALSE)</f>
        <v>Rice Cooker Mini 1.5L</v>
      </c>
      <c r="G378">
        <f t="shared" si="10"/>
        <v>329000</v>
      </c>
      <c r="H378">
        <f>VLOOKUP(C378,products!A:D,4,FALSE)</f>
        <v>180000</v>
      </c>
      <c r="I378">
        <f t="shared" si="11"/>
        <v>149000</v>
      </c>
      <c r="J378" t="str">
        <f>VLOOKUP(B378,orders!A:B,2,FALSE)</f>
        <v>CUST0071</v>
      </c>
      <c r="K378" t="str">
        <f>VLOOKUP(J378,customers!A:F,6,FALSE)</f>
        <v>Denpasar</v>
      </c>
    </row>
    <row r="379" spans="1:11" x14ac:dyDescent="0.35">
      <c r="A379" s="4" t="s">
        <v>1419</v>
      </c>
      <c r="B379" s="4" t="s">
        <v>656</v>
      </c>
      <c r="C379" s="4" t="s">
        <v>1049</v>
      </c>
      <c r="D379" s="4">
        <v>1</v>
      </c>
      <c r="E379" s="6">
        <v>349000</v>
      </c>
      <c r="F379" t="str">
        <f>VLOOKUP(C379,products!A:C,2,FALSE)</f>
        <v>Sepatu Sneakers Casual</v>
      </c>
      <c r="G379">
        <f t="shared" si="10"/>
        <v>349000</v>
      </c>
      <c r="H379">
        <f>VLOOKUP(C379,products!A:D,4,FALSE)</f>
        <v>180000</v>
      </c>
      <c r="I379">
        <f t="shared" si="11"/>
        <v>169000</v>
      </c>
      <c r="J379" t="str">
        <f>VLOOKUP(B379,orders!A:B,2,FALSE)</f>
        <v>CUST0071</v>
      </c>
      <c r="K379" t="str">
        <f>VLOOKUP(J379,customers!A:F,6,FALSE)</f>
        <v>Denpasar</v>
      </c>
    </row>
    <row r="380" spans="1:11" x14ac:dyDescent="0.35">
      <c r="A380" s="4" t="s">
        <v>1420</v>
      </c>
      <c r="B380" s="4" t="s">
        <v>555</v>
      </c>
      <c r="C380" s="4" t="s">
        <v>1033</v>
      </c>
      <c r="D380" s="4">
        <v>1</v>
      </c>
      <c r="E380" s="6">
        <v>55000</v>
      </c>
      <c r="F380" t="str">
        <f>VLOOKUP(C380,products!A:C,2,FALSE)</f>
        <v>Sapu + Pengki Set</v>
      </c>
      <c r="G380">
        <f t="shared" si="10"/>
        <v>55000</v>
      </c>
      <c r="H380">
        <f>VLOOKUP(C380,products!A:D,4,FALSE)</f>
        <v>25000</v>
      </c>
      <c r="I380">
        <f t="shared" si="11"/>
        <v>30000</v>
      </c>
      <c r="J380" t="str">
        <f>VLOOKUP(B380,orders!A:B,2,FALSE)</f>
        <v>CUST0183</v>
      </c>
      <c r="K380" t="str">
        <f>VLOOKUP(J380,customers!A:F,6,FALSE)</f>
        <v>Denpasar</v>
      </c>
    </row>
    <row r="381" spans="1:11" x14ac:dyDescent="0.35">
      <c r="A381" s="4" t="s">
        <v>1421</v>
      </c>
      <c r="B381" s="4" t="s">
        <v>164</v>
      </c>
      <c r="C381" s="4" t="s">
        <v>1031</v>
      </c>
      <c r="D381" s="4">
        <v>1</v>
      </c>
      <c r="E381" s="6">
        <v>79000</v>
      </c>
      <c r="F381" t="str">
        <f>VLOOKUP(C381,products!A:C,2,FALSE)</f>
        <v>Kaos Polos Cotton Combed</v>
      </c>
      <c r="G381">
        <f t="shared" si="10"/>
        <v>79000</v>
      </c>
      <c r="H381">
        <f>VLOOKUP(C381,products!A:D,4,FALSE)</f>
        <v>35000</v>
      </c>
      <c r="I381">
        <f t="shared" si="11"/>
        <v>44000</v>
      </c>
      <c r="J381" t="str">
        <f>VLOOKUP(B381,orders!A:B,2,FALSE)</f>
        <v>CUST0086</v>
      </c>
      <c r="K381" t="str">
        <f>VLOOKUP(J381,customers!A:F,6,FALSE)</f>
        <v>Makassar</v>
      </c>
    </row>
    <row r="382" spans="1:11" x14ac:dyDescent="0.35">
      <c r="A382" s="4" t="s">
        <v>1422</v>
      </c>
      <c r="B382" s="4" t="s">
        <v>131</v>
      </c>
      <c r="C382" s="4" t="s">
        <v>1029</v>
      </c>
      <c r="D382" s="4">
        <v>1</v>
      </c>
      <c r="E382" s="6">
        <v>39000</v>
      </c>
      <c r="F382" t="str">
        <f>VLOOKUP(C382,products!A:C,2,FALSE)</f>
        <v>Kabel Data USB-C</v>
      </c>
      <c r="G382">
        <f t="shared" si="10"/>
        <v>39000</v>
      </c>
      <c r="H382">
        <f>VLOOKUP(C382,products!A:D,4,FALSE)</f>
        <v>15000</v>
      </c>
      <c r="I382">
        <f t="shared" si="11"/>
        <v>24000</v>
      </c>
      <c r="J382" t="str">
        <f>VLOOKUP(B382,orders!A:B,2,FALSE)</f>
        <v>CUST0139</v>
      </c>
      <c r="K382" t="str">
        <f>VLOOKUP(J382,customers!A:F,6,FALSE)</f>
        <v>Yogyakarta</v>
      </c>
    </row>
    <row r="383" spans="1:11" x14ac:dyDescent="0.35">
      <c r="A383" s="4" t="s">
        <v>1423</v>
      </c>
      <c r="B383" s="4" t="s">
        <v>131</v>
      </c>
      <c r="C383" s="4" t="s">
        <v>1053</v>
      </c>
      <c r="D383" s="4">
        <v>2</v>
      </c>
      <c r="E383" s="6">
        <v>129000</v>
      </c>
      <c r="F383" t="str">
        <f>VLOOKUP(C383,products!A:C,2,FALSE)</f>
        <v>Charger Fast Charging 33W</v>
      </c>
      <c r="G383">
        <f t="shared" si="10"/>
        <v>258000</v>
      </c>
      <c r="H383">
        <f>VLOOKUP(C383,products!A:D,4,FALSE)</f>
        <v>60000</v>
      </c>
      <c r="I383">
        <f t="shared" si="11"/>
        <v>138000</v>
      </c>
      <c r="J383" t="str">
        <f>VLOOKUP(B383,orders!A:B,2,FALSE)</f>
        <v>CUST0139</v>
      </c>
      <c r="K383" t="str">
        <f>VLOOKUP(J383,customers!A:F,6,FALSE)</f>
        <v>Yogyakarta</v>
      </c>
    </row>
    <row r="384" spans="1:11" x14ac:dyDescent="0.35">
      <c r="A384" s="4" t="s">
        <v>1424</v>
      </c>
      <c r="B384" s="4" t="s">
        <v>408</v>
      </c>
      <c r="C384" s="4" t="s">
        <v>1044</v>
      </c>
      <c r="D384" s="4">
        <v>1</v>
      </c>
      <c r="E384" s="6">
        <v>329000</v>
      </c>
      <c r="F384" t="str">
        <f>VLOOKUP(C384,products!A:C,2,FALSE)</f>
        <v>Rice Cooker Mini 1.5L</v>
      </c>
      <c r="G384">
        <f t="shared" si="10"/>
        <v>329000</v>
      </c>
      <c r="H384">
        <f>VLOOKUP(C384,products!A:D,4,FALSE)</f>
        <v>180000</v>
      </c>
      <c r="I384">
        <f t="shared" si="11"/>
        <v>149000</v>
      </c>
      <c r="J384" t="str">
        <f>VLOOKUP(B384,orders!A:B,2,FALSE)</f>
        <v>CUST0060</v>
      </c>
      <c r="K384" t="str">
        <f>VLOOKUP(J384,customers!A:F,6,FALSE)</f>
        <v>Palembang</v>
      </c>
    </row>
    <row r="385" spans="1:11" x14ac:dyDescent="0.35">
      <c r="A385" s="4" t="s">
        <v>1425</v>
      </c>
      <c r="B385" s="4" t="s">
        <v>859</v>
      </c>
      <c r="C385" s="4" t="s">
        <v>1044</v>
      </c>
      <c r="D385" s="4">
        <v>1</v>
      </c>
      <c r="E385" s="6">
        <v>329000</v>
      </c>
      <c r="F385" t="str">
        <f>VLOOKUP(C385,products!A:C,2,FALSE)</f>
        <v>Rice Cooker Mini 1.5L</v>
      </c>
      <c r="G385">
        <f t="shared" si="10"/>
        <v>329000</v>
      </c>
      <c r="H385">
        <f>VLOOKUP(C385,products!A:D,4,FALSE)</f>
        <v>180000</v>
      </c>
      <c r="I385">
        <f t="shared" si="11"/>
        <v>149000</v>
      </c>
      <c r="J385" t="str">
        <f>VLOOKUP(B385,orders!A:B,2,FALSE)</f>
        <v>CUST0040</v>
      </c>
      <c r="K385" t="str">
        <f>VLOOKUP(J385,customers!A:F,6,FALSE)</f>
        <v>Bandung</v>
      </c>
    </row>
    <row r="386" spans="1:11" x14ac:dyDescent="0.35">
      <c r="A386" s="4" t="s">
        <v>1426</v>
      </c>
      <c r="B386" s="4" t="s">
        <v>328</v>
      </c>
      <c r="C386" s="4" t="s">
        <v>1025</v>
      </c>
      <c r="D386" s="4">
        <v>2</v>
      </c>
      <c r="E386" s="6">
        <v>179000</v>
      </c>
      <c r="F386" t="str">
        <f>VLOOKUP(C386,products!A:C,2,FALSE)</f>
        <v>Rak Penyimpanan Serbaguna</v>
      </c>
      <c r="G386">
        <f t="shared" si="10"/>
        <v>358000</v>
      </c>
      <c r="H386">
        <f>VLOOKUP(C386,products!A:D,4,FALSE)</f>
        <v>90000</v>
      </c>
      <c r="I386">
        <f t="shared" si="11"/>
        <v>178000</v>
      </c>
      <c r="J386" t="str">
        <f>VLOOKUP(B386,orders!A:B,2,FALSE)</f>
        <v>CUST0105</v>
      </c>
      <c r="K386" t="str">
        <f>VLOOKUP(J386,customers!A:F,6,FALSE)</f>
        <v>Jakarta</v>
      </c>
    </row>
    <row r="387" spans="1:11" x14ac:dyDescent="0.35">
      <c r="A387" s="4" t="s">
        <v>1427</v>
      </c>
      <c r="B387" s="4" t="s">
        <v>430</v>
      </c>
      <c r="C387" s="4" t="s">
        <v>1023</v>
      </c>
      <c r="D387" s="4">
        <v>2</v>
      </c>
      <c r="E387" s="6">
        <v>69000</v>
      </c>
      <c r="F387" t="str">
        <f>VLOOKUP(C387,products!A:C,2,FALSE)</f>
        <v>Lampu LED Hias 5m</v>
      </c>
      <c r="G387">
        <f t="shared" ref="G387:G450" si="12">D387*E387</f>
        <v>138000</v>
      </c>
      <c r="H387">
        <f>VLOOKUP(C387,products!A:D,4,FALSE)</f>
        <v>30000</v>
      </c>
      <c r="I387">
        <f t="shared" ref="I387:I450" si="13">(E387-H387)*D387</f>
        <v>78000</v>
      </c>
      <c r="J387" t="str">
        <f>VLOOKUP(B387,orders!A:B,2,FALSE)</f>
        <v>CUST0120</v>
      </c>
      <c r="K387" t="str">
        <f>VLOOKUP(J387,customers!A:F,6,FALSE)</f>
        <v>Makassar</v>
      </c>
    </row>
    <row r="388" spans="1:11" x14ac:dyDescent="0.35">
      <c r="A388" s="4" t="s">
        <v>1428</v>
      </c>
      <c r="B388" s="4" t="s">
        <v>773</v>
      </c>
      <c r="C388" s="4" t="s">
        <v>1023</v>
      </c>
      <c r="D388" s="4">
        <v>3</v>
      </c>
      <c r="E388" s="6">
        <v>69000</v>
      </c>
      <c r="F388" t="str">
        <f>VLOOKUP(C388,products!A:C,2,FALSE)</f>
        <v>Lampu LED Hias 5m</v>
      </c>
      <c r="G388">
        <f t="shared" si="12"/>
        <v>207000</v>
      </c>
      <c r="H388">
        <f>VLOOKUP(C388,products!A:D,4,FALSE)</f>
        <v>30000</v>
      </c>
      <c r="I388">
        <f t="shared" si="13"/>
        <v>117000</v>
      </c>
      <c r="J388" t="str">
        <f>VLOOKUP(B388,orders!A:B,2,FALSE)</f>
        <v>CUST0053</v>
      </c>
      <c r="K388" t="str">
        <f>VLOOKUP(J388,customers!A:F,6,FALSE)</f>
        <v>Palembang</v>
      </c>
    </row>
    <row r="389" spans="1:11" x14ac:dyDescent="0.35">
      <c r="A389" s="4" t="s">
        <v>1429</v>
      </c>
      <c r="B389" s="4" t="s">
        <v>773</v>
      </c>
      <c r="C389" s="4" t="s">
        <v>1082</v>
      </c>
      <c r="D389" s="4">
        <v>1</v>
      </c>
      <c r="E389" s="6">
        <v>399000</v>
      </c>
      <c r="F389" t="str">
        <f>VLOOKUP(C389,products!A:C,2,FALSE)</f>
        <v>Keyboard Mechanical Mini</v>
      </c>
      <c r="G389">
        <f t="shared" si="12"/>
        <v>399000</v>
      </c>
      <c r="H389">
        <f>VLOOKUP(C389,products!A:D,4,FALSE)</f>
        <v>200000</v>
      </c>
      <c r="I389">
        <f t="shared" si="13"/>
        <v>199000</v>
      </c>
      <c r="J389" t="str">
        <f>VLOOKUP(B389,orders!A:B,2,FALSE)</f>
        <v>CUST0053</v>
      </c>
      <c r="K389" t="str">
        <f>VLOOKUP(J389,customers!A:F,6,FALSE)</f>
        <v>Palembang</v>
      </c>
    </row>
    <row r="390" spans="1:11" x14ac:dyDescent="0.35">
      <c r="A390" s="4" t="s">
        <v>1430</v>
      </c>
      <c r="B390" s="4" t="s">
        <v>907</v>
      </c>
      <c r="C390" s="4" t="s">
        <v>1325</v>
      </c>
      <c r="D390" s="4">
        <v>2</v>
      </c>
      <c r="E390" s="6">
        <v>199000</v>
      </c>
      <c r="F390" t="str">
        <f>VLOOKUP(C390,products!A:C,2,FALSE)</f>
        <v>Speaker Bluetooth Mini</v>
      </c>
      <c r="G390">
        <f t="shared" si="12"/>
        <v>398000</v>
      </c>
      <c r="H390">
        <f>VLOOKUP(C390,products!A:D,4,FALSE)</f>
        <v>100000</v>
      </c>
      <c r="I390">
        <f t="shared" si="13"/>
        <v>198000</v>
      </c>
      <c r="J390" t="str">
        <f>VLOOKUP(B390,orders!A:B,2,FALSE)</f>
        <v>CUST0198</v>
      </c>
      <c r="K390" t="str">
        <f>VLOOKUP(J390,customers!A:F,6,FALSE)</f>
        <v>Surabaya</v>
      </c>
    </row>
    <row r="391" spans="1:11" x14ac:dyDescent="0.35">
      <c r="A391" s="4" t="s">
        <v>1431</v>
      </c>
      <c r="B391" s="4" t="s">
        <v>907</v>
      </c>
      <c r="C391" s="4" t="s">
        <v>1031</v>
      </c>
      <c r="D391" s="4">
        <v>1</v>
      </c>
      <c r="E391" s="6">
        <v>79000</v>
      </c>
      <c r="F391" t="str">
        <f>VLOOKUP(C391,products!A:C,2,FALSE)</f>
        <v>Kaos Polos Cotton Combed</v>
      </c>
      <c r="G391">
        <f t="shared" si="12"/>
        <v>79000</v>
      </c>
      <c r="H391">
        <f>VLOOKUP(C391,products!A:D,4,FALSE)</f>
        <v>35000</v>
      </c>
      <c r="I391">
        <f t="shared" si="13"/>
        <v>44000</v>
      </c>
      <c r="J391" t="str">
        <f>VLOOKUP(B391,orders!A:B,2,FALSE)</f>
        <v>CUST0198</v>
      </c>
      <c r="K391" t="str">
        <f>VLOOKUP(J391,customers!A:F,6,FALSE)</f>
        <v>Surabaya</v>
      </c>
    </row>
    <row r="392" spans="1:11" x14ac:dyDescent="0.35">
      <c r="A392" s="4" t="s">
        <v>1432</v>
      </c>
      <c r="B392" s="4" t="s">
        <v>797</v>
      </c>
      <c r="C392" s="4" t="s">
        <v>1023</v>
      </c>
      <c r="D392" s="4">
        <v>1</v>
      </c>
      <c r="E392" s="6">
        <v>69000</v>
      </c>
      <c r="F392" t="str">
        <f>VLOOKUP(C392,products!A:C,2,FALSE)</f>
        <v>Lampu LED Hias 5m</v>
      </c>
      <c r="G392">
        <f t="shared" si="12"/>
        <v>69000</v>
      </c>
      <c r="H392">
        <f>VLOOKUP(C392,products!A:D,4,FALSE)</f>
        <v>30000</v>
      </c>
      <c r="I392">
        <f t="shared" si="13"/>
        <v>39000</v>
      </c>
      <c r="J392" t="str">
        <f>VLOOKUP(B392,orders!A:B,2,FALSE)</f>
        <v>CUST0006</v>
      </c>
      <c r="K392" t="str">
        <f>VLOOKUP(J392,customers!A:F,6,FALSE)</f>
        <v>Jakarta</v>
      </c>
    </row>
    <row r="393" spans="1:11" x14ac:dyDescent="0.35">
      <c r="A393" s="4" t="s">
        <v>1433</v>
      </c>
      <c r="B393" s="4" t="s">
        <v>998</v>
      </c>
      <c r="C393" s="4" t="s">
        <v>1023</v>
      </c>
      <c r="D393" s="4">
        <v>1</v>
      </c>
      <c r="E393" s="6">
        <v>69000</v>
      </c>
      <c r="F393" t="str">
        <f>VLOOKUP(C393,products!A:C,2,FALSE)</f>
        <v>Lampu LED Hias 5m</v>
      </c>
      <c r="G393">
        <f t="shared" si="12"/>
        <v>69000</v>
      </c>
      <c r="H393">
        <f>VLOOKUP(C393,products!A:D,4,FALSE)</f>
        <v>30000</v>
      </c>
      <c r="I393">
        <f t="shared" si="13"/>
        <v>39000</v>
      </c>
      <c r="J393" t="str">
        <f>VLOOKUP(B393,orders!A:B,2,FALSE)</f>
        <v>CUST0196</v>
      </c>
      <c r="K393" t="str">
        <f>VLOOKUP(J393,customers!A:F,6,FALSE)</f>
        <v>Denpasar</v>
      </c>
    </row>
    <row r="394" spans="1:11" x14ac:dyDescent="0.35">
      <c r="A394" s="4" t="s">
        <v>1434</v>
      </c>
      <c r="B394" s="4" t="s">
        <v>998</v>
      </c>
      <c r="C394" s="4" t="s">
        <v>1029</v>
      </c>
      <c r="D394" s="4">
        <v>1</v>
      </c>
      <c r="E394" s="6">
        <v>39000</v>
      </c>
      <c r="F394" t="str">
        <f>VLOOKUP(C394,products!A:C,2,FALSE)</f>
        <v>Kabel Data USB-C</v>
      </c>
      <c r="G394">
        <f t="shared" si="12"/>
        <v>39000</v>
      </c>
      <c r="H394">
        <f>VLOOKUP(C394,products!A:D,4,FALSE)</f>
        <v>15000</v>
      </c>
      <c r="I394">
        <f t="shared" si="13"/>
        <v>24000</v>
      </c>
      <c r="J394" t="str">
        <f>VLOOKUP(B394,orders!A:B,2,FALSE)</f>
        <v>CUST0196</v>
      </c>
      <c r="K394" t="str">
        <f>VLOOKUP(J394,customers!A:F,6,FALSE)</f>
        <v>Denpasar</v>
      </c>
    </row>
    <row r="395" spans="1:11" x14ac:dyDescent="0.35">
      <c r="A395" s="4" t="s">
        <v>1435</v>
      </c>
      <c r="B395" s="4" t="s">
        <v>998</v>
      </c>
      <c r="C395" s="4" t="s">
        <v>1036</v>
      </c>
      <c r="D395" s="4">
        <v>2</v>
      </c>
      <c r="E395" s="6">
        <v>229000</v>
      </c>
      <c r="F395" t="str">
        <f>VLOOKUP(C395,products!A:C,2,FALSE)</f>
        <v>Celana Jeans Slimfit</v>
      </c>
      <c r="G395">
        <f t="shared" si="12"/>
        <v>458000</v>
      </c>
      <c r="H395">
        <f>VLOOKUP(C395,products!A:D,4,FALSE)</f>
        <v>110000</v>
      </c>
      <c r="I395">
        <f t="shared" si="13"/>
        <v>238000</v>
      </c>
      <c r="J395" t="str">
        <f>VLOOKUP(B395,orders!A:B,2,FALSE)</f>
        <v>CUST0196</v>
      </c>
      <c r="K395" t="str">
        <f>VLOOKUP(J395,customers!A:F,6,FALSE)</f>
        <v>Denpasar</v>
      </c>
    </row>
    <row r="396" spans="1:11" x14ac:dyDescent="0.35">
      <c r="A396" s="4" t="s">
        <v>1436</v>
      </c>
      <c r="B396" s="4" t="s">
        <v>998</v>
      </c>
      <c r="C396" s="4" t="s">
        <v>1053</v>
      </c>
      <c r="D396" s="4">
        <v>2</v>
      </c>
      <c r="E396" s="6">
        <v>129000</v>
      </c>
      <c r="F396" t="str">
        <f>VLOOKUP(C396,products!A:C,2,FALSE)</f>
        <v>Charger Fast Charging 33W</v>
      </c>
      <c r="G396">
        <f t="shared" si="12"/>
        <v>258000</v>
      </c>
      <c r="H396">
        <f>VLOOKUP(C396,products!A:D,4,FALSE)</f>
        <v>60000</v>
      </c>
      <c r="I396">
        <f t="shared" si="13"/>
        <v>138000</v>
      </c>
      <c r="J396" t="str">
        <f>VLOOKUP(B396,orders!A:B,2,FALSE)</f>
        <v>CUST0196</v>
      </c>
      <c r="K396" t="str">
        <f>VLOOKUP(J396,customers!A:F,6,FALSE)</f>
        <v>Denpasar</v>
      </c>
    </row>
    <row r="397" spans="1:11" x14ac:dyDescent="0.35">
      <c r="A397" s="4" t="s">
        <v>1437</v>
      </c>
      <c r="B397" s="4" t="s">
        <v>261</v>
      </c>
      <c r="C397" s="4" t="s">
        <v>1031</v>
      </c>
      <c r="D397" s="4">
        <v>3</v>
      </c>
      <c r="E397" s="6">
        <v>79000</v>
      </c>
      <c r="F397" t="str">
        <f>VLOOKUP(C397,products!A:C,2,FALSE)</f>
        <v>Kaos Polos Cotton Combed</v>
      </c>
      <c r="G397">
        <f t="shared" si="12"/>
        <v>237000</v>
      </c>
      <c r="H397">
        <f>VLOOKUP(C397,products!A:D,4,FALSE)</f>
        <v>35000</v>
      </c>
      <c r="I397">
        <f t="shared" si="13"/>
        <v>132000</v>
      </c>
      <c r="J397" t="str">
        <f>VLOOKUP(B397,orders!A:B,2,FALSE)</f>
        <v>CUST0123</v>
      </c>
      <c r="K397" t="str">
        <f>VLOOKUP(J397,customers!A:F,6,FALSE)</f>
        <v>Jakarta</v>
      </c>
    </row>
    <row r="398" spans="1:11" x14ac:dyDescent="0.35">
      <c r="A398" s="4" t="s">
        <v>1438</v>
      </c>
      <c r="B398" s="4" t="s">
        <v>261</v>
      </c>
      <c r="C398" s="4" t="s">
        <v>1082</v>
      </c>
      <c r="D398" s="4">
        <v>3</v>
      </c>
      <c r="E398" s="6">
        <v>399000</v>
      </c>
      <c r="F398" t="str">
        <f>VLOOKUP(C398,products!A:C,2,FALSE)</f>
        <v>Keyboard Mechanical Mini</v>
      </c>
      <c r="G398">
        <f t="shared" si="12"/>
        <v>1197000</v>
      </c>
      <c r="H398">
        <f>VLOOKUP(C398,products!A:D,4,FALSE)</f>
        <v>200000</v>
      </c>
      <c r="I398">
        <f t="shared" si="13"/>
        <v>597000</v>
      </c>
      <c r="J398" t="str">
        <f>VLOOKUP(B398,orders!A:B,2,FALSE)</f>
        <v>CUST0123</v>
      </c>
      <c r="K398" t="str">
        <f>VLOOKUP(J398,customers!A:F,6,FALSE)</f>
        <v>Jakarta</v>
      </c>
    </row>
    <row r="399" spans="1:11" x14ac:dyDescent="0.35">
      <c r="A399" s="4" t="s">
        <v>1439</v>
      </c>
      <c r="B399" s="4" t="s">
        <v>261</v>
      </c>
      <c r="C399" s="4" t="s">
        <v>1033</v>
      </c>
      <c r="D399" s="4">
        <v>1</v>
      </c>
      <c r="E399" s="6">
        <v>55000</v>
      </c>
      <c r="F399" t="str">
        <f>VLOOKUP(C399,products!A:C,2,FALSE)</f>
        <v>Sapu + Pengki Set</v>
      </c>
      <c r="G399">
        <f t="shared" si="12"/>
        <v>55000</v>
      </c>
      <c r="H399">
        <f>VLOOKUP(C399,products!A:D,4,FALSE)</f>
        <v>25000</v>
      </c>
      <c r="I399">
        <f t="shared" si="13"/>
        <v>30000</v>
      </c>
      <c r="J399" t="str">
        <f>VLOOKUP(B399,orders!A:B,2,FALSE)</f>
        <v>CUST0123</v>
      </c>
      <c r="K399" t="str">
        <f>VLOOKUP(J399,customers!A:F,6,FALSE)</f>
        <v>Jakarta</v>
      </c>
    </row>
    <row r="400" spans="1:11" x14ac:dyDescent="0.35">
      <c r="A400" s="4" t="s">
        <v>1440</v>
      </c>
      <c r="B400" s="4" t="s">
        <v>261</v>
      </c>
      <c r="C400" s="4" t="s">
        <v>1029</v>
      </c>
      <c r="D400" s="4">
        <v>1</v>
      </c>
      <c r="E400" s="6">
        <v>39000</v>
      </c>
      <c r="F400" t="str">
        <f>VLOOKUP(C400,products!A:C,2,FALSE)</f>
        <v>Kabel Data USB-C</v>
      </c>
      <c r="G400">
        <f t="shared" si="12"/>
        <v>39000</v>
      </c>
      <c r="H400">
        <f>VLOOKUP(C400,products!A:D,4,FALSE)</f>
        <v>15000</v>
      </c>
      <c r="I400">
        <f t="shared" si="13"/>
        <v>24000</v>
      </c>
      <c r="J400" t="str">
        <f>VLOOKUP(B400,orders!A:B,2,FALSE)</f>
        <v>CUST0123</v>
      </c>
      <c r="K400" t="str">
        <f>VLOOKUP(J400,customers!A:F,6,FALSE)</f>
        <v>Jakarta</v>
      </c>
    </row>
    <row r="401" spans="1:11" x14ac:dyDescent="0.35">
      <c r="A401" s="4" t="s">
        <v>1441</v>
      </c>
      <c r="B401" s="4" t="s">
        <v>993</v>
      </c>
      <c r="C401" s="4" t="s">
        <v>1031</v>
      </c>
      <c r="D401" s="4">
        <v>1</v>
      </c>
      <c r="E401" s="6">
        <v>79000</v>
      </c>
      <c r="F401" t="str">
        <f>VLOOKUP(C401,products!A:C,2,FALSE)</f>
        <v>Kaos Polos Cotton Combed</v>
      </c>
      <c r="G401">
        <f t="shared" si="12"/>
        <v>79000</v>
      </c>
      <c r="H401">
        <f>VLOOKUP(C401,products!A:D,4,FALSE)</f>
        <v>35000</v>
      </c>
      <c r="I401">
        <f t="shared" si="13"/>
        <v>44000</v>
      </c>
      <c r="J401" t="str">
        <f>VLOOKUP(B401,orders!A:B,2,FALSE)</f>
        <v>CUST0193</v>
      </c>
      <c r="K401" t="str">
        <f>VLOOKUP(J401,customers!A:F,6,FALSE)</f>
        <v>Depok</v>
      </c>
    </row>
    <row r="402" spans="1:11" x14ac:dyDescent="0.35">
      <c r="A402" s="4" t="s">
        <v>1442</v>
      </c>
      <c r="B402" s="4" t="s">
        <v>993</v>
      </c>
      <c r="C402" s="4" t="s">
        <v>1029</v>
      </c>
      <c r="D402" s="4">
        <v>1</v>
      </c>
      <c r="E402" s="6">
        <v>39000</v>
      </c>
      <c r="F402" t="str">
        <f>VLOOKUP(C402,products!A:C,2,FALSE)</f>
        <v>Kabel Data USB-C</v>
      </c>
      <c r="G402">
        <f t="shared" si="12"/>
        <v>39000</v>
      </c>
      <c r="H402">
        <f>VLOOKUP(C402,products!A:D,4,FALSE)</f>
        <v>15000</v>
      </c>
      <c r="I402">
        <f t="shared" si="13"/>
        <v>24000</v>
      </c>
      <c r="J402" t="str">
        <f>VLOOKUP(B402,orders!A:B,2,FALSE)</f>
        <v>CUST0193</v>
      </c>
      <c r="K402" t="str">
        <f>VLOOKUP(J402,customers!A:F,6,FALSE)</f>
        <v>Depok</v>
      </c>
    </row>
    <row r="403" spans="1:11" x14ac:dyDescent="0.35">
      <c r="A403" s="4" t="s">
        <v>1443</v>
      </c>
      <c r="B403" s="4" t="s">
        <v>993</v>
      </c>
      <c r="C403" s="4" t="s">
        <v>1023</v>
      </c>
      <c r="D403" s="4">
        <v>1</v>
      </c>
      <c r="E403" s="6">
        <v>69000</v>
      </c>
      <c r="F403" t="str">
        <f>VLOOKUP(C403,products!A:C,2,FALSE)</f>
        <v>Lampu LED Hias 5m</v>
      </c>
      <c r="G403">
        <f t="shared" si="12"/>
        <v>69000</v>
      </c>
      <c r="H403">
        <f>VLOOKUP(C403,products!A:D,4,FALSE)</f>
        <v>30000</v>
      </c>
      <c r="I403">
        <f t="shared" si="13"/>
        <v>39000</v>
      </c>
      <c r="J403" t="str">
        <f>VLOOKUP(B403,orders!A:B,2,FALSE)</f>
        <v>CUST0193</v>
      </c>
      <c r="K403" t="str">
        <f>VLOOKUP(J403,customers!A:F,6,FALSE)</f>
        <v>Depok</v>
      </c>
    </row>
    <row r="404" spans="1:11" x14ac:dyDescent="0.35">
      <c r="A404" s="4" t="s">
        <v>1444</v>
      </c>
      <c r="B404" s="4" t="s">
        <v>227</v>
      </c>
      <c r="C404" s="4" t="s">
        <v>1023</v>
      </c>
      <c r="D404" s="4">
        <v>1</v>
      </c>
      <c r="E404" s="6">
        <v>69000</v>
      </c>
      <c r="F404" t="str">
        <f>VLOOKUP(C404,products!A:C,2,FALSE)</f>
        <v>Lampu LED Hias 5m</v>
      </c>
      <c r="G404">
        <f t="shared" si="12"/>
        <v>69000</v>
      </c>
      <c r="H404">
        <f>VLOOKUP(C404,products!A:D,4,FALSE)</f>
        <v>30000</v>
      </c>
      <c r="I404">
        <f t="shared" si="13"/>
        <v>39000</v>
      </c>
      <c r="J404" t="str">
        <f>VLOOKUP(B404,orders!A:B,2,FALSE)</f>
        <v>CUST0108</v>
      </c>
      <c r="K404" t="str">
        <f>VLOOKUP(J404,customers!A:F,6,FALSE)</f>
        <v>Depok</v>
      </c>
    </row>
    <row r="405" spans="1:11" x14ac:dyDescent="0.35">
      <c r="A405" s="4" t="s">
        <v>1445</v>
      </c>
      <c r="B405" s="4" t="s">
        <v>227</v>
      </c>
      <c r="C405" s="4" t="s">
        <v>1053</v>
      </c>
      <c r="D405" s="4">
        <v>3</v>
      </c>
      <c r="E405" s="6">
        <v>129000</v>
      </c>
      <c r="F405" t="str">
        <f>VLOOKUP(C405,products!A:C,2,FALSE)</f>
        <v>Charger Fast Charging 33W</v>
      </c>
      <c r="G405">
        <f t="shared" si="12"/>
        <v>387000</v>
      </c>
      <c r="H405">
        <f>VLOOKUP(C405,products!A:D,4,FALSE)</f>
        <v>60000</v>
      </c>
      <c r="I405">
        <f t="shared" si="13"/>
        <v>207000</v>
      </c>
      <c r="J405" t="str">
        <f>VLOOKUP(B405,orders!A:B,2,FALSE)</f>
        <v>CUST0108</v>
      </c>
      <c r="K405" t="str">
        <f>VLOOKUP(J405,customers!A:F,6,FALSE)</f>
        <v>Depok</v>
      </c>
    </row>
    <row r="406" spans="1:11" x14ac:dyDescent="0.35">
      <c r="A406" s="4" t="s">
        <v>1446</v>
      </c>
      <c r="B406" s="4" t="s">
        <v>541</v>
      </c>
      <c r="C406" s="4" t="s">
        <v>1029</v>
      </c>
      <c r="D406" s="4">
        <v>1</v>
      </c>
      <c r="E406" s="6">
        <v>39000</v>
      </c>
      <c r="F406" t="str">
        <f>VLOOKUP(C406,products!A:C,2,FALSE)</f>
        <v>Kabel Data USB-C</v>
      </c>
      <c r="G406">
        <f t="shared" si="12"/>
        <v>39000</v>
      </c>
      <c r="H406">
        <f>VLOOKUP(C406,products!A:D,4,FALSE)</f>
        <v>15000</v>
      </c>
      <c r="I406">
        <f t="shared" si="13"/>
        <v>24000</v>
      </c>
      <c r="J406" t="str">
        <f>VLOOKUP(B406,orders!A:B,2,FALSE)</f>
        <v>CUST0189</v>
      </c>
      <c r="K406" t="str">
        <f>VLOOKUP(J406,customers!A:F,6,FALSE)</f>
        <v>Yogyakarta</v>
      </c>
    </row>
    <row r="407" spans="1:11" x14ac:dyDescent="0.35">
      <c r="A407" s="4" t="s">
        <v>1447</v>
      </c>
      <c r="B407" s="4" t="s">
        <v>541</v>
      </c>
      <c r="C407" s="4" t="s">
        <v>1082</v>
      </c>
      <c r="D407" s="4">
        <v>1</v>
      </c>
      <c r="E407" s="6">
        <v>399000</v>
      </c>
      <c r="F407" t="str">
        <f>VLOOKUP(C407,products!A:C,2,FALSE)</f>
        <v>Keyboard Mechanical Mini</v>
      </c>
      <c r="G407">
        <f t="shared" si="12"/>
        <v>399000</v>
      </c>
      <c r="H407">
        <f>VLOOKUP(C407,products!A:D,4,FALSE)</f>
        <v>200000</v>
      </c>
      <c r="I407">
        <f t="shared" si="13"/>
        <v>199000</v>
      </c>
      <c r="J407" t="str">
        <f>VLOOKUP(B407,orders!A:B,2,FALSE)</f>
        <v>CUST0189</v>
      </c>
      <c r="K407" t="str">
        <f>VLOOKUP(J407,customers!A:F,6,FALSE)</f>
        <v>Yogyakarta</v>
      </c>
    </row>
    <row r="408" spans="1:11" x14ac:dyDescent="0.35">
      <c r="A408" s="4" t="s">
        <v>1448</v>
      </c>
      <c r="B408" s="4" t="s">
        <v>637</v>
      </c>
      <c r="C408" s="4" t="s">
        <v>1082</v>
      </c>
      <c r="D408" s="4">
        <v>1</v>
      </c>
      <c r="E408" s="6">
        <v>399000</v>
      </c>
      <c r="F408" t="str">
        <f>VLOOKUP(C408,products!A:C,2,FALSE)</f>
        <v>Keyboard Mechanical Mini</v>
      </c>
      <c r="G408">
        <f t="shared" si="12"/>
        <v>399000</v>
      </c>
      <c r="H408">
        <f>VLOOKUP(C408,products!A:D,4,FALSE)</f>
        <v>200000</v>
      </c>
      <c r="I408">
        <f t="shared" si="13"/>
        <v>199000</v>
      </c>
      <c r="J408" t="str">
        <f>VLOOKUP(B408,orders!A:B,2,FALSE)</f>
        <v>CUST0155</v>
      </c>
      <c r="K408" t="str">
        <f>VLOOKUP(J408,customers!A:F,6,FALSE)</f>
        <v>Yogyakarta</v>
      </c>
    </row>
    <row r="409" spans="1:11" x14ac:dyDescent="0.35">
      <c r="A409" s="4" t="s">
        <v>1449</v>
      </c>
      <c r="B409" s="4" t="s">
        <v>637</v>
      </c>
      <c r="C409" s="4" t="s">
        <v>1023</v>
      </c>
      <c r="D409" s="4">
        <v>1</v>
      </c>
      <c r="E409" s="6">
        <v>69000</v>
      </c>
      <c r="F409" t="str">
        <f>VLOOKUP(C409,products!A:C,2,FALSE)</f>
        <v>Lampu LED Hias 5m</v>
      </c>
      <c r="G409">
        <f t="shared" si="12"/>
        <v>69000</v>
      </c>
      <c r="H409">
        <f>VLOOKUP(C409,products!A:D,4,FALSE)</f>
        <v>30000</v>
      </c>
      <c r="I409">
        <f t="shared" si="13"/>
        <v>39000</v>
      </c>
      <c r="J409" t="str">
        <f>VLOOKUP(B409,orders!A:B,2,FALSE)</f>
        <v>CUST0155</v>
      </c>
      <c r="K409" t="str">
        <f>VLOOKUP(J409,customers!A:F,6,FALSE)</f>
        <v>Yogyakarta</v>
      </c>
    </row>
    <row r="410" spans="1:11" x14ac:dyDescent="0.35">
      <c r="A410" s="4" t="s">
        <v>1450</v>
      </c>
      <c r="B410" s="4" t="s">
        <v>637</v>
      </c>
      <c r="C410" s="4" t="s">
        <v>1031</v>
      </c>
      <c r="D410" s="4">
        <v>1</v>
      </c>
      <c r="E410" s="6">
        <v>79000</v>
      </c>
      <c r="F410" t="str">
        <f>VLOOKUP(C410,products!A:C,2,FALSE)</f>
        <v>Kaos Polos Cotton Combed</v>
      </c>
      <c r="G410">
        <f t="shared" si="12"/>
        <v>79000</v>
      </c>
      <c r="H410">
        <f>VLOOKUP(C410,products!A:D,4,FALSE)</f>
        <v>35000</v>
      </c>
      <c r="I410">
        <f t="shared" si="13"/>
        <v>44000</v>
      </c>
      <c r="J410" t="str">
        <f>VLOOKUP(B410,orders!A:B,2,FALSE)</f>
        <v>CUST0155</v>
      </c>
      <c r="K410" t="str">
        <f>VLOOKUP(J410,customers!A:F,6,FALSE)</f>
        <v>Yogyakarta</v>
      </c>
    </row>
    <row r="411" spans="1:11" x14ac:dyDescent="0.35">
      <c r="A411" s="4" t="s">
        <v>1451</v>
      </c>
      <c r="B411" s="4" t="s">
        <v>510</v>
      </c>
      <c r="C411" s="4" t="s">
        <v>1029</v>
      </c>
      <c r="D411" s="4">
        <v>2</v>
      </c>
      <c r="E411" s="6">
        <v>39000</v>
      </c>
      <c r="F411" t="str">
        <f>VLOOKUP(C411,products!A:C,2,FALSE)</f>
        <v>Kabel Data USB-C</v>
      </c>
      <c r="G411">
        <f t="shared" si="12"/>
        <v>78000</v>
      </c>
      <c r="H411">
        <f>VLOOKUP(C411,products!A:D,4,FALSE)</f>
        <v>15000</v>
      </c>
      <c r="I411">
        <f t="shared" si="13"/>
        <v>48000</v>
      </c>
      <c r="J411" t="str">
        <f>VLOOKUP(B411,orders!A:B,2,FALSE)</f>
        <v>CUST0057</v>
      </c>
      <c r="K411" t="str">
        <f>VLOOKUP(J411,customers!A:F,6,FALSE)</f>
        <v>Palembang</v>
      </c>
    </row>
    <row r="412" spans="1:11" x14ac:dyDescent="0.35">
      <c r="A412" s="4" t="s">
        <v>1452</v>
      </c>
      <c r="B412" s="4" t="s">
        <v>510</v>
      </c>
      <c r="C412" s="4" t="s">
        <v>1023</v>
      </c>
      <c r="D412" s="4">
        <v>1</v>
      </c>
      <c r="E412" s="6">
        <v>69000</v>
      </c>
      <c r="F412" t="str">
        <f>VLOOKUP(C412,products!A:C,2,FALSE)</f>
        <v>Lampu LED Hias 5m</v>
      </c>
      <c r="G412">
        <f t="shared" si="12"/>
        <v>69000</v>
      </c>
      <c r="H412">
        <f>VLOOKUP(C412,products!A:D,4,FALSE)</f>
        <v>30000</v>
      </c>
      <c r="I412">
        <f t="shared" si="13"/>
        <v>39000</v>
      </c>
      <c r="J412" t="str">
        <f>VLOOKUP(B412,orders!A:B,2,FALSE)</f>
        <v>CUST0057</v>
      </c>
      <c r="K412" t="str">
        <f>VLOOKUP(J412,customers!A:F,6,FALSE)</f>
        <v>Palembang</v>
      </c>
    </row>
    <row r="413" spans="1:11" x14ac:dyDescent="0.35">
      <c r="A413" s="4" t="s">
        <v>1453</v>
      </c>
      <c r="B413" s="4" t="s">
        <v>510</v>
      </c>
      <c r="C413" s="4" t="s">
        <v>1033</v>
      </c>
      <c r="D413" s="4">
        <v>1</v>
      </c>
      <c r="E413" s="6">
        <v>55000</v>
      </c>
      <c r="F413" t="str">
        <f>VLOOKUP(C413,products!A:C,2,FALSE)</f>
        <v>Sapu + Pengki Set</v>
      </c>
      <c r="G413">
        <f t="shared" si="12"/>
        <v>55000</v>
      </c>
      <c r="H413">
        <f>VLOOKUP(C413,products!A:D,4,FALSE)</f>
        <v>25000</v>
      </c>
      <c r="I413">
        <f t="shared" si="13"/>
        <v>30000</v>
      </c>
      <c r="J413" t="str">
        <f>VLOOKUP(B413,orders!A:B,2,FALSE)</f>
        <v>CUST0057</v>
      </c>
      <c r="K413" t="str">
        <f>VLOOKUP(J413,customers!A:F,6,FALSE)</f>
        <v>Palembang</v>
      </c>
    </row>
    <row r="414" spans="1:11" x14ac:dyDescent="0.35">
      <c r="A414" s="4" t="s">
        <v>1454</v>
      </c>
      <c r="B414" s="4" t="s">
        <v>257</v>
      </c>
      <c r="C414" s="4" t="s">
        <v>1023</v>
      </c>
      <c r="D414" s="4">
        <v>1</v>
      </c>
      <c r="E414" s="6">
        <v>69000</v>
      </c>
      <c r="F414" t="str">
        <f>VLOOKUP(C414,products!A:C,2,FALSE)</f>
        <v>Lampu LED Hias 5m</v>
      </c>
      <c r="G414">
        <f t="shared" si="12"/>
        <v>69000</v>
      </c>
      <c r="H414">
        <f>VLOOKUP(C414,products!A:D,4,FALSE)</f>
        <v>30000</v>
      </c>
      <c r="I414">
        <f t="shared" si="13"/>
        <v>39000</v>
      </c>
      <c r="J414" t="str">
        <f>VLOOKUP(B414,orders!A:B,2,FALSE)</f>
        <v>CUST0125</v>
      </c>
      <c r="K414" t="str">
        <f>VLOOKUP(J414,customers!A:F,6,FALSE)</f>
        <v>Denpasar</v>
      </c>
    </row>
    <row r="415" spans="1:11" x14ac:dyDescent="0.35">
      <c r="A415" s="4" t="s">
        <v>1455</v>
      </c>
      <c r="B415" s="4" t="s">
        <v>843</v>
      </c>
      <c r="C415" s="4" t="s">
        <v>1089</v>
      </c>
      <c r="D415" s="4">
        <v>1</v>
      </c>
      <c r="E415" s="6">
        <v>159000</v>
      </c>
      <c r="F415" t="str">
        <f>VLOOKUP(C415,products!A:C,2,FALSE)</f>
        <v>Power Bank 10000mAh</v>
      </c>
      <c r="G415">
        <f t="shared" si="12"/>
        <v>159000</v>
      </c>
      <c r="H415">
        <f>VLOOKUP(C415,products!A:D,4,FALSE)</f>
        <v>80000</v>
      </c>
      <c r="I415">
        <f t="shared" si="13"/>
        <v>79000</v>
      </c>
      <c r="J415" t="str">
        <f>VLOOKUP(B415,orders!A:B,2,FALSE)</f>
        <v>CUST0087</v>
      </c>
      <c r="K415" t="str">
        <f>VLOOKUP(J415,customers!A:F,6,FALSE)</f>
        <v>Medan</v>
      </c>
    </row>
    <row r="416" spans="1:11" x14ac:dyDescent="0.35">
      <c r="A416" s="4" t="s">
        <v>1456</v>
      </c>
      <c r="B416" s="4" t="s">
        <v>947</v>
      </c>
      <c r="C416" s="4" t="s">
        <v>1082</v>
      </c>
      <c r="D416" s="4">
        <v>3</v>
      </c>
      <c r="E416" s="6">
        <v>399000</v>
      </c>
      <c r="F416" t="str">
        <f>VLOOKUP(C416,products!A:C,2,FALSE)</f>
        <v>Keyboard Mechanical Mini</v>
      </c>
      <c r="G416">
        <f t="shared" si="12"/>
        <v>1197000</v>
      </c>
      <c r="H416">
        <f>VLOOKUP(C416,products!A:D,4,FALSE)</f>
        <v>200000</v>
      </c>
      <c r="I416">
        <f t="shared" si="13"/>
        <v>597000</v>
      </c>
      <c r="J416" t="str">
        <f>VLOOKUP(B416,orders!A:B,2,FALSE)</f>
        <v>CUST0104</v>
      </c>
      <c r="K416" t="str">
        <f>VLOOKUP(J416,customers!A:F,6,FALSE)</f>
        <v>Jakarta</v>
      </c>
    </row>
    <row r="417" spans="1:11" x14ac:dyDescent="0.35">
      <c r="A417" s="4" t="s">
        <v>1457</v>
      </c>
      <c r="B417" s="4" t="s">
        <v>947</v>
      </c>
      <c r="C417" s="4" t="s">
        <v>1023</v>
      </c>
      <c r="D417" s="4">
        <v>2</v>
      </c>
      <c r="E417" s="6">
        <v>69000</v>
      </c>
      <c r="F417" t="str">
        <f>VLOOKUP(C417,products!A:C,2,FALSE)</f>
        <v>Lampu LED Hias 5m</v>
      </c>
      <c r="G417">
        <f t="shared" si="12"/>
        <v>138000</v>
      </c>
      <c r="H417">
        <f>VLOOKUP(C417,products!A:D,4,FALSE)</f>
        <v>30000</v>
      </c>
      <c r="I417">
        <f t="shared" si="13"/>
        <v>78000</v>
      </c>
      <c r="J417" t="str">
        <f>VLOOKUP(B417,orders!A:B,2,FALSE)</f>
        <v>CUST0104</v>
      </c>
      <c r="K417" t="str">
        <f>VLOOKUP(J417,customers!A:F,6,FALSE)</f>
        <v>Jakarta</v>
      </c>
    </row>
    <row r="418" spans="1:11" x14ac:dyDescent="0.35">
      <c r="A418" s="4" t="s">
        <v>1458</v>
      </c>
      <c r="B418" s="4" t="s">
        <v>947</v>
      </c>
      <c r="C418" s="4" t="s">
        <v>1025</v>
      </c>
      <c r="D418" s="4">
        <v>1</v>
      </c>
      <c r="E418" s="6">
        <v>179000</v>
      </c>
      <c r="F418" t="str">
        <f>VLOOKUP(C418,products!A:C,2,FALSE)</f>
        <v>Rak Penyimpanan Serbaguna</v>
      </c>
      <c r="G418">
        <f t="shared" si="12"/>
        <v>179000</v>
      </c>
      <c r="H418">
        <f>VLOOKUP(C418,products!A:D,4,FALSE)</f>
        <v>90000</v>
      </c>
      <c r="I418">
        <f t="shared" si="13"/>
        <v>89000</v>
      </c>
      <c r="J418" t="str">
        <f>VLOOKUP(B418,orders!A:B,2,FALSE)</f>
        <v>CUST0104</v>
      </c>
      <c r="K418" t="str">
        <f>VLOOKUP(J418,customers!A:F,6,FALSE)</f>
        <v>Jakarta</v>
      </c>
    </row>
    <row r="419" spans="1:11" x14ac:dyDescent="0.35">
      <c r="A419" s="4" t="s">
        <v>1459</v>
      </c>
      <c r="B419" s="4" t="s">
        <v>817</v>
      </c>
      <c r="C419" s="4" t="s">
        <v>1044</v>
      </c>
      <c r="D419" s="4">
        <v>1</v>
      </c>
      <c r="E419" s="6">
        <v>329000</v>
      </c>
      <c r="F419" t="str">
        <f>VLOOKUP(C419,products!A:C,2,FALSE)</f>
        <v>Rice Cooker Mini 1.5L</v>
      </c>
      <c r="G419">
        <f t="shared" si="12"/>
        <v>329000</v>
      </c>
      <c r="H419">
        <f>VLOOKUP(C419,products!A:D,4,FALSE)</f>
        <v>180000</v>
      </c>
      <c r="I419">
        <f t="shared" si="13"/>
        <v>149000</v>
      </c>
      <c r="J419" t="str">
        <f>VLOOKUP(B419,orders!A:B,2,FALSE)</f>
        <v>CUST0120</v>
      </c>
      <c r="K419" t="str">
        <f>VLOOKUP(J419,customers!A:F,6,FALSE)</f>
        <v>Makassar</v>
      </c>
    </row>
    <row r="420" spans="1:11" x14ac:dyDescent="0.35">
      <c r="A420" s="4" t="s">
        <v>1460</v>
      </c>
      <c r="B420" s="4" t="s">
        <v>817</v>
      </c>
      <c r="C420" s="4" t="s">
        <v>1029</v>
      </c>
      <c r="D420" s="4">
        <v>1</v>
      </c>
      <c r="E420" s="6">
        <v>39000</v>
      </c>
      <c r="F420" t="str">
        <f>VLOOKUP(C420,products!A:C,2,FALSE)</f>
        <v>Kabel Data USB-C</v>
      </c>
      <c r="G420">
        <f t="shared" si="12"/>
        <v>39000</v>
      </c>
      <c r="H420">
        <f>VLOOKUP(C420,products!A:D,4,FALSE)</f>
        <v>15000</v>
      </c>
      <c r="I420">
        <f t="shared" si="13"/>
        <v>24000</v>
      </c>
      <c r="J420" t="str">
        <f>VLOOKUP(B420,orders!A:B,2,FALSE)</f>
        <v>CUST0120</v>
      </c>
      <c r="K420" t="str">
        <f>VLOOKUP(J420,customers!A:F,6,FALSE)</f>
        <v>Makassar</v>
      </c>
    </row>
    <row r="421" spans="1:11" x14ac:dyDescent="0.35">
      <c r="A421" s="4" t="s">
        <v>1461</v>
      </c>
      <c r="B421" s="4" t="s">
        <v>268</v>
      </c>
      <c r="C421" s="4" t="s">
        <v>1082</v>
      </c>
      <c r="D421" s="4">
        <v>1</v>
      </c>
      <c r="E421" s="6">
        <v>399000</v>
      </c>
      <c r="F421" t="str">
        <f>VLOOKUP(C421,products!A:C,2,FALSE)</f>
        <v>Keyboard Mechanical Mini</v>
      </c>
      <c r="G421">
        <f t="shared" si="12"/>
        <v>399000</v>
      </c>
      <c r="H421">
        <f>VLOOKUP(C421,products!A:D,4,FALSE)</f>
        <v>200000</v>
      </c>
      <c r="I421">
        <f t="shared" si="13"/>
        <v>199000</v>
      </c>
      <c r="J421" t="str">
        <f>VLOOKUP(B421,orders!A:B,2,FALSE)</f>
        <v>CUST0137</v>
      </c>
      <c r="K421" t="str">
        <f>VLOOKUP(J421,customers!A:F,6,FALSE)</f>
        <v>Palembang</v>
      </c>
    </row>
    <row r="422" spans="1:11" x14ac:dyDescent="0.35">
      <c r="A422" s="4" t="s">
        <v>1462</v>
      </c>
      <c r="B422" s="4" t="s">
        <v>940</v>
      </c>
      <c r="C422" s="4" t="s">
        <v>1029</v>
      </c>
      <c r="D422" s="4">
        <v>1</v>
      </c>
      <c r="E422" s="6">
        <v>39000</v>
      </c>
      <c r="F422" t="str">
        <f>VLOOKUP(C422,products!A:C,2,FALSE)</f>
        <v>Kabel Data USB-C</v>
      </c>
      <c r="G422">
        <f t="shared" si="12"/>
        <v>39000</v>
      </c>
      <c r="H422">
        <f>VLOOKUP(C422,products!A:D,4,FALSE)</f>
        <v>15000</v>
      </c>
      <c r="I422">
        <f t="shared" si="13"/>
        <v>24000</v>
      </c>
      <c r="J422" t="str">
        <f>VLOOKUP(B422,orders!A:B,2,FALSE)</f>
        <v>CUST0145</v>
      </c>
      <c r="K422" t="str">
        <f>VLOOKUP(J422,customers!A:F,6,FALSE)</f>
        <v>Surabaya</v>
      </c>
    </row>
    <row r="423" spans="1:11" x14ac:dyDescent="0.35">
      <c r="A423" s="4" t="s">
        <v>1463</v>
      </c>
      <c r="B423" s="4" t="s">
        <v>940</v>
      </c>
      <c r="C423" s="4" t="s">
        <v>1023</v>
      </c>
      <c r="D423" s="4">
        <v>1</v>
      </c>
      <c r="E423" s="6">
        <v>69000</v>
      </c>
      <c r="F423" t="str">
        <f>VLOOKUP(C423,products!A:C,2,FALSE)</f>
        <v>Lampu LED Hias 5m</v>
      </c>
      <c r="G423">
        <f t="shared" si="12"/>
        <v>69000</v>
      </c>
      <c r="H423">
        <f>VLOOKUP(C423,products!A:D,4,FALSE)</f>
        <v>30000</v>
      </c>
      <c r="I423">
        <f t="shared" si="13"/>
        <v>39000</v>
      </c>
      <c r="J423" t="str">
        <f>VLOOKUP(B423,orders!A:B,2,FALSE)</f>
        <v>CUST0145</v>
      </c>
      <c r="K423" t="str">
        <f>VLOOKUP(J423,customers!A:F,6,FALSE)</f>
        <v>Surabaya</v>
      </c>
    </row>
    <row r="424" spans="1:11" x14ac:dyDescent="0.35">
      <c r="A424" s="4" t="s">
        <v>1464</v>
      </c>
      <c r="B424" s="4" t="s">
        <v>839</v>
      </c>
      <c r="C424" s="4" t="s">
        <v>1082</v>
      </c>
      <c r="D424" s="4">
        <v>1</v>
      </c>
      <c r="E424" s="6">
        <v>399000</v>
      </c>
      <c r="F424" t="str">
        <f>VLOOKUP(C424,products!A:C,2,FALSE)</f>
        <v>Keyboard Mechanical Mini</v>
      </c>
      <c r="G424">
        <f t="shared" si="12"/>
        <v>399000</v>
      </c>
      <c r="H424">
        <f>VLOOKUP(C424,products!A:D,4,FALSE)</f>
        <v>200000</v>
      </c>
      <c r="I424">
        <f t="shared" si="13"/>
        <v>199000</v>
      </c>
      <c r="J424" t="str">
        <f>VLOOKUP(B424,orders!A:B,2,FALSE)</f>
        <v>CUST0165</v>
      </c>
      <c r="K424" t="str">
        <f>VLOOKUP(J424,customers!A:F,6,FALSE)</f>
        <v>Bandung</v>
      </c>
    </row>
    <row r="425" spans="1:11" x14ac:dyDescent="0.35">
      <c r="A425" s="4" t="s">
        <v>1465</v>
      </c>
      <c r="B425" s="4" t="s">
        <v>839</v>
      </c>
      <c r="C425" s="4" t="s">
        <v>1049</v>
      </c>
      <c r="D425" s="4">
        <v>1</v>
      </c>
      <c r="E425" s="6">
        <v>349000</v>
      </c>
      <c r="F425" t="str">
        <f>VLOOKUP(C425,products!A:C,2,FALSE)</f>
        <v>Sepatu Sneakers Casual</v>
      </c>
      <c r="G425">
        <f t="shared" si="12"/>
        <v>349000</v>
      </c>
      <c r="H425">
        <f>VLOOKUP(C425,products!A:D,4,FALSE)</f>
        <v>180000</v>
      </c>
      <c r="I425">
        <f t="shared" si="13"/>
        <v>169000</v>
      </c>
      <c r="J425" t="str">
        <f>VLOOKUP(B425,orders!A:B,2,FALSE)</f>
        <v>CUST0165</v>
      </c>
      <c r="K425" t="str">
        <f>VLOOKUP(J425,customers!A:F,6,FALSE)</f>
        <v>Bandung</v>
      </c>
    </row>
    <row r="426" spans="1:11" x14ac:dyDescent="0.35">
      <c r="A426" s="4" t="s">
        <v>1466</v>
      </c>
      <c r="B426" s="4" t="s">
        <v>839</v>
      </c>
      <c r="C426" s="4" t="s">
        <v>1053</v>
      </c>
      <c r="D426" s="4">
        <v>1</v>
      </c>
      <c r="E426" s="6">
        <v>129000</v>
      </c>
      <c r="F426" t="str">
        <f>VLOOKUP(C426,products!A:C,2,FALSE)</f>
        <v>Charger Fast Charging 33W</v>
      </c>
      <c r="G426">
        <f t="shared" si="12"/>
        <v>129000</v>
      </c>
      <c r="H426">
        <f>VLOOKUP(C426,products!A:D,4,FALSE)</f>
        <v>60000</v>
      </c>
      <c r="I426">
        <f t="shared" si="13"/>
        <v>69000</v>
      </c>
      <c r="J426" t="str">
        <f>VLOOKUP(B426,orders!A:B,2,FALSE)</f>
        <v>CUST0165</v>
      </c>
      <c r="K426" t="str">
        <f>VLOOKUP(J426,customers!A:F,6,FALSE)</f>
        <v>Bandung</v>
      </c>
    </row>
    <row r="427" spans="1:11" x14ac:dyDescent="0.35">
      <c r="A427" s="4" t="s">
        <v>1467</v>
      </c>
      <c r="B427" s="4" t="s">
        <v>888</v>
      </c>
      <c r="C427" s="4" t="s">
        <v>1029</v>
      </c>
      <c r="D427" s="4">
        <v>1</v>
      </c>
      <c r="E427" s="6">
        <v>39000</v>
      </c>
      <c r="F427" t="str">
        <f>VLOOKUP(C427,products!A:C,2,FALSE)</f>
        <v>Kabel Data USB-C</v>
      </c>
      <c r="G427">
        <f t="shared" si="12"/>
        <v>39000</v>
      </c>
      <c r="H427">
        <f>VLOOKUP(C427,products!A:D,4,FALSE)</f>
        <v>15000</v>
      </c>
      <c r="I427">
        <f t="shared" si="13"/>
        <v>24000</v>
      </c>
      <c r="J427" t="str">
        <f>VLOOKUP(B427,orders!A:B,2,FALSE)</f>
        <v>CUST0119</v>
      </c>
      <c r="K427" t="str">
        <f>VLOOKUP(J427,customers!A:F,6,FALSE)</f>
        <v>Surabaya</v>
      </c>
    </row>
    <row r="428" spans="1:11" x14ac:dyDescent="0.35">
      <c r="A428" s="4" t="s">
        <v>1468</v>
      </c>
      <c r="B428" s="4" t="s">
        <v>815</v>
      </c>
      <c r="C428" s="4" t="s">
        <v>1023</v>
      </c>
      <c r="D428" s="4">
        <v>3</v>
      </c>
      <c r="E428" s="6">
        <v>69000</v>
      </c>
      <c r="F428" t="str">
        <f>VLOOKUP(C428,products!A:C,2,FALSE)</f>
        <v>Lampu LED Hias 5m</v>
      </c>
      <c r="G428">
        <f t="shared" si="12"/>
        <v>207000</v>
      </c>
      <c r="H428">
        <f>VLOOKUP(C428,products!A:D,4,FALSE)</f>
        <v>30000</v>
      </c>
      <c r="I428">
        <f t="shared" si="13"/>
        <v>117000</v>
      </c>
      <c r="J428" t="str">
        <f>VLOOKUP(B428,orders!A:B,2,FALSE)</f>
        <v>CUST0098</v>
      </c>
      <c r="K428" t="str">
        <f>VLOOKUP(J428,customers!A:F,6,FALSE)</f>
        <v>Surabaya</v>
      </c>
    </row>
    <row r="429" spans="1:11" x14ac:dyDescent="0.35">
      <c r="A429" s="4" t="s">
        <v>1469</v>
      </c>
      <c r="B429" s="4" t="s">
        <v>336</v>
      </c>
      <c r="C429" s="4" t="s">
        <v>1029</v>
      </c>
      <c r="D429" s="4">
        <v>3</v>
      </c>
      <c r="E429" s="6">
        <v>39000</v>
      </c>
      <c r="F429" t="str">
        <f>VLOOKUP(C429,products!A:C,2,FALSE)</f>
        <v>Kabel Data USB-C</v>
      </c>
      <c r="G429">
        <f t="shared" si="12"/>
        <v>117000</v>
      </c>
      <c r="H429">
        <f>VLOOKUP(C429,products!A:D,4,FALSE)</f>
        <v>15000</v>
      </c>
      <c r="I429">
        <f t="shared" si="13"/>
        <v>72000</v>
      </c>
      <c r="J429" t="str">
        <f>VLOOKUP(B429,orders!A:B,2,FALSE)</f>
        <v>CUST0084</v>
      </c>
      <c r="K429" t="str">
        <f>VLOOKUP(J429,customers!A:F,6,FALSE)</f>
        <v>Surabaya</v>
      </c>
    </row>
    <row r="430" spans="1:11" x14ac:dyDescent="0.35">
      <c r="A430" s="4" t="s">
        <v>1470</v>
      </c>
      <c r="B430" s="4" t="s">
        <v>812</v>
      </c>
      <c r="C430" s="4" t="s">
        <v>1053</v>
      </c>
      <c r="D430" s="4">
        <v>1</v>
      </c>
      <c r="E430" s="6">
        <v>129000</v>
      </c>
      <c r="F430" t="str">
        <f>VLOOKUP(C430,products!A:C,2,FALSE)</f>
        <v>Charger Fast Charging 33W</v>
      </c>
      <c r="G430">
        <f t="shared" si="12"/>
        <v>129000</v>
      </c>
      <c r="H430">
        <f>VLOOKUP(C430,products!A:D,4,FALSE)</f>
        <v>60000</v>
      </c>
      <c r="I430">
        <f t="shared" si="13"/>
        <v>69000</v>
      </c>
      <c r="J430" t="str">
        <f>VLOOKUP(B430,orders!A:B,2,FALSE)</f>
        <v>CUST0098</v>
      </c>
      <c r="K430" t="str">
        <f>VLOOKUP(J430,customers!A:F,6,FALSE)</f>
        <v>Surabaya</v>
      </c>
    </row>
    <row r="431" spans="1:11" x14ac:dyDescent="0.35">
      <c r="A431" s="4" t="s">
        <v>1471</v>
      </c>
      <c r="B431" s="4" t="s">
        <v>812</v>
      </c>
      <c r="C431" s="4" t="s">
        <v>1025</v>
      </c>
      <c r="D431" s="4">
        <v>1</v>
      </c>
      <c r="E431" s="6">
        <v>179000</v>
      </c>
      <c r="F431" t="str">
        <f>VLOOKUP(C431,products!A:C,2,FALSE)</f>
        <v>Rak Penyimpanan Serbaguna</v>
      </c>
      <c r="G431">
        <f t="shared" si="12"/>
        <v>179000</v>
      </c>
      <c r="H431">
        <f>VLOOKUP(C431,products!A:D,4,FALSE)</f>
        <v>90000</v>
      </c>
      <c r="I431">
        <f t="shared" si="13"/>
        <v>89000</v>
      </c>
      <c r="J431" t="str">
        <f>VLOOKUP(B431,orders!A:B,2,FALSE)</f>
        <v>CUST0098</v>
      </c>
      <c r="K431" t="str">
        <f>VLOOKUP(J431,customers!A:F,6,FALSE)</f>
        <v>Surabaya</v>
      </c>
    </row>
    <row r="432" spans="1:11" x14ac:dyDescent="0.35">
      <c r="A432" s="4" t="s">
        <v>1472</v>
      </c>
      <c r="B432" s="4" t="s">
        <v>558</v>
      </c>
      <c r="C432" s="4" t="s">
        <v>1044</v>
      </c>
      <c r="D432" s="4">
        <v>1</v>
      </c>
      <c r="E432" s="6">
        <v>329000</v>
      </c>
      <c r="F432" t="str">
        <f>VLOOKUP(C432,products!A:C,2,FALSE)</f>
        <v>Rice Cooker Mini 1.5L</v>
      </c>
      <c r="G432">
        <f t="shared" si="12"/>
        <v>329000</v>
      </c>
      <c r="H432">
        <f>VLOOKUP(C432,products!A:D,4,FALSE)</f>
        <v>180000</v>
      </c>
      <c r="I432">
        <f t="shared" si="13"/>
        <v>149000</v>
      </c>
      <c r="J432" t="str">
        <f>VLOOKUP(B432,orders!A:B,2,FALSE)</f>
        <v>CUST0108</v>
      </c>
      <c r="K432" t="str">
        <f>VLOOKUP(J432,customers!A:F,6,FALSE)</f>
        <v>Depok</v>
      </c>
    </row>
    <row r="433" spans="1:11" x14ac:dyDescent="0.35">
      <c r="A433" s="4" t="s">
        <v>1473</v>
      </c>
      <c r="B433" s="4" t="s">
        <v>312</v>
      </c>
      <c r="C433" s="4" t="s">
        <v>1031</v>
      </c>
      <c r="D433" s="4">
        <v>1</v>
      </c>
      <c r="E433" s="6">
        <v>79000</v>
      </c>
      <c r="F433" t="str">
        <f>VLOOKUP(C433,products!A:C,2,FALSE)</f>
        <v>Kaos Polos Cotton Combed</v>
      </c>
      <c r="G433">
        <f t="shared" si="12"/>
        <v>79000</v>
      </c>
      <c r="H433">
        <f>VLOOKUP(C433,products!A:D,4,FALSE)</f>
        <v>35000</v>
      </c>
      <c r="I433">
        <f t="shared" si="13"/>
        <v>44000</v>
      </c>
      <c r="J433" t="str">
        <f>VLOOKUP(B433,orders!A:B,2,FALSE)</f>
        <v>CUST0021</v>
      </c>
      <c r="K433" t="str">
        <f>VLOOKUP(J433,customers!A:F,6,FALSE)</f>
        <v>Jakarta</v>
      </c>
    </row>
    <row r="434" spans="1:11" x14ac:dyDescent="0.35">
      <c r="A434" s="4" t="s">
        <v>1474</v>
      </c>
      <c r="B434" s="4" t="s">
        <v>127</v>
      </c>
      <c r="C434" s="4" t="s">
        <v>1044</v>
      </c>
      <c r="D434" s="4">
        <v>1</v>
      </c>
      <c r="E434" s="6">
        <v>329000</v>
      </c>
      <c r="F434" t="str">
        <f>VLOOKUP(C434,products!A:C,2,FALSE)</f>
        <v>Rice Cooker Mini 1.5L</v>
      </c>
      <c r="G434">
        <f t="shared" si="12"/>
        <v>329000</v>
      </c>
      <c r="H434">
        <f>VLOOKUP(C434,products!A:D,4,FALSE)</f>
        <v>180000</v>
      </c>
      <c r="I434">
        <f t="shared" si="13"/>
        <v>149000</v>
      </c>
      <c r="J434" t="str">
        <f>VLOOKUP(B434,orders!A:B,2,FALSE)</f>
        <v>CUST0139</v>
      </c>
      <c r="K434" t="str">
        <f>VLOOKUP(J434,customers!A:F,6,FALSE)</f>
        <v>Yogyakarta</v>
      </c>
    </row>
    <row r="435" spans="1:11" x14ac:dyDescent="0.35">
      <c r="A435" s="4" t="s">
        <v>1475</v>
      </c>
      <c r="B435" s="4" t="s">
        <v>354</v>
      </c>
      <c r="C435" s="4" t="s">
        <v>1023</v>
      </c>
      <c r="D435" s="4">
        <v>2</v>
      </c>
      <c r="E435" s="6">
        <v>69000</v>
      </c>
      <c r="F435" t="str">
        <f>VLOOKUP(C435,products!A:C,2,FALSE)</f>
        <v>Lampu LED Hias 5m</v>
      </c>
      <c r="G435">
        <f t="shared" si="12"/>
        <v>138000</v>
      </c>
      <c r="H435">
        <f>VLOOKUP(C435,products!A:D,4,FALSE)</f>
        <v>30000</v>
      </c>
      <c r="I435">
        <f t="shared" si="13"/>
        <v>78000</v>
      </c>
      <c r="J435" t="str">
        <f>VLOOKUP(B435,orders!A:B,2,FALSE)</f>
        <v>CUST0167</v>
      </c>
      <c r="K435" t="str">
        <f>VLOOKUP(J435,customers!A:F,6,FALSE)</f>
        <v>Jakarta</v>
      </c>
    </row>
    <row r="436" spans="1:11" x14ac:dyDescent="0.35">
      <c r="A436" s="4" t="s">
        <v>1476</v>
      </c>
      <c r="B436" s="4" t="s">
        <v>18</v>
      </c>
      <c r="C436" s="4" t="s">
        <v>1082</v>
      </c>
      <c r="D436" s="4">
        <v>1</v>
      </c>
      <c r="E436" s="6">
        <v>399000</v>
      </c>
      <c r="F436" t="str">
        <f>VLOOKUP(C436,products!A:C,2,FALSE)</f>
        <v>Keyboard Mechanical Mini</v>
      </c>
      <c r="G436">
        <f t="shared" si="12"/>
        <v>399000</v>
      </c>
      <c r="H436">
        <f>VLOOKUP(C436,products!A:D,4,FALSE)</f>
        <v>200000</v>
      </c>
      <c r="I436">
        <f t="shared" si="13"/>
        <v>199000</v>
      </c>
      <c r="J436" t="str">
        <f>VLOOKUP(B436,orders!A:B,2,FALSE)</f>
        <v>CUST0167</v>
      </c>
      <c r="K436" t="str">
        <f>VLOOKUP(J436,customers!A:F,6,FALSE)</f>
        <v>Jakarta</v>
      </c>
    </row>
    <row r="437" spans="1:11" x14ac:dyDescent="0.35">
      <c r="A437" s="4" t="s">
        <v>1477</v>
      </c>
      <c r="B437" s="4" t="s">
        <v>18</v>
      </c>
      <c r="C437" s="4" t="s">
        <v>1044</v>
      </c>
      <c r="D437" s="4">
        <v>1</v>
      </c>
      <c r="E437" s="6">
        <v>329000</v>
      </c>
      <c r="F437" t="str">
        <f>VLOOKUP(C437,products!A:C,2,FALSE)</f>
        <v>Rice Cooker Mini 1.5L</v>
      </c>
      <c r="G437">
        <f t="shared" si="12"/>
        <v>329000</v>
      </c>
      <c r="H437">
        <f>VLOOKUP(C437,products!A:D,4,FALSE)</f>
        <v>180000</v>
      </c>
      <c r="I437">
        <f t="shared" si="13"/>
        <v>149000</v>
      </c>
      <c r="J437" t="str">
        <f>VLOOKUP(B437,orders!A:B,2,FALSE)</f>
        <v>CUST0167</v>
      </c>
      <c r="K437" t="str">
        <f>VLOOKUP(J437,customers!A:F,6,FALSE)</f>
        <v>Jakarta</v>
      </c>
    </row>
    <row r="438" spans="1:11" x14ac:dyDescent="0.35">
      <c r="A438" s="4" t="s">
        <v>1478</v>
      </c>
      <c r="B438" s="4" t="s">
        <v>18</v>
      </c>
      <c r="C438" s="4" t="s">
        <v>1049</v>
      </c>
      <c r="D438" s="4">
        <v>1</v>
      </c>
      <c r="E438" s="6">
        <v>349000</v>
      </c>
      <c r="F438" t="str">
        <f>VLOOKUP(C438,products!A:C,2,FALSE)</f>
        <v>Sepatu Sneakers Casual</v>
      </c>
      <c r="G438">
        <f t="shared" si="12"/>
        <v>349000</v>
      </c>
      <c r="H438">
        <f>VLOOKUP(C438,products!A:D,4,FALSE)</f>
        <v>180000</v>
      </c>
      <c r="I438">
        <f t="shared" si="13"/>
        <v>169000</v>
      </c>
      <c r="J438" t="str">
        <f>VLOOKUP(B438,orders!A:B,2,FALSE)</f>
        <v>CUST0167</v>
      </c>
      <c r="K438" t="str">
        <f>VLOOKUP(J438,customers!A:F,6,FALSE)</f>
        <v>Jakarta</v>
      </c>
    </row>
    <row r="439" spans="1:11" x14ac:dyDescent="0.35">
      <c r="A439" s="4" t="s">
        <v>1479</v>
      </c>
      <c r="B439" s="4" t="s">
        <v>822</v>
      </c>
      <c r="C439" s="4" t="s">
        <v>1029</v>
      </c>
      <c r="D439" s="4">
        <v>2</v>
      </c>
      <c r="E439" s="6">
        <v>39000</v>
      </c>
      <c r="F439" t="str">
        <f>VLOOKUP(C439,products!A:C,2,FALSE)</f>
        <v>Kabel Data USB-C</v>
      </c>
      <c r="G439">
        <f t="shared" si="12"/>
        <v>78000</v>
      </c>
      <c r="H439">
        <f>VLOOKUP(C439,products!A:D,4,FALSE)</f>
        <v>15000</v>
      </c>
      <c r="I439">
        <f t="shared" si="13"/>
        <v>48000</v>
      </c>
      <c r="J439" t="str">
        <f>VLOOKUP(B439,orders!A:B,2,FALSE)</f>
        <v>CUST0064</v>
      </c>
      <c r="K439" t="str">
        <f>VLOOKUP(J439,customers!A:F,6,FALSE)</f>
        <v>Yogyakarta</v>
      </c>
    </row>
    <row r="440" spans="1:11" x14ac:dyDescent="0.35">
      <c r="A440" s="4" t="s">
        <v>1480</v>
      </c>
      <c r="B440" s="4" t="s">
        <v>822</v>
      </c>
      <c r="C440" s="4" t="s">
        <v>1031</v>
      </c>
      <c r="D440" s="4">
        <v>1</v>
      </c>
      <c r="E440" s="6">
        <v>79000</v>
      </c>
      <c r="F440" t="str">
        <f>VLOOKUP(C440,products!A:C,2,FALSE)</f>
        <v>Kaos Polos Cotton Combed</v>
      </c>
      <c r="G440">
        <f t="shared" si="12"/>
        <v>79000</v>
      </c>
      <c r="H440">
        <f>VLOOKUP(C440,products!A:D,4,FALSE)</f>
        <v>35000</v>
      </c>
      <c r="I440">
        <f t="shared" si="13"/>
        <v>44000</v>
      </c>
      <c r="J440" t="str">
        <f>VLOOKUP(B440,orders!A:B,2,FALSE)</f>
        <v>CUST0064</v>
      </c>
      <c r="K440" t="str">
        <f>VLOOKUP(J440,customers!A:F,6,FALSE)</f>
        <v>Yogyakarta</v>
      </c>
    </row>
    <row r="441" spans="1:11" x14ac:dyDescent="0.35">
      <c r="A441" s="4" t="s">
        <v>1481</v>
      </c>
      <c r="B441" s="4" t="s">
        <v>606</v>
      </c>
      <c r="C441" s="4" t="s">
        <v>1033</v>
      </c>
      <c r="D441" s="4">
        <v>1</v>
      </c>
      <c r="E441" s="6">
        <v>55000</v>
      </c>
      <c r="F441" t="str">
        <f>VLOOKUP(C441,products!A:C,2,FALSE)</f>
        <v>Sapu + Pengki Set</v>
      </c>
      <c r="G441">
        <f t="shared" si="12"/>
        <v>55000</v>
      </c>
      <c r="H441">
        <f>VLOOKUP(C441,products!A:D,4,FALSE)</f>
        <v>25000</v>
      </c>
      <c r="I441">
        <f t="shared" si="13"/>
        <v>30000</v>
      </c>
      <c r="J441" t="str">
        <f>VLOOKUP(B441,orders!A:B,2,FALSE)</f>
        <v>CUST0006</v>
      </c>
      <c r="K441" t="str">
        <f>VLOOKUP(J441,customers!A:F,6,FALSE)</f>
        <v>Jakarta</v>
      </c>
    </row>
    <row r="442" spans="1:11" x14ac:dyDescent="0.35">
      <c r="A442" s="4" t="s">
        <v>1482</v>
      </c>
      <c r="B442" s="4" t="s">
        <v>648</v>
      </c>
      <c r="C442" s="4" t="s">
        <v>1023</v>
      </c>
      <c r="D442" s="4">
        <v>3</v>
      </c>
      <c r="E442" s="6">
        <v>69000</v>
      </c>
      <c r="F442" t="str">
        <f>VLOOKUP(C442,products!A:C,2,FALSE)</f>
        <v>Lampu LED Hias 5m</v>
      </c>
      <c r="G442">
        <f t="shared" si="12"/>
        <v>207000</v>
      </c>
      <c r="H442">
        <f>VLOOKUP(C442,products!A:D,4,FALSE)</f>
        <v>30000</v>
      </c>
      <c r="I442">
        <f t="shared" si="13"/>
        <v>117000</v>
      </c>
      <c r="J442" t="str">
        <f>VLOOKUP(B442,orders!A:B,2,FALSE)</f>
        <v>CUST0062</v>
      </c>
      <c r="K442" t="str">
        <f>VLOOKUP(J442,customers!A:F,6,FALSE)</f>
        <v>Surabaya</v>
      </c>
    </row>
    <row r="443" spans="1:11" x14ac:dyDescent="0.35">
      <c r="A443" s="4" t="s">
        <v>1483</v>
      </c>
      <c r="B443" s="4" t="s">
        <v>648</v>
      </c>
      <c r="C443" s="4" t="s">
        <v>1082</v>
      </c>
      <c r="D443" s="4">
        <v>2</v>
      </c>
      <c r="E443" s="6">
        <v>399000</v>
      </c>
      <c r="F443" t="str">
        <f>VLOOKUP(C443,products!A:C,2,FALSE)</f>
        <v>Keyboard Mechanical Mini</v>
      </c>
      <c r="G443">
        <f t="shared" si="12"/>
        <v>798000</v>
      </c>
      <c r="H443">
        <f>VLOOKUP(C443,products!A:D,4,FALSE)</f>
        <v>200000</v>
      </c>
      <c r="I443">
        <f t="shared" si="13"/>
        <v>398000</v>
      </c>
      <c r="J443" t="str">
        <f>VLOOKUP(B443,orders!A:B,2,FALSE)</f>
        <v>CUST0062</v>
      </c>
      <c r="K443" t="str">
        <f>VLOOKUP(J443,customers!A:F,6,FALSE)</f>
        <v>Surabaya</v>
      </c>
    </row>
    <row r="444" spans="1:11" x14ac:dyDescent="0.35">
      <c r="A444" s="4" t="s">
        <v>1484</v>
      </c>
      <c r="B444" s="4" t="s">
        <v>697</v>
      </c>
      <c r="C444" s="4" t="s">
        <v>1023</v>
      </c>
      <c r="D444" s="4">
        <v>1</v>
      </c>
      <c r="E444" s="6">
        <v>69000</v>
      </c>
      <c r="F444" t="str">
        <f>VLOOKUP(C444,products!A:C,2,FALSE)</f>
        <v>Lampu LED Hias 5m</v>
      </c>
      <c r="G444">
        <f t="shared" si="12"/>
        <v>69000</v>
      </c>
      <c r="H444">
        <f>VLOOKUP(C444,products!A:D,4,FALSE)</f>
        <v>30000</v>
      </c>
      <c r="I444">
        <f t="shared" si="13"/>
        <v>39000</v>
      </c>
      <c r="J444" t="str">
        <f>VLOOKUP(B444,orders!A:B,2,FALSE)</f>
        <v>CUST0172</v>
      </c>
      <c r="K444" t="str">
        <f>VLOOKUP(J444,customers!A:F,6,FALSE)</f>
        <v>Jakarta</v>
      </c>
    </row>
    <row r="445" spans="1:11" x14ac:dyDescent="0.35">
      <c r="A445" s="4" t="s">
        <v>1485</v>
      </c>
      <c r="B445" s="4" t="s">
        <v>934</v>
      </c>
      <c r="C445" s="4" t="s">
        <v>1031</v>
      </c>
      <c r="D445" s="4">
        <v>1</v>
      </c>
      <c r="E445" s="6">
        <v>79000</v>
      </c>
      <c r="F445" t="str">
        <f>VLOOKUP(C445,products!A:C,2,FALSE)</f>
        <v>Kaos Polos Cotton Combed</v>
      </c>
      <c r="G445">
        <f t="shared" si="12"/>
        <v>79000</v>
      </c>
      <c r="H445">
        <f>VLOOKUP(C445,products!A:D,4,FALSE)</f>
        <v>35000</v>
      </c>
      <c r="I445">
        <f t="shared" si="13"/>
        <v>44000</v>
      </c>
      <c r="J445" t="str">
        <f>VLOOKUP(B445,orders!A:B,2,FALSE)</f>
        <v>CUST0120</v>
      </c>
      <c r="K445" t="str">
        <f>VLOOKUP(J445,customers!A:F,6,FALSE)</f>
        <v>Makassar</v>
      </c>
    </row>
    <row r="446" spans="1:11" x14ac:dyDescent="0.35">
      <c r="A446" s="4" t="s">
        <v>1486</v>
      </c>
      <c r="B446" s="4" t="s">
        <v>145</v>
      </c>
      <c r="C446" s="4" t="s">
        <v>1023</v>
      </c>
      <c r="D446" s="4">
        <v>2</v>
      </c>
      <c r="E446" s="6">
        <v>69000</v>
      </c>
      <c r="F446" t="str">
        <f>VLOOKUP(C446,products!A:C,2,FALSE)</f>
        <v>Lampu LED Hias 5m</v>
      </c>
      <c r="G446">
        <f t="shared" si="12"/>
        <v>138000</v>
      </c>
      <c r="H446">
        <f>VLOOKUP(C446,products!A:D,4,FALSE)</f>
        <v>30000</v>
      </c>
      <c r="I446">
        <f t="shared" si="13"/>
        <v>78000</v>
      </c>
      <c r="J446" t="str">
        <f>VLOOKUP(B446,orders!A:B,2,FALSE)</f>
        <v>CUST0197</v>
      </c>
      <c r="K446" t="str">
        <f>VLOOKUP(J446,customers!A:F,6,FALSE)</f>
        <v>Bandung</v>
      </c>
    </row>
    <row r="447" spans="1:11" x14ac:dyDescent="0.35">
      <c r="A447" s="4" t="s">
        <v>1487</v>
      </c>
      <c r="B447" s="4" t="s">
        <v>145</v>
      </c>
      <c r="C447" s="4" t="s">
        <v>1036</v>
      </c>
      <c r="D447" s="4">
        <v>1</v>
      </c>
      <c r="E447" s="6">
        <v>229000</v>
      </c>
      <c r="F447" t="str">
        <f>VLOOKUP(C447,products!A:C,2,FALSE)</f>
        <v>Celana Jeans Slimfit</v>
      </c>
      <c r="G447">
        <f t="shared" si="12"/>
        <v>229000</v>
      </c>
      <c r="H447">
        <f>VLOOKUP(C447,products!A:D,4,FALSE)</f>
        <v>110000</v>
      </c>
      <c r="I447">
        <f t="shared" si="13"/>
        <v>119000</v>
      </c>
      <c r="J447" t="str">
        <f>VLOOKUP(B447,orders!A:B,2,FALSE)</f>
        <v>CUST0197</v>
      </c>
      <c r="K447" t="str">
        <f>VLOOKUP(J447,customers!A:F,6,FALSE)</f>
        <v>Bandung</v>
      </c>
    </row>
    <row r="448" spans="1:11" x14ac:dyDescent="0.35">
      <c r="A448" s="4" t="s">
        <v>1488</v>
      </c>
      <c r="B448" s="4" t="s">
        <v>505</v>
      </c>
      <c r="C448" s="4" t="s">
        <v>1023</v>
      </c>
      <c r="D448" s="4">
        <v>1</v>
      </c>
      <c r="E448" s="6">
        <v>69000</v>
      </c>
      <c r="F448" t="str">
        <f>VLOOKUP(C448,products!A:C,2,FALSE)</f>
        <v>Lampu LED Hias 5m</v>
      </c>
      <c r="G448">
        <f t="shared" si="12"/>
        <v>69000</v>
      </c>
      <c r="H448">
        <f>VLOOKUP(C448,products!A:D,4,FALSE)</f>
        <v>30000</v>
      </c>
      <c r="I448">
        <f t="shared" si="13"/>
        <v>39000</v>
      </c>
      <c r="J448" t="str">
        <f>VLOOKUP(B448,orders!A:B,2,FALSE)</f>
        <v>CUST0156</v>
      </c>
      <c r="K448" t="str">
        <f>VLOOKUP(J448,customers!A:F,6,FALSE)</f>
        <v>Bandung</v>
      </c>
    </row>
    <row r="449" spans="1:11" x14ac:dyDescent="0.35">
      <c r="A449" s="4" t="s">
        <v>1489</v>
      </c>
      <c r="B449" s="4" t="s">
        <v>963</v>
      </c>
      <c r="C449" s="4" t="s">
        <v>1029</v>
      </c>
      <c r="D449" s="4">
        <v>2</v>
      </c>
      <c r="E449" s="6">
        <v>39000</v>
      </c>
      <c r="F449" t="str">
        <f>VLOOKUP(C449,products!A:C,2,FALSE)</f>
        <v>Kabel Data USB-C</v>
      </c>
      <c r="G449">
        <f t="shared" si="12"/>
        <v>78000</v>
      </c>
      <c r="H449">
        <f>VLOOKUP(C449,products!A:D,4,FALSE)</f>
        <v>15000</v>
      </c>
      <c r="I449">
        <f t="shared" si="13"/>
        <v>48000</v>
      </c>
      <c r="J449" t="str">
        <f>VLOOKUP(B449,orders!A:B,2,FALSE)</f>
        <v>CUST0030</v>
      </c>
      <c r="K449" t="str">
        <f>VLOOKUP(J449,customers!A:F,6,FALSE)</f>
        <v>Jakarta</v>
      </c>
    </row>
    <row r="450" spans="1:11" x14ac:dyDescent="0.35">
      <c r="A450" s="4" t="s">
        <v>1490</v>
      </c>
      <c r="B450" s="4" t="s">
        <v>465</v>
      </c>
      <c r="C450" s="4" t="s">
        <v>1029</v>
      </c>
      <c r="D450" s="4">
        <v>1</v>
      </c>
      <c r="E450" s="6">
        <v>39000</v>
      </c>
      <c r="F450" t="str">
        <f>VLOOKUP(C450,products!A:C,2,FALSE)</f>
        <v>Kabel Data USB-C</v>
      </c>
      <c r="G450">
        <f t="shared" si="12"/>
        <v>39000</v>
      </c>
      <c r="H450">
        <f>VLOOKUP(C450,products!A:D,4,FALSE)</f>
        <v>15000</v>
      </c>
      <c r="I450">
        <f t="shared" si="13"/>
        <v>24000</v>
      </c>
      <c r="J450" t="str">
        <f>VLOOKUP(B450,orders!A:B,2,FALSE)</f>
        <v>CUST0042</v>
      </c>
      <c r="K450" t="str">
        <f>VLOOKUP(J450,customers!A:F,6,FALSE)</f>
        <v>Surabaya</v>
      </c>
    </row>
    <row r="451" spans="1:11" x14ac:dyDescent="0.35">
      <c r="A451" s="4" t="s">
        <v>1491</v>
      </c>
      <c r="B451" s="4" t="s">
        <v>465</v>
      </c>
      <c r="C451" s="4" t="s">
        <v>1089</v>
      </c>
      <c r="D451" s="4">
        <v>1</v>
      </c>
      <c r="E451" s="6">
        <v>159000</v>
      </c>
      <c r="F451" t="str">
        <f>VLOOKUP(C451,products!A:C,2,FALSE)</f>
        <v>Power Bank 10000mAh</v>
      </c>
      <c r="G451">
        <f t="shared" ref="G451:G514" si="14">D451*E451</f>
        <v>159000</v>
      </c>
      <c r="H451">
        <f>VLOOKUP(C451,products!A:D,4,FALSE)</f>
        <v>80000</v>
      </c>
      <c r="I451">
        <f t="shared" ref="I451:I514" si="15">(E451-H451)*D451</f>
        <v>79000</v>
      </c>
      <c r="J451" t="str">
        <f>VLOOKUP(B451,orders!A:B,2,FALSE)</f>
        <v>CUST0042</v>
      </c>
      <c r="K451" t="str">
        <f>VLOOKUP(J451,customers!A:F,6,FALSE)</f>
        <v>Surabaya</v>
      </c>
    </row>
    <row r="452" spans="1:11" x14ac:dyDescent="0.35">
      <c r="A452" s="4" t="s">
        <v>1492</v>
      </c>
      <c r="B452" s="4" t="s">
        <v>427</v>
      </c>
      <c r="C452" s="4" t="s">
        <v>1023</v>
      </c>
      <c r="D452" s="4">
        <v>1</v>
      </c>
      <c r="E452" s="6">
        <v>69000</v>
      </c>
      <c r="F452" t="str">
        <f>VLOOKUP(C452,products!A:C,2,FALSE)</f>
        <v>Lampu LED Hias 5m</v>
      </c>
      <c r="G452">
        <f t="shared" si="14"/>
        <v>69000</v>
      </c>
      <c r="H452">
        <f>VLOOKUP(C452,products!A:D,4,FALSE)</f>
        <v>30000</v>
      </c>
      <c r="I452">
        <f t="shared" si="15"/>
        <v>39000</v>
      </c>
      <c r="J452" t="str">
        <f>VLOOKUP(B452,orders!A:B,2,FALSE)</f>
        <v>CUST0149</v>
      </c>
      <c r="K452" t="str">
        <f>VLOOKUP(J452,customers!A:F,6,FALSE)</f>
        <v>Depok</v>
      </c>
    </row>
    <row r="453" spans="1:11" x14ac:dyDescent="0.35">
      <c r="A453" s="4" t="s">
        <v>1493</v>
      </c>
      <c r="B453" s="4" t="s">
        <v>427</v>
      </c>
      <c r="C453" s="4" t="s">
        <v>1029</v>
      </c>
      <c r="D453" s="4">
        <v>1</v>
      </c>
      <c r="E453" s="6">
        <v>39000</v>
      </c>
      <c r="F453" t="str">
        <f>VLOOKUP(C453,products!A:C,2,FALSE)</f>
        <v>Kabel Data USB-C</v>
      </c>
      <c r="G453">
        <f t="shared" si="14"/>
        <v>39000</v>
      </c>
      <c r="H453">
        <f>VLOOKUP(C453,products!A:D,4,FALSE)</f>
        <v>15000</v>
      </c>
      <c r="I453">
        <f t="shared" si="15"/>
        <v>24000</v>
      </c>
      <c r="J453" t="str">
        <f>VLOOKUP(B453,orders!A:B,2,FALSE)</f>
        <v>CUST0149</v>
      </c>
      <c r="K453" t="str">
        <f>VLOOKUP(J453,customers!A:F,6,FALSE)</f>
        <v>Depok</v>
      </c>
    </row>
    <row r="454" spans="1:11" x14ac:dyDescent="0.35">
      <c r="A454" s="4" t="s">
        <v>1494</v>
      </c>
      <c r="B454" s="4" t="s">
        <v>427</v>
      </c>
      <c r="C454" s="4" t="s">
        <v>1044</v>
      </c>
      <c r="D454" s="4">
        <v>2</v>
      </c>
      <c r="E454" s="6">
        <v>329000</v>
      </c>
      <c r="F454" t="str">
        <f>VLOOKUP(C454,products!A:C,2,FALSE)</f>
        <v>Rice Cooker Mini 1.5L</v>
      </c>
      <c r="G454">
        <f t="shared" si="14"/>
        <v>658000</v>
      </c>
      <c r="H454">
        <f>VLOOKUP(C454,products!A:D,4,FALSE)</f>
        <v>180000</v>
      </c>
      <c r="I454">
        <f t="shared" si="15"/>
        <v>298000</v>
      </c>
      <c r="J454" t="str">
        <f>VLOOKUP(B454,orders!A:B,2,FALSE)</f>
        <v>CUST0149</v>
      </c>
      <c r="K454" t="str">
        <f>VLOOKUP(J454,customers!A:F,6,FALSE)</f>
        <v>Depok</v>
      </c>
    </row>
    <row r="455" spans="1:11" x14ac:dyDescent="0.35">
      <c r="A455" s="4" t="s">
        <v>1495</v>
      </c>
      <c r="B455" s="4" t="s">
        <v>229</v>
      </c>
      <c r="C455" s="4" t="s">
        <v>1082</v>
      </c>
      <c r="D455" s="4">
        <v>1</v>
      </c>
      <c r="E455" s="6">
        <v>399000</v>
      </c>
      <c r="F455" t="str">
        <f>VLOOKUP(C455,products!A:C,2,FALSE)</f>
        <v>Keyboard Mechanical Mini</v>
      </c>
      <c r="G455">
        <f t="shared" si="14"/>
        <v>399000</v>
      </c>
      <c r="H455">
        <f>VLOOKUP(C455,products!A:D,4,FALSE)</f>
        <v>200000</v>
      </c>
      <c r="I455">
        <f t="shared" si="15"/>
        <v>199000</v>
      </c>
      <c r="J455" t="str">
        <f>VLOOKUP(B455,orders!A:B,2,FALSE)</f>
        <v>CUST0080</v>
      </c>
      <c r="K455" t="str">
        <f>VLOOKUP(J455,customers!A:F,6,FALSE)</f>
        <v>Surabaya</v>
      </c>
    </row>
    <row r="456" spans="1:11" x14ac:dyDescent="0.35">
      <c r="A456" s="4" t="s">
        <v>1496</v>
      </c>
      <c r="B456" s="4" t="s">
        <v>793</v>
      </c>
      <c r="C456" s="4" t="s">
        <v>1025</v>
      </c>
      <c r="D456" s="4">
        <v>1</v>
      </c>
      <c r="E456" s="6">
        <v>179000</v>
      </c>
      <c r="F456" t="str">
        <f>VLOOKUP(C456,products!A:C,2,FALSE)</f>
        <v>Rak Penyimpanan Serbaguna</v>
      </c>
      <c r="G456">
        <f t="shared" si="14"/>
        <v>179000</v>
      </c>
      <c r="H456">
        <f>VLOOKUP(C456,products!A:D,4,FALSE)</f>
        <v>90000</v>
      </c>
      <c r="I456">
        <f t="shared" si="15"/>
        <v>89000</v>
      </c>
      <c r="J456" t="str">
        <f>VLOOKUP(B456,orders!A:B,2,FALSE)</f>
        <v>CUST0097</v>
      </c>
      <c r="K456" t="str">
        <f>VLOOKUP(J456,customers!A:F,6,FALSE)</f>
        <v>Palembang</v>
      </c>
    </row>
    <row r="457" spans="1:11" x14ac:dyDescent="0.35">
      <c r="A457" s="4" t="s">
        <v>1497</v>
      </c>
      <c r="B457" s="4" t="s">
        <v>906</v>
      </c>
      <c r="C457" s="4" t="s">
        <v>1076</v>
      </c>
      <c r="D457" s="4">
        <v>1</v>
      </c>
      <c r="E457" s="6">
        <v>499000</v>
      </c>
      <c r="F457" t="str">
        <f>VLOOKUP(C457,products!A:C,2,FALSE)</f>
        <v>Smartwatch Lite</v>
      </c>
      <c r="G457">
        <f t="shared" si="14"/>
        <v>499000</v>
      </c>
      <c r="H457">
        <f>VLOOKUP(C457,products!A:D,4,FALSE)</f>
        <v>250000</v>
      </c>
      <c r="I457">
        <f t="shared" si="15"/>
        <v>249000</v>
      </c>
      <c r="J457" t="str">
        <f>VLOOKUP(B457,orders!A:B,2,FALSE)</f>
        <v>CUST0051</v>
      </c>
      <c r="K457" t="str">
        <f>VLOOKUP(J457,customers!A:F,6,FALSE)</f>
        <v>Jakarta</v>
      </c>
    </row>
    <row r="458" spans="1:11" x14ac:dyDescent="0.35">
      <c r="A458" s="4" t="s">
        <v>1498</v>
      </c>
      <c r="B458" s="4" t="s">
        <v>781</v>
      </c>
      <c r="C458" s="4" t="s">
        <v>1029</v>
      </c>
      <c r="D458" s="4">
        <v>1</v>
      </c>
      <c r="E458" s="6">
        <v>39000</v>
      </c>
      <c r="F458" t="str">
        <f>VLOOKUP(C458,products!A:C,2,FALSE)</f>
        <v>Kabel Data USB-C</v>
      </c>
      <c r="G458">
        <f t="shared" si="14"/>
        <v>39000</v>
      </c>
      <c r="H458">
        <f>VLOOKUP(C458,products!A:D,4,FALSE)</f>
        <v>15000</v>
      </c>
      <c r="I458">
        <f t="shared" si="15"/>
        <v>24000</v>
      </c>
      <c r="J458" t="str">
        <f>VLOOKUP(B458,orders!A:B,2,FALSE)</f>
        <v>CUST0177</v>
      </c>
      <c r="K458" t="str">
        <f>VLOOKUP(J458,customers!A:F,6,FALSE)</f>
        <v>Makassar</v>
      </c>
    </row>
    <row r="459" spans="1:11" x14ac:dyDescent="0.35">
      <c r="A459" s="4" t="s">
        <v>1499</v>
      </c>
      <c r="B459" s="4" t="s">
        <v>163</v>
      </c>
      <c r="C459" s="4" t="s">
        <v>1031</v>
      </c>
      <c r="D459" s="4">
        <v>2</v>
      </c>
      <c r="E459" s="6">
        <v>79000</v>
      </c>
      <c r="F459" t="str">
        <f>VLOOKUP(C459,products!A:C,2,FALSE)</f>
        <v>Kaos Polos Cotton Combed</v>
      </c>
      <c r="G459">
        <f t="shared" si="14"/>
        <v>158000</v>
      </c>
      <c r="H459">
        <f>VLOOKUP(C459,products!A:D,4,FALSE)</f>
        <v>35000</v>
      </c>
      <c r="I459">
        <f t="shared" si="15"/>
        <v>88000</v>
      </c>
      <c r="J459" t="str">
        <f>VLOOKUP(B459,orders!A:B,2,FALSE)</f>
        <v>CUST0179</v>
      </c>
      <c r="K459" t="str">
        <f>VLOOKUP(J459,customers!A:F,6,FALSE)</f>
        <v>Jakarta</v>
      </c>
    </row>
    <row r="460" spans="1:11" x14ac:dyDescent="0.35">
      <c r="A460" s="4" t="s">
        <v>1500</v>
      </c>
      <c r="B460" s="4" t="s">
        <v>163</v>
      </c>
      <c r="C460" s="4" t="s">
        <v>1089</v>
      </c>
      <c r="D460" s="4">
        <v>1</v>
      </c>
      <c r="E460" s="6">
        <v>159000</v>
      </c>
      <c r="F460" t="str">
        <f>VLOOKUP(C460,products!A:C,2,FALSE)</f>
        <v>Power Bank 10000mAh</v>
      </c>
      <c r="G460">
        <f t="shared" si="14"/>
        <v>159000</v>
      </c>
      <c r="H460">
        <f>VLOOKUP(C460,products!A:D,4,FALSE)</f>
        <v>80000</v>
      </c>
      <c r="I460">
        <f t="shared" si="15"/>
        <v>79000</v>
      </c>
      <c r="J460" t="str">
        <f>VLOOKUP(B460,orders!A:B,2,FALSE)</f>
        <v>CUST0179</v>
      </c>
      <c r="K460" t="str">
        <f>VLOOKUP(J460,customers!A:F,6,FALSE)</f>
        <v>Jakarta</v>
      </c>
    </row>
    <row r="461" spans="1:11" x14ac:dyDescent="0.35">
      <c r="A461" s="4" t="s">
        <v>1501</v>
      </c>
      <c r="B461" s="4" t="s">
        <v>51</v>
      </c>
      <c r="C461" s="4" t="s">
        <v>1023</v>
      </c>
      <c r="D461" s="4">
        <v>1</v>
      </c>
      <c r="E461" s="6">
        <v>69000</v>
      </c>
      <c r="F461" t="str">
        <f>VLOOKUP(C461,products!A:C,2,FALSE)</f>
        <v>Lampu LED Hias 5m</v>
      </c>
      <c r="G461">
        <f t="shared" si="14"/>
        <v>69000</v>
      </c>
      <c r="H461">
        <f>VLOOKUP(C461,products!A:D,4,FALSE)</f>
        <v>30000</v>
      </c>
      <c r="I461">
        <f t="shared" si="15"/>
        <v>39000</v>
      </c>
      <c r="J461" t="str">
        <f>VLOOKUP(B461,orders!A:B,2,FALSE)</f>
        <v>CUST0154</v>
      </c>
      <c r="K461" t="str">
        <f>VLOOKUP(J461,customers!A:F,6,FALSE)</f>
        <v>Medan</v>
      </c>
    </row>
    <row r="462" spans="1:11" x14ac:dyDescent="0.35">
      <c r="A462" s="4" t="s">
        <v>1502</v>
      </c>
      <c r="B462" s="4" t="s">
        <v>51</v>
      </c>
      <c r="C462" s="4" t="s">
        <v>1025</v>
      </c>
      <c r="D462" s="4">
        <v>1</v>
      </c>
      <c r="E462" s="6">
        <v>179000</v>
      </c>
      <c r="F462" t="str">
        <f>VLOOKUP(C462,products!A:C,2,FALSE)</f>
        <v>Rak Penyimpanan Serbaguna</v>
      </c>
      <c r="G462">
        <f t="shared" si="14"/>
        <v>179000</v>
      </c>
      <c r="H462">
        <f>VLOOKUP(C462,products!A:D,4,FALSE)</f>
        <v>90000</v>
      </c>
      <c r="I462">
        <f t="shared" si="15"/>
        <v>89000</v>
      </c>
      <c r="J462" t="str">
        <f>VLOOKUP(B462,orders!A:B,2,FALSE)</f>
        <v>CUST0154</v>
      </c>
      <c r="K462" t="str">
        <f>VLOOKUP(J462,customers!A:F,6,FALSE)</f>
        <v>Medan</v>
      </c>
    </row>
    <row r="463" spans="1:11" x14ac:dyDescent="0.35">
      <c r="A463" s="4" t="s">
        <v>1503</v>
      </c>
      <c r="B463" s="4" t="s">
        <v>977</v>
      </c>
      <c r="C463" s="4" t="s">
        <v>1084</v>
      </c>
      <c r="D463" s="4">
        <v>1</v>
      </c>
      <c r="E463" s="6">
        <v>79000</v>
      </c>
      <c r="F463" t="str">
        <f>VLOOKUP(C463,products!A:C,2,FALSE)</f>
        <v>Botol Minum Stainless 1L</v>
      </c>
      <c r="G463">
        <f t="shared" si="14"/>
        <v>79000</v>
      </c>
      <c r="H463">
        <f>VLOOKUP(C463,products!A:D,4,FALSE)</f>
        <v>35000</v>
      </c>
      <c r="I463">
        <f t="shared" si="15"/>
        <v>44000</v>
      </c>
      <c r="J463" t="str">
        <f>VLOOKUP(B463,orders!A:B,2,FALSE)</f>
        <v>CUST0145</v>
      </c>
      <c r="K463" t="str">
        <f>VLOOKUP(J463,customers!A:F,6,FALSE)</f>
        <v>Surabaya</v>
      </c>
    </row>
    <row r="464" spans="1:11" x14ac:dyDescent="0.35">
      <c r="A464" s="4" t="s">
        <v>1504</v>
      </c>
      <c r="B464" s="4" t="s">
        <v>33</v>
      </c>
      <c r="C464" s="4" t="s">
        <v>1049</v>
      </c>
      <c r="D464" s="4">
        <v>1</v>
      </c>
      <c r="E464" s="6">
        <v>349000</v>
      </c>
      <c r="F464" t="str">
        <f>VLOOKUP(C464,products!A:C,2,FALSE)</f>
        <v>Sepatu Sneakers Casual</v>
      </c>
      <c r="G464">
        <f t="shared" si="14"/>
        <v>349000</v>
      </c>
      <c r="H464">
        <f>VLOOKUP(C464,products!A:D,4,FALSE)</f>
        <v>180000</v>
      </c>
      <c r="I464">
        <f t="shared" si="15"/>
        <v>169000</v>
      </c>
      <c r="J464" t="str">
        <f>VLOOKUP(B464,orders!A:B,2,FALSE)</f>
        <v>CUST0089</v>
      </c>
      <c r="K464" t="str">
        <f>VLOOKUP(J464,customers!A:F,6,FALSE)</f>
        <v>Makassar</v>
      </c>
    </row>
    <row r="465" spans="1:11" x14ac:dyDescent="0.35">
      <c r="A465" s="4" t="s">
        <v>1505</v>
      </c>
      <c r="B465" s="4" t="s">
        <v>33</v>
      </c>
      <c r="C465" s="4" t="s">
        <v>1036</v>
      </c>
      <c r="D465" s="4">
        <v>1</v>
      </c>
      <c r="E465" s="6">
        <v>229000</v>
      </c>
      <c r="F465" t="str">
        <f>VLOOKUP(C465,products!A:C,2,FALSE)</f>
        <v>Celana Jeans Slimfit</v>
      </c>
      <c r="G465">
        <f t="shared" si="14"/>
        <v>229000</v>
      </c>
      <c r="H465">
        <f>VLOOKUP(C465,products!A:D,4,FALSE)</f>
        <v>110000</v>
      </c>
      <c r="I465">
        <f t="shared" si="15"/>
        <v>119000</v>
      </c>
      <c r="J465" t="str">
        <f>VLOOKUP(B465,orders!A:B,2,FALSE)</f>
        <v>CUST0089</v>
      </c>
      <c r="K465" t="str">
        <f>VLOOKUP(J465,customers!A:F,6,FALSE)</f>
        <v>Makassar</v>
      </c>
    </row>
    <row r="466" spans="1:11" x14ac:dyDescent="0.35">
      <c r="A466" s="4" t="s">
        <v>1506</v>
      </c>
      <c r="B466" s="4" t="s">
        <v>33</v>
      </c>
      <c r="C466" s="4" t="s">
        <v>1082</v>
      </c>
      <c r="D466" s="4">
        <v>2</v>
      </c>
      <c r="E466" s="6">
        <v>399000</v>
      </c>
      <c r="F466" t="str">
        <f>VLOOKUP(C466,products!A:C,2,FALSE)</f>
        <v>Keyboard Mechanical Mini</v>
      </c>
      <c r="G466">
        <f t="shared" si="14"/>
        <v>798000</v>
      </c>
      <c r="H466">
        <f>VLOOKUP(C466,products!A:D,4,FALSE)</f>
        <v>200000</v>
      </c>
      <c r="I466">
        <f t="shared" si="15"/>
        <v>398000</v>
      </c>
      <c r="J466" t="str">
        <f>VLOOKUP(B466,orders!A:B,2,FALSE)</f>
        <v>CUST0089</v>
      </c>
      <c r="K466" t="str">
        <f>VLOOKUP(J466,customers!A:F,6,FALSE)</f>
        <v>Makassar</v>
      </c>
    </row>
    <row r="467" spans="1:11" x14ac:dyDescent="0.35">
      <c r="A467" s="4" t="s">
        <v>1507</v>
      </c>
      <c r="B467" s="4" t="s">
        <v>272</v>
      </c>
      <c r="C467" s="4" t="s">
        <v>1023</v>
      </c>
      <c r="D467" s="4">
        <v>2</v>
      </c>
      <c r="E467" s="6">
        <v>69000</v>
      </c>
      <c r="F467" t="str">
        <f>VLOOKUP(C467,products!A:C,2,FALSE)</f>
        <v>Lampu LED Hias 5m</v>
      </c>
      <c r="G467">
        <f t="shared" si="14"/>
        <v>138000</v>
      </c>
      <c r="H467">
        <f>VLOOKUP(C467,products!A:D,4,FALSE)</f>
        <v>30000</v>
      </c>
      <c r="I467">
        <f t="shared" si="15"/>
        <v>78000</v>
      </c>
      <c r="J467" t="str">
        <f>VLOOKUP(B467,orders!A:B,2,FALSE)</f>
        <v>CUST0095</v>
      </c>
      <c r="K467" t="str">
        <f>VLOOKUP(J467,customers!A:F,6,FALSE)</f>
        <v>Medan</v>
      </c>
    </row>
    <row r="468" spans="1:11" x14ac:dyDescent="0.35">
      <c r="A468" s="4" t="s">
        <v>1508</v>
      </c>
      <c r="B468" s="4" t="s">
        <v>855</v>
      </c>
      <c r="C468" s="4" t="s">
        <v>1029</v>
      </c>
      <c r="D468" s="4">
        <v>2</v>
      </c>
      <c r="E468" s="6">
        <v>39000</v>
      </c>
      <c r="F468" t="str">
        <f>VLOOKUP(C468,products!A:C,2,FALSE)</f>
        <v>Kabel Data USB-C</v>
      </c>
      <c r="G468">
        <f t="shared" si="14"/>
        <v>78000</v>
      </c>
      <c r="H468">
        <f>VLOOKUP(C468,products!A:D,4,FALSE)</f>
        <v>15000</v>
      </c>
      <c r="I468">
        <f t="shared" si="15"/>
        <v>48000</v>
      </c>
      <c r="J468" t="str">
        <f>VLOOKUP(B468,orders!A:B,2,FALSE)</f>
        <v>CUST0166</v>
      </c>
      <c r="K468" t="str">
        <f>VLOOKUP(J468,customers!A:F,6,FALSE)</f>
        <v>Bandung</v>
      </c>
    </row>
    <row r="469" spans="1:11" x14ac:dyDescent="0.35">
      <c r="A469" s="4" t="s">
        <v>1509</v>
      </c>
      <c r="B469" s="4" t="s">
        <v>855</v>
      </c>
      <c r="C469" s="4" t="s">
        <v>1076</v>
      </c>
      <c r="D469" s="4">
        <v>3</v>
      </c>
      <c r="E469" s="6">
        <v>499000</v>
      </c>
      <c r="F469" t="str">
        <f>VLOOKUP(C469,products!A:C,2,FALSE)</f>
        <v>Smartwatch Lite</v>
      </c>
      <c r="G469">
        <f t="shared" si="14"/>
        <v>1497000</v>
      </c>
      <c r="H469">
        <f>VLOOKUP(C469,products!A:D,4,FALSE)</f>
        <v>250000</v>
      </c>
      <c r="I469">
        <f t="shared" si="15"/>
        <v>747000</v>
      </c>
      <c r="J469" t="str">
        <f>VLOOKUP(B469,orders!A:B,2,FALSE)</f>
        <v>CUST0166</v>
      </c>
      <c r="K469" t="str">
        <f>VLOOKUP(J469,customers!A:F,6,FALSE)</f>
        <v>Bandung</v>
      </c>
    </row>
    <row r="470" spans="1:11" x14ac:dyDescent="0.35">
      <c r="A470" s="4" t="s">
        <v>1510</v>
      </c>
      <c r="B470" s="4" t="s">
        <v>350</v>
      </c>
      <c r="C470" s="4" t="s">
        <v>1023</v>
      </c>
      <c r="D470" s="4">
        <v>1</v>
      </c>
      <c r="E470" s="6">
        <v>69000</v>
      </c>
      <c r="F470" t="str">
        <f>VLOOKUP(C470,products!A:C,2,FALSE)</f>
        <v>Lampu LED Hias 5m</v>
      </c>
      <c r="G470">
        <f t="shared" si="14"/>
        <v>69000</v>
      </c>
      <c r="H470">
        <f>VLOOKUP(C470,products!A:D,4,FALSE)</f>
        <v>30000</v>
      </c>
      <c r="I470">
        <f t="shared" si="15"/>
        <v>39000</v>
      </c>
      <c r="J470" t="str">
        <f>VLOOKUP(B470,orders!A:B,2,FALSE)</f>
        <v>CUST0108</v>
      </c>
      <c r="K470" t="str">
        <f>VLOOKUP(J470,customers!A:F,6,FALSE)</f>
        <v>Depok</v>
      </c>
    </row>
    <row r="471" spans="1:11" x14ac:dyDescent="0.35">
      <c r="A471" s="4" t="s">
        <v>1511</v>
      </c>
      <c r="B471" s="4" t="s">
        <v>350</v>
      </c>
      <c r="C471" s="4" t="s">
        <v>1082</v>
      </c>
      <c r="D471" s="4">
        <v>1</v>
      </c>
      <c r="E471" s="6">
        <v>399000</v>
      </c>
      <c r="F471" t="str">
        <f>VLOOKUP(C471,products!A:C,2,FALSE)</f>
        <v>Keyboard Mechanical Mini</v>
      </c>
      <c r="G471">
        <f t="shared" si="14"/>
        <v>399000</v>
      </c>
      <c r="H471">
        <f>VLOOKUP(C471,products!A:D,4,FALSE)</f>
        <v>200000</v>
      </c>
      <c r="I471">
        <f t="shared" si="15"/>
        <v>199000</v>
      </c>
      <c r="J471" t="str">
        <f>VLOOKUP(B471,orders!A:B,2,FALSE)</f>
        <v>CUST0108</v>
      </c>
      <c r="K471" t="str">
        <f>VLOOKUP(J471,customers!A:F,6,FALSE)</f>
        <v>Depok</v>
      </c>
    </row>
    <row r="472" spans="1:11" x14ac:dyDescent="0.35">
      <c r="A472" s="4" t="s">
        <v>1512</v>
      </c>
      <c r="B472" s="4" t="s">
        <v>591</v>
      </c>
      <c r="C472" s="4" t="s">
        <v>1053</v>
      </c>
      <c r="D472" s="4">
        <v>1</v>
      </c>
      <c r="E472" s="6">
        <v>129000</v>
      </c>
      <c r="F472" t="str">
        <f>VLOOKUP(C472,products!A:C,2,FALSE)</f>
        <v>Charger Fast Charging 33W</v>
      </c>
      <c r="G472">
        <f t="shared" si="14"/>
        <v>129000</v>
      </c>
      <c r="H472">
        <f>VLOOKUP(C472,products!A:D,4,FALSE)</f>
        <v>60000</v>
      </c>
      <c r="I472">
        <f t="shared" si="15"/>
        <v>69000</v>
      </c>
      <c r="J472" t="str">
        <f>VLOOKUP(B472,orders!A:B,2,FALSE)</f>
        <v>CUST0028</v>
      </c>
      <c r="K472" t="str">
        <f>VLOOKUP(J472,customers!A:F,6,FALSE)</f>
        <v>Semarang</v>
      </c>
    </row>
    <row r="473" spans="1:11" x14ac:dyDescent="0.35">
      <c r="A473" s="4" t="s">
        <v>1513</v>
      </c>
      <c r="B473" s="4" t="s">
        <v>591</v>
      </c>
      <c r="C473" s="4" t="s">
        <v>1023</v>
      </c>
      <c r="D473" s="4">
        <v>1</v>
      </c>
      <c r="E473" s="6">
        <v>69000</v>
      </c>
      <c r="F473" t="str">
        <f>VLOOKUP(C473,products!A:C,2,FALSE)</f>
        <v>Lampu LED Hias 5m</v>
      </c>
      <c r="G473">
        <f t="shared" si="14"/>
        <v>69000</v>
      </c>
      <c r="H473">
        <f>VLOOKUP(C473,products!A:D,4,FALSE)</f>
        <v>30000</v>
      </c>
      <c r="I473">
        <f t="shared" si="15"/>
        <v>39000</v>
      </c>
      <c r="J473" t="str">
        <f>VLOOKUP(B473,orders!A:B,2,FALSE)</f>
        <v>CUST0028</v>
      </c>
      <c r="K473" t="str">
        <f>VLOOKUP(J473,customers!A:F,6,FALSE)</f>
        <v>Semarang</v>
      </c>
    </row>
    <row r="474" spans="1:11" x14ac:dyDescent="0.35">
      <c r="A474" s="4" t="s">
        <v>1514</v>
      </c>
      <c r="B474" s="4" t="s">
        <v>903</v>
      </c>
      <c r="C474" s="4" t="s">
        <v>1044</v>
      </c>
      <c r="D474" s="4">
        <v>2</v>
      </c>
      <c r="E474" s="6">
        <v>329000</v>
      </c>
      <c r="F474" t="str">
        <f>VLOOKUP(C474,products!A:C,2,FALSE)</f>
        <v>Rice Cooker Mini 1.5L</v>
      </c>
      <c r="G474">
        <f t="shared" si="14"/>
        <v>658000</v>
      </c>
      <c r="H474">
        <f>VLOOKUP(C474,products!A:D,4,FALSE)</f>
        <v>180000</v>
      </c>
      <c r="I474">
        <f t="shared" si="15"/>
        <v>298000</v>
      </c>
      <c r="J474" t="str">
        <f>VLOOKUP(B474,orders!A:B,2,FALSE)</f>
        <v>CUST0118</v>
      </c>
      <c r="K474" t="str">
        <f>VLOOKUP(J474,customers!A:F,6,FALSE)</f>
        <v>Jakarta</v>
      </c>
    </row>
    <row r="475" spans="1:11" x14ac:dyDescent="0.35">
      <c r="A475" s="4" t="s">
        <v>1515</v>
      </c>
      <c r="B475" s="4" t="s">
        <v>903</v>
      </c>
      <c r="C475" s="4" t="s">
        <v>1036</v>
      </c>
      <c r="D475" s="4">
        <v>1</v>
      </c>
      <c r="E475" s="6">
        <v>229000</v>
      </c>
      <c r="F475" t="str">
        <f>VLOOKUP(C475,products!A:C,2,FALSE)</f>
        <v>Celana Jeans Slimfit</v>
      </c>
      <c r="G475">
        <f t="shared" si="14"/>
        <v>229000</v>
      </c>
      <c r="H475">
        <f>VLOOKUP(C475,products!A:D,4,FALSE)</f>
        <v>110000</v>
      </c>
      <c r="I475">
        <f t="shared" si="15"/>
        <v>119000</v>
      </c>
      <c r="J475" t="str">
        <f>VLOOKUP(B475,orders!A:B,2,FALSE)</f>
        <v>CUST0118</v>
      </c>
      <c r="K475" t="str">
        <f>VLOOKUP(J475,customers!A:F,6,FALSE)</f>
        <v>Jakarta</v>
      </c>
    </row>
    <row r="476" spans="1:11" x14ac:dyDescent="0.35">
      <c r="A476" s="4" t="s">
        <v>1516</v>
      </c>
      <c r="B476" s="4" t="s">
        <v>458</v>
      </c>
      <c r="C476" s="4" t="s">
        <v>1023</v>
      </c>
      <c r="D476" s="4">
        <v>2</v>
      </c>
      <c r="E476" s="6">
        <v>69000</v>
      </c>
      <c r="F476" t="str">
        <f>VLOOKUP(C476,products!A:C,2,FALSE)</f>
        <v>Lampu LED Hias 5m</v>
      </c>
      <c r="G476">
        <f t="shared" si="14"/>
        <v>138000</v>
      </c>
      <c r="H476">
        <f>VLOOKUP(C476,products!A:D,4,FALSE)</f>
        <v>30000</v>
      </c>
      <c r="I476">
        <f t="shared" si="15"/>
        <v>78000</v>
      </c>
      <c r="J476" t="str">
        <f>VLOOKUP(B476,orders!A:B,2,FALSE)</f>
        <v>CUST0112</v>
      </c>
      <c r="K476" t="str">
        <f>VLOOKUP(J476,customers!A:F,6,FALSE)</f>
        <v>Jakarta</v>
      </c>
    </row>
    <row r="477" spans="1:11" x14ac:dyDescent="0.35">
      <c r="A477" s="4" t="s">
        <v>1517</v>
      </c>
      <c r="B477" s="4" t="s">
        <v>603</v>
      </c>
      <c r="C477" s="4" t="s">
        <v>1033</v>
      </c>
      <c r="D477" s="4">
        <v>2</v>
      </c>
      <c r="E477" s="6">
        <v>55000</v>
      </c>
      <c r="F477" t="str">
        <f>VLOOKUP(C477,products!A:C,2,FALSE)</f>
        <v>Sapu + Pengki Set</v>
      </c>
      <c r="G477">
        <f t="shared" si="14"/>
        <v>110000</v>
      </c>
      <c r="H477">
        <f>VLOOKUP(C477,products!A:D,4,FALSE)</f>
        <v>25000</v>
      </c>
      <c r="I477">
        <f t="shared" si="15"/>
        <v>60000</v>
      </c>
      <c r="J477" t="str">
        <f>VLOOKUP(B477,orders!A:B,2,FALSE)</f>
        <v>CUST0134</v>
      </c>
      <c r="K477" t="str">
        <f>VLOOKUP(J477,customers!A:F,6,FALSE)</f>
        <v>Makassar</v>
      </c>
    </row>
    <row r="478" spans="1:11" x14ac:dyDescent="0.35">
      <c r="A478" s="4" t="s">
        <v>1518</v>
      </c>
      <c r="B478" s="4" t="s">
        <v>450</v>
      </c>
      <c r="C478" s="4" t="s">
        <v>1023</v>
      </c>
      <c r="D478" s="4">
        <v>1</v>
      </c>
      <c r="E478" s="6">
        <v>69000</v>
      </c>
      <c r="F478" t="str">
        <f>VLOOKUP(C478,products!A:C,2,FALSE)</f>
        <v>Lampu LED Hias 5m</v>
      </c>
      <c r="G478">
        <f t="shared" si="14"/>
        <v>69000</v>
      </c>
      <c r="H478">
        <f>VLOOKUP(C478,products!A:D,4,FALSE)</f>
        <v>30000</v>
      </c>
      <c r="I478">
        <f t="shared" si="15"/>
        <v>39000</v>
      </c>
      <c r="J478" t="str">
        <f>VLOOKUP(B478,orders!A:B,2,FALSE)</f>
        <v>CUST0158</v>
      </c>
      <c r="K478" t="str">
        <f>VLOOKUP(J478,customers!A:F,6,FALSE)</f>
        <v>Yogyakarta</v>
      </c>
    </row>
    <row r="479" spans="1:11" x14ac:dyDescent="0.35">
      <c r="A479" s="4" t="s">
        <v>1519</v>
      </c>
      <c r="B479" s="4" t="s">
        <v>689</v>
      </c>
      <c r="C479" s="4" t="s">
        <v>1033</v>
      </c>
      <c r="D479" s="4">
        <v>1</v>
      </c>
      <c r="E479" s="6">
        <v>55000</v>
      </c>
      <c r="F479" t="str">
        <f>VLOOKUP(C479,products!A:C,2,FALSE)</f>
        <v>Sapu + Pengki Set</v>
      </c>
      <c r="G479">
        <f t="shared" si="14"/>
        <v>55000</v>
      </c>
      <c r="H479">
        <f>VLOOKUP(C479,products!A:D,4,FALSE)</f>
        <v>25000</v>
      </c>
      <c r="I479">
        <f t="shared" si="15"/>
        <v>30000</v>
      </c>
      <c r="J479" t="str">
        <f>VLOOKUP(B479,orders!A:B,2,FALSE)</f>
        <v>CUST0138</v>
      </c>
      <c r="K479" t="str">
        <f>VLOOKUP(J479,customers!A:F,6,FALSE)</f>
        <v>Medan</v>
      </c>
    </row>
    <row r="480" spans="1:11" x14ac:dyDescent="0.35">
      <c r="A480" s="4" t="s">
        <v>1520</v>
      </c>
      <c r="B480" s="4" t="s">
        <v>689</v>
      </c>
      <c r="C480" s="4" t="s">
        <v>1029</v>
      </c>
      <c r="D480" s="4">
        <v>2</v>
      </c>
      <c r="E480" s="6">
        <v>39000</v>
      </c>
      <c r="F480" t="str">
        <f>VLOOKUP(C480,products!A:C,2,FALSE)</f>
        <v>Kabel Data USB-C</v>
      </c>
      <c r="G480">
        <f t="shared" si="14"/>
        <v>78000</v>
      </c>
      <c r="H480">
        <f>VLOOKUP(C480,products!A:D,4,FALSE)</f>
        <v>15000</v>
      </c>
      <c r="I480">
        <f t="shared" si="15"/>
        <v>48000</v>
      </c>
      <c r="J480" t="str">
        <f>VLOOKUP(B480,orders!A:B,2,FALSE)</f>
        <v>CUST0138</v>
      </c>
      <c r="K480" t="str">
        <f>VLOOKUP(J480,customers!A:F,6,FALSE)</f>
        <v>Medan</v>
      </c>
    </row>
    <row r="481" spans="1:11" x14ac:dyDescent="0.35">
      <c r="A481" s="4" t="s">
        <v>1521</v>
      </c>
      <c r="B481" s="4" t="s">
        <v>689</v>
      </c>
      <c r="C481" s="4" t="s">
        <v>1044</v>
      </c>
      <c r="D481" s="4">
        <v>1</v>
      </c>
      <c r="E481" s="6">
        <v>329000</v>
      </c>
      <c r="F481" t="str">
        <f>VLOOKUP(C481,products!A:C,2,FALSE)</f>
        <v>Rice Cooker Mini 1.5L</v>
      </c>
      <c r="G481">
        <f t="shared" si="14"/>
        <v>329000</v>
      </c>
      <c r="H481">
        <f>VLOOKUP(C481,products!A:D,4,FALSE)</f>
        <v>180000</v>
      </c>
      <c r="I481">
        <f t="shared" si="15"/>
        <v>149000</v>
      </c>
      <c r="J481" t="str">
        <f>VLOOKUP(B481,orders!A:B,2,FALSE)</f>
        <v>CUST0138</v>
      </c>
      <c r="K481" t="str">
        <f>VLOOKUP(J481,customers!A:F,6,FALSE)</f>
        <v>Medan</v>
      </c>
    </row>
    <row r="482" spans="1:11" x14ac:dyDescent="0.35">
      <c r="A482" s="4" t="s">
        <v>1522</v>
      </c>
      <c r="B482" s="4" t="s">
        <v>401</v>
      </c>
      <c r="C482" s="4" t="s">
        <v>1025</v>
      </c>
      <c r="D482" s="4">
        <v>3</v>
      </c>
      <c r="E482" s="6">
        <v>179000</v>
      </c>
      <c r="F482" t="str">
        <f>VLOOKUP(C482,products!A:C,2,FALSE)</f>
        <v>Rak Penyimpanan Serbaguna</v>
      </c>
      <c r="G482">
        <f t="shared" si="14"/>
        <v>537000</v>
      </c>
      <c r="H482">
        <f>VLOOKUP(C482,products!A:D,4,FALSE)</f>
        <v>90000</v>
      </c>
      <c r="I482">
        <f t="shared" si="15"/>
        <v>267000</v>
      </c>
      <c r="J482" t="str">
        <f>VLOOKUP(B482,orders!A:B,2,FALSE)</f>
        <v>CUST0120</v>
      </c>
      <c r="K482" t="str">
        <f>VLOOKUP(J482,customers!A:F,6,FALSE)</f>
        <v>Makassar</v>
      </c>
    </row>
    <row r="483" spans="1:11" x14ac:dyDescent="0.35">
      <c r="A483" s="4" t="s">
        <v>1523</v>
      </c>
      <c r="B483" s="4" t="s">
        <v>401</v>
      </c>
      <c r="C483" s="4" t="s">
        <v>1049</v>
      </c>
      <c r="D483" s="4">
        <v>1</v>
      </c>
      <c r="E483" s="6">
        <v>349000</v>
      </c>
      <c r="F483" t="str">
        <f>VLOOKUP(C483,products!A:C,2,FALSE)</f>
        <v>Sepatu Sneakers Casual</v>
      </c>
      <c r="G483">
        <f t="shared" si="14"/>
        <v>349000</v>
      </c>
      <c r="H483">
        <f>VLOOKUP(C483,products!A:D,4,FALSE)</f>
        <v>180000</v>
      </c>
      <c r="I483">
        <f t="shared" si="15"/>
        <v>169000</v>
      </c>
      <c r="J483" t="str">
        <f>VLOOKUP(B483,orders!A:B,2,FALSE)</f>
        <v>CUST0120</v>
      </c>
      <c r="K483" t="str">
        <f>VLOOKUP(J483,customers!A:F,6,FALSE)</f>
        <v>Makassar</v>
      </c>
    </row>
    <row r="484" spans="1:11" x14ac:dyDescent="0.35">
      <c r="A484" s="4" t="s">
        <v>1524</v>
      </c>
      <c r="B484" s="4" t="s">
        <v>989</v>
      </c>
      <c r="C484" s="4" t="s">
        <v>1200</v>
      </c>
      <c r="D484" s="4">
        <v>1</v>
      </c>
      <c r="E484" s="6">
        <v>209000</v>
      </c>
      <c r="F484" t="str">
        <f>VLOOKUP(C484,products!A:C,2,FALSE)</f>
        <v>Jaket Hoodie Unisex</v>
      </c>
      <c r="G484">
        <f t="shared" si="14"/>
        <v>209000</v>
      </c>
      <c r="H484">
        <f>VLOOKUP(C484,products!A:D,4,FALSE)</f>
        <v>95000</v>
      </c>
      <c r="I484">
        <f t="shared" si="15"/>
        <v>114000</v>
      </c>
      <c r="J484" t="str">
        <f>VLOOKUP(B484,orders!A:B,2,FALSE)</f>
        <v>CUST0152</v>
      </c>
      <c r="K484" t="str">
        <f>VLOOKUP(J484,customers!A:F,6,FALSE)</f>
        <v>Medan</v>
      </c>
    </row>
    <row r="485" spans="1:11" x14ac:dyDescent="0.35">
      <c r="A485" s="4" t="s">
        <v>1525</v>
      </c>
      <c r="B485" s="4" t="s">
        <v>989</v>
      </c>
      <c r="C485" s="4" t="s">
        <v>1023</v>
      </c>
      <c r="D485" s="4">
        <v>2</v>
      </c>
      <c r="E485" s="6">
        <v>69000</v>
      </c>
      <c r="F485" t="str">
        <f>VLOOKUP(C485,products!A:C,2,FALSE)</f>
        <v>Lampu LED Hias 5m</v>
      </c>
      <c r="G485">
        <f t="shared" si="14"/>
        <v>138000</v>
      </c>
      <c r="H485">
        <f>VLOOKUP(C485,products!A:D,4,FALSE)</f>
        <v>30000</v>
      </c>
      <c r="I485">
        <f t="shared" si="15"/>
        <v>78000</v>
      </c>
      <c r="J485" t="str">
        <f>VLOOKUP(B485,orders!A:B,2,FALSE)</f>
        <v>CUST0152</v>
      </c>
      <c r="K485" t="str">
        <f>VLOOKUP(J485,customers!A:F,6,FALSE)</f>
        <v>Medan</v>
      </c>
    </row>
    <row r="486" spans="1:11" x14ac:dyDescent="0.35">
      <c r="A486" s="4" t="s">
        <v>1526</v>
      </c>
      <c r="B486" s="4" t="s">
        <v>989</v>
      </c>
      <c r="C486" s="4" t="s">
        <v>1025</v>
      </c>
      <c r="D486" s="4">
        <v>1</v>
      </c>
      <c r="E486" s="6">
        <v>179000</v>
      </c>
      <c r="F486" t="str">
        <f>VLOOKUP(C486,products!A:C,2,FALSE)</f>
        <v>Rak Penyimpanan Serbaguna</v>
      </c>
      <c r="G486">
        <f t="shared" si="14"/>
        <v>179000</v>
      </c>
      <c r="H486">
        <f>VLOOKUP(C486,products!A:D,4,FALSE)</f>
        <v>90000</v>
      </c>
      <c r="I486">
        <f t="shared" si="15"/>
        <v>89000</v>
      </c>
      <c r="J486" t="str">
        <f>VLOOKUP(B486,orders!A:B,2,FALSE)</f>
        <v>CUST0152</v>
      </c>
      <c r="K486" t="str">
        <f>VLOOKUP(J486,customers!A:F,6,FALSE)</f>
        <v>Medan</v>
      </c>
    </row>
    <row r="487" spans="1:11" x14ac:dyDescent="0.35">
      <c r="A487" s="4" t="s">
        <v>1527</v>
      </c>
      <c r="B487" s="4" t="s">
        <v>989</v>
      </c>
      <c r="C487" s="4" t="s">
        <v>1033</v>
      </c>
      <c r="D487" s="4">
        <v>2</v>
      </c>
      <c r="E487" s="6">
        <v>55000</v>
      </c>
      <c r="F487" t="str">
        <f>VLOOKUP(C487,products!A:C,2,FALSE)</f>
        <v>Sapu + Pengki Set</v>
      </c>
      <c r="G487">
        <f t="shared" si="14"/>
        <v>110000</v>
      </c>
      <c r="H487">
        <f>VLOOKUP(C487,products!A:D,4,FALSE)</f>
        <v>25000</v>
      </c>
      <c r="I487">
        <f t="shared" si="15"/>
        <v>60000</v>
      </c>
      <c r="J487" t="str">
        <f>VLOOKUP(B487,orders!A:B,2,FALSE)</f>
        <v>CUST0152</v>
      </c>
      <c r="K487" t="str">
        <f>VLOOKUP(J487,customers!A:F,6,FALSE)</f>
        <v>Medan</v>
      </c>
    </row>
    <row r="488" spans="1:11" x14ac:dyDescent="0.35">
      <c r="A488" s="4" t="s">
        <v>1528</v>
      </c>
      <c r="B488" s="4" t="s">
        <v>897</v>
      </c>
      <c r="C488" s="4" t="s">
        <v>1053</v>
      </c>
      <c r="D488" s="4">
        <v>3</v>
      </c>
      <c r="E488" s="6">
        <v>129000</v>
      </c>
      <c r="F488" t="str">
        <f>VLOOKUP(C488,products!A:C,2,FALSE)</f>
        <v>Charger Fast Charging 33W</v>
      </c>
      <c r="G488">
        <f t="shared" si="14"/>
        <v>387000</v>
      </c>
      <c r="H488">
        <f>VLOOKUP(C488,products!A:D,4,FALSE)</f>
        <v>60000</v>
      </c>
      <c r="I488">
        <f t="shared" si="15"/>
        <v>207000</v>
      </c>
      <c r="J488" t="str">
        <f>VLOOKUP(B488,orders!A:B,2,FALSE)</f>
        <v>CUST0063</v>
      </c>
      <c r="K488" t="str">
        <f>VLOOKUP(J488,customers!A:F,6,FALSE)</f>
        <v>Surabaya</v>
      </c>
    </row>
    <row r="489" spans="1:11" x14ac:dyDescent="0.35">
      <c r="A489" s="4" t="s">
        <v>1529</v>
      </c>
      <c r="B489" s="4" t="s">
        <v>153</v>
      </c>
      <c r="C489" s="4" t="s">
        <v>1023</v>
      </c>
      <c r="D489" s="4">
        <v>1</v>
      </c>
      <c r="E489" s="6">
        <v>69000</v>
      </c>
      <c r="F489" t="str">
        <f>VLOOKUP(C489,products!A:C,2,FALSE)</f>
        <v>Lampu LED Hias 5m</v>
      </c>
      <c r="G489">
        <f t="shared" si="14"/>
        <v>69000</v>
      </c>
      <c r="H489">
        <f>VLOOKUP(C489,products!A:D,4,FALSE)</f>
        <v>30000</v>
      </c>
      <c r="I489">
        <f t="shared" si="15"/>
        <v>39000</v>
      </c>
      <c r="J489" t="str">
        <f>VLOOKUP(B489,orders!A:B,2,FALSE)</f>
        <v>CUST0023</v>
      </c>
      <c r="K489" t="str">
        <f>VLOOKUP(J489,customers!A:F,6,FALSE)</f>
        <v>Surabaya</v>
      </c>
    </row>
    <row r="490" spans="1:11" x14ac:dyDescent="0.35">
      <c r="A490" s="4" t="s">
        <v>1530</v>
      </c>
      <c r="B490" s="4" t="s">
        <v>553</v>
      </c>
      <c r="C490" s="4" t="s">
        <v>1023</v>
      </c>
      <c r="D490" s="4">
        <v>1</v>
      </c>
      <c r="E490" s="6">
        <v>69000</v>
      </c>
      <c r="F490" t="str">
        <f>VLOOKUP(C490,products!A:C,2,FALSE)</f>
        <v>Lampu LED Hias 5m</v>
      </c>
      <c r="G490">
        <f t="shared" si="14"/>
        <v>69000</v>
      </c>
      <c r="H490">
        <f>VLOOKUP(C490,products!A:D,4,FALSE)</f>
        <v>30000</v>
      </c>
      <c r="I490">
        <f t="shared" si="15"/>
        <v>39000</v>
      </c>
      <c r="J490" t="str">
        <f>VLOOKUP(B490,orders!A:B,2,FALSE)</f>
        <v>CUST0116</v>
      </c>
      <c r="K490" t="str">
        <f>VLOOKUP(J490,customers!A:F,6,FALSE)</f>
        <v>Yogyakarta</v>
      </c>
    </row>
    <row r="491" spans="1:11" x14ac:dyDescent="0.35">
      <c r="A491" s="4" t="s">
        <v>1531</v>
      </c>
      <c r="B491" s="4" t="s">
        <v>553</v>
      </c>
      <c r="C491" s="4" t="s">
        <v>1031</v>
      </c>
      <c r="D491" s="4">
        <v>2</v>
      </c>
      <c r="E491" s="6">
        <v>79000</v>
      </c>
      <c r="F491" t="str">
        <f>VLOOKUP(C491,products!A:C,2,FALSE)</f>
        <v>Kaos Polos Cotton Combed</v>
      </c>
      <c r="G491">
        <f t="shared" si="14"/>
        <v>158000</v>
      </c>
      <c r="H491">
        <f>VLOOKUP(C491,products!A:D,4,FALSE)</f>
        <v>35000</v>
      </c>
      <c r="I491">
        <f t="shared" si="15"/>
        <v>88000</v>
      </c>
      <c r="J491" t="str">
        <f>VLOOKUP(B491,orders!A:B,2,FALSE)</f>
        <v>CUST0116</v>
      </c>
      <c r="K491" t="str">
        <f>VLOOKUP(J491,customers!A:F,6,FALSE)</f>
        <v>Yogyakarta</v>
      </c>
    </row>
    <row r="492" spans="1:11" x14ac:dyDescent="0.35">
      <c r="A492" s="4" t="s">
        <v>1532</v>
      </c>
      <c r="B492" s="4" t="s">
        <v>971</v>
      </c>
      <c r="C492" s="4" t="s">
        <v>1023</v>
      </c>
      <c r="D492" s="4">
        <v>2</v>
      </c>
      <c r="E492" s="6">
        <v>69000</v>
      </c>
      <c r="F492" t="str">
        <f>VLOOKUP(C492,products!A:C,2,FALSE)</f>
        <v>Lampu LED Hias 5m</v>
      </c>
      <c r="G492">
        <f t="shared" si="14"/>
        <v>138000</v>
      </c>
      <c r="H492">
        <f>VLOOKUP(C492,products!A:D,4,FALSE)</f>
        <v>30000</v>
      </c>
      <c r="I492">
        <f t="shared" si="15"/>
        <v>78000</v>
      </c>
      <c r="J492" t="str">
        <f>VLOOKUP(B492,orders!A:B,2,FALSE)</f>
        <v>CUST0146</v>
      </c>
      <c r="K492" t="str">
        <f>VLOOKUP(J492,customers!A:F,6,FALSE)</f>
        <v>Jakarta</v>
      </c>
    </row>
    <row r="493" spans="1:11" x14ac:dyDescent="0.35">
      <c r="A493" s="4" t="s">
        <v>1533</v>
      </c>
      <c r="B493" s="4" t="s">
        <v>971</v>
      </c>
      <c r="C493" s="4" t="s">
        <v>1082</v>
      </c>
      <c r="D493" s="4">
        <v>2</v>
      </c>
      <c r="E493" s="6">
        <v>399000</v>
      </c>
      <c r="F493" t="str">
        <f>VLOOKUP(C493,products!A:C,2,FALSE)</f>
        <v>Keyboard Mechanical Mini</v>
      </c>
      <c r="G493">
        <f t="shared" si="14"/>
        <v>798000</v>
      </c>
      <c r="H493">
        <f>VLOOKUP(C493,products!A:D,4,FALSE)</f>
        <v>200000</v>
      </c>
      <c r="I493">
        <f t="shared" si="15"/>
        <v>398000</v>
      </c>
      <c r="J493" t="str">
        <f>VLOOKUP(B493,orders!A:B,2,FALSE)</f>
        <v>CUST0146</v>
      </c>
      <c r="K493" t="str">
        <f>VLOOKUP(J493,customers!A:F,6,FALSE)</f>
        <v>Jakarta</v>
      </c>
    </row>
    <row r="494" spans="1:11" x14ac:dyDescent="0.35">
      <c r="A494" s="4" t="s">
        <v>1534</v>
      </c>
      <c r="B494" s="4" t="s">
        <v>805</v>
      </c>
      <c r="C494" s="4" t="s">
        <v>1033</v>
      </c>
      <c r="D494" s="4">
        <v>2</v>
      </c>
      <c r="E494" s="6">
        <v>55000</v>
      </c>
      <c r="F494" t="str">
        <f>VLOOKUP(C494,products!A:C,2,FALSE)</f>
        <v>Sapu + Pengki Set</v>
      </c>
      <c r="G494">
        <f t="shared" si="14"/>
        <v>110000</v>
      </c>
      <c r="H494">
        <f>VLOOKUP(C494,products!A:D,4,FALSE)</f>
        <v>25000</v>
      </c>
      <c r="I494">
        <f t="shared" si="15"/>
        <v>60000</v>
      </c>
      <c r="J494" t="str">
        <f>VLOOKUP(B494,orders!A:B,2,FALSE)</f>
        <v>CUST0098</v>
      </c>
      <c r="K494" t="str">
        <f>VLOOKUP(J494,customers!A:F,6,FALSE)</f>
        <v>Surabaya</v>
      </c>
    </row>
    <row r="495" spans="1:11" x14ac:dyDescent="0.35">
      <c r="A495" s="4" t="s">
        <v>1535</v>
      </c>
      <c r="B495" s="4" t="s">
        <v>885</v>
      </c>
      <c r="C495" s="4" t="s">
        <v>1029</v>
      </c>
      <c r="D495" s="4">
        <v>1</v>
      </c>
      <c r="E495" s="6">
        <v>39000</v>
      </c>
      <c r="F495" t="str">
        <f>VLOOKUP(C495,products!A:C,2,FALSE)</f>
        <v>Kabel Data USB-C</v>
      </c>
      <c r="G495">
        <f t="shared" si="14"/>
        <v>39000</v>
      </c>
      <c r="H495">
        <f>VLOOKUP(C495,products!A:D,4,FALSE)</f>
        <v>15000</v>
      </c>
      <c r="I495">
        <f t="shared" si="15"/>
        <v>24000</v>
      </c>
      <c r="J495" t="str">
        <f>VLOOKUP(B495,orders!A:B,2,FALSE)</f>
        <v>CUST0127</v>
      </c>
      <c r="K495" t="str">
        <f>VLOOKUP(J495,customers!A:F,6,FALSE)</f>
        <v>Palembang</v>
      </c>
    </row>
    <row r="496" spans="1:11" x14ac:dyDescent="0.35">
      <c r="A496" s="4" t="s">
        <v>1536</v>
      </c>
      <c r="B496" s="4" t="s">
        <v>885</v>
      </c>
      <c r="C496" s="4" t="s">
        <v>1044</v>
      </c>
      <c r="D496" s="4">
        <v>1</v>
      </c>
      <c r="E496" s="6">
        <v>329000</v>
      </c>
      <c r="F496" t="str">
        <f>VLOOKUP(C496,products!A:C,2,FALSE)</f>
        <v>Rice Cooker Mini 1.5L</v>
      </c>
      <c r="G496">
        <f t="shared" si="14"/>
        <v>329000</v>
      </c>
      <c r="H496">
        <f>VLOOKUP(C496,products!A:D,4,FALSE)</f>
        <v>180000</v>
      </c>
      <c r="I496">
        <f t="shared" si="15"/>
        <v>149000</v>
      </c>
      <c r="J496" t="str">
        <f>VLOOKUP(B496,orders!A:B,2,FALSE)</f>
        <v>CUST0127</v>
      </c>
      <c r="K496" t="str">
        <f>VLOOKUP(J496,customers!A:F,6,FALSE)</f>
        <v>Palembang</v>
      </c>
    </row>
    <row r="497" spans="1:11" x14ac:dyDescent="0.35">
      <c r="A497" s="4" t="s">
        <v>1537</v>
      </c>
      <c r="B497" s="4" t="s">
        <v>611</v>
      </c>
      <c r="C497" s="4" t="s">
        <v>1023</v>
      </c>
      <c r="D497" s="4">
        <v>1</v>
      </c>
      <c r="E497" s="6">
        <v>69000</v>
      </c>
      <c r="F497" t="str">
        <f>VLOOKUP(C497,products!A:C,2,FALSE)</f>
        <v>Lampu LED Hias 5m</v>
      </c>
      <c r="G497">
        <f t="shared" si="14"/>
        <v>69000</v>
      </c>
      <c r="H497">
        <f>VLOOKUP(C497,products!A:D,4,FALSE)</f>
        <v>30000</v>
      </c>
      <c r="I497">
        <f t="shared" si="15"/>
        <v>39000</v>
      </c>
      <c r="J497" t="str">
        <f>VLOOKUP(B497,orders!A:B,2,FALSE)</f>
        <v>CUST0047</v>
      </c>
      <c r="K497" t="str">
        <f>VLOOKUP(J497,customers!A:F,6,FALSE)</f>
        <v>Depok</v>
      </c>
    </row>
    <row r="498" spans="1:11" x14ac:dyDescent="0.35">
      <c r="A498" s="4" t="s">
        <v>1538</v>
      </c>
      <c r="B498" s="4" t="s">
        <v>611</v>
      </c>
      <c r="C498" s="4" t="s">
        <v>1025</v>
      </c>
      <c r="D498" s="4">
        <v>1</v>
      </c>
      <c r="E498" s="6">
        <v>179000</v>
      </c>
      <c r="F498" t="str">
        <f>VLOOKUP(C498,products!A:C,2,FALSE)</f>
        <v>Rak Penyimpanan Serbaguna</v>
      </c>
      <c r="G498">
        <f t="shared" si="14"/>
        <v>179000</v>
      </c>
      <c r="H498">
        <f>VLOOKUP(C498,products!A:D,4,FALSE)</f>
        <v>90000</v>
      </c>
      <c r="I498">
        <f t="shared" si="15"/>
        <v>89000</v>
      </c>
      <c r="J498" t="str">
        <f>VLOOKUP(B498,orders!A:B,2,FALSE)</f>
        <v>CUST0047</v>
      </c>
      <c r="K498" t="str">
        <f>VLOOKUP(J498,customers!A:F,6,FALSE)</f>
        <v>Depok</v>
      </c>
    </row>
    <row r="499" spans="1:11" x14ac:dyDescent="0.35">
      <c r="A499" s="4" t="s">
        <v>1539</v>
      </c>
      <c r="B499" s="4" t="s">
        <v>870</v>
      </c>
      <c r="C499" s="4" t="s">
        <v>1084</v>
      </c>
      <c r="D499" s="4">
        <v>2</v>
      </c>
      <c r="E499" s="6">
        <v>79000</v>
      </c>
      <c r="F499" t="str">
        <f>VLOOKUP(C499,products!A:C,2,FALSE)</f>
        <v>Botol Minum Stainless 1L</v>
      </c>
      <c r="G499">
        <f t="shared" si="14"/>
        <v>158000</v>
      </c>
      <c r="H499">
        <f>VLOOKUP(C499,products!A:D,4,FALSE)</f>
        <v>35000</v>
      </c>
      <c r="I499">
        <f t="shared" si="15"/>
        <v>88000</v>
      </c>
      <c r="J499" t="str">
        <f>VLOOKUP(B499,orders!A:B,2,FALSE)</f>
        <v>CUST0067</v>
      </c>
      <c r="K499" t="str">
        <f>VLOOKUP(J499,customers!A:F,6,FALSE)</f>
        <v>Jakarta</v>
      </c>
    </row>
    <row r="500" spans="1:11" x14ac:dyDescent="0.35">
      <c r="A500" s="4" t="s">
        <v>1540</v>
      </c>
      <c r="B500" s="4" t="s">
        <v>421</v>
      </c>
      <c r="C500" s="4" t="s">
        <v>1023</v>
      </c>
      <c r="D500" s="4">
        <v>1</v>
      </c>
      <c r="E500" s="6">
        <v>69000</v>
      </c>
      <c r="F500" t="str">
        <f>VLOOKUP(C500,products!A:C,2,FALSE)</f>
        <v>Lampu LED Hias 5m</v>
      </c>
      <c r="G500">
        <f t="shared" si="14"/>
        <v>69000</v>
      </c>
      <c r="H500">
        <f>VLOOKUP(C500,products!A:D,4,FALSE)</f>
        <v>30000</v>
      </c>
      <c r="I500">
        <f t="shared" si="15"/>
        <v>39000</v>
      </c>
      <c r="J500" t="str">
        <f>VLOOKUP(B500,orders!A:B,2,FALSE)</f>
        <v>CUST0153</v>
      </c>
      <c r="K500" t="str">
        <f>VLOOKUP(J500,customers!A:F,6,FALSE)</f>
        <v>Depok</v>
      </c>
    </row>
    <row r="501" spans="1:11" x14ac:dyDescent="0.35">
      <c r="A501" s="4" t="s">
        <v>1541</v>
      </c>
      <c r="B501" s="4" t="s">
        <v>421</v>
      </c>
      <c r="C501" s="4" t="s">
        <v>1029</v>
      </c>
      <c r="D501" s="4">
        <v>1</v>
      </c>
      <c r="E501" s="6">
        <v>39000</v>
      </c>
      <c r="F501" t="str">
        <f>VLOOKUP(C501,products!A:C,2,FALSE)</f>
        <v>Kabel Data USB-C</v>
      </c>
      <c r="G501">
        <f t="shared" si="14"/>
        <v>39000</v>
      </c>
      <c r="H501">
        <f>VLOOKUP(C501,products!A:D,4,FALSE)</f>
        <v>15000</v>
      </c>
      <c r="I501">
        <f t="shared" si="15"/>
        <v>24000</v>
      </c>
      <c r="J501" t="str">
        <f>VLOOKUP(B501,orders!A:B,2,FALSE)</f>
        <v>CUST0153</v>
      </c>
      <c r="K501" t="str">
        <f>VLOOKUP(J501,customers!A:F,6,FALSE)</f>
        <v>Depok</v>
      </c>
    </row>
    <row r="502" spans="1:11" x14ac:dyDescent="0.35">
      <c r="A502" s="4" t="s">
        <v>1542</v>
      </c>
      <c r="B502" s="4" t="s">
        <v>382</v>
      </c>
      <c r="C502" s="4" t="s">
        <v>1025</v>
      </c>
      <c r="D502" s="4">
        <v>1</v>
      </c>
      <c r="E502" s="6">
        <v>179000</v>
      </c>
      <c r="F502" t="str">
        <f>VLOOKUP(C502,products!A:C,2,FALSE)</f>
        <v>Rak Penyimpanan Serbaguna</v>
      </c>
      <c r="G502">
        <f t="shared" si="14"/>
        <v>179000</v>
      </c>
      <c r="H502">
        <f>VLOOKUP(C502,products!A:D,4,FALSE)</f>
        <v>90000</v>
      </c>
      <c r="I502">
        <f t="shared" si="15"/>
        <v>89000</v>
      </c>
      <c r="J502" t="str">
        <f>VLOOKUP(B502,orders!A:B,2,FALSE)</f>
        <v>CUST0133</v>
      </c>
      <c r="K502" t="str">
        <f>VLOOKUP(J502,customers!A:F,6,FALSE)</f>
        <v>Palembang</v>
      </c>
    </row>
    <row r="503" spans="1:11" x14ac:dyDescent="0.35">
      <c r="A503" s="4" t="s">
        <v>1543</v>
      </c>
      <c r="B503" s="4" t="s">
        <v>659</v>
      </c>
      <c r="C503" s="4" t="s">
        <v>1031</v>
      </c>
      <c r="D503" s="4">
        <v>2</v>
      </c>
      <c r="E503" s="6">
        <v>79000</v>
      </c>
      <c r="F503" t="str">
        <f>VLOOKUP(C503,products!A:C,2,FALSE)</f>
        <v>Kaos Polos Cotton Combed</v>
      </c>
      <c r="G503">
        <f t="shared" si="14"/>
        <v>158000</v>
      </c>
      <c r="H503">
        <f>VLOOKUP(C503,products!A:D,4,FALSE)</f>
        <v>35000</v>
      </c>
      <c r="I503">
        <f t="shared" si="15"/>
        <v>88000</v>
      </c>
      <c r="J503" t="str">
        <f>VLOOKUP(B503,orders!A:B,2,FALSE)</f>
        <v>CUST0185</v>
      </c>
      <c r="K503" t="str">
        <f>VLOOKUP(J503,customers!A:F,6,FALSE)</f>
        <v>Jakarta</v>
      </c>
    </row>
    <row r="504" spans="1:11" x14ac:dyDescent="0.35">
      <c r="A504" s="4" t="s">
        <v>1544</v>
      </c>
      <c r="B504" s="4" t="s">
        <v>659</v>
      </c>
      <c r="C504" s="4" t="s">
        <v>1023</v>
      </c>
      <c r="D504" s="4">
        <v>1</v>
      </c>
      <c r="E504" s="6">
        <v>69000</v>
      </c>
      <c r="F504" t="str">
        <f>VLOOKUP(C504,products!A:C,2,FALSE)</f>
        <v>Lampu LED Hias 5m</v>
      </c>
      <c r="G504">
        <f t="shared" si="14"/>
        <v>69000</v>
      </c>
      <c r="H504">
        <f>VLOOKUP(C504,products!A:D,4,FALSE)</f>
        <v>30000</v>
      </c>
      <c r="I504">
        <f t="shared" si="15"/>
        <v>39000</v>
      </c>
      <c r="J504" t="str">
        <f>VLOOKUP(B504,orders!A:B,2,FALSE)</f>
        <v>CUST0185</v>
      </c>
      <c r="K504" t="str">
        <f>VLOOKUP(J504,customers!A:F,6,FALSE)</f>
        <v>Jakarta</v>
      </c>
    </row>
    <row r="505" spans="1:11" x14ac:dyDescent="0.35">
      <c r="A505" s="4" t="s">
        <v>1545</v>
      </c>
      <c r="B505" s="4" t="s">
        <v>361</v>
      </c>
      <c r="C505" s="4" t="s">
        <v>1025</v>
      </c>
      <c r="D505" s="4">
        <v>1</v>
      </c>
      <c r="E505" s="6">
        <v>179000</v>
      </c>
      <c r="F505" t="str">
        <f>VLOOKUP(C505,products!A:C,2,FALSE)</f>
        <v>Rak Penyimpanan Serbaguna</v>
      </c>
      <c r="G505">
        <f t="shared" si="14"/>
        <v>179000</v>
      </c>
      <c r="H505">
        <f>VLOOKUP(C505,products!A:D,4,FALSE)</f>
        <v>90000</v>
      </c>
      <c r="I505">
        <f t="shared" si="15"/>
        <v>89000</v>
      </c>
      <c r="J505" t="str">
        <f>VLOOKUP(B505,orders!A:B,2,FALSE)</f>
        <v>CUST0195</v>
      </c>
      <c r="K505" t="str">
        <f>VLOOKUP(J505,customers!A:F,6,FALSE)</f>
        <v>Depok</v>
      </c>
    </row>
    <row r="506" spans="1:11" x14ac:dyDescent="0.35">
      <c r="A506" s="4" t="s">
        <v>1546</v>
      </c>
      <c r="B506" s="4" t="s">
        <v>361</v>
      </c>
      <c r="C506" s="4" t="s">
        <v>1023</v>
      </c>
      <c r="D506" s="4">
        <v>1</v>
      </c>
      <c r="E506" s="6">
        <v>69000</v>
      </c>
      <c r="F506" t="str">
        <f>VLOOKUP(C506,products!A:C,2,FALSE)</f>
        <v>Lampu LED Hias 5m</v>
      </c>
      <c r="G506">
        <f t="shared" si="14"/>
        <v>69000</v>
      </c>
      <c r="H506">
        <f>VLOOKUP(C506,products!A:D,4,FALSE)</f>
        <v>30000</v>
      </c>
      <c r="I506">
        <f t="shared" si="15"/>
        <v>39000</v>
      </c>
      <c r="J506" t="str">
        <f>VLOOKUP(B506,orders!A:B,2,FALSE)</f>
        <v>CUST0195</v>
      </c>
      <c r="K506" t="str">
        <f>VLOOKUP(J506,customers!A:F,6,FALSE)</f>
        <v>Depok</v>
      </c>
    </row>
    <row r="507" spans="1:11" x14ac:dyDescent="0.35">
      <c r="A507" s="4" t="s">
        <v>1547</v>
      </c>
      <c r="B507" s="4" t="s">
        <v>361</v>
      </c>
      <c r="C507" s="4" t="s">
        <v>1040</v>
      </c>
      <c r="D507" s="4">
        <v>1</v>
      </c>
      <c r="E507" s="6">
        <v>99000</v>
      </c>
      <c r="F507" t="str">
        <f>VLOOKUP(C507,products!A:C,2,FALSE)</f>
        <v>Mouse Wireless</v>
      </c>
      <c r="G507">
        <f t="shared" si="14"/>
        <v>99000</v>
      </c>
      <c r="H507">
        <f>VLOOKUP(C507,products!A:D,4,FALSE)</f>
        <v>45000</v>
      </c>
      <c r="I507">
        <f t="shared" si="15"/>
        <v>54000</v>
      </c>
      <c r="J507" t="str">
        <f>VLOOKUP(B507,orders!A:B,2,FALSE)</f>
        <v>CUST0195</v>
      </c>
      <c r="K507" t="str">
        <f>VLOOKUP(J507,customers!A:F,6,FALSE)</f>
        <v>Depok</v>
      </c>
    </row>
    <row r="508" spans="1:11" x14ac:dyDescent="0.35">
      <c r="A508" s="4" t="s">
        <v>1548</v>
      </c>
      <c r="B508" s="4" t="s">
        <v>446</v>
      </c>
      <c r="C508" s="4" t="s">
        <v>1040</v>
      </c>
      <c r="D508" s="4">
        <v>1</v>
      </c>
      <c r="E508" s="6">
        <v>99000</v>
      </c>
      <c r="F508" t="str">
        <f>VLOOKUP(C508,products!A:C,2,FALSE)</f>
        <v>Mouse Wireless</v>
      </c>
      <c r="G508">
        <f t="shared" si="14"/>
        <v>99000</v>
      </c>
      <c r="H508">
        <f>VLOOKUP(C508,products!A:D,4,FALSE)</f>
        <v>45000</v>
      </c>
      <c r="I508">
        <f t="shared" si="15"/>
        <v>54000</v>
      </c>
      <c r="J508" t="str">
        <f>VLOOKUP(B508,orders!A:B,2,FALSE)</f>
        <v>CUST0122</v>
      </c>
      <c r="K508" t="str">
        <f>VLOOKUP(J508,customers!A:F,6,FALSE)</f>
        <v>Palembang</v>
      </c>
    </row>
    <row r="509" spans="1:11" x14ac:dyDescent="0.35">
      <c r="A509" s="4" t="s">
        <v>1549</v>
      </c>
      <c r="B509" s="4" t="s">
        <v>446</v>
      </c>
      <c r="C509" s="4" t="s">
        <v>1084</v>
      </c>
      <c r="D509" s="4">
        <v>1</v>
      </c>
      <c r="E509" s="6">
        <v>79000</v>
      </c>
      <c r="F509" t="str">
        <f>VLOOKUP(C509,products!A:C,2,FALSE)</f>
        <v>Botol Minum Stainless 1L</v>
      </c>
      <c r="G509">
        <f t="shared" si="14"/>
        <v>79000</v>
      </c>
      <c r="H509">
        <f>VLOOKUP(C509,products!A:D,4,FALSE)</f>
        <v>35000</v>
      </c>
      <c r="I509">
        <f t="shared" si="15"/>
        <v>44000</v>
      </c>
      <c r="J509" t="str">
        <f>VLOOKUP(B509,orders!A:B,2,FALSE)</f>
        <v>CUST0122</v>
      </c>
      <c r="K509" t="str">
        <f>VLOOKUP(J509,customers!A:F,6,FALSE)</f>
        <v>Palembang</v>
      </c>
    </row>
    <row r="510" spans="1:11" x14ac:dyDescent="0.35">
      <c r="A510" s="4" t="s">
        <v>1550</v>
      </c>
      <c r="B510" s="4" t="s">
        <v>847</v>
      </c>
      <c r="C510" s="4" t="s">
        <v>1029</v>
      </c>
      <c r="D510" s="4">
        <v>2</v>
      </c>
      <c r="E510" s="6">
        <v>39000</v>
      </c>
      <c r="F510" t="str">
        <f>VLOOKUP(C510,products!A:C,2,FALSE)</f>
        <v>Kabel Data USB-C</v>
      </c>
      <c r="G510">
        <f t="shared" si="14"/>
        <v>78000</v>
      </c>
      <c r="H510">
        <f>VLOOKUP(C510,products!A:D,4,FALSE)</f>
        <v>15000</v>
      </c>
      <c r="I510">
        <f t="shared" si="15"/>
        <v>48000</v>
      </c>
      <c r="J510" t="str">
        <f>VLOOKUP(B510,orders!A:B,2,FALSE)</f>
        <v>CUST0115</v>
      </c>
      <c r="K510" t="str">
        <f>VLOOKUP(J510,customers!A:F,6,FALSE)</f>
        <v>Palembang</v>
      </c>
    </row>
    <row r="511" spans="1:11" x14ac:dyDescent="0.35">
      <c r="A511" s="4" t="s">
        <v>1551</v>
      </c>
      <c r="B511" s="4" t="s">
        <v>580</v>
      </c>
      <c r="C511" s="4" t="s">
        <v>1029</v>
      </c>
      <c r="D511" s="4">
        <v>1</v>
      </c>
      <c r="E511" s="6">
        <v>39000</v>
      </c>
      <c r="F511" t="str">
        <f>VLOOKUP(C511,products!A:C,2,FALSE)</f>
        <v>Kabel Data USB-C</v>
      </c>
      <c r="G511">
        <f t="shared" si="14"/>
        <v>39000</v>
      </c>
      <c r="H511">
        <f>VLOOKUP(C511,products!A:D,4,FALSE)</f>
        <v>15000</v>
      </c>
      <c r="I511">
        <f t="shared" si="15"/>
        <v>24000</v>
      </c>
      <c r="J511" t="str">
        <f>VLOOKUP(B511,orders!A:B,2,FALSE)</f>
        <v>CUST0057</v>
      </c>
      <c r="K511" t="str">
        <f>VLOOKUP(J511,customers!A:F,6,FALSE)</f>
        <v>Palembang</v>
      </c>
    </row>
    <row r="512" spans="1:11" x14ac:dyDescent="0.35">
      <c r="A512" s="4" t="s">
        <v>1552</v>
      </c>
      <c r="B512" s="4" t="s">
        <v>580</v>
      </c>
      <c r="C512" s="4" t="s">
        <v>1023</v>
      </c>
      <c r="D512" s="4">
        <v>2</v>
      </c>
      <c r="E512" s="6">
        <v>69000</v>
      </c>
      <c r="F512" t="str">
        <f>VLOOKUP(C512,products!A:C,2,FALSE)</f>
        <v>Lampu LED Hias 5m</v>
      </c>
      <c r="G512">
        <f t="shared" si="14"/>
        <v>138000</v>
      </c>
      <c r="H512">
        <f>VLOOKUP(C512,products!A:D,4,FALSE)</f>
        <v>30000</v>
      </c>
      <c r="I512">
        <f t="shared" si="15"/>
        <v>78000</v>
      </c>
      <c r="J512" t="str">
        <f>VLOOKUP(B512,orders!A:B,2,FALSE)</f>
        <v>CUST0057</v>
      </c>
      <c r="K512" t="str">
        <f>VLOOKUP(J512,customers!A:F,6,FALSE)</f>
        <v>Palembang</v>
      </c>
    </row>
    <row r="513" spans="1:11" x14ac:dyDescent="0.35">
      <c r="A513" s="4" t="s">
        <v>1553</v>
      </c>
      <c r="B513" s="4" t="s">
        <v>724</v>
      </c>
      <c r="C513" s="4" t="s">
        <v>1029</v>
      </c>
      <c r="D513" s="4">
        <v>3</v>
      </c>
      <c r="E513" s="6">
        <v>39000</v>
      </c>
      <c r="F513" t="str">
        <f>VLOOKUP(C513,products!A:C,2,FALSE)</f>
        <v>Kabel Data USB-C</v>
      </c>
      <c r="G513">
        <f t="shared" si="14"/>
        <v>117000</v>
      </c>
      <c r="H513">
        <f>VLOOKUP(C513,products!A:D,4,FALSE)</f>
        <v>15000</v>
      </c>
      <c r="I513">
        <f t="shared" si="15"/>
        <v>72000</v>
      </c>
      <c r="J513" t="str">
        <f>VLOOKUP(B513,orders!A:B,2,FALSE)</f>
        <v>CUST0063</v>
      </c>
      <c r="K513" t="str">
        <f>VLOOKUP(J513,customers!A:F,6,FALSE)</f>
        <v>Surabaya</v>
      </c>
    </row>
    <row r="514" spans="1:11" x14ac:dyDescent="0.35">
      <c r="A514" s="4" t="s">
        <v>1554</v>
      </c>
      <c r="B514" s="4" t="s">
        <v>724</v>
      </c>
      <c r="C514" s="4" t="s">
        <v>1025</v>
      </c>
      <c r="D514" s="4">
        <v>3</v>
      </c>
      <c r="E514" s="6">
        <v>179000</v>
      </c>
      <c r="F514" t="str">
        <f>VLOOKUP(C514,products!A:C,2,FALSE)</f>
        <v>Rak Penyimpanan Serbaguna</v>
      </c>
      <c r="G514">
        <f t="shared" si="14"/>
        <v>537000</v>
      </c>
      <c r="H514">
        <f>VLOOKUP(C514,products!A:D,4,FALSE)</f>
        <v>90000</v>
      </c>
      <c r="I514">
        <f t="shared" si="15"/>
        <v>267000</v>
      </c>
      <c r="J514" t="str">
        <f>VLOOKUP(B514,orders!A:B,2,FALSE)</f>
        <v>CUST0063</v>
      </c>
      <c r="K514" t="str">
        <f>VLOOKUP(J514,customers!A:F,6,FALSE)</f>
        <v>Surabaya</v>
      </c>
    </row>
    <row r="515" spans="1:11" x14ac:dyDescent="0.35">
      <c r="A515" s="4" t="s">
        <v>1555</v>
      </c>
      <c r="B515" s="4" t="s">
        <v>724</v>
      </c>
      <c r="C515" s="4" t="s">
        <v>1023</v>
      </c>
      <c r="D515" s="4">
        <v>1</v>
      </c>
      <c r="E515" s="6">
        <v>69000</v>
      </c>
      <c r="F515" t="str">
        <f>VLOOKUP(C515,products!A:C,2,FALSE)</f>
        <v>Lampu LED Hias 5m</v>
      </c>
      <c r="G515">
        <f t="shared" ref="G515:G578" si="16">D515*E515</f>
        <v>69000</v>
      </c>
      <c r="H515">
        <f>VLOOKUP(C515,products!A:D,4,FALSE)</f>
        <v>30000</v>
      </c>
      <c r="I515">
        <f t="shared" ref="I515:I578" si="17">(E515-H515)*D515</f>
        <v>39000</v>
      </c>
      <c r="J515" t="str">
        <f>VLOOKUP(B515,orders!A:B,2,FALSE)</f>
        <v>CUST0063</v>
      </c>
      <c r="K515" t="str">
        <f>VLOOKUP(J515,customers!A:F,6,FALSE)</f>
        <v>Surabaya</v>
      </c>
    </row>
    <row r="516" spans="1:11" x14ac:dyDescent="0.35">
      <c r="A516" s="4" t="s">
        <v>1556</v>
      </c>
      <c r="B516" s="4" t="s">
        <v>303</v>
      </c>
      <c r="C516" s="4" t="s">
        <v>1029</v>
      </c>
      <c r="D516" s="4">
        <v>3</v>
      </c>
      <c r="E516" s="6">
        <v>39000</v>
      </c>
      <c r="F516" t="str">
        <f>VLOOKUP(C516,products!A:C,2,FALSE)</f>
        <v>Kabel Data USB-C</v>
      </c>
      <c r="G516">
        <f t="shared" si="16"/>
        <v>117000</v>
      </c>
      <c r="H516">
        <f>VLOOKUP(C516,products!A:D,4,FALSE)</f>
        <v>15000</v>
      </c>
      <c r="I516">
        <f t="shared" si="17"/>
        <v>72000</v>
      </c>
      <c r="J516" t="str">
        <f>VLOOKUP(B516,orders!A:B,2,FALSE)</f>
        <v>CUST0095</v>
      </c>
      <c r="K516" t="str">
        <f>VLOOKUP(J516,customers!A:F,6,FALSE)</f>
        <v>Medan</v>
      </c>
    </row>
    <row r="517" spans="1:11" x14ac:dyDescent="0.35">
      <c r="A517" s="4" t="s">
        <v>1557</v>
      </c>
      <c r="B517" s="4" t="s">
        <v>303</v>
      </c>
      <c r="C517" s="4" t="s">
        <v>1325</v>
      </c>
      <c r="D517" s="4">
        <v>2</v>
      </c>
      <c r="E517" s="6">
        <v>199000</v>
      </c>
      <c r="F517" t="str">
        <f>VLOOKUP(C517,products!A:C,2,FALSE)</f>
        <v>Speaker Bluetooth Mini</v>
      </c>
      <c r="G517">
        <f t="shared" si="16"/>
        <v>398000</v>
      </c>
      <c r="H517">
        <f>VLOOKUP(C517,products!A:D,4,FALSE)</f>
        <v>100000</v>
      </c>
      <c r="I517">
        <f t="shared" si="17"/>
        <v>198000</v>
      </c>
      <c r="J517" t="str">
        <f>VLOOKUP(B517,orders!A:B,2,FALSE)</f>
        <v>CUST0095</v>
      </c>
      <c r="K517" t="str">
        <f>VLOOKUP(J517,customers!A:F,6,FALSE)</f>
        <v>Medan</v>
      </c>
    </row>
    <row r="518" spans="1:11" x14ac:dyDescent="0.35">
      <c r="A518" s="4" t="s">
        <v>1558</v>
      </c>
      <c r="B518" s="4" t="s">
        <v>627</v>
      </c>
      <c r="C518" s="4" t="s">
        <v>1023</v>
      </c>
      <c r="D518" s="4">
        <v>3</v>
      </c>
      <c r="E518" s="6">
        <v>69000</v>
      </c>
      <c r="F518" t="str">
        <f>VLOOKUP(C518,products!A:C,2,FALSE)</f>
        <v>Lampu LED Hias 5m</v>
      </c>
      <c r="G518">
        <f t="shared" si="16"/>
        <v>207000</v>
      </c>
      <c r="H518">
        <f>VLOOKUP(C518,products!A:D,4,FALSE)</f>
        <v>30000</v>
      </c>
      <c r="I518">
        <f t="shared" si="17"/>
        <v>117000</v>
      </c>
      <c r="J518" t="str">
        <f>VLOOKUP(B518,orders!A:B,2,FALSE)</f>
        <v>CUST0136</v>
      </c>
      <c r="K518" t="str">
        <f>VLOOKUP(J518,customers!A:F,6,FALSE)</f>
        <v>Yogyakarta</v>
      </c>
    </row>
    <row r="519" spans="1:11" x14ac:dyDescent="0.35">
      <c r="A519" s="4" t="s">
        <v>1559</v>
      </c>
      <c r="B519" s="4" t="s">
        <v>627</v>
      </c>
      <c r="C519" s="4" t="s">
        <v>1033</v>
      </c>
      <c r="D519" s="4">
        <v>2</v>
      </c>
      <c r="E519" s="6">
        <v>55000</v>
      </c>
      <c r="F519" t="str">
        <f>VLOOKUP(C519,products!A:C,2,FALSE)</f>
        <v>Sapu + Pengki Set</v>
      </c>
      <c r="G519">
        <f t="shared" si="16"/>
        <v>110000</v>
      </c>
      <c r="H519">
        <f>VLOOKUP(C519,products!A:D,4,FALSE)</f>
        <v>25000</v>
      </c>
      <c r="I519">
        <f t="shared" si="17"/>
        <v>60000</v>
      </c>
      <c r="J519" t="str">
        <f>VLOOKUP(B519,orders!A:B,2,FALSE)</f>
        <v>CUST0136</v>
      </c>
      <c r="K519" t="str">
        <f>VLOOKUP(J519,customers!A:F,6,FALSE)</f>
        <v>Yogyakarta</v>
      </c>
    </row>
    <row r="520" spans="1:11" x14ac:dyDescent="0.35">
      <c r="A520" s="4" t="s">
        <v>1560</v>
      </c>
      <c r="B520" s="4" t="s">
        <v>598</v>
      </c>
      <c r="C520" s="4" t="s">
        <v>1023</v>
      </c>
      <c r="D520" s="4">
        <v>1</v>
      </c>
      <c r="E520" s="6">
        <v>69000</v>
      </c>
      <c r="F520" t="str">
        <f>VLOOKUP(C520,products!A:C,2,FALSE)</f>
        <v>Lampu LED Hias 5m</v>
      </c>
      <c r="G520">
        <f t="shared" si="16"/>
        <v>69000</v>
      </c>
      <c r="H520">
        <f>VLOOKUP(C520,products!A:D,4,FALSE)</f>
        <v>30000</v>
      </c>
      <c r="I520">
        <f t="shared" si="17"/>
        <v>39000</v>
      </c>
      <c r="J520" t="str">
        <f>VLOOKUP(B520,orders!A:B,2,FALSE)</f>
        <v>CUST0191</v>
      </c>
      <c r="K520" t="str">
        <f>VLOOKUP(J520,customers!A:F,6,FALSE)</f>
        <v>Jakarta</v>
      </c>
    </row>
    <row r="521" spans="1:11" x14ac:dyDescent="0.35">
      <c r="A521" s="4" t="s">
        <v>1561</v>
      </c>
      <c r="B521" s="4" t="s">
        <v>351</v>
      </c>
      <c r="C521" s="4" t="s">
        <v>1044</v>
      </c>
      <c r="D521" s="4">
        <v>1</v>
      </c>
      <c r="E521" s="6">
        <v>329000</v>
      </c>
      <c r="F521" t="str">
        <f>VLOOKUP(C521,products!A:C,2,FALSE)</f>
        <v>Rice Cooker Mini 1.5L</v>
      </c>
      <c r="G521">
        <f t="shared" si="16"/>
        <v>329000</v>
      </c>
      <c r="H521">
        <f>VLOOKUP(C521,products!A:D,4,FALSE)</f>
        <v>180000</v>
      </c>
      <c r="I521">
        <f t="shared" si="17"/>
        <v>149000</v>
      </c>
      <c r="J521" t="str">
        <f>VLOOKUP(B521,orders!A:B,2,FALSE)</f>
        <v>CUST0180</v>
      </c>
      <c r="K521" t="str">
        <f>VLOOKUP(J521,customers!A:F,6,FALSE)</f>
        <v>Denpasar</v>
      </c>
    </row>
    <row r="522" spans="1:11" x14ac:dyDescent="0.35">
      <c r="A522" s="4" t="s">
        <v>1562</v>
      </c>
      <c r="B522" s="4" t="s">
        <v>351</v>
      </c>
      <c r="C522" s="4" t="s">
        <v>1029</v>
      </c>
      <c r="D522" s="4">
        <v>2</v>
      </c>
      <c r="E522" s="6">
        <v>39000</v>
      </c>
      <c r="F522" t="str">
        <f>VLOOKUP(C522,products!A:C,2,FALSE)</f>
        <v>Kabel Data USB-C</v>
      </c>
      <c r="G522">
        <f t="shared" si="16"/>
        <v>78000</v>
      </c>
      <c r="H522">
        <f>VLOOKUP(C522,products!A:D,4,FALSE)</f>
        <v>15000</v>
      </c>
      <c r="I522">
        <f t="shared" si="17"/>
        <v>48000</v>
      </c>
      <c r="J522" t="str">
        <f>VLOOKUP(B522,orders!A:B,2,FALSE)</f>
        <v>CUST0180</v>
      </c>
      <c r="K522" t="str">
        <f>VLOOKUP(J522,customers!A:F,6,FALSE)</f>
        <v>Denpasar</v>
      </c>
    </row>
    <row r="523" spans="1:11" x14ac:dyDescent="0.35">
      <c r="A523" s="4" t="s">
        <v>1563</v>
      </c>
      <c r="B523" s="4" t="s">
        <v>351</v>
      </c>
      <c r="C523" s="4" t="s">
        <v>1023</v>
      </c>
      <c r="D523" s="4">
        <v>1</v>
      </c>
      <c r="E523" s="6">
        <v>69000</v>
      </c>
      <c r="F523" t="str">
        <f>VLOOKUP(C523,products!A:C,2,FALSE)</f>
        <v>Lampu LED Hias 5m</v>
      </c>
      <c r="G523">
        <f t="shared" si="16"/>
        <v>69000</v>
      </c>
      <c r="H523">
        <f>VLOOKUP(C523,products!A:D,4,FALSE)</f>
        <v>30000</v>
      </c>
      <c r="I523">
        <f t="shared" si="17"/>
        <v>39000</v>
      </c>
      <c r="J523" t="str">
        <f>VLOOKUP(B523,orders!A:B,2,FALSE)</f>
        <v>CUST0180</v>
      </c>
      <c r="K523" t="str">
        <f>VLOOKUP(J523,customers!A:F,6,FALSE)</f>
        <v>Denpasar</v>
      </c>
    </row>
    <row r="524" spans="1:11" x14ac:dyDescent="0.35">
      <c r="A524" s="4" t="s">
        <v>1564</v>
      </c>
      <c r="B524" s="4" t="s">
        <v>1015</v>
      </c>
      <c r="C524" s="4" t="s">
        <v>1029</v>
      </c>
      <c r="D524" s="4">
        <v>1</v>
      </c>
      <c r="E524" s="6">
        <v>39000</v>
      </c>
      <c r="F524" t="str">
        <f>VLOOKUP(C524,products!A:C,2,FALSE)</f>
        <v>Kabel Data USB-C</v>
      </c>
      <c r="G524">
        <f t="shared" si="16"/>
        <v>39000</v>
      </c>
      <c r="H524">
        <f>VLOOKUP(C524,products!A:D,4,FALSE)</f>
        <v>15000</v>
      </c>
      <c r="I524">
        <f t="shared" si="17"/>
        <v>24000</v>
      </c>
      <c r="J524" t="str">
        <f>VLOOKUP(B524,orders!A:B,2,FALSE)</f>
        <v>CUST0079</v>
      </c>
      <c r="K524" t="str">
        <f>VLOOKUP(J524,customers!A:F,6,FALSE)</f>
        <v>Makassar</v>
      </c>
    </row>
    <row r="525" spans="1:11" x14ac:dyDescent="0.35">
      <c r="A525" s="4" t="s">
        <v>1565</v>
      </c>
      <c r="B525" s="4" t="s">
        <v>1015</v>
      </c>
      <c r="C525" s="4" t="s">
        <v>1023</v>
      </c>
      <c r="D525" s="4">
        <v>1</v>
      </c>
      <c r="E525" s="6">
        <v>69000</v>
      </c>
      <c r="F525" t="str">
        <f>VLOOKUP(C525,products!A:C,2,FALSE)</f>
        <v>Lampu LED Hias 5m</v>
      </c>
      <c r="G525">
        <f t="shared" si="16"/>
        <v>69000</v>
      </c>
      <c r="H525">
        <f>VLOOKUP(C525,products!A:D,4,FALSE)</f>
        <v>30000</v>
      </c>
      <c r="I525">
        <f t="shared" si="17"/>
        <v>39000</v>
      </c>
      <c r="J525" t="str">
        <f>VLOOKUP(B525,orders!A:B,2,FALSE)</f>
        <v>CUST0079</v>
      </c>
      <c r="K525" t="str">
        <f>VLOOKUP(J525,customers!A:F,6,FALSE)</f>
        <v>Makassar</v>
      </c>
    </row>
    <row r="526" spans="1:11" x14ac:dyDescent="0.35">
      <c r="A526" s="4" t="s">
        <v>1566</v>
      </c>
      <c r="B526" s="4" t="s">
        <v>1015</v>
      </c>
      <c r="C526" s="4" t="s">
        <v>1044</v>
      </c>
      <c r="D526" s="4">
        <v>1</v>
      </c>
      <c r="E526" s="6">
        <v>329000</v>
      </c>
      <c r="F526" t="str">
        <f>VLOOKUP(C526,products!A:C,2,FALSE)</f>
        <v>Rice Cooker Mini 1.5L</v>
      </c>
      <c r="G526">
        <f t="shared" si="16"/>
        <v>329000</v>
      </c>
      <c r="H526">
        <f>VLOOKUP(C526,products!A:D,4,FALSE)</f>
        <v>180000</v>
      </c>
      <c r="I526">
        <f t="shared" si="17"/>
        <v>149000</v>
      </c>
      <c r="J526" t="str">
        <f>VLOOKUP(B526,orders!A:B,2,FALSE)</f>
        <v>CUST0079</v>
      </c>
      <c r="K526" t="str">
        <f>VLOOKUP(J526,customers!A:F,6,FALSE)</f>
        <v>Makassar</v>
      </c>
    </row>
    <row r="527" spans="1:11" x14ac:dyDescent="0.35">
      <c r="A527" s="4" t="s">
        <v>1567</v>
      </c>
      <c r="B527" s="4" t="s">
        <v>638</v>
      </c>
      <c r="C527" s="4" t="s">
        <v>1082</v>
      </c>
      <c r="D527" s="4">
        <v>2</v>
      </c>
      <c r="E527" s="6">
        <v>399000</v>
      </c>
      <c r="F527" t="str">
        <f>VLOOKUP(C527,products!A:C,2,FALSE)</f>
        <v>Keyboard Mechanical Mini</v>
      </c>
      <c r="G527">
        <f t="shared" si="16"/>
        <v>798000</v>
      </c>
      <c r="H527">
        <f>VLOOKUP(C527,products!A:D,4,FALSE)</f>
        <v>200000</v>
      </c>
      <c r="I527">
        <f t="shared" si="17"/>
        <v>398000</v>
      </c>
      <c r="J527" t="str">
        <f>VLOOKUP(B527,orders!A:B,2,FALSE)</f>
        <v>CUST0185</v>
      </c>
      <c r="K527" t="str">
        <f>VLOOKUP(J527,customers!A:F,6,FALSE)</f>
        <v>Jakarta</v>
      </c>
    </row>
    <row r="528" spans="1:11" x14ac:dyDescent="0.35">
      <c r="A528" s="4" t="s">
        <v>1568</v>
      </c>
      <c r="B528" s="4" t="s">
        <v>638</v>
      </c>
      <c r="C528" s="4" t="s">
        <v>1023</v>
      </c>
      <c r="D528" s="4">
        <v>1</v>
      </c>
      <c r="E528" s="6">
        <v>69000</v>
      </c>
      <c r="F528" t="str">
        <f>VLOOKUP(C528,products!A:C,2,FALSE)</f>
        <v>Lampu LED Hias 5m</v>
      </c>
      <c r="G528">
        <f t="shared" si="16"/>
        <v>69000</v>
      </c>
      <c r="H528">
        <f>VLOOKUP(C528,products!A:D,4,FALSE)</f>
        <v>30000</v>
      </c>
      <c r="I528">
        <f t="shared" si="17"/>
        <v>39000</v>
      </c>
      <c r="J528" t="str">
        <f>VLOOKUP(B528,orders!A:B,2,FALSE)</f>
        <v>CUST0185</v>
      </c>
      <c r="K528" t="str">
        <f>VLOOKUP(J528,customers!A:F,6,FALSE)</f>
        <v>Jakarta</v>
      </c>
    </row>
    <row r="529" spans="1:11" x14ac:dyDescent="0.35">
      <c r="A529" s="4" t="s">
        <v>1569</v>
      </c>
      <c r="B529" s="4" t="s">
        <v>887</v>
      </c>
      <c r="C529" s="4" t="s">
        <v>1023</v>
      </c>
      <c r="D529" s="4">
        <v>2</v>
      </c>
      <c r="E529" s="6">
        <v>69000</v>
      </c>
      <c r="F529" t="str">
        <f>VLOOKUP(C529,products!A:C,2,FALSE)</f>
        <v>Lampu LED Hias 5m</v>
      </c>
      <c r="G529">
        <f t="shared" si="16"/>
        <v>138000</v>
      </c>
      <c r="H529">
        <f>VLOOKUP(C529,products!A:D,4,FALSE)</f>
        <v>30000</v>
      </c>
      <c r="I529">
        <f t="shared" si="17"/>
        <v>78000</v>
      </c>
      <c r="J529" t="str">
        <f>VLOOKUP(B529,orders!A:B,2,FALSE)</f>
        <v>CUST0191</v>
      </c>
      <c r="K529" t="str">
        <f>VLOOKUP(J529,customers!A:F,6,FALSE)</f>
        <v>Jakarta</v>
      </c>
    </row>
    <row r="530" spans="1:11" x14ac:dyDescent="0.35">
      <c r="A530" s="4" t="s">
        <v>1570</v>
      </c>
      <c r="B530" s="4" t="s">
        <v>743</v>
      </c>
      <c r="C530" s="4" t="s">
        <v>1053</v>
      </c>
      <c r="D530" s="4">
        <v>2</v>
      </c>
      <c r="E530" s="6">
        <v>129000</v>
      </c>
      <c r="F530" t="str">
        <f>VLOOKUP(C530,products!A:C,2,FALSE)</f>
        <v>Charger Fast Charging 33W</v>
      </c>
      <c r="G530">
        <f t="shared" si="16"/>
        <v>258000</v>
      </c>
      <c r="H530">
        <f>VLOOKUP(C530,products!A:D,4,FALSE)</f>
        <v>60000</v>
      </c>
      <c r="I530">
        <f t="shared" si="17"/>
        <v>138000</v>
      </c>
      <c r="J530" t="str">
        <f>VLOOKUP(B530,orders!A:B,2,FALSE)</f>
        <v>CUST0177</v>
      </c>
      <c r="K530" t="str">
        <f>VLOOKUP(J530,customers!A:F,6,FALSE)</f>
        <v>Makassar</v>
      </c>
    </row>
    <row r="531" spans="1:11" x14ac:dyDescent="0.35">
      <c r="A531" s="4" t="s">
        <v>1571</v>
      </c>
      <c r="B531" s="4" t="s">
        <v>743</v>
      </c>
      <c r="C531" s="4" t="s">
        <v>1023</v>
      </c>
      <c r="D531" s="4">
        <v>3</v>
      </c>
      <c r="E531" s="6">
        <v>69000</v>
      </c>
      <c r="F531" t="str">
        <f>VLOOKUP(C531,products!A:C,2,FALSE)</f>
        <v>Lampu LED Hias 5m</v>
      </c>
      <c r="G531">
        <f t="shared" si="16"/>
        <v>207000</v>
      </c>
      <c r="H531">
        <f>VLOOKUP(C531,products!A:D,4,FALSE)</f>
        <v>30000</v>
      </c>
      <c r="I531">
        <f t="shared" si="17"/>
        <v>117000</v>
      </c>
      <c r="J531" t="str">
        <f>VLOOKUP(B531,orders!A:B,2,FALSE)</f>
        <v>CUST0177</v>
      </c>
      <c r="K531" t="str">
        <f>VLOOKUP(J531,customers!A:F,6,FALSE)</f>
        <v>Makassar</v>
      </c>
    </row>
    <row r="532" spans="1:11" x14ac:dyDescent="0.35">
      <c r="A532" s="4" t="s">
        <v>1572</v>
      </c>
      <c r="B532" s="4" t="s">
        <v>108</v>
      </c>
      <c r="C532" s="4" t="s">
        <v>1025</v>
      </c>
      <c r="D532" s="4">
        <v>1</v>
      </c>
      <c r="E532" s="6">
        <v>179000</v>
      </c>
      <c r="F532" t="str">
        <f>VLOOKUP(C532,products!A:C,2,FALSE)</f>
        <v>Rak Penyimpanan Serbaguna</v>
      </c>
      <c r="G532">
        <f t="shared" si="16"/>
        <v>179000</v>
      </c>
      <c r="H532">
        <f>VLOOKUP(C532,products!A:D,4,FALSE)</f>
        <v>90000</v>
      </c>
      <c r="I532">
        <f t="shared" si="17"/>
        <v>89000</v>
      </c>
      <c r="J532" t="str">
        <f>VLOOKUP(B532,orders!A:B,2,FALSE)</f>
        <v>CUST0190</v>
      </c>
      <c r="K532" t="str">
        <f>VLOOKUP(J532,customers!A:F,6,FALSE)</f>
        <v>Yogyakarta</v>
      </c>
    </row>
    <row r="533" spans="1:11" x14ac:dyDescent="0.35">
      <c r="A533" s="4" t="s">
        <v>1573</v>
      </c>
      <c r="B533" s="4" t="s">
        <v>684</v>
      </c>
      <c r="C533" s="4" t="s">
        <v>1036</v>
      </c>
      <c r="D533" s="4">
        <v>1</v>
      </c>
      <c r="E533" s="6">
        <v>229000</v>
      </c>
      <c r="F533" t="str">
        <f>VLOOKUP(C533,products!A:C,2,FALSE)</f>
        <v>Celana Jeans Slimfit</v>
      </c>
      <c r="G533">
        <f t="shared" si="16"/>
        <v>229000</v>
      </c>
      <c r="H533">
        <f>VLOOKUP(C533,products!A:D,4,FALSE)</f>
        <v>110000</v>
      </c>
      <c r="I533">
        <f t="shared" si="17"/>
        <v>119000</v>
      </c>
      <c r="J533" t="str">
        <f>VLOOKUP(B533,orders!A:B,2,FALSE)</f>
        <v>CUST0151</v>
      </c>
      <c r="K533" t="str">
        <f>VLOOKUP(J533,customers!A:F,6,FALSE)</f>
        <v>Jakarta</v>
      </c>
    </row>
    <row r="534" spans="1:11" x14ac:dyDescent="0.35">
      <c r="A534" s="4" t="s">
        <v>1574</v>
      </c>
      <c r="B534" s="4" t="s">
        <v>331</v>
      </c>
      <c r="C534" s="4" t="s">
        <v>1033</v>
      </c>
      <c r="D534" s="4">
        <v>2</v>
      </c>
      <c r="E534" s="6">
        <v>55000</v>
      </c>
      <c r="F534" t="str">
        <f>VLOOKUP(C534,products!A:C,2,FALSE)</f>
        <v>Sapu + Pengki Set</v>
      </c>
      <c r="G534">
        <f t="shared" si="16"/>
        <v>110000</v>
      </c>
      <c r="H534">
        <f>VLOOKUP(C534,products!A:D,4,FALSE)</f>
        <v>25000</v>
      </c>
      <c r="I534">
        <f t="shared" si="17"/>
        <v>60000</v>
      </c>
      <c r="J534" t="str">
        <f>VLOOKUP(B534,orders!A:B,2,FALSE)</f>
        <v>CUST0026</v>
      </c>
      <c r="K534" t="str">
        <f>VLOOKUP(J534,customers!A:F,6,FALSE)</f>
        <v>Denpasar</v>
      </c>
    </row>
    <row r="535" spans="1:11" x14ac:dyDescent="0.35">
      <c r="A535" s="4" t="s">
        <v>1575</v>
      </c>
      <c r="B535" s="4" t="s">
        <v>331</v>
      </c>
      <c r="C535" s="4" t="s">
        <v>1029</v>
      </c>
      <c r="D535" s="4">
        <v>2</v>
      </c>
      <c r="E535" s="6">
        <v>39000</v>
      </c>
      <c r="F535" t="str">
        <f>VLOOKUP(C535,products!A:C,2,FALSE)</f>
        <v>Kabel Data USB-C</v>
      </c>
      <c r="G535">
        <f t="shared" si="16"/>
        <v>78000</v>
      </c>
      <c r="H535">
        <f>VLOOKUP(C535,products!A:D,4,FALSE)</f>
        <v>15000</v>
      </c>
      <c r="I535">
        <f t="shared" si="17"/>
        <v>48000</v>
      </c>
      <c r="J535" t="str">
        <f>VLOOKUP(B535,orders!A:B,2,FALSE)</f>
        <v>CUST0026</v>
      </c>
      <c r="K535" t="str">
        <f>VLOOKUP(J535,customers!A:F,6,FALSE)</f>
        <v>Denpasar</v>
      </c>
    </row>
    <row r="536" spans="1:11" x14ac:dyDescent="0.35">
      <c r="A536" s="4" t="s">
        <v>1576</v>
      </c>
      <c r="B536" s="4" t="s">
        <v>29</v>
      </c>
      <c r="C536" s="4" t="s">
        <v>1031</v>
      </c>
      <c r="D536" s="4">
        <v>2</v>
      </c>
      <c r="E536" s="6">
        <v>79000</v>
      </c>
      <c r="F536" t="str">
        <f>VLOOKUP(C536,products!A:C,2,FALSE)</f>
        <v>Kaos Polos Cotton Combed</v>
      </c>
      <c r="G536">
        <f t="shared" si="16"/>
        <v>158000</v>
      </c>
      <c r="H536">
        <f>VLOOKUP(C536,products!A:D,4,FALSE)</f>
        <v>35000</v>
      </c>
      <c r="I536">
        <f t="shared" si="17"/>
        <v>88000</v>
      </c>
      <c r="J536" t="str">
        <f>VLOOKUP(B536,orders!A:B,2,FALSE)</f>
        <v>CUST0093</v>
      </c>
      <c r="K536" t="str">
        <f>VLOOKUP(J536,customers!A:F,6,FALSE)</f>
        <v>Surabaya</v>
      </c>
    </row>
    <row r="537" spans="1:11" x14ac:dyDescent="0.35">
      <c r="A537" s="4" t="s">
        <v>1577</v>
      </c>
      <c r="B537" s="4" t="s">
        <v>123</v>
      </c>
      <c r="C537" s="4" t="s">
        <v>1578</v>
      </c>
      <c r="D537" s="4">
        <v>1</v>
      </c>
      <c r="E537" s="6">
        <v>299000</v>
      </c>
      <c r="F537" t="str">
        <f>VLOOKUP(C537,products!A:C,2,FALSE)</f>
        <v>Wireless Earbuds X1</v>
      </c>
      <c r="G537">
        <f t="shared" si="16"/>
        <v>299000</v>
      </c>
      <c r="H537">
        <f>VLOOKUP(C537,products!A:D,4,FALSE)</f>
        <v>150000</v>
      </c>
      <c r="I537">
        <f t="shared" si="17"/>
        <v>149000</v>
      </c>
      <c r="J537" t="str">
        <f>VLOOKUP(B537,orders!A:B,2,FALSE)</f>
        <v>CUST0004</v>
      </c>
      <c r="K537" t="str">
        <f>VLOOKUP(J537,customers!A:F,6,FALSE)</f>
        <v>Jakarta</v>
      </c>
    </row>
    <row r="538" spans="1:11" x14ac:dyDescent="0.35">
      <c r="A538" s="4" t="s">
        <v>1579</v>
      </c>
      <c r="B538" s="4" t="s">
        <v>957</v>
      </c>
      <c r="C538" s="4" t="s">
        <v>1023</v>
      </c>
      <c r="D538" s="4">
        <v>2</v>
      </c>
      <c r="E538" s="6">
        <v>69000</v>
      </c>
      <c r="F538" t="str">
        <f>VLOOKUP(C538,products!A:C,2,FALSE)</f>
        <v>Lampu LED Hias 5m</v>
      </c>
      <c r="G538">
        <f t="shared" si="16"/>
        <v>138000</v>
      </c>
      <c r="H538">
        <f>VLOOKUP(C538,products!A:D,4,FALSE)</f>
        <v>30000</v>
      </c>
      <c r="I538">
        <f t="shared" si="17"/>
        <v>78000</v>
      </c>
      <c r="J538" t="str">
        <f>VLOOKUP(B538,orders!A:B,2,FALSE)</f>
        <v>CUST0033</v>
      </c>
      <c r="K538" t="str">
        <f>VLOOKUP(J538,customers!A:F,6,FALSE)</f>
        <v>Surabaya</v>
      </c>
    </row>
    <row r="539" spans="1:11" x14ac:dyDescent="0.35">
      <c r="A539" s="4" t="s">
        <v>1580</v>
      </c>
      <c r="B539" s="4" t="s">
        <v>452</v>
      </c>
      <c r="C539" s="4" t="s">
        <v>1023</v>
      </c>
      <c r="D539" s="4">
        <v>3</v>
      </c>
      <c r="E539" s="6">
        <v>69000</v>
      </c>
      <c r="F539" t="str">
        <f>VLOOKUP(C539,products!A:C,2,FALSE)</f>
        <v>Lampu LED Hias 5m</v>
      </c>
      <c r="G539">
        <f t="shared" si="16"/>
        <v>207000</v>
      </c>
      <c r="H539">
        <f>VLOOKUP(C539,products!A:D,4,FALSE)</f>
        <v>30000</v>
      </c>
      <c r="I539">
        <f t="shared" si="17"/>
        <v>117000</v>
      </c>
      <c r="J539" t="str">
        <f>VLOOKUP(B539,orders!A:B,2,FALSE)</f>
        <v>CUST0014</v>
      </c>
      <c r="K539" t="str">
        <f>VLOOKUP(J539,customers!A:F,6,FALSE)</f>
        <v>Jakarta</v>
      </c>
    </row>
    <row r="540" spans="1:11" x14ac:dyDescent="0.35">
      <c r="A540" s="4" t="s">
        <v>1581</v>
      </c>
      <c r="B540" s="4" t="s">
        <v>518</v>
      </c>
      <c r="C540" s="4" t="s">
        <v>1044</v>
      </c>
      <c r="D540" s="4">
        <v>3</v>
      </c>
      <c r="E540" s="6">
        <v>329000</v>
      </c>
      <c r="F540" t="str">
        <f>VLOOKUP(C540,products!A:C,2,FALSE)</f>
        <v>Rice Cooker Mini 1.5L</v>
      </c>
      <c r="G540">
        <f t="shared" si="16"/>
        <v>987000</v>
      </c>
      <c r="H540">
        <f>VLOOKUP(C540,products!A:D,4,FALSE)</f>
        <v>180000</v>
      </c>
      <c r="I540">
        <f t="shared" si="17"/>
        <v>447000</v>
      </c>
      <c r="J540" t="str">
        <f>VLOOKUP(B540,orders!A:B,2,FALSE)</f>
        <v>CUST0033</v>
      </c>
      <c r="K540" t="str">
        <f>VLOOKUP(J540,customers!A:F,6,FALSE)</f>
        <v>Surabaya</v>
      </c>
    </row>
    <row r="541" spans="1:11" x14ac:dyDescent="0.35">
      <c r="A541" s="4" t="s">
        <v>1582</v>
      </c>
      <c r="B541" s="4" t="s">
        <v>518</v>
      </c>
      <c r="C541" s="4" t="s">
        <v>1029</v>
      </c>
      <c r="D541" s="4">
        <v>2</v>
      </c>
      <c r="E541" s="6">
        <v>39000</v>
      </c>
      <c r="F541" t="str">
        <f>VLOOKUP(C541,products!A:C,2,FALSE)</f>
        <v>Kabel Data USB-C</v>
      </c>
      <c r="G541">
        <f t="shared" si="16"/>
        <v>78000</v>
      </c>
      <c r="H541">
        <f>VLOOKUP(C541,products!A:D,4,FALSE)</f>
        <v>15000</v>
      </c>
      <c r="I541">
        <f t="shared" si="17"/>
        <v>48000</v>
      </c>
      <c r="J541" t="str">
        <f>VLOOKUP(B541,orders!A:B,2,FALSE)</f>
        <v>CUST0033</v>
      </c>
      <c r="K541" t="str">
        <f>VLOOKUP(J541,customers!A:F,6,FALSE)</f>
        <v>Surabaya</v>
      </c>
    </row>
    <row r="542" spans="1:11" x14ac:dyDescent="0.35">
      <c r="A542" s="4" t="s">
        <v>1583</v>
      </c>
      <c r="B542" s="4" t="s">
        <v>1005</v>
      </c>
      <c r="C542" s="4" t="s">
        <v>1025</v>
      </c>
      <c r="D542" s="4">
        <v>2</v>
      </c>
      <c r="E542" s="6">
        <v>179000</v>
      </c>
      <c r="F542" t="str">
        <f>VLOOKUP(C542,products!A:C,2,FALSE)</f>
        <v>Rak Penyimpanan Serbaguna</v>
      </c>
      <c r="G542">
        <f t="shared" si="16"/>
        <v>358000</v>
      </c>
      <c r="H542">
        <f>VLOOKUP(C542,products!A:D,4,FALSE)</f>
        <v>90000</v>
      </c>
      <c r="I542">
        <f t="shared" si="17"/>
        <v>178000</v>
      </c>
      <c r="J542" t="str">
        <f>VLOOKUP(B542,orders!A:B,2,FALSE)</f>
        <v>CUST0193</v>
      </c>
      <c r="K542" t="str">
        <f>VLOOKUP(J542,customers!A:F,6,FALSE)</f>
        <v>Depok</v>
      </c>
    </row>
    <row r="543" spans="1:11" x14ac:dyDescent="0.35">
      <c r="A543" s="4" t="s">
        <v>1584</v>
      </c>
      <c r="B543" s="4" t="s">
        <v>1005</v>
      </c>
      <c r="C543" s="4" t="s">
        <v>1023</v>
      </c>
      <c r="D543" s="4">
        <v>1</v>
      </c>
      <c r="E543" s="6">
        <v>69000</v>
      </c>
      <c r="F543" t="str">
        <f>VLOOKUP(C543,products!A:C,2,FALSE)</f>
        <v>Lampu LED Hias 5m</v>
      </c>
      <c r="G543">
        <f t="shared" si="16"/>
        <v>69000</v>
      </c>
      <c r="H543">
        <f>VLOOKUP(C543,products!A:D,4,FALSE)</f>
        <v>30000</v>
      </c>
      <c r="I543">
        <f t="shared" si="17"/>
        <v>39000</v>
      </c>
      <c r="J543" t="str">
        <f>VLOOKUP(B543,orders!A:B,2,FALSE)</f>
        <v>CUST0193</v>
      </c>
      <c r="K543" t="str">
        <f>VLOOKUP(J543,customers!A:F,6,FALSE)</f>
        <v>Depok</v>
      </c>
    </row>
    <row r="544" spans="1:11" x14ac:dyDescent="0.35">
      <c r="A544" s="4" t="s">
        <v>1585</v>
      </c>
      <c r="B544" s="4" t="s">
        <v>861</v>
      </c>
      <c r="C544" s="4" t="s">
        <v>1025</v>
      </c>
      <c r="D544" s="4">
        <v>1</v>
      </c>
      <c r="E544" s="6">
        <v>179000</v>
      </c>
      <c r="F544" t="str">
        <f>VLOOKUP(C544,products!A:C,2,FALSE)</f>
        <v>Rak Penyimpanan Serbaguna</v>
      </c>
      <c r="G544">
        <f t="shared" si="16"/>
        <v>179000</v>
      </c>
      <c r="H544">
        <f>VLOOKUP(C544,products!A:D,4,FALSE)</f>
        <v>90000</v>
      </c>
      <c r="I544">
        <f t="shared" si="17"/>
        <v>89000</v>
      </c>
      <c r="J544" t="str">
        <f>VLOOKUP(B544,orders!A:B,2,FALSE)</f>
        <v>CUST0004</v>
      </c>
      <c r="K544" t="str">
        <f>VLOOKUP(J544,customers!A:F,6,FALSE)</f>
        <v>Jakarta</v>
      </c>
    </row>
    <row r="545" spans="1:11" x14ac:dyDescent="0.35">
      <c r="A545" s="4" t="s">
        <v>1586</v>
      </c>
      <c r="B545" s="4" t="s">
        <v>861</v>
      </c>
      <c r="C545" s="4" t="s">
        <v>1029</v>
      </c>
      <c r="D545" s="4">
        <v>1</v>
      </c>
      <c r="E545" s="6">
        <v>39000</v>
      </c>
      <c r="F545" t="str">
        <f>VLOOKUP(C545,products!A:C,2,FALSE)</f>
        <v>Kabel Data USB-C</v>
      </c>
      <c r="G545">
        <f t="shared" si="16"/>
        <v>39000</v>
      </c>
      <c r="H545">
        <f>VLOOKUP(C545,products!A:D,4,FALSE)</f>
        <v>15000</v>
      </c>
      <c r="I545">
        <f t="shared" si="17"/>
        <v>24000</v>
      </c>
      <c r="J545" t="str">
        <f>VLOOKUP(B545,orders!A:B,2,FALSE)</f>
        <v>CUST0004</v>
      </c>
      <c r="K545" t="str">
        <f>VLOOKUP(J545,customers!A:F,6,FALSE)</f>
        <v>Jakarta</v>
      </c>
    </row>
    <row r="546" spans="1:11" x14ac:dyDescent="0.35">
      <c r="A546" s="4" t="s">
        <v>1587</v>
      </c>
      <c r="B546" s="4" t="s">
        <v>641</v>
      </c>
      <c r="C546" s="4" t="s">
        <v>1033</v>
      </c>
      <c r="D546" s="4">
        <v>1</v>
      </c>
      <c r="E546" s="6">
        <v>55000</v>
      </c>
      <c r="F546" t="str">
        <f>VLOOKUP(C546,products!A:C,2,FALSE)</f>
        <v>Sapu + Pengki Set</v>
      </c>
      <c r="G546">
        <f t="shared" si="16"/>
        <v>55000</v>
      </c>
      <c r="H546">
        <f>VLOOKUP(C546,products!A:D,4,FALSE)</f>
        <v>25000</v>
      </c>
      <c r="I546">
        <f t="shared" si="17"/>
        <v>30000</v>
      </c>
      <c r="J546" t="str">
        <f>VLOOKUP(B546,orders!A:B,2,FALSE)</f>
        <v>CUST0121</v>
      </c>
      <c r="K546" t="str">
        <f>VLOOKUP(J546,customers!A:F,6,FALSE)</f>
        <v>Denpasar</v>
      </c>
    </row>
    <row r="547" spans="1:11" x14ac:dyDescent="0.35">
      <c r="A547" s="4" t="s">
        <v>1588</v>
      </c>
      <c r="B547" s="4" t="s">
        <v>641</v>
      </c>
      <c r="C547" s="4" t="s">
        <v>1031</v>
      </c>
      <c r="D547" s="4">
        <v>1</v>
      </c>
      <c r="E547" s="6">
        <v>79000</v>
      </c>
      <c r="F547" t="str">
        <f>VLOOKUP(C547,products!A:C,2,FALSE)</f>
        <v>Kaos Polos Cotton Combed</v>
      </c>
      <c r="G547">
        <f t="shared" si="16"/>
        <v>79000</v>
      </c>
      <c r="H547">
        <f>VLOOKUP(C547,products!A:D,4,FALSE)</f>
        <v>35000</v>
      </c>
      <c r="I547">
        <f t="shared" si="17"/>
        <v>44000</v>
      </c>
      <c r="J547" t="str">
        <f>VLOOKUP(B547,orders!A:B,2,FALSE)</f>
        <v>CUST0121</v>
      </c>
      <c r="K547" t="str">
        <f>VLOOKUP(J547,customers!A:F,6,FALSE)</f>
        <v>Denpasar</v>
      </c>
    </row>
    <row r="548" spans="1:11" x14ac:dyDescent="0.35">
      <c r="A548" s="4" t="s">
        <v>1589</v>
      </c>
      <c r="B548" s="4" t="s">
        <v>641</v>
      </c>
      <c r="C548" s="4" t="s">
        <v>1023</v>
      </c>
      <c r="D548" s="4">
        <v>1</v>
      </c>
      <c r="E548" s="6">
        <v>69000</v>
      </c>
      <c r="F548" t="str">
        <f>VLOOKUP(C548,products!A:C,2,FALSE)</f>
        <v>Lampu LED Hias 5m</v>
      </c>
      <c r="G548">
        <f t="shared" si="16"/>
        <v>69000</v>
      </c>
      <c r="H548">
        <f>VLOOKUP(C548,products!A:D,4,FALSE)</f>
        <v>30000</v>
      </c>
      <c r="I548">
        <f t="shared" si="17"/>
        <v>39000</v>
      </c>
      <c r="J548" t="str">
        <f>VLOOKUP(B548,orders!A:B,2,FALSE)</f>
        <v>CUST0121</v>
      </c>
      <c r="K548" t="str">
        <f>VLOOKUP(J548,customers!A:F,6,FALSE)</f>
        <v>Denpasar</v>
      </c>
    </row>
    <row r="549" spans="1:11" x14ac:dyDescent="0.35">
      <c r="A549" s="4" t="s">
        <v>1590</v>
      </c>
      <c r="B549" s="4" t="s">
        <v>919</v>
      </c>
      <c r="C549" s="4" t="s">
        <v>1044</v>
      </c>
      <c r="D549" s="4">
        <v>1</v>
      </c>
      <c r="E549" s="6">
        <v>329000</v>
      </c>
      <c r="F549" t="str">
        <f>VLOOKUP(C549,products!A:C,2,FALSE)</f>
        <v>Rice Cooker Mini 1.5L</v>
      </c>
      <c r="G549">
        <f t="shared" si="16"/>
        <v>329000</v>
      </c>
      <c r="H549">
        <f>VLOOKUP(C549,products!A:D,4,FALSE)</f>
        <v>180000</v>
      </c>
      <c r="I549">
        <f t="shared" si="17"/>
        <v>149000</v>
      </c>
      <c r="J549" t="str">
        <f>VLOOKUP(B549,orders!A:B,2,FALSE)</f>
        <v>CUST0088</v>
      </c>
      <c r="K549" t="str">
        <f>VLOOKUP(J549,customers!A:F,6,FALSE)</f>
        <v>Makassar</v>
      </c>
    </row>
    <row r="550" spans="1:11" x14ac:dyDescent="0.35">
      <c r="A550" s="4" t="s">
        <v>1591</v>
      </c>
      <c r="B550" s="4" t="s">
        <v>919</v>
      </c>
      <c r="C550" s="4" t="s">
        <v>1029</v>
      </c>
      <c r="D550" s="4">
        <v>1</v>
      </c>
      <c r="E550" s="6">
        <v>39000</v>
      </c>
      <c r="F550" t="str">
        <f>VLOOKUP(C550,products!A:C,2,FALSE)</f>
        <v>Kabel Data USB-C</v>
      </c>
      <c r="G550">
        <f t="shared" si="16"/>
        <v>39000</v>
      </c>
      <c r="H550">
        <f>VLOOKUP(C550,products!A:D,4,FALSE)</f>
        <v>15000</v>
      </c>
      <c r="I550">
        <f t="shared" si="17"/>
        <v>24000</v>
      </c>
      <c r="J550" t="str">
        <f>VLOOKUP(B550,orders!A:B,2,FALSE)</f>
        <v>CUST0088</v>
      </c>
      <c r="K550" t="str">
        <f>VLOOKUP(J550,customers!A:F,6,FALSE)</f>
        <v>Makassar</v>
      </c>
    </row>
    <row r="551" spans="1:11" x14ac:dyDescent="0.35">
      <c r="A551" s="4" t="s">
        <v>1592</v>
      </c>
      <c r="B551" s="4" t="s">
        <v>787</v>
      </c>
      <c r="C551" s="4" t="s">
        <v>1023</v>
      </c>
      <c r="D551" s="4">
        <v>1</v>
      </c>
      <c r="E551" s="6">
        <v>69000</v>
      </c>
      <c r="F551" t="str">
        <f>VLOOKUP(C551,products!A:C,2,FALSE)</f>
        <v>Lampu LED Hias 5m</v>
      </c>
      <c r="G551">
        <f t="shared" si="16"/>
        <v>69000</v>
      </c>
      <c r="H551">
        <f>VLOOKUP(C551,products!A:D,4,FALSE)</f>
        <v>30000</v>
      </c>
      <c r="I551">
        <f t="shared" si="17"/>
        <v>39000</v>
      </c>
      <c r="J551" t="str">
        <f>VLOOKUP(B551,orders!A:B,2,FALSE)</f>
        <v>CUST0065</v>
      </c>
      <c r="K551" t="str">
        <f>VLOOKUP(J551,customers!A:F,6,FALSE)</f>
        <v>Jakarta</v>
      </c>
    </row>
    <row r="552" spans="1:11" x14ac:dyDescent="0.35">
      <c r="A552" s="4" t="s">
        <v>1593</v>
      </c>
      <c r="B552" s="4" t="s">
        <v>787</v>
      </c>
      <c r="C552" s="4" t="s">
        <v>1033</v>
      </c>
      <c r="D552" s="4">
        <v>2</v>
      </c>
      <c r="E552" s="6">
        <v>55000</v>
      </c>
      <c r="F552" t="str">
        <f>VLOOKUP(C552,products!A:C,2,FALSE)</f>
        <v>Sapu + Pengki Set</v>
      </c>
      <c r="G552">
        <f t="shared" si="16"/>
        <v>110000</v>
      </c>
      <c r="H552">
        <f>VLOOKUP(C552,products!A:D,4,FALSE)</f>
        <v>25000</v>
      </c>
      <c r="I552">
        <f t="shared" si="17"/>
        <v>60000</v>
      </c>
      <c r="J552" t="str">
        <f>VLOOKUP(B552,orders!A:B,2,FALSE)</f>
        <v>CUST0065</v>
      </c>
      <c r="K552" t="str">
        <f>VLOOKUP(J552,customers!A:F,6,FALSE)</f>
        <v>Jakarta</v>
      </c>
    </row>
    <row r="553" spans="1:11" x14ac:dyDescent="0.35">
      <c r="A553" s="4" t="s">
        <v>1594</v>
      </c>
      <c r="B553" s="4" t="s">
        <v>787</v>
      </c>
      <c r="C553" s="4" t="s">
        <v>1025</v>
      </c>
      <c r="D553" s="4">
        <v>1</v>
      </c>
      <c r="E553" s="6">
        <v>179000</v>
      </c>
      <c r="F553" t="str">
        <f>VLOOKUP(C553,products!A:C,2,FALSE)</f>
        <v>Rak Penyimpanan Serbaguna</v>
      </c>
      <c r="G553">
        <f t="shared" si="16"/>
        <v>179000</v>
      </c>
      <c r="H553">
        <f>VLOOKUP(C553,products!A:D,4,FALSE)</f>
        <v>90000</v>
      </c>
      <c r="I553">
        <f t="shared" si="17"/>
        <v>89000</v>
      </c>
      <c r="J553" t="str">
        <f>VLOOKUP(B553,orders!A:B,2,FALSE)</f>
        <v>CUST0065</v>
      </c>
      <c r="K553" t="str">
        <f>VLOOKUP(J553,customers!A:F,6,FALSE)</f>
        <v>Jakarta</v>
      </c>
    </row>
    <row r="554" spans="1:11" x14ac:dyDescent="0.35">
      <c r="A554" s="4" t="s">
        <v>1595</v>
      </c>
      <c r="B554" s="4" t="s">
        <v>787</v>
      </c>
      <c r="C554" s="4" t="s">
        <v>1029</v>
      </c>
      <c r="D554" s="4">
        <v>2</v>
      </c>
      <c r="E554" s="6">
        <v>39000</v>
      </c>
      <c r="F554" t="str">
        <f>VLOOKUP(C554,products!A:C,2,FALSE)</f>
        <v>Kabel Data USB-C</v>
      </c>
      <c r="G554">
        <f t="shared" si="16"/>
        <v>78000</v>
      </c>
      <c r="H554">
        <f>VLOOKUP(C554,products!A:D,4,FALSE)</f>
        <v>15000</v>
      </c>
      <c r="I554">
        <f t="shared" si="17"/>
        <v>48000</v>
      </c>
      <c r="J554" t="str">
        <f>VLOOKUP(B554,orders!A:B,2,FALSE)</f>
        <v>CUST0065</v>
      </c>
      <c r="K554" t="str">
        <f>VLOOKUP(J554,customers!A:F,6,FALSE)</f>
        <v>Jakarta</v>
      </c>
    </row>
    <row r="555" spans="1:11" x14ac:dyDescent="0.35">
      <c r="A555" s="4" t="s">
        <v>1596</v>
      </c>
      <c r="B555" s="4" t="s">
        <v>587</v>
      </c>
      <c r="C555" s="4" t="s">
        <v>1023</v>
      </c>
      <c r="D555" s="4">
        <v>3</v>
      </c>
      <c r="E555" s="6">
        <v>69000</v>
      </c>
      <c r="F555" t="str">
        <f>VLOOKUP(C555,products!A:C,2,FALSE)</f>
        <v>Lampu LED Hias 5m</v>
      </c>
      <c r="G555">
        <f t="shared" si="16"/>
        <v>207000</v>
      </c>
      <c r="H555">
        <f>VLOOKUP(C555,products!A:D,4,FALSE)</f>
        <v>30000</v>
      </c>
      <c r="I555">
        <f t="shared" si="17"/>
        <v>117000</v>
      </c>
      <c r="J555" t="str">
        <f>VLOOKUP(B555,orders!A:B,2,FALSE)</f>
        <v>CUST0017</v>
      </c>
      <c r="K555" t="str">
        <f>VLOOKUP(J555,customers!A:F,6,FALSE)</f>
        <v>Jakarta</v>
      </c>
    </row>
    <row r="556" spans="1:11" x14ac:dyDescent="0.35">
      <c r="A556" s="4" t="s">
        <v>1597</v>
      </c>
      <c r="B556" s="4" t="s">
        <v>587</v>
      </c>
      <c r="C556" s="4" t="s">
        <v>1053</v>
      </c>
      <c r="D556" s="4">
        <v>2</v>
      </c>
      <c r="E556" s="6">
        <v>129000</v>
      </c>
      <c r="F556" t="str">
        <f>VLOOKUP(C556,products!A:C,2,FALSE)</f>
        <v>Charger Fast Charging 33W</v>
      </c>
      <c r="G556">
        <f t="shared" si="16"/>
        <v>258000</v>
      </c>
      <c r="H556">
        <f>VLOOKUP(C556,products!A:D,4,FALSE)</f>
        <v>60000</v>
      </c>
      <c r="I556">
        <f t="shared" si="17"/>
        <v>138000</v>
      </c>
      <c r="J556" t="str">
        <f>VLOOKUP(B556,orders!A:B,2,FALSE)</f>
        <v>CUST0017</v>
      </c>
      <c r="K556" t="str">
        <f>VLOOKUP(J556,customers!A:F,6,FALSE)</f>
        <v>Jakarta</v>
      </c>
    </row>
    <row r="557" spans="1:11" x14ac:dyDescent="0.35">
      <c r="A557" s="4" t="s">
        <v>1598</v>
      </c>
      <c r="B557" s="4" t="s">
        <v>587</v>
      </c>
      <c r="C557" s="4" t="s">
        <v>1033</v>
      </c>
      <c r="D557" s="4">
        <v>3</v>
      </c>
      <c r="E557" s="6">
        <v>55000</v>
      </c>
      <c r="F557" t="str">
        <f>VLOOKUP(C557,products!A:C,2,FALSE)</f>
        <v>Sapu + Pengki Set</v>
      </c>
      <c r="G557">
        <f t="shared" si="16"/>
        <v>165000</v>
      </c>
      <c r="H557">
        <f>VLOOKUP(C557,products!A:D,4,FALSE)</f>
        <v>25000</v>
      </c>
      <c r="I557">
        <f t="shared" si="17"/>
        <v>90000</v>
      </c>
      <c r="J557" t="str">
        <f>VLOOKUP(B557,orders!A:B,2,FALSE)</f>
        <v>CUST0017</v>
      </c>
      <c r="K557" t="str">
        <f>VLOOKUP(J557,customers!A:F,6,FALSE)</f>
        <v>Jakarta</v>
      </c>
    </row>
    <row r="558" spans="1:11" x14ac:dyDescent="0.35">
      <c r="A558" s="4" t="s">
        <v>1599</v>
      </c>
      <c r="B558" s="4" t="s">
        <v>587</v>
      </c>
      <c r="C558" s="4" t="s">
        <v>1029</v>
      </c>
      <c r="D558" s="4">
        <v>1</v>
      </c>
      <c r="E558" s="6">
        <v>39000</v>
      </c>
      <c r="F558" t="str">
        <f>VLOOKUP(C558,products!A:C,2,FALSE)</f>
        <v>Kabel Data USB-C</v>
      </c>
      <c r="G558">
        <f t="shared" si="16"/>
        <v>39000</v>
      </c>
      <c r="H558">
        <f>VLOOKUP(C558,products!A:D,4,FALSE)</f>
        <v>15000</v>
      </c>
      <c r="I558">
        <f t="shared" si="17"/>
        <v>24000</v>
      </c>
      <c r="J558" t="str">
        <f>VLOOKUP(B558,orders!A:B,2,FALSE)</f>
        <v>CUST0017</v>
      </c>
      <c r="K558" t="str">
        <f>VLOOKUP(J558,customers!A:F,6,FALSE)</f>
        <v>Jakarta</v>
      </c>
    </row>
    <row r="559" spans="1:11" x14ac:dyDescent="0.35">
      <c r="A559" s="4" t="s">
        <v>1600</v>
      </c>
      <c r="B559" s="4" t="s">
        <v>551</v>
      </c>
      <c r="C559" s="4" t="s">
        <v>1029</v>
      </c>
      <c r="D559" s="4">
        <v>2</v>
      </c>
      <c r="E559" s="6">
        <v>39000</v>
      </c>
      <c r="F559" t="str">
        <f>VLOOKUP(C559,products!A:C,2,FALSE)</f>
        <v>Kabel Data USB-C</v>
      </c>
      <c r="G559">
        <f t="shared" si="16"/>
        <v>78000</v>
      </c>
      <c r="H559">
        <f>VLOOKUP(C559,products!A:D,4,FALSE)</f>
        <v>15000</v>
      </c>
      <c r="I559">
        <f t="shared" si="17"/>
        <v>48000</v>
      </c>
      <c r="J559" t="str">
        <f>VLOOKUP(B559,orders!A:B,2,FALSE)</f>
        <v>CUST0019</v>
      </c>
      <c r="K559" t="str">
        <f>VLOOKUP(J559,customers!A:F,6,FALSE)</f>
        <v>Surabaya</v>
      </c>
    </row>
    <row r="560" spans="1:11" x14ac:dyDescent="0.35">
      <c r="A560" s="4" t="s">
        <v>1601</v>
      </c>
      <c r="B560" s="4" t="s">
        <v>551</v>
      </c>
      <c r="C560" s="4" t="s">
        <v>1089</v>
      </c>
      <c r="D560" s="4">
        <v>1</v>
      </c>
      <c r="E560" s="6">
        <v>159000</v>
      </c>
      <c r="F560" t="str">
        <f>VLOOKUP(C560,products!A:C,2,FALSE)</f>
        <v>Power Bank 10000mAh</v>
      </c>
      <c r="G560">
        <f t="shared" si="16"/>
        <v>159000</v>
      </c>
      <c r="H560">
        <f>VLOOKUP(C560,products!A:D,4,FALSE)</f>
        <v>80000</v>
      </c>
      <c r="I560">
        <f t="shared" si="17"/>
        <v>79000</v>
      </c>
      <c r="J560" t="str">
        <f>VLOOKUP(B560,orders!A:B,2,FALSE)</f>
        <v>CUST0019</v>
      </c>
      <c r="K560" t="str">
        <f>VLOOKUP(J560,customers!A:F,6,FALSE)</f>
        <v>Surabaya</v>
      </c>
    </row>
    <row r="561" spans="1:11" x14ac:dyDescent="0.35">
      <c r="A561" s="4" t="s">
        <v>1602</v>
      </c>
      <c r="B561" s="4" t="s">
        <v>551</v>
      </c>
      <c r="C561" s="4" t="s">
        <v>1076</v>
      </c>
      <c r="D561" s="4">
        <v>1</v>
      </c>
      <c r="E561" s="6">
        <v>499000</v>
      </c>
      <c r="F561" t="str">
        <f>VLOOKUP(C561,products!A:C,2,FALSE)</f>
        <v>Smartwatch Lite</v>
      </c>
      <c r="G561">
        <f t="shared" si="16"/>
        <v>499000</v>
      </c>
      <c r="H561">
        <f>VLOOKUP(C561,products!A:D,4,FALSE)</f>
        <v>250000</v>
      </c>
      <c r="I561">
        <f t="shared" si="17"/>
        <v>249000</v>
      </c>
      <c r="J561" t="str">
        <f>VLOOKUP(B561,orders!A:B,2,FALSE)</f>
        <v>CUST0019</v>
      </c>
      <c r="K561" t="str">
        <f>VLOOKUP(J561,customers!A:F,6,FALSE)</f>
        <v>Surabaya</v>
      </c>
    </row>
    <row r="562" spans="1:11" x14ac:dyDescent="0.35">
      <c r="A562" s="4" t="s">
        <v>1603</v>
      </c>
      <c r="B562" s="4" t="s">
        <v>438</v>
      </c>
      <c r="C562" s="4" t="s">
        <v>1036</v>
      </c>
      <c r="D562" s="4">
        <v>2</v>
      </c>
      <c r="E562" s="6">
        <v>229000</v>
      </c>
      <c r="F562" t="str">
        <f>VLOOKUP(C562,products!A:C,2,FALSE)</f>
        <v>Celana Jeans Slimfit</v>
      </c>
      <c r="G562">
        <f t="shared" si="16"/>
        <v>458000</v>
      </c>
      <c r="H562">
        <f>VLOOKUP(C562,products!A:D,4,FALSE)</f>
        <v>110000</v>
      </c>
      <c r="I562">
        <f t="shared" si="17"/>
        <v>238000</v>
      </c>
      <c r="J562" t="str">
        <f>VLOOKUP(B562,orders!A:B,2,FALSE)</f>
        <v>CUST0014</v>
      </c>
      <c r="K562" t="str">
        <f>VLOOKUP(J562,customers!A:F,6,FALSE)</f>
        <v>Jakarta</v>
      </c>
    </row>
    <row r="563" spans="1:11" x14ac:dyDescent="0.35">
      <c r="A563" s="4" t="s">
        <v>1604</v>
      </c>
      <c r="B563" s="4" t="s">
        <v>438</v>
      </c>
      <c r="C563" s="4" t="s">
        <v>1023</v>
      </c>
      <c r="D563" s="4">
        <v>3</v>
      </c>
      <c r="E563" s="6">
        <v>69000</v>
      </c>
      <c r="F563" t="str">
        <f>VLOOKUP(C563,products!A:C,2,FALSE)</f>
        <v>Lampu LED Hias 5m</v>
      </c>
      <c r="G563">
        <f t="shared" si="16"/>
        <v>207000</v>
      </c>
      <c r="H563">
        <f>VLOOKUP(C563,products!A:D,4,FALSE)</f>
        <v>30000</v>
      </c>
      <c r="I563">
        <f t="shared" si="17"/>
        <v>117000</v>
      </c>
      <c r="J563" t="str">
        <f>VLOOKUP(B563,orders!A:B,2,FALSE)</f>
        <v>CUST0014</v>
      </c>
      <c r="K563" t="str">
        <f>VLOOKUP(J563,customers!A:F,6,FALSE)</f>
        <v>Jakarta</v>
      </c>
    </row>
    <row r="564" spans="1:11" x14ac:dyDescent="0.35">
      <c r="A564" s="4" t="s">
        <v>1605</v>
      </c>
      <c r="B564" s="4" t="s">
        <v>438</v>
      </c>
      <c r="C564" s="4" t="s">
        <v>1082</v>
      </c>
      <c r="D564" s="4">
        <v>2</v>
      </c>
      <c r="E564" s="6">
        <v>399000</v>
      </c>
      <c r="F564" t="str">
        <f>VLOOKUP(C564,products!A:C,2,FALSE)</f>
        <v>Keyboard Mechanical Mini</v>
      </c>
      <c r="G564">
        <f t="shared" si="16"/>
        <v>798000</v>
      </c>
      <c r="H564">
        <f>VLOOKUP(C564,products!A:D,4,FALSE)</f>
        <v>200000</v>
      </c>
      <c r="I564">
        <f t="shared" si="17"/>
        <v>398000</v>
      </c>
      <c r="J564" t="str">
        <f>VLOOKUP(B564,orders!A:B,2,FALSE)</f>
        <v>CUST0014</v>
      </c>
      <c r="K564" t="str">
        <f>VLOOKUP(J564,customers!A:F,6,FALSE)</f>
        <v>Jakarta</v>
      </c>
    </row>
    <row r="565" spans="1:11" x14ac:dyDescent="0.35">
      <c r="A565" s="4" t="s">
        <v>1606</v>
      </c>
      <c r="B565" s="4" t="s">
        <v>438</v>
      </c>
      <c r="C565" s="4" t="s">
        <v>1029</v>
      </c>
      <c r="D565" s="4">
        <v>2</v>
      </c>
      <c r="E565" s="6">
        <v>39000</v>
      </c>
      <c r="F565" t="str">
        <f>VLOOKUP(C565,products!A:C,2,FALSE)</f>
        <v>Kabel Data USB-C</v>
      </c>
      <c r="G565">
        <f t="shared" si="16"/>
        <v>78000</v>
      </c>
      <c r="H565">
        <f>VLOOKUP(C565,products!A:D,4,FALSE)</f>
        <v>15000</v>
      </c>
      <c r="I565">
        <f t="shared" si="17"/>
        <v>48000</v>
      </c>
      <c r="J565" t="str">
        <f>VLOOKUP(B565,orders!A:B,2,FALSE)</f>
        <v>CUST0014</v>
      </c>
      <c r="K565" t="str">
        <f>VLOOKUP(J565,customers!A:F,6,FALSE)</f>
        <v>Jakarta</v>
      </c>
    </row>
    <row r="566" spans="1:11" x14ac:dyDescent="0.35">
      <c r="A566" s="4" t="s">
        <v>1607</v>
      </c>
      <c r="B566" s="4" t="s">
        <v>916</v>
      </c>
      <c r="C566" s="4" t="s">
        <v>1031</v>
      </c>
      <c r="D566" s="4">
        <v>1</v>
      </c>
      <c r="E566" s="6">
        <v>79000</v>
      </c>
      <c r="F566" t="str">
        <f>VLOOKUP(C566,products!A:C,2,FALSE)</f>
        <v>Kaos Polos Cotton Combed</v>
      </c>
      <c r="G566">
        <f t="shared" si="16"/>
        <v>79000</v>
      </c>
      <c r="H566">
        <f>VLOOKUP(C566,products!A:D,4,FALSE)</f>
        <v>35000</v>
      </c>
      <c r="I566">
        <f t="shared" si="17"/>
        <v>44000</v>
      </c>
      <c r="J566" t="str">
        <f>VLOOKUP(B566,orders!A:B,2,FALSE)</f>
        <v>CUST0145</v>
      </c>
      <c r="K566" t="str">
        <f>VLOOKUP(J566,customers!A:F,6,FALSE)</f>
        <v>Surabaya</v>
      </c>
    </row>
    <row r="567" spans="1:11" x14ac:dyDescent="0.35">
      <c r="A567" s="4" t="s">
        <v>1608</v>
      </c>
      <c r="B567" s="4" t="s">
        <v>494</v>
      </c>
      <c r="C567" s="4" t="s">
        <v>1023</v>
      </c>
      <c r="D567" s="4">
        <v>1</v>
      </c>
      <c r="E567" s="6">
        <v>69000</v>
      </c>
      <c r="F567" t="str">
        <f>VLOOKUP(C567,products!A:C,2,FALSE)</f>
        <v>Lampu LED Hias 5m</v>
      </c>
      <c r="G567">
        <f t="shared" si="16"/>
        <v>69000</v>
      </c>
      <c r="H567">
        <f>VLOOKUP(C567,products!A:D,4,FALSE)</f>
        <v>30000</v>
      </c>
      <c r="I567">
        <f t="shared" si="17"/>
        <v>39000</v>
      </c>
      <c r="J567" t="str">
        <f>VLOOKUP(B567,orders!A:B,2,FALSE)</f>
        <v>CUST0031</v>
      </c>
      <c r="K567" t="str">
        <f>VLOOKUP(J567,customers!A:F,6,FALSE)</f>
        <v>Bandung</v>
      </c>
    </row>
    <row r="568" spans="1:11" x14ac:dyDescent="0.35">
      <c r="A568" s="4" t="s">
        <v>1609</v>
      </c>
      <c r="B568" s="4" t="s">
        <v>290</v>
      </c>
      <c r="C568" s="4" t="s">
        <v>1023</v>
      </c>
      <c r="D568" s="4">
        <v>3</v>
      </c>
      <c r="E568" s="6">
        <v>69000</v>
      </c>
      <c r="F568" t="str">
        <f>VLOOKUP(C568,products!A:C,2,FALSE)</f>
        <v>Lampu LED Hias 5m</v>
      </c>
      <c r="G568">
        <f t="shared" si="16"/>
        <v>207000</v>
      </c>
      <c r="H568">
        <f>VLOOKUP(C568,products!A:D,4,FALSE)</f>
        <v>30000</v>
      </c>
      <c r="I568">
        <f t="shared" si="17"/>
        <v>117000</v>
      </c>
      <c r="J568" t="str">
        <f>VLOOKUP(B568,orders!A:B,2,FALSE)</f>
        <v>CUST0107</v>
      </c>
      <c r="K568" t="str">
        <f>VLOOKUP(J568,customers!A:F,6,FALSE)</f>
        <v>Makassar</v>
      </c>
    </row>
    <row r="569" spans="1:11" x14ac:dyDescent="0.35">
      <c r="A569" s="4" t="s">
        <v>1610</v>
      </c>
      <c r="B569" s="4" t="s">
        <v>81</v>
      </c>
      <c r="C569" s="4" t="s">
        <v>1084</v>
      </c>
      <c r="D569" s="4">
        <v>1</v>
      </c>
      <c r="E569" s="6">
        <v>79000</v>
      </c>
      <c r="F569" t="str">
        <f>VLOOKUP(C569,products!A:C,2,FALSE)</f>
        <v>Botol Minum Stainless 1L</v>
      </c>
      <c r="G569">
        <f t="shared" si="16"/>
        <v>79000</v>
      </c>
      <c r="H569">
        <f>VLOOKUP(C569,products!A:D,4,FALSE)</f>
        <v>35000</v>
      </c>
      <c r="I569">
        <f t="shared" si="17"/>
        <v>44000</v>
      </c>
      <c r="J569" t="str">
        <f>VLOOKUP(B569,orders!A:B,2,FALSE)</f>
        <v>CUST0159</v>
      </c>
      <c r="K569" t="str">
        <f>VLOOKUP(J569,customers!A:F,6,FALSE)</f>
        <v>Bandung</v>
      </c>
    </row>
    <row r="570" spans="1:11" x14ac:dyDescent="0.35">
      <c r="A570" s="4" t="s">
        <v>1611</v>
      </c>
      <c r="B570" s="4" t="s">
        <v>81</v>
      </c>
      <c r="C570" s="4" t="s">
        <v>1025</v>
      </c>
      <c r="D570" s="4">
        <v>1</v>
      </c>
      <c r="E570" s="6">
        <v>179000</v>
      </c>
      <c r="F570" t="str">
        <f>VLOOKUP(C570,products!A:C,2,FALSE)</f>
        <v>Rak Penyimpanan Serbaguna</v>
      </c>
      <c r="G570">
        <f t="shared" si="16"/>
        <v>179000</v>
      </c>
      <c r="H570">
        <f>VLOOKUP(C570,products!A:D,4,FALSE)</f>
        <v>90000</v>
      </c>
      <c r="I570">
        <f t="shared" si="17"/>
        <v>89000</v>
      </c>
      <c r="J570" t="str">
        <f>VLOOKUP(B570,orders!A:B,2,FALSE)</f>
        <v>CUST0159</v>
      </c>
      <c r="K570" t="str">
        <f>VLOOKUP(J570,customers!A:F,6,FALSE)</f>
        <v>Bandung</v>
      </c>
    </row>
    <row r="571" spans="1:11" x14ac:dyDescent="0.35">
      <c r="A571" s="4" t="s">
        <v>1612</v>
      </c>
      <c r="B571" s="4" t="s">
        <v>81</v>
      </c>
      <c r="C571" s="4" t="s">
        <v>1044</v>
      </c>
      <c r="D571" s="4">
        <v>1</v>
      </c>
      <c r="E571" s="6">
        <v>329000</v>
      </c>
      <c r="F571" t="str">
        <f>VLOOKUP(C571,products!A:C,2,FALSE)</f>
        <v>Rice Cooker Mini 1.5L</v>
      </c>
      <c r="G571">
        <f t="shared" si="16"/>
        <v>329000</v>
      </c>
      <c r="H571">
        <f>VLOOKUP(C571,products!A:D,4,FALSE)</f>
        <v>180000</v>
      </c>
      <c r="I571">
        <f t="shared" si="17"/>
        <v>149000</v>
      </c>
      <c r="J571" t="str">
        <f>VLOOKUP(B571,orders!A:B,2,FALSE)</f>
        <v>CUST0159</v>
      </c>
      <c r="K571" t="str">
        <f>VLOOKUP(J571,customers!A:F,6,FALSE)</f>
        <v>Bandung</v>
      </c>
    </row>
    <row r="572" spans="1:11" x14ac:dyDescent="0.35">
      <c r="A572" s="4" t="s">
        <v>1613</v>
      </c>
      <c r="B572" s="4" t="s">
        <v>81</v>
      </c>
      <c r="C572" s="4" t="s">
        <v>1023</v>
      </c>
      <c r="D572" s="4">
        <v>1</v>
      </c>
      <c r="E572" s="6">
        <v>69000</v>
      </c>
      <c r="F572" t="str">
        <f>VLOOKUP(C572,products!A:C,2,FALSE)</f>
        <v>Lampu LED Hias 5m</v>
      </c>
      <c r="G572">
        <f t="shared" si="16"/>
        <v>69000</v>
      </c>
      <c r="H572">
        <f>VLOOKUP(C572,products!A:D,4,FALSE)</f>
        <v>30000</v>
      </c>
      <c r="I572">
        <f t="shared" si="17"/>
        <v>39000</v>
      </c>
      <c r="J572" t="str">
        <f>VLOOKUP(B572,orders!A:B,2,FALSE)</f>
        <v>CUST0159</v>
      </c>
      <c r="K572" t="str">
        <f>VLOOKUP(J572,customers!A:F,6,FALSE)</f>
        <v>Bandung</v>
      </c>
    </row>
    <row r="573" spans="1:11" x14ac:dyDescent="0.35">
      <c r="A573" s="4" t="s">
        <v>1614</v>
      </c>
      <c r="B573" s="4" t="s">
        <v>511</v>
      </c>
      <c r="C573" s="4" t="s">
        <v>1025</v>
      </c>
      <c r="D573" s="4">
        <v>1</v>
      </c>
      <c r="E573" s="6">
        <v>179000</v>
      </c>
      <c r="F573" t="str">
        <f>VLOOKUP(C573,products!A:C,2,FALSE)</f>
        <v>Rak Penyimpanan Serbaguna</v>
      </c>
      <c r="G573">
        <f t="shared" si="16"/>
        <v>179000</v>
      </c>
      <c r="H573">
        <f>VLOOKUP(C573,products!A:D,4,FALSE)</f>
        <v>90000</v>
      </c>
      <c r="I573">
        <f t="shared" si="17"/>
        <v>89000</v>
      </c>
      <c r="J573" t="str">
        <f>VLOOKUP(B573,orders!A:B,2,FALSE)</f>
        <v>CUST0134</v>
      </c>
      <c r="K573" t="str">
        <f>VLOOKUP(J573,customers!A:F,6,FALSE)</f>
        <v>Makassar</v>
      </c>
    </row>
    <row r="574" spans="1:11" x14ac:dyDescent="0.35">
      <c r="A574" s="4" t="s">
        <v>1615</v>
      </c>
      <c r="B574" s="4" t="s">
        <v>195</v>
      </c>
      <c r="C574" s="4" t="s">
        <v>1033</v>
      </c>
      <c r="D574" s="4">
        <v>1</v>
      </c>
      <c r="E574" s="6">
        <v>55000</v>
      </c>
      <c r="F574" t="str">
        <f>VLOOKUP(C574,products!A:C,2,FALSE)</f>
        <v>Sapu + Pengki Set</v>
      </c>
      <c r="G574">
        <f t="shared" si="16"/>
        <v>55000</v>
      </c>
      <c r="H574">
        <f>VLOOKUP(C574,products!A:D,4,FALSE)</f>
        <v>25000</v>
      </c>
      <c r="I574">
        <f t="shared" si="17"/>
        <v>30000</v>
      </c>
      <c r="J574" t="str">
        <f>VLOOKUP(B574,orders!A:B,2,FALSE)</f>
        <v>CUST0114</v>
      </c>
      <c r="K574" t="str">
        <f>VLOOKUP(J574,customers!A:F,6,FALSE)</f>
        <v>Denpasar</v>
      </c>
    </row>
    <row r="575" spans="1:11" x14ac:dyDescent="0.35">
      <c r="A575" s="4" t="s">
        <v>1616</v>
      </c>
      <c r="B575" s="4" t="s">
        <v>195</v>
      </c>
      <c r="C575" s="4" t="s">
        <v>1076</v>
      </c>
      <c r="D575" s="4">
        <v>3</v>
      </c>
      <c r="E575" s="6">
        <v>499000</v>
      </c>
      <c r="F575" t="str">
        <f>VLOOKUP(C575,products!A:C,2,FALSE)</f>
        <v>Smartwatch Lite</v>
      </c>
      <c r="G575">
        <f t="shared" si="16"/>
        <v>1497000</v>
      </c>
      <c r="H575">
        <f>VLOOKUP(C575,products!A:D,4,FALSE)</f>
        <v>250000</v>
      </c>
      <c r="I575">
        <f t="shared" si="17"/>
        <v>747000</v>
      </c>
      <c r="J575" t="str">
        <f>VLOOKUP(B575,orders!A:B,2,FALSE)</f>
        <v>CUST0114</v>
      </c>
      <c r="K575" t="str">
        <f>VLOOKUP(J575,customers!A:F,6,FALSE)</f>
        <v>Denpasar</v>
      </c>
    </row>
    <row r="576" spans="1:11" x14ac:dyDescent="0.35">
      <c r="A576" s="4" t="s">
        <v>1617</v>
      </c>
      <c r="B576" s="4" t="s">
        <v>195</v>
      </c>
      <c r="C576" s="4" t="s">
        <v>1023</v>
      </c>
      <c r="D576" s="4">
        <v>1</v>
      </c>
      <c r="E576" s="6">
        <v>69000</v>
      </c>
      <c r="F576" t="str">
        <f>VLOOKUP(C576,products!A:C,2,FALSE)</f>
        <v>Lampu LED Hias 5m</v>
      </c>
      <c r="G576">
        <f t="shared" si="16"/>
        <v>69000</v>
      </c>
      <c r="H576">
        <f>VLOOKUP(C576,products!A:D,4,FALSE)</f>
        <v>30000</v>
      </c>
      <c r="I576">
        <f t="shared" si="17"/>
        <v>39000</v>
      </c>
      <c r="J576" t="str">
        <f>VLOOKUP(B576,orders!A:B,2,FALSE)</f>
        <v>CUST0114</v>
      </c>
      <c r="K576" t="str">
        <f>VLOOKUP(J576,customers!A:F,6,FALSE)</f>
        <v>Denpasar</v>
      </c>
    </row>
    <row r="577" spans="1:11" x14ac:dyDescent="0.35">
      <c r="A577" s="4" t="s">
        <v>1618</v>
      </c>
      <c r="B577" s="4" t="s">
        <v>700</v>
      </c>
      <c r="C577" s="4" t="s">
        <v>1025</v>
      </c>
      <c r="D577" s="4">
        <v>2</v>
      </c>
      <c r="E577" s="6">
        <v>179000</v>
      </c>
      <c r="F577" t="str">
        <f>VLOOKUP(C577,products!A:C,2,FALSE)</f>
        <v>Rak Penyimpanan Serbaguna</v>
      </c>
      <c r="G577">
        <f t="shared" si="16"/>
        <v>358000</v>
      </c>
      <c r="H577">
        <f>VLOOKUP(C577,products!A:D,4,FALSE)</f>
        <v>90000</v>
      </c>
      <c r="I577">
        <f t="shared" si="17"/>
        <v>178000</v>
      </c>
      <c r="J577" t="str">
        <f>VLOOKUP(B577,orders!A:B,2,FALSE)</f>
        <v>CUST0110</v>
      </c>
      <c r="K577" t="str">
        <f>VLOOKUP(J577,customers!A:F,6,FALSE)</f>
        <v>Makassar</v>
      </c>
    </row>
    <row r="578" spans="1:11" x14ac:dyDescent="0.35">
      <c r="A578" s="4" t="s">
        <v>1619</v>
      </c>
      <c r="B578" s="4" t="s">
        <v>700</v>
      </c>
      <c r="C578" s="4" t="s">
        <v>1049</v>
      </c>
      <c r="D578" s="4">
        <v>3</v>
      </c>
      <c r="E578" s="6">
        <v>349000</v>
      </c>
      <c r="F578" t="str">
        <f>VLOOKUP(C578,products!A:C,2,FALSE)</f>
        <v>Sepatu Sneakers Casual</v>
      </c>
      <c r="G578">
        <f t="shared" si="16"/>
        <v>1047000</v>
      </c>
      <c r="H578">
        <f>VLOOKUP(C578,products!A:D,4,FALSE)</f>
        <v>180000</v>
      </c>
      <c r="I578">
        <f t="shared" si="17"/>
        <v>507000</v>
      </c>
      <c r="J578" t="str">
        <f>VLOOKUP(B578,orders!A:B,2,FALSE)</f>
        <v>CUST0110</v>
      </c>
      <c r="K578" t="str">
        <f>VLOOKUP(J578,customers!A:F,6,FALSE)</f>
        <v>Makassar</v>
      </c>
    </row>
    <row r="579" spans="1:11" x14ac:dyDescent="0.35">
      <c r="A579" s="4" t="s">
        <v>1620</v>
      </c>
      <c r="B579" s="4" t="s">
        <v>700</v>
      </c>
      <c r="C579" s="4" t="s">
        <v>1023</v>
      </c>
      <c r="D579" s="4">
        <v>2</v>
      </c>
      <c r="E579" s="6">
        <v>69000</v>
      </c>
      <c r="F579" t="str">
        <f>VLOOKUP(C579,products!A:C,2,FALSE)</f>
        <v>Lampu LED Hias 5m</v>
      </c>
      <c r="G579">
        <f t="shared" ref="G579:G642" si="18">D579*E579</f>
        <v>138000</v>
      </c>
      <c r="H579">
        <f>VLOOKUP(C579,products!A:D,4,FALSE)</f>
        <v>30000</v>
      </c>
      <c r="I579">
        <f t="shared" ref="I579:I642" si="19">(E579-H579)*D579</f>
        <v>78000</v>
      </c>
      <c r="J579" t="str">
        <f>VLOOKUP(B579,orders!A:B,2,FALSE)</f>
        <v>CUST0110</v>
      </c>
      <c r="K579" t="str">
        <f>VLOOKUP(J579,customers!A:F,6,FALSE)</f>
        <v>Makassar</v>
      </c>
    </row>
    <row r="580" spans="1:11" x14ac:dyDescent="0.35">
      <c r="A580" s="4" t="s">
        <v>1621</v>
      </c>
      <c r="B580" s="4" t="s">
        <v>700</v>
      </c>
      <c r="C580" s="4" t="s">
        <v>1053</v>
      </c>
      <c r="D580" s="4">
        <v>1</v>
      </c>
      <c r="E580" s="6">
        <v>129000</v>
      </c>
      <c r="F580" t="str">
        <f>VLOOKUP(C580,products!A:C,2,FALSE)</f>
        <v>Charger Fast Charging 33W</v>
      </c>
      <c r="G580">
        <f t="shared" si="18"/>
        <v>129000</v>
      </c>
      <c r="H580">
        <f>VLOOKUP(C580,products!A:D,4,FALSE)</f>
        <v>60000</v>
      </c>
      <c r="I580">
        <f t="shared" si="19"/>
        <v>69000</v>
      </c>
      <c r="J580" t="str">
        <f>VLOOKUP(B580,orders!A:B,2,FALSE)</f>
        <v>CUST0110</v>
      </c>
      <c r="K580" t="str">
        <f>VLOOKUP(J580,customers!A:F,6,FALSE)</f>
        <v>Makassar</v>
      </c>
    </row>
    <row r="581" spans="1:11" x14ac:dyDescent="0.35">
      <c r="A581" s="4" t="s">
        <v>1622</v>
      </c>
      <c r="B581" s="4" t="s">
        <v>746</v>
      </c>
      <c r="C581" s="4" t="s">
        <v>1025</v>
      </c>
      <c r="D581" s="4">
        <v>1</v>
      </c>
      <c r="E581" s="6">
        <v>179000</v>
      </c>
      <c r="F581" t="str">
        <f>VLOOKUP(C581,products!A:C,2,FALSE)</f>
        <v>Rak Penyimpanan Serbaguna</v>
      </c>
      <c r="G581">
        <f t="shared" si="18"/>
        <v>179000</v>
      </c>
      <c r="H581">
        <f>VLOOKUP(C581,products!A:D,4,FALSE)</f>
        <v>90000</v>
      </c>
      <c r="I581">
        <f t="shared" si="19"/>
        <v>89000</v>
      </c>
      <c r="J581" t="str">
        <f>VLOOKUP(B581,orders!A:B,2,FALSE)</f>
        <v>CUST0159</v>
      </c>
      <c r="K581" t="str">
        <f>VLOOKUP(J581,customers!A:F,6,FALSE)</f>
        <v>Bandung</v>
      </c>
    </row>
    <row r="582" spans="1:11" x14ac:dyDescent="0.35">
      <c r="A582" s="4" t="s">
        <v>1623</v>
      </c>
      <c r="B582" s="4" t="s">
        <v>746</v>
      </c>
      <c r="C582" s="4" t="s">
        <v>1029</v>
      </c>
      <c r="D582" s="4">
        <v>1</v>
      </c>
      <c r="E582" s="6">
        <v>39000</v>
      </c>
      <c r="F582" t="str">
        <f>VLOOKUP(C582,products!A:C,2,FALSE)</f>
        <v>Kabel Data USB-C</v>
      </c>
      <c r="G582">
        <f t="shared" si="18"/>
        <v>39000</v>
      </c>
      <c r="H582">
        <f>VLOOKUP(C582,products!A:D,4,FALSE)</f>
        <v>15000</v>
      </c>
      <c r="I582">
        <f t="shared" si="19"/>
        <v>24000</v>
      </c>
      <c r="J582" t="str">
        <f>VLOOKUP(B582,orders!A:B,2,FALSE)</f>
        <v>CUST0159</v>
      </c>
      <c r="K582" t="str">
        <f>VLOOKUP(J582,customers!A:F,6,FALSE)</f>
        <v>Bandung</v>
      </c>
    </row>
    <row r="583" spans="1:11" x14ac:dyDescent="0.35">
      <c r="A583" s="4" t="s">
        <v>1624</v>
      </c>
      <c r="B583" s="4" t="s">
        <v>746</v>
      </c>
      <c r="C583" s="4" t="s">
        <v>1053</v>
      </c>
      <c r="D583" s="4">
        <v>1</v>
      </c>
      <c r="E583" s="6">
        <v>129000</v>
      </c>
      <c r="F583" t="str">
        <f>VLOOKUP(C583,products!A:C,2,FALSE)</f>
        <v>Charger Fast Charging 33W</v>
      </c>
      <c r="G583">
        <f t="shared" si="18"/>
        <v>129000</v>
      </c>
      <c r="H583">
        <f>VLOOKUP(C583,products!A:D,4,FALSE)</f>
        <v>60000</v>
      </c>
      <c r="I583">
        <f t="shared" si="19"/>
        <v>69000</v>
      </c>
      <c r="J583" t="str">
        <f>VLOOKUP(B583,orders!A:B,2,FALSE)</f>
        <v>CUST0159</v>
      </c>
      <c r="K583" t="str">
        <f>VLOOKUP(J583,customers!A:F,6,FALSE)</f>
        <v>Bandung</v>
      </c>
    </row>
    <row r="584" spans="1:11" x14ac:dyDescent="0.35">
      <c r="A584" s="4" t="s">
        <v>1625</v>
      </c>
      <c r="B584" s="4" t="s">
        <v>231</v>
      </c>
      <c r="C584" s="4" t="s">
        <v>1084</v>
      </c>
      <c r="D584" s="4">
        <v>1</v>
      </c>
      <c r="E584" s="6">
        <v>79000</v>
      </c>
      <c r="F584" t="str">
        <f>VLOOKUP(C584,products!A:C,2,FALSE)</f>
        <v>Botol Minum Stainless 1L</v>
      </c>
      <c r="G584">
        <f t="shared" si="18"/>
        <v>79000</v>
      </c>
      <c r="H584">
        <f>VLOOKUP(C584,products!A:D,4,FALSE)</f>
        <v>35000</v>
      </c>
      <c r="I584">
        <f t="shared" si="19"/>
        <v>44000</v>
      </c>
      <c r="J584" t="str">
        <f>VLOOKUP(B584,orders!A:B,2,FALSE)</f>
        <v>CUST0190</v>
      </c>
      <c r="K584" t="str">
        <f>VLOOKUP(J584,customers!A:F,6,FALSE)</f>
        <v>Yogyakarta</v>
      </c>
    </row>
    <row r="585" spans="1:11" x14ac:dyDescent="0.35">
      <c r="A585" s="4" t="s">
        <v>1626</v>
      </c>
      <c r="B585" s="4" t="s">
        <v>231</v>
      </c>
      <c r="C585" s="4" t="s">
        <v>1200</v>
      </c>
      <c r="D585" s="4">
        <v>1</v>
      </c>
      <c r="E585" s="6">
        <v>209000</v>
      </c>
      <c r="F585" t="str">
        <f>VLOOKUP(C585,products!A:C,2,FALSE)</f>
        <v>Jaket Hoodie Unisex</v>
      </c>
      <c r="G585">
        <f t="shared" si="18"/>
        <v>209000</v>
      </c>
      <c r="H585">
        <f>VLOOKUP(C585,products!A:D,4,FALSE)</f>
        <v>95000</v>
      </c>
      <c r="I585">
        <f t="shared" si="19"/>
        <v>114000</v>
      </c>
      <c r="J585" t="str">
        <f>VLOOKUP(B585,orders!A:B,2,FALSE)</f>
        <v>CUST0190</v>
      </c>
      <c r="K585" t="str">
        <f>VLOOKUP(J585,customers!A:F,6,FALSE)</f>
        <v>Yogyakarta</v>
      </c>
    </row>
    <row r="586" spans="1:11" x14ac:dyDescent="0.35">
      <c r="A586" s="4" t="s">
        <v>1627</v>
      </c>
      <c r="B586" s="4" t="s">
        <v>231</v>
      </c>
      <c r="C586" s="4" t="s">
        <v>1023</v>
      </c>
      <c r="D586" s="4">
        <v>2</v>
      </c>
      <c r="E586" s="6">
        <v>69000</v>
      </c>
      <c r="F586" t="str">
        <f>VLOOKUP(C586,products!A:C,2,FALSE)</f>
        <v>Lampu LED Hias 5m</v>
      </c>
      <c r="G586">
        <f t="shared" si="18"/>
        <v>138000</v>
      </c>
      <c r="H586">
        <f>VLOOKUP(C586,products!A:D,4,FALSE)</f>
        <v>30000</v>
      </c>
      <c r="I586">
        <f t="shared" si="19"/>
        <v>78000</v>
      </c>
      <c r="J586" t="str">
        <f>VLOOKUP(B586,orders!A:B,2,FALSE)</f>
        <v>CUST0190</v>
      </c>
      <c r="K586" t="str">
        <f>VLOOKUP(J586,customers!A:F,6,FALSE)</f>
        <v>Yogyakarta</v>
      </c>
    </row>
    <row r="587" spans="1:11" x14ac:dyDescent="0.35">
      <c r="A587" s="4" t="s">
        <v>1628</v>
      </c>
      <c r="B587" s="4" t="s">
        <v>499</v>
      </c>
      <c r="C587" s="4" t="s">
        <v>1044</v>
      </c>
      <c r="D587" s="4">
        <v>3</v>
      </c>
      <c r="E587" s="6">
        <v>329000</v>
      </c>
      <c r="F587" t="str">
        <f>VLOOKUP(C587,products!A:C,2,FALSE)</f>
        <v>Rice Cooker Mini 1.5L</v>
      </c>
      <c r="G587">
        <f t="shared" si="18"/>
        <v>987000</v>
      </c>
      <c r="H587">
        <f>VLOOKUP(C587,products!A:D,4,FALSE)</f>
        <v>180000</v>
      </c>
      <c r="I587">
        <f t="shared" si="19"/>
        <v>447000</v>
      </c>
      <c r="J587" t="str">
        <f>VLOOKUP(B587,orders!A:B,2,FALSE)</f>
        <v>CUST0054</v>
      </c>
      <c r="K587" t="str">
        <f>VLOOKUP(J587,customers!A:F,6,FALSE)</f>
        <v>Bandung</v>
      </c>
    </row>
    <row r="588" spans="1:11" x14ac:dyDescent="0.35">
      <c r="A588" s="4" t="s">
        <v>1629</v>
      </c>
      <c r="B588" s="4" t="s">
        <v>499</v>
      </c>
      <c r="C588" s="4" t="s">
        <v>1029</v>
      </c>
      <c r="D588" s="4">
        <v>1</v>
      </c>
      <c r="E588" s="6">
        <v>39000</v>
      </c>
      <c r="F588" t="str">
        <f>VLOOKUP(C588,products!A:C,2,FALSE)</f>
        <v>Kabel Data USB-C</v>
      </c>
      <c r="G588">
        <f t="shared" si="18"/>
        <v>39000</v>
      </c>
      <c r="H588">
        <f>VLOOKUP(C588,products!A:D,4,FALSE)</f>
        <v>15000</v>
      </c>
      <c r="I588">
        <f t="shared" si="19"/>
        <v>24000</v>
      </c>
      <c r="J588" t="str">
        <f>VLOOKUP(B588,orders!A:B,2,FALSE)</f>
        <v>CUST0054</v>
      </c>
      <c r="K588" t="str">
        <f>VLOOKUP(J588,customers!A:F,6,FALSE)</f>
        <v>Bandung</v>
      </c>
    </row>
    <row r="589" spans="1:11" x14ac:dyDescent="0.35">
      <c r="A589" s="4" t="s">
        <v>1630</v>
      </c>
      <c r="B589" s="4" t="s">
        <v>449</v>
      </c>
      <c r="C589" s="4" t="s">
        <v>1049</v>
      </c>
      <c r="D589" s="4">
        <v>1</v>
      </c>
      <c r="E589" s="6">
        <v>349000</v>
      </c>
      <c r="F589" t="str">
        <f>VLOOKUP(C589,products!A:C,2,FALSE)</f>
        <v>Sepatu Sneakers Casual</v>
      </c>
      <c r="G589">
        <f t="shared" si="18"/>
        <v>349000</v>
      </c>
      <c r="H589">
        <f>VLOOKUP(C589,products!A:D,4,FALSE)</f>
        <v>180000</v>
      </c>
      <c r="I589">
        <f t="shared" si="19"/>
        <v>169000</v>
      </c>
      <c r="J589" t="str">
        <f>VLOOKUP(B589,orders!A:B,2,FALSE)</f>
        <v>CUST0068</v>
      </c>
      <c r="K589" t="str">
        <f>VLOOKUP(J589,customers!A:F,6,FALSE)</f>
        <v>Denpasar</v>
      </c>
    </row>
    <row r="590" spans="1:11" x14ac:dyDescent="0.35">
      <c r="A590" s="4" t="s">
        <v>1631</v>
      </c>
      <c r="B590" s="4" t="s">
        <v>943</v>
      </c>
      <c r="C590" s="4" t="s">
        <v>1049</v>
      </c>
      <c r="D590" s="4">
        <v>1</v>
      </c>
      <c r="E590" s="6">
        <v>349000</v>
      </c>
      <c r="F590" t="str">
        <f>VLOOKUP(C590,products!A:C,2,FALSE)</f>
        <v>Sepatu Sneakers Casual</v>
      </c>
      <c r="G590">
        <f t="shared" si="18"/>
        <v>349000</v>
      </c>
      <c r="H590">
        <f>VLOOKUP(C590,products!A:D,4,FALSE)</f>
        <v>180000</v>
      </c>
      <c r="I590">
        <f t="shared" si="19"/>
        <v>169000</v>
      </c>
      <c r="J590" t="str">
        <f>VLOOKUP(B590,orders!A:B,2,FALSE)</f>
        <v>CUST0041</v>
      </c>
      <c r="K590" t="str">
        <f>VLOOKUP(J590,customers!A:F,6,FALSE)</f>
        <v>Palembang</v>
      </c>
    </row>
    <row r="591" spans="1:11" x14ac:dyDescent="0.35">
      <c r="A591" s="4" t="s">
        <v>1632</v>
      </c>
      <c r="B591" s="4" t="s">
        <v>521</v>
      </c>
      <c r="C591" s="4" t="s">
        <v>1023</v>
      </c>
      <c r="D591" s="4">
        <v>2</v>
      </c>
      <c r="E591" s="6">
        <v>69000</v>
      </c>
      <c r="F591" t="str">
        <f>VLOOKUP(C591,products!A:C,2,FALSE)</f>
        <v>Lampu LED Hias 5m</v>
      </c>
      <c r="G591">
        <f t="shared" si="18"/>
        <v>138000</v>
      </c>
      <c r="H591">
        <f>VLOOKUP(C591,products!A:D,4,FALSE)</f>
        <v>30000</v>
      </c>
      <c r="I591">
        <f t="shared" si="19"/>
        <v>78000</v>
      </c>
      <c r="J591" t="str">
        <f>VLOOKUP(B591,orders!A:B,2,FALSE)</f>
        <v>CUST0142</v>
      </c>
      <c r="K591" t="str">
        <f>VLOOKUP(J591,customers!A:F,6,FALSE)</f>
        <v>Bandung</v>
      </c>
    </row>
    <row r="592" spans="1:11" x14ac:dyDescent="0.35">
      <c r="A592" s="4" t="s">
        <v>1633</v>
      </c>
      <c r="B592" s="4" t="s">
        <v>242</v>
      </c>
      <c r="C592" s="4" t="s">
        <v>1023</v>
      </c>
      <c r="D592" s="4">
        <v>1</v>
      </c>
      <c r="E592" s="6">
        <v>69000</v>
      </c>
      <c r="F592" t="str">
        <f>VLOOKUP(C592,products!A:C,2,FALSE)</f>
        <v>Lampu LED Hias 5m</v>
      </c>
      <c r="G592">
        <f t="shared" si="18"/>
        <v>69000</v>
      </c>
      <c r="H592">
        <f>VLOOKUP(C592,products!A:D,4,FALSE)</f>
        <v>30000</v>
      </c>
      <c r="I592">
        <f t="shared" si="19"/>
        <v>39000</v>
      </c>
      <c r="J592" t="str">
        <f>VLOOKUP(B592,orders!A:B,2,FALSE)</f>
        <v>CUST0105</v>
      </c>
      <c r="K592" t="str">
        <f>VLOOKUP(J592,customers!A:F,6,FALSE)</f>
        <v>Jakarta</v>
      </c>
    </row>
    <row r="593" spans="1:11" x14ac:dyDescent="0.35">
      <c r="A593" s="4" t="s">
        <v>1634</v>
      </c>
      <c r="B593" s="4" t="s">
        <v>242</v>
      </c>
      <c r="C593" s="4" t="s">
        <v>1053</v>
      </c>
      <c r="D593" s="4">
        <v>3</v>
      </c>
      <c r="E593" s="6">
        <v>129000</v>
      </c>
      <c r="F593" t="str">
        <f>VLOOKUP(C593,products!A:C,2,FALSE)</f>
        <v>Charger Fast Charging 33W</v>
      </c>
      <c r="G593">
        <f t="shared" si="18"/>
        <v>387000</v>
      </c>
      <c r="H593">
        <f>VLOOKUP(C593,products!A:D,4,FALSE)</f>
        <v>60000</v>
      </c>
      <c r="I593">
        <f t="shared" si="19"/>
        <v>207000</v>
      </c>
      <c r="J593" t="str">
        <f>VLOOKUP(B593,orders!A:B,2,FALSE)</f>
        <v>CUST0105</v>
      </c>
      <c r="K593" t="str">
        <f>VLOOKUP(J593,customers!A:F,6,FALSE)</f>
        <v>Jakarta</v>
      </c>
    </row>
    <row r="594" spans="1:11" x14ac:dyDescent="0.35">
      <c r="A594" s="4" t="s">
        <v>1635</v>
      </c>
      <c r="B594" s="4" t="s">
        <v>242</v>
      </c>
      <c r="C594" s="4" t="s">
        <v>1040</v>
      </c>
      <c r="D594" s="4">
        <v>1</v>
      </c>
      <c r="E594" s="6">
        <v>99000</v>
      </c>
      <c r="F594" t="str">
        <f>VLOOKUP(C594,products!A:C,2,FALSE)</f>
        <v>Mouse Wireless</v>
      </c>
      <c r="G594">
        <f t="shared" si="18"/>
        <v>99000</v>
      </c>
      <c r="H594">
        <f>VLOOKUP(C594,products!A:D,4,FALSE)</f>
        <v>45000</v>
      </c>
      <c r="I594">
        <f t="shared" si="19"/>
        <v>54000</v>
      </c>
      <c r="J594" t="str">
        <f>VLOOKUP(B594,orders!A:B,2,FALSE)</f>
        <v>CUST0105</v>
      </c>
      <c r="K594" t="str">
        <f>VLOOKUP(J594,customers!A:F,6,FALSE)</f>
        <v>Jakarta</v>
      </c>
    </row>
    <row r="595" spans="1:11" x14ac:dyDescent="0.35">
      <c r="A595" s="4" t="s">
        <v>1636</v>
      </c>
      <c r="B595" s="4" t="s">
        <v>431</v>
      </c>
      <c r="C595" s="4" t="s">
        <v>1023</v>
      </c>
      <c r="D595" s="4">
        <v>1</v>
      </c>
      <c r="E595" s="6">
        <v>69000</v>
      </c>
      <c r="F595" t="str">
        <f>VLOOKUP(C595,products!A:C,2,FALSE)</f>
        <v>Lampu LED Hias 5m</v>
      </c>
      <c r="G595">
        <f t="shared" si="18"/>
        <v>69000</v>
      </c>
      <c r="H595">
        <f>VLOOKUP(C595,products!A:D,4,FALSE)</f>
        <v>30000</v>
      </c>
      <c r="I595">
        <f t="shared" si="19"/>
        <v>39000</v>
      </c>
      <c r="J595" t="str">
        <f>VLOOKUP(B595,orders!A:B,2,FALSE)</f>
        <v>CUST0153</v>
      </c>
      <c r="K595" t="str">
        <f>VLOOKUP(J595,customers!A:F,6,FALSE)</f>
        <v>Depok</v>
      </c>
    </row>
    <row r="596" spans="1:11" x14ac:dyDescent="0.35">
      <c r="A596" s="4" t="s">
        <v>1637</v>
      </c>
      <c r="B596" s="4" t="s">
        <v>426</v>
      </c>
      <c r="C596" s="4" t="s">
        <v>1053</v>
      </c>
      <c r="D596" s="4">
        <v>1</v>
      </c>
      <c r="E596" s="6">
        <v>129000</v>
      </c>
      <c r="F596" t="str">
        <f>VLOOKUP(C596,products!A:C,2,FALSE)</f>
        <v>Charger Fast Charging 33W</v>
      </c>
      <c r="G596">
        <f t="shared" si="18"/>
        <v>129000</v>
      </c>
      <c r="H596">
        <f>VLOOKUP(C596,products!A:D,4,FALSE)</f>
        <v>60000</v>
      </c>
      <c r="I596">
        <f t="shared" si="19"/>
        <v>69000</v>
      </c>
      <c r="J596" t="str">
        <f>VLOOKUP(B596,orders!A:B,2,FALSE)</f>
        <v>CUST0060</v>
      </c>
      <c r="K596" t="str">
        <f>VLOOKUP(J596,customers!A:F,6,FALSE)</f>
        <v>Palembang</v>
      </c>
    </row>
    <row r="597" spans="1:11" x14ac:dyDescent="0.35">
      <c r="A597" s="4" t="s">
        <v>1638</v>
      </c>
      <c r="B597" s="4" t="s">
        <v>517</v>
      </c>
      <c r="C597" s="4" t="s">
        <v>1023</v>
      </c>
      <c r="D597" s="4">
        <v>2</v>
      </c>
      <c r="E597" s="6">
        <v>69000</v>
      </c>
      <c r="F597" t="str">
        <f>VLOOKUP(C597,products!A:C,2,FALSE)</f>
        <v>Lampu LED Hias 5m</v>
      </c>
      <c r="G597">
        <f t="shared" si="18"/>
        <v>138000</v>
      </c>
      <c r="H597">
        <f>VLOOKUP(C597,products!A:D,4,FALSE)</f>
        <v>30000</v>
      </c>
      <c r="I597">
        <f t="shared" si="19"/>
        <v>78000</v>
      </c>
      <c r="J597" t="str">
        <f>VLOOKUP(B597,orders!A:B,2,FALSE)</f>
        <v>CUST0073</v>
      </c>
      <c r="K597" t="str">
        <f>VLOOKUP(J597,customers!A:F,6,FALSE)</f>
        <v>Surabaya</v>
      </c>
    </row>
    <row r="598" spans="1:11" x14ac:dyDescent="0.35">
      <c r="A598" s="4" t="s">
        <v>1639</v>
      </c>
      <c r="B598" s="4" t="s">
        <v>816</v>
      </c>
      <c r="C598" s="4" t="s">
        <v>1023</v>
      </c>
      <c r="D598" s="4">
        <v>1</v>
      </c>
      <c r="E598" s="6">
        <v>69000</v>
      </c>
      <c r="F598" t="str">
        <f>VLOOKUP(C598,products!A:C,2,FALSE)</f>
        <v>Lampu LED Hias 5m</v>
      </c>
      <c r="G598">
        <f t="shared" si="18"/>
        <v>69000</v>
      </c>
      <c r="H598">
        <f>VLOOKUP(C598,products!A:D,4,FALSE)</f>
        <v>30000</v>
      </c>
      <c r="I598">
        <f t="shared" si="19"/>
        <v>39000</v>
      </c>
      <c r="J598" t="str">
        <f>VLOOKUP(B598,orders!A:B,2,FALSE)</f>
        <v>CUST0117</v>
      </c>
      <c r="K598" t="str">
        <f>VLOOKUP(J598,customers!A:F,6,FALSE)</f>
        <v>Semarang</v>
      </c>
    </row>
    <row r="599" spans="1:11" x14ac:dyDescent="0.35">
      <c r="A599" s="4" t="s">
        <v>1640</v>
      </c>
      <c r="B599" s="4" t="s">
        <v>816</v>
      </c>
      <c r="C599" s="4" t="s">
        <v>1029</v>
      </c>
      <c r="D599" s="4">
        <v>1</v>
      </c>
      <c r="E599" s="6">
        <v>39000</v>
      </c>
      <c r="F599" t="str">
        <f>VLOOKUP(C599,products!A:C,2,FALSE)</f>
        <v>Kabel Data USB-C</v>
      </c>
      <c r="G599">
        <f t="shared" si="18"/>
        <v>39000</v>
      </c>
      <c r="H599">
        <f>VLOOKUP(C599,products!A:D,4,FALSE)</f>
        <v>15000</v>
      </c>
      <c r="I599">
        <f t="shared" si="19"/>
        <v>24000</v>
      </c>
      <c r="J599" t="str">
        <f>VLOOKUP(B599,orders!A:B,2,FALSE)</f>
        <v>CUST0117</v>
      </c>
      <c r="K599" t="str">
        <f>VLOOKUP(J599,customers!A:F,6,FALSE)</f>
        <v>Semarang</v>
      </c>
    </row>
    <row r="600" spans="1:11" x14ac:dyDescent="0.35">
      <c r="A600" s="4" t="s">
        <v>1641</v>
      </c>
      <c r="B600" s="4" t="s">
        <v>66</v>
      </c>
      <c r="C600" s="4" t="s">
        <v>1029</v>
      </c>
      <c r="D600" s="4">
        <v>1</v>
      </c>
      <c r="E600" s="6">
        <v>39000</v>
      </c>
      <c r="F600" t="str">
        <f>VLOOKUP(C600,products!A:C,2,FALSE)</f>
        <v>Kabel Data USB-C</v>
      </c>
      <c r="G600">
        <f t="shared" si="18"/>
        <v>39000</v>
      </c>
      <c r="H600">
        <f>VLOOKUP(C600,products!A:D,4,FALSE)</f>
        <v>15000</v>
      </c>
      <c r="I600">
        <f t="shared" si="19"/>
        <v>24000</v>
      </c>
      <c r="J600" t="str">
        <f>VLOOKUP(B600,orders!A:B,2,FALSE)</f>
        <v>CUST0060</v>
      </c>
      <c r="K600" t="str">
        <f>VLOOKUP(J600,customers!A:F,6,FALSE)</f>
        <v>Palembang</v>
      </c>
    </row>
    <row r="601" spans="1:11" x14ac:dyDescent="0.35">
      <c r="A601" s="4" t="s">
        <v>1642</v>
      </c>
      <c r="B601" s="4" t="s">
        <v>66</v>
      </c>
      <c r="C601" s="4" t="s">
        <v>1023</v>
      </c>
      <c r="D601" s="4">
        <v>1</v>
      </c>
      <c r="E601" s="6">
        <v>69000</v>
      </c>
      <c r="F601" t="str">
        <f>VLOOKUP(C601,products!A:C,2,FALSE)</f>
        <v>Lampu LED Hias 5m</v>
      </c>
      <c r="G601">
        <f t="shared" si="18"/>
        <v>69000</v>
      </c>
      <c r="H601">
        <f>VLOOKUP(C601,products!A:D,4,FALSE)</f>
        <v>30000</v>
      </c>
      <c r="I601">
        <f t="shared" si="19"/>
        <v>39000</v>
      </c>
      <c r="J601" t="str">
        <f>VLOOKUP(B601,orders!A:B,2,FALSE)</f>
        <v>CUST0060</v>
      </c>
      <c r="K601" t="str">
        <f>VLOOKUP(J601,customers!A:F,6,FALSE)</f>
        <v>Palembang</v>
      </c>
    </row>
    <row r="602" spans="1:11" x14ac:dyDescent="0.35">
      <c r="A602" s="4" t="s">
        <v>1643</v>
      </c>
      <c r="B602" s="4" t="s">
        <v>66</v>
      </c>
      <c r="C602" s="4" t="s">
        <v>1031</v>
      </c>
      <c r="D602" s="4">
        <v>1</v>
      </c>
      <c r="E602" s="6">
        <v>79000</v>
      </c>
      <c r="F602" t="str">
        <f>VLOOKUP(C602,products!A:C,2,FALSE)</f>
        <v>Kaos Polos Cotton Combed</v>
      </c>
      <c r="G602">
        <f t="shared" si="18"/>
        <v>79000</v>
      </c>
      <c r="H602">
        <f>VLOOKUP(C602,products!A:D,4,FALSE)</f>
        <v>35000</v>
      </c>
      <c r="I602">
        <f t="shared" si="19"/>
        <v>44000</v>
      </c>
      <c r="J602" t="str">
        <f>VLOOKUP(B602,orders!A:B,2,FALSE)</f>
        <v>CUST0060</v>
      </c>
      <c r="K602" t="str">
        <f>VLOOKUP(J602,customers!A:F,6,FALSE)</f>
        <v>Palembang</v>
      </c>
    </row>
    <row r="603" spans="1:11" x14ac:dyDescent="0.35">
      <c r="A603" s="4" t="s">
        <v>1644</v>
      </c>
      <c r="B603" s="4" t="s">
        <v>685</v>
      </c>
      <c r="C603" s="4" t="s">
        <v>1023</v>
      </c>
      <c r="D603" s="4">
        <v>1</v>
      </c>
      <c r="E603" s="6">
        <v>69000</v>
      </c>
      <c r="F603" t="str">
        <f>VLOOKUP(C603,products!A:C,2,FALSE)</f>
        <v>Lampu LED Hias 5m</v>
      </c>
      <c r="G603">
        <f t="shared" si="18"/>
        <v>69000</v>
      </c>
      <c r="H603">
        <f>VLOOKUP(C603,products!A:D,4,FALSE)</f>
        <v>30000</v>
      </c>
      <c r="I603">
        <f t="shared" si="19"/>
        <v>39000</v>
      </c>
      <c r="J603" t="str">
        <f>VLOOKUP(B603,orders!A:B,2,FALSE)</f>
        <v>CUST0161</v>
      </c>
      <c r="K603" t="str">
        <f>VLOOKUP(J603,customers!A:F,6,FALSE)</f>
        <v>Medan</v>
      </c>
    </row>
    <row r="604" spans="1:11" x14ac:dyDescent="0.35">
      <c r="A604" s="4" t="s">
        <v>1645</v>
      </c>
      <c r="B604" s="4" t="s">
        <v>685</v>
      </c>
      <c r="C604" s="4" t="s">
        <v>1025</v>
      </c>
      <c r="D604" s="4">
        <v>1</v>
      </c>
      <c r="E604" s="6">
        <v>179000</v>
      </c>
      <c r="F604" t="str">
        <f>VLOOKUP(C604,products!A:C,2,FALSE)</f>
        <v>Rak Penyimpanan Serbaguna</v>
      </c>
      <c r="G604">
        <f t="shared" si="18"/>
        <v>179000</v>
      </c>
      <c r="H604">
        <f>VLOOKUP(C604,products!A:D,4,FALSE)</f>
        <v>90000</v>
      </c>
      <c r="I604">
        <f t="shared" si="19"/>
        <v>89000</v>
      </c>
      <c r="J604" t="str">
        <f>VLOOKUP(B604,orders!A:B,2,FALSE)</f>
        <v>CUST0161</v>
      </c>
      <c r="K604" t="str">
        <f>VLOOKUP(J604,customers!A:F,6,FALSE)</f>
        <v>Medan</v>
      </c>
    </row>
    <row r="605" spans="1:11" x14ac:dyDescent="0.35">
      <c r="A605" s="4" t="s">
        <v>1646</v>
      </c>
      <c r="B605" s="4" t="s">
        <v>685</v>
      </c>
      <c r="C605" s="4" t="s">
        <v>1033</v>
      </c>
      <c r="D605" s="4">
        <v>2</v>
      </c>
      <c r="E605" s="6">
        <v>55000</v>
      </c>
      <c r="F605" t="str">
        <f>VLOOKUP(C605,products!A:C,2,FALSE)</f>
        <v>Sapu + Pengki Set</v>
      </c>
      <c r="G605">
        <f t="shared" si="18"/>
        <v>110000</v>
      </c>
      <c r="H605">
        <f>VLOOKUP(C605,products!A:D,4,FALSE)</f>
        <v>25000</v>
      </c>
      <c r="I605">
        <f t="shared" si="19"/>
        <v>60000</v>
      </c>
      <c r="J605" t="str">
        <f>VLOOKUP(B605,orders!A:B,2,FALSE)</f>
        <v>CUST0161</v>
      </c>
      <c r="K605" t="str">
        <f>VLOOKUP(J605,customers!A:F,6,FALSE)</f>
        <v>Medan</v>
      </c>
    </row>
    <row r="606" spans="1:11" x14ac:dyDescent="0.35">
      <c r="A606" s="4" t="s">
        <v>1647</v>
      </c>
      <c r="B606" s="4" t="s">
        <v>795</v>
      </c>
      <c r="C606" s="4" t="s">
        <v>1023</v>
      </c>
      <c r="D606" s="4">
        <v>2</v>
      </c>
      <c r="E606" s="6">
        <v>69000</v>
      </c>
      <c r="F606" t="str">
        <f>VLOOKUP(C606,products!A:C,2,FALSE)</f>
        <v>Lampu LED Hias 5m</v>
      </c>
      <c r="G606">
        <f t="shared" si="18"/>
        <v>138000</v>
      </c>
      <c r="H606">
        <f>VLOOKUP(C606,products!A:D,4,FALSE)</f>
        <v>30000</v>
      </c>
      <c r="I606">
        <f t="shared" si="19"/>
        <v>78000</v>
      </c>
      <c r="J606" t="str">
        <f>VLOOKUP(B606,orders!A:B,2,FALSE)</f>
        <v>CUST0051</v>
      </c>
      <c r="K606" t="str">
        <f>VLOOKUP(J606,customers!A:F,6,FALSE)</f>
        <v>Jakarta</v>
      </c>
    </row>
    <row r="607" spans="1:11" x14ac:dyDescent="0.35">
      <c r="A607" s="4" t="s">
        <v>1648</v>
      </c>
      <c r="B607" s="4" t="s">
        <v>525</v>
      </c>
      <c r="C607" s="4" t="s">
        <v>1053</v>
      </c>
      <c r="D607" s="4">
        <v>2</v>
      </c>
      <c r="E607" s="6">
        <v>129000</v>
      </c>
      <c r="F607" t="str">
        <f>VLOOKUP(C607,products!A:C,2,FALSE)</f>
        <v>Charger Fast Charging 33W</v>
      </c>
      <c r="G607">
        <f t="shared" si="18"/>
        <v>258000</v>
      </c>
      <c r="H607">
        <f>VLOOKUP(C607,products!A:D,4,FALSE)</f>
        <v>60000</v>
      </c>
      <c r="I607">
        <f t="shared" si="19"/>
        <v>138000</v>
      </c>
      <c r="J607" t="str">
        <f>VLOOKUP(B607,orders!A:B,2,FALSE)</f>
        <v>CUST0140</v>
      </c>
      <c r="K607" t="str">
        <f>VLOOKUP(J607,customers!A:F,6,FALSE)</f>
        <v>Depok</v>
      </c>
    </row>
    <row r="608" spans="1:11" x14ac:dyDescent="0.35">
      <c r="A608" s="4" t="s">
        <v>1649</v>
      </c>
      <c r="B608" s="4" t="s">
        <v>422</v>
      </c>
      <c r="C608" s="4" t="s">
        <v>1049</v>
      </c>
      <c r="D608" s="4">
        <v>1</v>
      </c>
      <c r="E608" s="6">
        <v>349000</v>
      </c>
      <c r="F608" t="str">
        <f>VLOOKUP(C608,products!A:C,2,FALSE)</f>
        <v>Sepatu Sneakers Casual</v>
      </c>
      <c r="G608">
        <f t="shared" si="18"/>
        <v>349000</v>
      </c>
      <c r="H608">
        <f>VLOOKUP(C608,products!A:D,4,FALSE)</f>
        <v>180000</v>
      </c>
      <c r="I608">
        <f t="shared" si="19"/>
        <v>169000</v>
      </c>
      <c r="J608" t="str">
        <f>VLOOKUP(B608,orders!A:B,2,FALSE)</f>
        <v>CUST0039</v>
      </c>
      <c r="K608" t="str">
        <f>VLOOKUP(J608,customers!A:F,6,FALSE)</f>
        <v>Yogyakarta</v>
      </c>
    </row>
    <row r="609" spans="1:11" x14ac:dyDescent="0.35">
      <c r="A609" s="4" t="s">
        <v>1650</v>
      </c>
      <c r="B609" s="4" t="s">
        <v>422</v>
      </c>
      <c r="C609" s="4" t="s">
        <v>1082</v>
      </c>
      <c r="D609" s="4">
        <v>3</v>
      </c>
      <c r="E609" s="6">
        <v>399000</v>
      </c>
      <c r="F609" t="str">
        <f>VLOOKUP(C609,products!A:C,2,FALSE)</f>
        <v>Keyboard Mechanical Mini</v>
      </c>
      <c r="G609">
        <f t="shared" si="18"/>
        <v>1197000</v>
      </c>
      <c r="H609">
        <f>VLOOKUP(C609,products!A:D,4,FALSE)</f>
        <v>200000</v>
      </c>
      <c r="I609">
        <f t="shared" si="19"/>
        <v>597000</v>
      </c>
      <c r="J609" t="str">
        <f>VLOOKUP(B609,orders!A:B,2,FALSE)</f>
        <v>CUST0039</v>
      </c>
      <c r="K609" t="str">
        <f>VLOOKUP(J609,customers!A:F,6,FALSE)</f>
        <v>Yogyakarta</v>
      </c>
    </row>
    <row r="610" spans="1:11" x14ac:dyDescent="0.35">
      <c r="A610" s="4" t="s">
        <v>1651</v>
      </c>
      <c r="B610" s="4" t="s">
        <v>941</v>
      </c>
      <c r="C610" s="4" t="s">
        <v>1029</v>
      </c>
      <c r="D610" s="4">
        <v>1</v>
      </c>
      <c r="E610" s="6">
        <v>39000</v>
      </c>
      <c r="F610" t="str">
        <f>VLOOKUP(C610,products!A:C,2,FALSE)</f>
        <v>Kabel Data USB-C</v>
      </c>
      <c r="G610">
        <f t="shared" si="18"/>
        <v>39000</v>
      </c>
      <c r="H610">
        <f>VLOOKUP(C610,products!A:D,4,FALSE)</f>
        <v>15000</v>
      </c>
      <c r="I610">
        <f t="shared" si="19"/>
        <v>24000</v>
      </c>
      <c r="J610" t="str">
        <f>VLOOKUP(B610,orders!A:B,2,FALSE)</f>
        <v>CUST0037</v>
      </c>
      <c r="K610" t="str">
        <f>VLOOKUP(J610,customers!A:F,6,FALSE)</f>
        <v>Jakarta</v>
      </c>
    </row>
    <row r="611" spans="1:11" x14ac:dyDescent="0.35">
      <c r="A611" s="4" t="s">
        <v>1652</v>
      </c>
      <c r="B611" s="4" t="s">
        <v>1017</v>
      </c>
      <c r="C611" s="4" t="s">
        <v>1023</v>
      </c>
      <c r="D611" s="4">
        <v>2</v>
      </c>
      <c r="E611" s="6">
        <v>69000</v>
      </c>
      <c r="F611" t="str">
        <f>VLOOKUP(C611,products!A:C,2,FALSE)</f>
        <v>Lampu LED Hias 5m</v>
      </c>
      <c r="G611">
        <f t="shared" si="18"/>
        <v>138000</v>
      </c>
      <c r="H611">
        <f>VLOOKUP(C611,products!A:D,4,FALSE)</f>
        <v>30000</v>
      </c>
      <c r="I611">
        <f t="shared" si="19"/>
        <v>78000</v>
      </c>
      <c r="J611" t="str">
        <f>VLOOKUP(B611,orders!A:B,2,FALSE)</f>
        <v>CUST0079</v>
      </c>
      <c r="K611" t="str">
        <f>VLOOKUP(J611,customers!A:F,6,FALSE)</f>
        <v>Makassar</v>
      </c>
    </row>
    <row r="612" spans="1:11" x14ac:dyDescent="0.35">
      <c r="A612" s="4" t="s">
        <v>1653</v>
      </c>
      <c r="B612" s="4" t="s">
        <v>1017</v>
      </c>
      <c r="C612" s="4" t="s">
        <v>1053</v>
      </c>
      <c r="D612" s="4">
        <v>3</v>
      </c>
      <c r="E612" s="6">
        <v>129000</v>
      </c>
      <c r="F612" t="str">
        <f>VLOOKUP(C612,products!A:C,2,FALSE)</f>
        <v>Charger Fast Charging 33W</v>
      </c>
      <c r="G612">
        <f t="shared" si="18"/>
        <v>387000</v>
      </c>
      <c r="H612">
        <f>VLOOKUP(C612,products!A:D,4,FALSE)</f>
        <v>60000</v>
      </c>
      <c r="I612">
        <f t="shared" si="19"/>
        <v>207000</v>
      </c>
      <c r="J612" t="str">
        <f>VLOOKUP(B612,orders!A:B,2,FALSE)</f>
        <v>CUST0079</v>
      </c>
      <c r="K612" t="str">
        <f>VLOOKUP(J612,customers!A:F,6,FALSE)</f>
        <v>Makassar</v>
      </c>
    </row>
    <row r="613" spans="1:11" x14ac:dyDescent="0.35">
      <c r="A613" s="4" t="s">
        <v>1654</v>
      </c>
      <c r="B613" s="4" t="s">
        <v>1017</v>
      </c>
      <c r="C613" s="4" t="s">
        <v>1049</v>
      </c>
      <c r="D613" s="4">
        <v>1</v>
      </c>
      <c r="E613" s="6">
        <v>349000</v>
      </c>
      <c r="F613" t="str">
        <f>VLOOKUP(C613,products!A:C,2,FALSE)</f>
        <v>Sepatu Sneakers Casual</v>
      </c>
      <c r="G613">
        <f t="shared" si="18"/>
        <v>349000</v>
      </c>
      <c r="H613">
        <f>VLOOKUP(C613,products!A:D,4,FALSE)</f>
        <v>180000</v>
      </c>
      <c r="I613">
        <f t="shared" si="19"/>
        <v>169000</v>
      </c>
      <c r="J613" t="str">
        <f>VLOOKUP(B613,orders!A:B,2,FALSE)</f>
        <v>CUST0079</v>
      </c>
      <c r="K613" t="str">
        <f>VLOOKUP(J613,customers!A:F,6,FALSE)</f>
        <v>Makassar</v>
      </c>
    </row>
    <row r="614" spans="1:11" x14ac:dyDescent="0.35">
      <c r="A614" s="4" t="s">
        <v>1655</v>
      </c>
      <c r="B614" s="4" t="s">
        <v>676</v>
      </c>
      <c r="C614" s="4" t="s">
        <v>1089</v>
      </c>
      <c r="D614" s="4">
        <v>1</v>
      </c>
      <c r="E614" s="6">
        <v>159000</v>
      </c>
      <c r="F614" t="str">
        <f>VLOOKUP(C614,products!A:C,2,FALSE)</f>
        <v>Power Bank 10000mAh</v>
      </c>
      <c r="G614">
        <f t="shared" si="18"/>
        <v>159000</v>
      </c>
      <c r="H614">
        <f>VLOOKUP(C614,products!A:D,4,FALSE)</f>
        <v>80000</v>
      </c>
      <c r="I614">
        <f t="shared" si="19"/>
        <v>79000</v>
      </c>
      <c r="J614" t="str">
        <f>VLOOKUP(B614,orders!A:B,2,FALSE)</f>
        <v>CUST0146</v>
      </c>
      <c r="K614" t="str">
        <f>VLOOKUP(J614,customers!A:F,6,FALSE)</f>
        <v>Jakarta</v>
      </c>
    </row>
    <row r="615" spans="1:11" x14ac:dyDescent="0.35">
      <c r="A615" s="4" t="s">
        <v>1656</v>
      </c>
      <c r="B615" s="4" t="s">
        <v>263</v>
      </c>
      <c r="C615" s="4" t="s">
        <v>1023</v>
      </c>
      <c r="D615" s="4">
        <v>1</v>
      </c>
      <c r="E615" s="6">
        <v>69000</v>
      </c>
      <c r="F615" t="str">
        <f>VLOOKUP(C615,products!A:C,2,FALSE)</f>
        <v>Lampu LED Hias 5m</v>
      </c>
      <c r="G615">
        <f t="shared" si="18"/>
        <v>69000</v>
      </c>
      <c r="H615">
        <f>VLOOKUP(C615,products!A:D,4,FALSE)</f>
        <v>30000</v>
      </c>
      <c r="I615">
        <f t="shared" si="19"/>
        <v>39000</v>
      </c>
      <c r="J615" t="str">
        <f>VLOOKUP(B615,orders!A:B,2,FALSE)</f>
        <v>CUST0032</v>
      </c>
      <c r="K615" t="str">
        <f>VLOOKUP(J615,customers!A:F,6,FALSE)</f>
        <v>Yogyakarta</v>
      </c>
    </row>
    <row r="616" spans="1:11" x14ac:dyDescent="0.35">
      <c r="A616" s="4" t="s">
        <v>1657</v>
      </c>
      <c r="B616" s="4" t="s">
        <v>776</v>
      </c>
      <c r="C616" s="4" t="s">
        <v>1031</v>
      </c>
      <c r="D616" s="4">
        <v>1</v>
      </c>
      <c r="E616" s="6">
        <v>79000</v>
      </c>
      <c r="F616" t="str">
        <f>VLOOKUP(C616,products!A:C,2,FALSE)</f>
        <v>Kaos Polos Cotton Combed</v>
      </c>
      <c r="G616">
        <f t="shared" si="18"/>
        <v>79000</v>
      </c>
      <c r="H616">
        <f>VLOOKUP(C616,products!A:D,4,FALSE)</f>
        <v>35000</v>
      </c>
      <c r="I616">
        <f t="shared" si="19"/>
        <v>44000</v>
      </c>
      <c r="J616" t="str">
        <f>VLOOKUP(B616,orders!A:B,2,FALSE)</f>
        <v>CUST0078</v>
      </c>
      <c r="K616" t="str">
        <f>VLOOKUP(J616,customers!A:F,6,FALSE)</f>
        <v>Denpasar</v>
      </c>
    </row>
    <row r="617" spans="1:11" x14ac:dyDescent="0.35">
      <c r="A617" s="4" t="s">
        <v>1658</v>
      </c>
      <c r="B617" s="4" t="s">
        <v>95</v>
      </c>
      <c r="C617" s="4" t="s">
        <v>1023</v>
      </c>
      <c r="D617" s="4">
        <v>1</v>
      </c>
      <c r="E617" s="6">
        <v>69000</v>
      </c>
      <c r="F617" t="str">
        <f>VLOOKUP(C617,products!A:C,2,FALSE)</f>
        <v>Lampu LED Hias 5m</v>
      </c>
      <c r="G617">
        <f t="shared" si="18"/>
        <v>69000</v>
      </c>
      <c r="H617">
        <f>VLOOKUP(C617,products!A:D,4,FALSE)</f>
        <v>30000</v>
      </c>
      <c r="I617">
        <f t="shared" si="19"/>
        <v>39000</v>
      </c>
      <c r="J617" t="str">
        <f>VLOOKUP(B617,orders!A:B,2,FALSE)</f>
        <v>CUST0070</v>
      </c>
      <c r="K617" t="str">
        <f>VLOOKUP(J617,customers!A:F,6,FALSE)</f>
        <v>Bandung</v>
      </c>
    </row>
    <row r="618" spans="1:11" x14ac:dyDescent="0.35">
      <c r="A618" s="4" t="s">
        <v>1659</v>
      </c>
      <c r="B618" s="4" t="s">
        <v>95</v>
      </c>
      <c r="C618" s="4" t="s">
        <v>1029</v>
      </c>
      <c r="D618" s="4">
        <v>3</v>
      </c>
      <c r="E618" s="6">
        <v>39000</v>
      </c>
      <c r="F618" t="str">
        <f>VLOOKUP(C618,products!A:C,2,FALSE)</f>
        <v>Kabel Data USB-C</v>
      </c>
      <c r="G618">
        <f t="shared" si="18"/>
        <v>117000</v>
      </c>
      <c r="H618">
        <f>VLOOKUP(C618,products!A:D,4,FALSE)</f>
        <v>15000</v>
      </c>
      <c r="I618">
        <f t="shared" si="19"/>
        <v>72000</v>
      </c>
      <c r="J618" t="str">
        <f>VLOOKUP(B618,orders!A:B,2,FALSE)</f>
        <v>CUST0070</v>
      </c>
      <c r="K618" t="str">
        <f>VLOOKUP(J618,customers!A:F,6,FALSE)</f>
        <v>Bandung</v>
      </c>
    </row>
    <row r="619" spans="1:11" x14ac:dyDescent="0.35">
      <c r="A619" s="4" t="s">
        <v>1660</v>
      </c>
      <c r="B619" s="4" t="s">
        <v>95</v>
      </c>
      <c r="C619" s="4" t="s">
        <v>1025</v>
      </c>
      <c r="D619" s="4">
        <v>3</v>
      </c>
      <c r="E619" s="6">
        <v>179000</v>
      </c>
      <c r="F619" t="str">
        <f>VLOOKUP(C619,products!A:C,2,FALSE)</f>
        <v>Rak Penyimpanan Serbaguna</v>
      </c>
      <c r="G619">
        <f t="shared" si="18"/>
        <v>537000</v>
      </c>
      <c r="H619">
        <f>VLOOKUP(C619,products!A:D,4,FALSE)</f>
        <v>90000</v>
      </c>
      <c r="I619">
        <f t="shared" si="19"/>
        <v>267000</v>
      </c>
      <c r="J619" t="str">
        <f>VLOOKUP(B619,orders!A:B,2,FALSE)</f>
        <v>CUST0070</v>
      </c>
      <c r="K619" t="str">
        <f>VLOOKUP(J619,customers!A:F,6,FALSE)</f>
        <v>Bandung</v>
      </c>
    </row>
    <row r="620" spans="1:11" x14ac:dyDescent="0.35">
      <c r="A620" s="4" t="s">
        <v>1661</v>
      </c>
      <c r="B620" s="4" t="s">
        <v>95</v>
      </c>
      <c r="C620" s="4" t="s">
        <v>1044</v>
      </c>
      <c r="D620" s="4">
        <v>1</v>
      </c>
      <c r="E620" s="6">
        <v>329000</v>
      </c>
      <c r="F620" t="str">
        <f>VLOOKUP(C620,products!A:C,2,FALSE)</f>
        <v>Rice Cooker Mini 1.5L</v>
      </c>
      <c r="G620">
        <f t="shared" si="18"/>
        <v>329000</v>
      </c>
      <c r="H620">
        <f>VLOOKUP(C620,products!A:D,4,FALSE)</f>
        <v>180000</v>
      </c>
      <c r="I620">
        <f t="shared" si="19"/>
        <v>149000</v>
      </c>
      <c r="J620" t="str">
        <f>VLOOKUP(B620,orders!A:B,2,FALSE)</f>
        <v>CUST0070</v>
      </c>
      <c r="K620" t="str">
        <f>VLOOKUP(J620,customers!A:F,6,FALSE)</f>
        <v>Bandung</v>
      </c>
    </row>
    <row r="621" spans="1:11" x14ac:dyDescent="0.35">
      <c r="A621" s="4" t="s">
        <v>1662</v>
      </c>
      <c r="B621" s="4" t="s">
        <v>699</v>
      </c>
      <c r="C621" s="4" t="s">
        <v>1033</v>
      </c>
      <c r="D621" s="4">
        <v>1</v>
      </c>
      <c r="E621" s="6">
        <v>55000</v>
      </c>
      <c r="F621" t="str">
        <f>VLOOKUP(C621,products!A:C,2,FALSE)</f>
        <v>Sapu + Pengki Set</v>
      </c>
      <c r="G621">
        <f t="shared" si="18"/>
        <v>55000</v>
      </c>
      <c r="H621">
        <f>VLOOKUP(C621,products!A:D,4,FALSE)</f>
        <v>25000</v>
      </c>
      <c r="I621">
        <f t="shared" si="19"/>
        <v>30000</v>
      </c>
      <c r="J621" t="str">
        <f>VLOOKUP(B621,orders!A:B,2,FALSE)</f>
        <v>CUST0127</v>
      </c>
      <c r="K621" t="str">
        <f>VLOOKUP(J621,customers!A:F,6,FALSE)</f>
        <v>Palembang</v>
      </c>
    </row>
    <row r="622" spans="1:11" x14ac:dyDescent="0.35">
      <c r="A622" s="4" t="s">
        <v>1663</v>
      </c>
      <c r="B622" s="4" t="s">
        <v>754</v>
      </c>
      <c r="C622" s="4" t="s">
        <v>1029</v>
      </c>
      <c r="D622" s="4">
        <v>1</v>
      </c>
      <c r="E622" s="6">
        <v>39000</v>
      </c>
      <c r="F622" t="str">
        <f>VLOOKUP(C622,products!A:C,2,FALSE)</f>
        <v>Kabel Data USB-C</v>
      </c>
      <c r="G622">
        <f t="shared" si="18"/>
        <v>39000</v>
      </c>
      <c r="H622">
        <f>VLOOKUP(C622,products!A:D,4,FALSE)</f>
        <v>15000</v>
      </c>
      <c r="I622">
        <f t="shared" si="19"/>
        <v>24000</v>
      </c>
      <c r="J622" t="str">
        <f>VLOOKUP(B622,orders!A:B,2,FALSE)</f>
        <v>CUST0011</v>
      </c>
      <c r="K622" t="str">
        <f>VLOOKUP(J622,customers!A:F,6,FALSE)</f>
        <v>Semarang</v>
      </c>
    </row>
    <row r="623" spans="1:11" x14ac:dyDescent="0.35">
      <c r="A623" s="4" t="s">
        <v>1664</v>
      </c>
      <c r="B623" s="4" t="s">
        <v>754</v>
      </c>
      <c r="C623" s="4" t="s">
        <v>1025</v>
      </c>
      <c r="D623" s="4">
        <v>1</v>
      </c>
      <c r="E623" s="6">
        <v>179000</v>
      </c>
      <c r="F623" t="str">
        <f>VLOOKUP(C623,products!A:C,2,FALSE)</f>
        <v>Rak Penyimpanan Serbaguna</v>
      </c>
      <c r="G623">
        <f t="shared" si="18"/>
        <v>179000</v>
      </c>
      <c r="H623">
        <f>VLOOKUP(C623,products!A:D,4,FALSE)</f>
        <v>90000</v>
      </c>
      <c r="I623">
        <f t="shared" si="19"/>
        <v>89000</v>
      </c>
      <c r="J623" t="str">
        <f>VLOOKUP(B623,orders!A:B,2,FALSE)</f>
        <v>CUST0011</v>
      </c>
      <c r="K623" t="str">
        <f>VLOOKUP(J623,customers!A:F,6,FALSE)</f>
        <v>Semarang</v>
      </c>
    </row>
    <row r="624" spans="1:11" x14ac:dyDescent="0.35">
      <c r="A624" s="4" t="s">
        <v>1665</v>
      </c>
      <c r="B624" s="4" t="s">
        <v>818</v>
      </c>
      <c r="C624" s="4" t="s">
        <v>1023</v>
      </c>
      <c r="D624" s="4">
        <v>1</v>
      </c>
      <c r="E624" s="6">
        <v>69000</v>
      </c>
      <c r="F624" t="str">
        <f>VLOOKUP(C624,products!A:C,2,FALSE)</f>
        <v>Lampu LED Hias 5m</v>
      </c>
      <c r="G624">
        <f t="shared" si="18"/>
        <v>69000</v>
      </c>
      <c r="H624">
        <f>VLOOKUP(C624,products!A:D,4,FALSE)</f>
        <v>30000</v>
      </c>
      <c r="I624">
        <f t="shared" si="19"/>
        <v>39000</v>
      </c>
      <c r="J624" t="str">
        <f>VLOOKUP(B624,orders!A:B,2,FALSE)</f>
        <v>CUST0155</v>
      </c>
      <c r="K624" t="str">
        <f>VLOOKUP(J624,customers!A:F,6,FALSE)</f>
        <v>Yogyakarta</v>
      </c>
    </row>
    <row r="625" spans="1:11" x14ac:dyDescent="0.35">
      <c r="A625" s="4" t="s">
        <v>1666</v>
      </c>
      <c r="B625" s="4" t="s">
        <v>228</v>
      </c>
      <c r="C625" s="4" t="s">
        <v>1029</v>
      </c>
      <c r="D625" s="4">
        <v>1</v>
      </c>
      <c r="E625" s="6">
        <v>39000</v>
      </c>
      <c r="F625" t="str">
        <f>VLOOKUP(C625,products!A:C,2,FALSE)</f>
        <v>Kabel Data USB-C</v>
      </c>
      <c r="G625">
        <f t="shared" si="18"/>
        <v>39000</v>
      </c>
      <c r="H625">
        <f>VLOOKUP(C625,products!A:D,4,FALSE)</f>
        <v>15000</v>
      </c>
      <c r="I625">
        <f t="shared" si="19"/>
        <v>24000</v>
      </c>
      <c r="J625" t="str">
        <f>VLOOKUP(B625,orders!A:B,2,FALSE)</f>
        <v>CUST0024</v>
      </c>
      <c r="K625" t="str">
        <f>VLOOKUP(J625,customers!A:F,6,FALSE)</f>
        <v>Surabaya</v>
      </c>
    </row>
    <row r="626" spans="1:11" x14ac:dyDescent="0.35">
      <c r="A626" s="4" t="s">
        <v>1667</v>
      </c>
      <c r="B626" s="4" t="s">
        <v>228</v>
      </c>
      <c r="C626" s="4" t="s">
        <v>1049</v>
      </c>
      <c r="D626" s="4">
        <v>1</v>
      </c>
      <c r="E626" s="6">
        <v>349000</v>
      </c>
      <c r="F626" t="str">
        <f>VLOOKUP(C626,products!A:C,2,FALSE)</f>
        <v>Sepatu Sneakers Casual</v>
      </c>
      <c r="G626">
        <f t="shared" si="18"/>
        <v>349000</v>
      </c>
      <c r="H626">
        <f>VLOOKUP(C626,products!A:D,4,FALSE)</f>
        <v>180000</v>
      </c>
      <c r="I626">
        <f t="shared" si="19"/>
        <v>169000</v>
      </c>
      <c r="J626" t="str">
        <f>VLOOKUP(B626,orders!A:B,2,FALSE)</f>
        <v>CUST0024</v>
      </c>
      <c r="K626" t="str">
        <f>VLOOKUP(J626,customers!A:F,6,FALSE)</f>
        <v>Surabaya</v>
      </c>
    </row>
    <row r="627" spans="1:11" x14ac:dyDescent="0.35">
      <c r="A627" s="4" t="s">
        <v>1668</v>
      </c>
      <c r="B627" s="4" t="s">
        <v>228</v>
      </c>
      <c r="C627" s="4" t="s">
        <v>1023</v>
      </c>
      <c r="D627" s="4">
        <v>1</v>
      </c>
      <c r="E627" s="6">
        <v>69000</v>
      </c>
      <c r="F627" t="str">
        <f>VLOOKUP(C627,products!A:C,2,FALSE)</f>
        <v>Lampu LED Hias 5m</v>
      </c>
      <c r="G627">
        <f t="shared" si="18"/>
        <v>69000</v>
      </c>
      <c r="H627">
        <f>VLOOKUP(C627,products!A:D,4,FALSE)</f>
        <v>30000</v>
      </c>
      <c r="I627">
        <f t="shared" si="19"/>
        <v>39000</v>
      </c>
      <c r="J627" t="str">
        <f>VLOOKUP(B627,orders!A:B,2,FALSE)</f>
        <v>CUST0024</v>
      </c>
      <c r="K627" t="str">
        <f>VLOOKUP(J627,customers!A:F,6,FALSE)</f>
        <v>Surabaya</v>
      </c>
    </row>
    <row r="628" spans="1:11" x14ac:dyDescent="0.35">
      <c r="A628" s="4" t="s">
        <v>1669</v>
      </c>
      <c r="B628" s="4" t="s">
        <v>666</v>
      </c>
      <c r="C628" s="4" t="s">
        <v>1023</v>
      </c>
      <c r="D628" s="4">
        <v>1</v>
      </c>
      <c r="E628" s="6">
        <v>69000</v>
      </c>
      <c r="F628" t="str">
        <f>VLOOKUP(C628,products!A:C,2,FALSE)</f>
        <v>Lampu LED Hias 5m</v>
      </c>
      <c r="G628">
        <f t="shared" si="18"/>
        <v>69000</v>
      </c>
      <c r="H628">
        <f>VLOOKUP(C628,products!A:D,4,FALSE)</f>
        <v>30000</v>
      </c>
      <c r="I628">
        <f t="shared" si="19"/>
        <v>39000</v>
      </c>
      <c r="J628" t="str">
        <f>VLOOKUP(B628,orders!A:B,2,FALSE)</f>
        <v>CUST0148</v>
      </c>
      <c r="K628" t="str">
        <f>VLOOKUP(J628,customers!A:F,6,FALSE)</f>
        <v>Jakarta</v>
      </c>
    </row>
    <row r="629" spans="1:11" x14ac:dyDescent="0.35">
      <c r="A629" s="4" t="s">
        <v>1670</v>
      </c>
      <c r="B629" s="4" t="s">
        <v>201</v>
      </c>
      <c r="C629" s="4" t="s">
        <v>1089</v>
      </c>
      <c r="D629" s="4">
        <v>1</v>
      </c>
      <c r="E629" s="6">
        <v>159000</v>
      </c>
      <c r="F629" t="str">
        <f>VLOOKUP(C629,products!A:C,2,FALSE)</f>
        <v>Power Bank 10000mAh</v>
      </c>
      <c r="G629">
        <f t="shared" si="18"/>
        <v>159000</v>
      </c>
      <c r="H629">
        <f>VLOOKUP(C629,products!A:D,4,FALSE)</f>
        <v>80000</v>
      </c>
      <c r="I629">
        <f t="shared" si="19"/>
        <v>79000</v>
      </c>
      <c r="J629" t="str">
        <f>VLOOKUP(B629,orders!A:B,2,FALSE)</f>
        <v>CUST0196</v>
      </c>
      <c r="K629" t="str">
        <f>VLOOKUP(J629,customers!A:F,6,FALSE)</f>
        <v>Denpasar</v>
      </c>
    </row>
    <row r="630" spans="1:11" x14ac:dyDescent="0.35">
      <c r="A630" s="4" t="s">
        <v>1671</v>
      </c>
      <c r="B630" s="4" t="s">
        <v>424</v>
      </c>
      <c r="C630" s="4" t="s">
        <v>1023</v>
      </c>
      <c r="D630" s="4">
        <v>1</v>
      </c>
      <c r="E630" s="6">
        <v>69000</v>
      </c>
      <c r="F630" t="str">
        <f>VLOOKUP(C630,products!A:C,2,FALSE)</f>
        <v>Lampu LED Hias 5m</v>
      </c>
      <c r="G630">
        <f t="shared" si="18"/>
        <v>69000</v>
      </c>
      <c r="H630">
        <f>VLOOKUP(C630,products!A:D,4,FALSE)</f>
        <v>30000</v>
      </c>
      <c r="I630">
        <f t="shared" si="19"/>
        <v>39000</v>
      </c>
      <c r="J630" t="str">
        <f>VLOOKUP(B630,orders!A:B,2,FALSE)</f>
        <v>CUST0069</v>
      </c>
      <c r="K630" t="str">
        <f>VLOOKUP(J630,customers!A:F,6,FALSE)</f>
        <v>Medan</v>
      </c>
    </row>
    <row r="631" spans="1:11" x14ac:dyDescent="0.35">
      <c r="A631" s="4" t="s">
        <v>1672</v>
      </c>
      <c r="B631" s="4" t="s">
        <v>424</v>
      </c>
      <c r="C631" s="4" t="s">
        <v>1029</v>
      </c>
      <c r="D631" s="4">
        <v>1</v>
      </c>
      <c r="E631" s="6">
        <v>39000</v>
      </c>
      <c r="F631" t="str">
        <f>VLOOKUP(C631,products!A:C,2,FALSE)</f>
        <v>Kabel Data USB-C</v>
      </c>
      <c r="G631">
        <f t="shared" si="18"/>
        <v>39000</v>
      </c>
      <c r="H631">
        <f>VLOOKUP(C631,products!A:D,4,FALSE)</f>
        <v>15000</v>
      </c>
      <c r="I631">
        <f t="shared" si="19"/>
        <v>24000</v>
      </c>
      <c r="J631" t="str">
        <f>VLOOKUP(B631,orders!A:B,2,FALSE)</f>
        <v>CUST0069</v>
      </c>
      <c r="K631" t="str">
        <f>VLOOKUP(J631,customers!A:F,6,FALSE)</f>
        <v>Medan</v>
      </c>
    </row>
    <row r="632" spans="1:11" x14ac:dyDescent="0.35">
      <c r="A632" s="4" t="s">
        <v>1673</v>
      </c>
      <c r="B632" s="4" t="s">
        <v>424</v>
      </c>
      <c r="C632" s="4" t="s">
        <v>1044</v>
      </c>
      <c r="D632" s="4">
        <v>1</v>
      </c>
      <c r="E632" s="6">
        <v>329000</v>
      </c>
      <c r="F632" t="str">
        <f>VLOOKUP(C632,products!A:C,2,FALSE)</f>
        <v>Rice Cooker Mini 1.5L</v>
      </c>
      <c r="G632">
        <f t="shared" si="18"/>
        <v>329000</v>
      </c>
      <c r="H632">
        <f>VLOOKUP(C632,products!A:D,4,FALSE)</f>
        <v>180000</v>
      </c>
      <c r="I632">
        <f t="shared" si="19"/>
        <v>149000</v>
      </c>
      <c r="J632" t="str">
        <f>VLOOKUP(B632,orders!A:B,2,FALSE)</f>
        <v>CUST0069</v>
      </c>
      <c r="K632" t="str">
        <f>VLOOKUP(J632,customers!A:F,6,FALSE)</f>
        <v>Medan</v>
      </c>
    </row>
    <row r="633" spans="1:11" x14ac:dyDescent="0.35">
      <c r="A633" s="4" t="s">
        <v>1674</v>
      </c>
      <c r="B633" s="4" t="s">
        <v>710</v>
      </c>
      <c r="C633" s="4" t="s">
        <v>1033</v>
      </c>
      <c r="D633" s="4">
        <v>1</v>
      </c>
      <c r="E633" s="6">
        <v>55000</v>
      </c>
      <c r="F633" t="str">
        <f>VLOOKUP(C633,products!A:C,2,FALSE)</f>
        <v>Sapu + Pengki Set</v>
      </c>
      <c r="G633">
        <f t="shared" si="18"/>
        <v>55000</v>
      </c>
      <c r="H633">
        <f>VLOOKUP(C633,products!A:D,4,FALSE)</f>
        <v>25000</v>
      </c>
      <c r="I633">
        <f t="shared" si="19"/>
        <v>30000</v>
      </c>
      <c r="J633" t="str">
        <f>VLOOKUP(B633,orders!A:B,2,FALSE)</f>
        <v>CUST0194</v>
      </c>
      <c r="K633" t="str">
        <f>VLOOKUP(J633,customers!A:F,6,FALSE)</f>
        <v>Surabaya</v>
      </c>
    </row>
    <row r="634" spans="1:11" x14ac:dyDescent="0.35">
      <c r="A634" s="4" t="s">
        <v>1675</v>
      </c>
      <c r="B634" s="4" t="s">
        <v>710</v>
      </c>
      <c r="C634" s="4" t="s">
        <v>1029</v>
      </c>
      <c r="D634" s="4">
        <v>2</v>
      </c>
      <c r="E634" s="6">
        <v>39000</v>
      </c>
      <c r="F634" t="str">
        <f>VLOOKUP(C634,products!A:C,2,FALSE)</f>
        <v>Kabel Data USB-C</v>
      </c>
      <c r="G634">
        <f t="shared" si="18"/>
        <v>78000</v>
      </c>
      <c r="H634">
        <f>VLOOKUP(C634,products!A:D,4,FALSE)</f>
        <v>15000</v>
      </c>
      <c r="I634">
        <f t="shared" si="19"/>
        <v>48000</v>
      </c>
      <c r="J634" t="str">
        <f>VLOOKUP(B634,orders!A:B,2,FALSE)</f>
        <v>CUST0194</v>
      </c>
      <c r="K634" t="str">
        <f>VLOOKUP(J634,customers!A:F,6,FALSE)</f>
        <v>Surabaya</v>
      </c>
    </row>
    <row r="635" spans="1:11" x14ac:dyDescent="0.35">
      <c r="A635" s="4" t="s">
        <v>1676</v>
      </c>
      <c r="B635" s="4" t="s">
        <v>72</v>
      </c>
      <c r="C635" s="4" t="s">
        <v>1089</v>
      </c>
      <c r="D635" s="4">
        <v>1</v>
      </c>
      <c r="E635" s="6">
        <v>159000</v>
      </c>
      <c r="F635" t="str">
        <f>VLOOKUP(C635,products!A:C,2,FALSE)</f>
        <v>Power Bank 10000mAh</v>
      </c>
      <c r="G635">
        <f t="shared" si="18"/>
        <v>159000</v>
      </c>
      <c r="H635">
        <f>VLOOKUP(C635,products!A:D,4,FALSE)</f>
        <v>80000</v>
      </c>
      <c r="I635">
        <f t="shared" si="19"/>
        <v>79000</v>
      </c>
      <c r="J635" t="str">
        <f>VLOOKUP(B635,orders!A:B,2,FALSE)</f>
        <v>CUST0167</v>
      </c>
      <c r="K635" t="str">
        <f>VLOOKUP(J635,customers!A:F,6,FALSE)</f>
        <v>Jakarta</v>
      </c>
    </row>
    <row r="636" spans="1:11" x14ac:dyDescent="0.35">
      <c r="A636" s="4" t="s">
        <v>1677</v>
      </c>
      <c r="B636" s="4" t="s">
        <v>777</v>
      </c>
      <c r="C636" s="4" t="s">
        <v>1053</v>
      </c>
      <c r="D636" s="4">
        <v>2</v>
      </c>
      <c r="E636" s="6">
        <v>129000</v>
      </c>
      <c r="F636" t="str">
        <f>VLOOKUP(C636,products!A:C,2,FALSE)</f>
        <v>Charger Fast Charging 33W</v>
      </c>
      <c r="G636">
        <f t="shared" si="18"/>
        <v>258000</v>
      </c>
      <c r="H636">
        <f>VLOOKUP(C636,products!A:D,4,FALSE)</f>
        <v>60000</v>
      </c>
      <c r="I636">
        <f t="shared" si="19"/>
        <v>138000</v>
      </c>
      <c r="J636" t="str">
        <f>VLOOKUP(B636,orders!A:B,2,FALSE)</f>
        <v>CUST0072</v>
      </c>
      <c r="K636" t="str">
        <f>VLOOKUP(J636,customers!A:F,6,FALSE)</f>
        <v>Medan</v>
      </c>
    </row>
    <row r="637" spans="1:11" x14ac:dyDescent="0.35">
      <c r="A637" s="4" t="s">
        <v>1678</v>
      </c>
      <c r="B637" s="4" t="s">
        <v>86</v>
      </c>
      <c r="C637" s="4" t="s">
        <v>1023</v>
      </c>
      <c r="D637" s="4">
        <v>1</v>
      </c>
      <c r="E637" s="6">
        <v>69000</v>
      </c>
      <c r="F637" t="str">
        <f>VLOOKUP(C637,products!A:C,2,FALSE)</f>
        <v>Lampu LED Hias 5m</v>
      </c>
      <c r="G637">
        <f t="shared" si="18"/>
        <v>69000</v>
      </c>
      <c r="H637">
        <f>VLOOKUP(C637,products!A:D,4,FALSE)</f>
        <v>30000</v>
      </c>
      <c r="I637">
        <f t="shared" si="19"/>
        <v>39000</v>
      </c>
      <c r="J637" t="str">
        <f>VLOOKUP(B637,orders!A:B,2,FALSE)</f>
        <v>CUST0112</v>
      </c>
      <c r="K637" t="str">
        <f>VLOOKUP(J637,customers!A:F,6,FALSE)</f>
        <v>Jakarta</v>
      </c>
    </row>
    <row r="638" spans="1:11" x14ac:dyDescent="0.35">
      <c r="A638" s="4" t="s">
        <v>1679</v>
      </c>
      <c r="B638" s="4" t="s">
        <v>86</v>
      </c>
      <c r="C638" s="4" t="s">
        <v>1053</v>
      </c>
      <c r="D638" s="4">
        <v>1</v>
      </c>
      <c r="E638" s="6">
        <v>129000</v>
      </c>
      <c r="F638" t="str">
        <f>VLOOKUP(C638,products!A:C,2,FALSE)</f>
        <v>Charger Fast Charging 33W</v>
      </c>
      <c r="G638">
        <f t="shared" si="18"/>
        <v>129000</v>
      </c>
      <c r="H638">
        <f>VLOOKUP(C638,products!A:D,4,FALSE)</f>
        <v>60000</v>
      </c>
      <c r="I638">
        <f t="shared" si="19"/>
        <v>69000</v>
      </c>
      <c r="J638" t="str">
        <f>VLOOKUP(B638,orders!A:B,2,FALSE)</f>
        <v>CUST0112</v>
      </c>
      <c r="K638" t="str">
        <f>VLOOKUP(J638,customers!A:F,6,FALSE)</f>
        <v>Jakarta</v>
      </c>
    </row>
    <row r="639" spans="1:11" x14ac:dyDescent="0.35">
      <c r="A639" s="4" t="s">
        <v>1680</v>
      </c>
      <c r="B639" s="4" t="s">
        <v>986</v>
      </c>
      <c r="C639" s="4" t="s">
        <v>1053</v>
      </c>
      <c r="D639" s="4">
        <v>1</v>
      </c>
      <c r="E639" s="6">
        <v>129000</v>
      </c>
      <c r="F639" t="str">
        <f>VLOOKUP(C639,products!A:C,2,FALSE)</f>
        <v>Charger Fast Charging 33W</v>
      </c>
      <c r="G639">
        <f t="shared" si="18"/>
        <v>129000</v>
      </c>
      <c r="H639">
        <f>VLOOKUP(C639,products!A:D,4,FALSE)</f>
        <v>60000</v>
      </c>
      <c r="I639">
        <f t="shared" si="19"/>
        <v>69000</v>
      </c>
      <c r="J639" t="str">
        <f>VLOOKUP(B639,orders!A:B,2,FALSE)</f>
        <v>CUST0024</v>
      </c>
      <c r="K639" t="str">
        <f>VLOOKUP(J639,customers!A:F,6,FALSE)</f>
        <v>Surabaya</v>
      </c>
    </row>
    <row r="640" spans="1:11" x14ac:dyDescent="0.35">
      <c r="A640" s="4" t="s">
        <v>1681</v>
      </c>
      <c r="B640" s="4" t="s">
        <v>135</v>
      </c>
      <c r="C640" s="4" t="s">
        <v>1023</v>
      </c>
      <c r="D640" s="4">
        <v>1</v>
      </c>
      <c r="E640" s="6">
        <v>69000</v>
      </c>
      <c r="F640" t="str">
        <f>VLOOKUP(C640,products!A:C,2,FALSE)</f>
        <v>Lampu LED Hias 5m</v>
      </c>
      <c r="G640">
        <f t="shared" si="18"/>
        <v>69000</v>
      </c>
      <c r="H640">
        <f>VLOOKUP(C640,products!A:D,4,FALSE)</f>
        <v>30000</v>
      </c>
      <c r="I640">
        <f t="shared" si="19"/>
        <v>39000</v>
      </c>
      <c r="J640" t="str">
        <f>VLOOKUP(B640,orders!A:B,2,FALSE)</f>
        <v>CUST0105</v>
      </c>
      <c r="K640" t="str">
        <f>VLOOKUP(J640,customers!A:F,6,FALSE)</f>
        <v>Jakarta</v>
      </c>
    </row>
    <row r="641" spans="1:11" x14ac:dyDescent="0.35">
      <c r="A641" s="4" t="s">
        <v>1682</v>
      </c>
      <c r="B641" s="4" t="s">
        <v>695</v>
      </c>
      <c r="C641" s="4" t="s">
        <v>1031</v>
      </c>
      <c r="D641" s="4">
        <v>1</v>
      </c>
      <c r="E641" s="6">
        <v>79000</v>
      </c>
      <c r="F641" t="str">
        <f>VLOOKUP(C641,products!A:C,2,FALSE)</f>
        <v>Kaos Polos Cotton Combed</v>
      </c>
      <c r="G641">
        <f t="shared" si="18"/>
        <v>79000</v>
      </c>
      <c r="H641">
        <f>VLOOKUP(C641,products!A:D,4,FALSE)</f>
        <v>35000</v>
      </c>
      <c r="I641">
        <f t="shared" si="19"/>
        <v>44000</v>
      </c>
      <c r="J641" t="str">
        <f>VLOOKUP(B641,orders!A:B,2,FALSE)</f>
        <v>CUST0172</v>
      </c>
      <c r="K641" t="str">
        <f>VLOOKUP(J641,customers!A:F,6,FALSE)</f>
        <v>Jakarta</v>
      </c>
    </row>
    <row r="642" spans="1:11" x14ac:dyDescent="0.35">
      <c r="A642" s="4" t="s">
        <v>1683</v>
      </c>
      <c r="B642" s="4" t="s">
        <v>695</v>
      </c>
      <c r="C642" s="4" t="s">
        <v>1044</v>
      </c>
      <c r="D642" s="4">
        <v>1</v>
      </c>
      <c r="E642" s="6">
        <v>329000</v>
      </c>
      <c r="F642" t="str">
        <f>VLOOKUP(C642,products!A:C,2,FALSE)</f>
        <v>Rice Cooker Mini 1.5L</v>
      </c>
      <c r="G642">
        <f t="shared" si="18"/>
        <v>329000</v>
      </c>
      <c r="H642">
        <f>VLOOKUP(C642,products!A:D,4,FALSE)</f>
        <v>180000</v>
      </c>
      <c r="I642">
        <f t="shared" si="19"/>
        <v>149000</v>
      </c>
      <c r="J642" t="str">
        <f>VLOOKUP(B642,orders!A:B,2,FALSE)</f>
        <v>CUST0172</v>
      </c>
      <c r="K642" t="str">
        <f>VLOOKUP(J642,customers!A:F,6,FALSE)</f>
        <v>Jakarta</v>
      </c>
    </row>
    <row r="643" spans="1:11" x14ac:dyDescent="0.35">
      <c r="A643" s="4" t="s">
        <v>1684</v>
      </c>
      <c r="B643" s="4" t="s">
        <v>695</v>
      </c>
      <c r="C643" s="4" t="s">
        <v>1082</v>
      </c>
      <c r="D643" s="4">
        <v>1</v>
      </c>
      <c r="E643" s="6">
        <v>399000</v>
      </c>
      <c r="F643" t="str">
        <f>VLOOKUP(C643,products!A:C,2,FALSE)</f>
        <v>Keyboard Mechanical Mini</v>
      </c>
      <c r="G643">
        <f t="shared" ref="G643:G706" si="20">D643*E643</f>
        <v>399000</v>
      </c>
      <c r="H643">
        <f>VLOOKUP(C643,products!A:D,4,FALSE)</f>
        <v>200000</v>
      </c>
      <c r="I643">
        <f t="shared" ref="I643:I706" si="21">(E643-H643)*D643</f>
        <v>199000</v>
      </c>
      <c r="J643" t="str">
        <f>VLOOKUP(B643,orders!A:B,2,FALSE)</f>
        <v>CUST0172</v>
      </c>
      <c r="K643" t="str">
        <f>VLOOKUP(J643,customers!A:F,6,FALSE)</f>
        <v>Jakarta</v>
      </c>
    </row>
    <row r="644" spans="1:11" x14ac:dyDescent="0.35">
      <c r="A644" s="4" t="s">
        <v>1685</v>
      </c>
      <c r="B644" s="4" t="s">
        <v>991</v>
      </c>
      <c r="C644" s="4" t="s">
        <v>1049</v>
      </c>
      <c r="D644" s="4">
        <v>1</v>
      </c>
      <c r="E644" s="6">
        <v>349000</v>
      </c>
      <c r="F644" t="str">
        <f>VLOOKUP(C644,products!A:C,2,FALSE)</f>
        <v>Sepatu Sneakers Casual</v>
      </c>
      <c r="G644">
        <f t="shared" si="20"/>
        <v>349000</v>
      </c>
      <c r="H644">
        <f>VLOOKUP(C644,products!A:D,4,FALSE)</f>
        <v>180000</v>
      </c>
      <c r="I644">
        <f t="shared" si="21"/>
        <v>169000</v>
      </c>
      <c r="J644" t="str">
        <f>VLOOKUP(B644,orders!A:B,2,FALSE)</f>
        <v>CUST0085</v>
      </c>
      <c r="K644" t="str">
        <f>VLOOKUP(J644,customers!A:F,6,FALSE)</f>
        <v>Jakarta</v>
      </c>
    </row>
    <row r="645" spans="1:11" x14ac:dyDescent="0.35">
      <c r="A645" s="4" t="s">
        <v>1686</v>
      </c>
      <c r="B645" s="4" t="s">
        <v>991</v>
      </c>
      <c r="C645" s="4" t="s">
        <v>1029</v>
      </c>
      <c r="D645" s="4">
        <v>2</v>
      </c>
      <c r="E645" s="6">
        <v>39000</v>
      </c>
      <c r="F645" t="str">
        <f>VLOOKUP(C645,products!A:C,2,FALSE)</f>
        <v>Kabel Data USB-C</v>
      </c>
      <c r="G645">
        <f t="shared" si="20"/>
        <v>78000</v>
      </c>
      <c r="H645">
        <f>VLOOKUP(C645,products!A:D,4,FALSE)</f>
        <v>15000</v>
      </c>
      <c r="I645">
        <f t="shared" si="21"/>
        <v>48000</v>
      </c>
      <c r="J645" t="str">
        <f>VLOOKUP(B645,orders!A:B,2,FALSE)</f>
        <v>CUST0085</v>
      </c>
      <c r="K645" t="str">
        <f>VLOOKUP(J645,customers!A:F,6,FALSE)</f>
        <v>Jakarta</v>
      </c>
    </row>
    <row r="646" spans="1:11" x14ac:dyDescent="0.35">
      <c r="A646" s="4" t="s">
        <v>1687</v>
      </c>
      <c r="B646" s="4" t="s">
        <v>912</v>
      </c>
      <c r="C646" s="4" t="s">
        <v>1023</v>
      </c>
      <c r="D646" s="4">
        <v>1</v>
      </c>
      <c r="E646" s="6">
        <v>69000</v>
      </c>
      <c r="F646" t="str">
        <f>VLOOKUP(C646,products!A:C,2,FALSE)</f>
        <v>Lampu LED Hias 5m</v>
      </c>
      <c r="G646">
        <f t="shared" si="20"/>
        <v>69000</v>
      </c>
      <c r="H646">
        <f>VLOOKUP(C646,products!A:D,4,FALSE)</f>
        <v>30000</v>
      </c>
      <c r="I646">
        <f t="shared" si="21"/>
        <v>39000</v>
      </c>
      <c r="J646" t="str">
        <f>VLOOKUP(B646,orders!A:B,2,FALSE)</f>
        <v>CUST0127</v>
      </c>
      <c r="K646" t="str">
        <f>VLOOKUP(J646,customers!A:F,6,FALSE)</f>
        <v>Palembang</v>
      </c>
    </row>
    <row r="647" spans="1:11" x14ac:dyDescent="0.35">
      <c r="A647" s="4" t="s">
        <v>1688</v>
      </c>
      <c r="B647" s="4" t="s">
        <v>912</v>
      </c>
      <c r="C647" s="4" t="s">
        <v>1044</v>
      </c>
      <c r="D647" s="4">
        <v>2</v>
      </c>
      <c r="E647" s="6">
        <v>329000</v>
      </c>
      <c r="F647" t="str">
        <f>VLOOKUP(C647,products!A:C,2,FALSE)</f>
        <v>Rice Cooker Mini 1.5L</v>
      </c>
      <c r="G647">
        <f t="shared" si="20"/>
        <v>658000</v>
      </c>
      <c r="H647">
        <f>VLOOKUP(C647,products!A:D,4,FALSE)</f>
        <v>180000</v>
      </c>
      <c r="I647">
        <f t="shared" si="21"/>
        <v>298000</v>
      </c>
      <c r="J647" t="str">
        <f>VLOOKUP(B647,orders!A:B,2,FALSE)</f>
        <v>CUST0127</v>
      </c>
      <c r="K647" t="str">
        <f>VLOOKUP(J647,customers!A:F,6,FALSE)</f>
        <v>Palembang</v>
      </c>
    </row>
    <row r="648" spans="1:11" x14ac:dyDescent="0.35">
      <c r="A648" s="4" t="s">
        <v>1689</v>
      </c>
      <c r="B648" s="4" t="s">
        <v>265</v>
      </c>
      <c r="C648" s="4" t="s">
        <v>1029</v>
      </c>
      <c r="D648" s="4">
        <v>1</v>
      </c>
      <c r="E648" s="6">
        <v>39000</v>
      </c>
      <c r="F648" t="str">
        <f>VLOOKUP(C648,products!A:C,2,FALSE)</f>
        <v>Kabel Data USB-C</v>
      </c>
      <c r="G648">
        <f t="shared" si="20"/>
        <v>39000</v>
      </c>
      <c r="H648">
        <f>VLOOKUP(C648,products!A:D,4,FALSE)</f>
        <v>15000</v>
      </c>
      <c r="I648">
        <f t="shared" si="21"/>
        <v>24000</v>
      </c>
      <c r="J648" t="str">
        <f>VLOOKUP(B648,orders!A:B,2,FALSE)</f>
        <v>CUST0103</v>
      </c>
      <c r="K648" t="str">
        <f>VLOOKUP(J648,customers!A:F,6,FALSE)</f>
        <v>Semarang</v>
      </c>
    </row>
    <row r="649" spans="1:11" x14ac:dyDescent="0.35">
      <c r="A649" s="4" t="s">
        <v>1690</v>
      </c>
      <c r="B649" s="4" t="s">
        <v>265</v>
      </c>
      <c r="C649" s="4" t="s">
        <v>1023</v>
      </c>
      <c r="D649" s="4">
        <v>2</v>
      </c>
      <c r="E649" s="6">
        <v>69000</v>
      </c>
      <c r="F649" t="str">
        <f>VLOOKUP(C649,products!A:C,2,FALSE)</f>
        <v>Lampu LED Hias 5m</v>
      </c>
      <c r="G649">
        <f t="shared" si="20"/>
        <v>138000</v>
      </c>
      <c r="H649">
        <f>VLOOKUP(C649,products!A:D,4,FALSE)</f>
        <v>30000</v>
      </c>
      <c r="I649">
        <f t="shared" si="21"/>
        <v>78000</v>
      </c>
      <c r="J649" t="str">
        <f>VLOOKUP(B649,orders!A:B,2,FALSE)</f>
        <v>CUST0103</v>
      </c>
      <c r="K649" t="str">
        <f>VLOOKUP(J649,customers!A:F,6,FALSE)</f>
        <v>Semarang</v>
      </c>
    </row>
    <row r="650" spans="1:11" x14ac:dyDescent="0.35">
      <c r="A650" s="4" t="s">
        <v>1691</v>
      </c>
      <c r="B650" s="4" t="s">
        <v>564</v>
      </c>
      <c r="C650" s="4" t="s">
        <v>1084</v>
      </c>
      <c r="D650" s="4">
        <v>1</v>
      </c>
      <c r="E650" s="6">
        <v>79000</v>
      </c>
      <c r="F650" t="str">
        <f>VLOOKUP(C650,products!A:C,2,FALSE)</f>
        <v>Botol Minum Stainless 1L</v>
      </c>
      <c r="G650">
        <f t="shared" si="20"/>
        <v>79000</v>
      </c>
      <c r="H650">
        <f>VLOOKUP(C650,products!A:D,4,FALSE)</f>
        <v>35000</v>
      </c>
      <c r="I650">
        <f t="shared" si="21"/>
        <v>44000</v>
      </c>
      <c r="J650" t="str">
        <f>VLOOKUP(B650,orders!A:B,2,FALSE)</f>
        <v>CUST0141</v>
      </c>
      <c r="K650" t="str">
        <f>VLOOKUP(J650,customers!A:F,6,FALSE)</f>
        <v>Palembang</v>
      </c>
    </row>
    <row r="651" spans="1:11" x14ac:dyDescent="0.35">
      <c r="A651" s="4" t="s">
        <v>1692</v>
      </c>
      <c r="B651" s="4" t="s">
        <v>849</v>
      </c>
      <c r="C651" s="4" t="s">
        <v>1200</v>
      </c>
      <c r="D651" s="4">
        <v>1</v>
      </c>
      <c r="E651" s="6">
        <v>209000</v>
      </c>
      <c r="F651" t="str">
        <f>VLOOKUP(C651,products!A:C,2,FALSE)</f>
        <v>Jaket Hoodie Unisex</v>
      </c>
      <c r="G651">
        <f t="shared" si="20"/>
        <v>209000</v>
      </c>
      <c r="H651">
        <f>VLOOKUP(C651,products!A:D,4,FALSE)</f>
        <v>95000</v>
      </c>
      <c r="I651">
        <f t="shared" si="21"/>
        <v>114000</v>
      </c>
      <c r="J651" t="str">
        <f>VLOOKUP(B651,orders!A:B,2,FALSE)</f>
        <v>CUST0023</v>
      </c>
      <c r="K651" t="str">
        <f>VLOOKUP(J651,customers!A:F,6,FALSE)</f>
        <v>Surabaya</v>
      </c>
    </row>
    <row r="652" spans="1:11" x14ac:dyDescent="0.35">
      <c r="A652" s="4" t="s">
        <v>1693</v>
      </c>
      <c r="B652" s="4" t="s">
        <v>849</v>
      </c>
      <c r="C652" s="4" t="s">
        <v>1023</v>
      </c>
      <c r="D652" s="4">
        <v>1</v>
      </c>
      <c r="E652" s="6">
        <v>69000</v>
      </c>
      <c r="F652" t="str">
        <f>VLOOKUP(C652,products!A:C,2,FALSE)</f>
        <v>Lampu LED Hias 5m</v>
      </c>
      <c r="G652">
        <f t="shared" si="20"/>
        <v>69000</v>
      </c>
      <c r="H652">
        <f>VLOOKUP(C652,products!A:D,4,FALSE)</f>
        <v>30000</v>
      </c>
      <c r="I652">
        <f t="shared" si="21"/>
        <v>39000</v>
      </c>
      <c r="J652" t="str">
        <f>VLOOKUP(B652,orders!A:B,2,FALSE)</f>
        <v>CUST0023</v>
      </c>
      <c r="K652" t="str">
        <f>VLOOKUP(J652,customers!A:F,6,FALSE)</f>
        <v>Surabaya</v>
      </c>
    </row>
    <row r="653" spans="1:11" x14ac:dyDescent="0.35">
      <c r="A653" s="4" t="s">
        <v>1694</v>
      </c>
      <c r="B653" s="4" t="s">
        <v>979</v>
      </c>
      <c r="C653" s="4" t="s">
        <v>1023</v>
      </c>
      <c r="D653" s="4">
        <v>3</v>
      </c>
      <c r="E653" s="6">
        <v>69000</v>
      </c>
      <c r="F653" t="str">
        <f>VLOOKUP(C653,products!A:C,2,FALSE)</f>
        <v>Lampu LED Hias 5m</v>
      </c>
      <c r="G653">
        <f t="shared" si="20"/>
        <v>207000</v>
      </c>
      <c r="H653">
        <f>VLOOKUP(C653,products!A:D,4,FALSE)</f>
        <v>30000</v>
      </c>
      <c r="I653">
        <f t="shared" si="21"/>
        <v>117000</v>
      </c>
      <c r="J653" t="str">
        <f>VLOOKUP(B653,orders!A:B,2,FALSE)</f>
        <v>CUST0083</v>
      </c>
      <c r="K653" t="str">
        <f>VLOOKUP(J653,customers!A:F,6,FALSE)</f>
        <v>Jakarta</v>
      </c>
    </row>
    <row r="654" spans="1:11" x14ac:dyDescent="0.35">
      <c r="A654" s="4" t="s">
        <v>1695</v>
      </c>
      <c r="B654" s="4" t="s">
        <v>979</v>
      </c>
      <c r="C654" s="4" t="s">
        <v>1082</v>
      </c>
      <c r="D654" s="4">
        <v>1</v>
      </c>
      <c r="E654" s="6">
        <v>399000</v>
      </c>
      <c r="F654" t="str">
        <f>VLOOKUP(C654,products!A:C,2,FALSE)</f>
        <v>Keyboard Mechanical Mini</v>
      </c>
      <c r="G654">
        <f t="shared" si="20"/>
        <v>399000</v>
      </c>
      <c r="H654">
        <f>VLOOKUP(C654,products!A:D,4,FALSE)</f>
        <v>200000</v>
      </c>
      <c r="I654">
        <f t="shared" si="21"/>
        <v>199000</v>
      </c>
      <c r="J654" t="str">
        <f>VLOOKUP(B654,orders!A:B,2,FALSE)</f>
        <v>CUST0083</v>
      </c>
      <c r="K654" t="str">
        <f>VLOOKUP(J654,customers!A:F,6,FALSE)</f>
        <v>Jakarta</v>
      </c>
    </row>
    <row r="655" spans="1:11" x14ac:dyDescent="0.35">
      <c r="A655" s="4" t="s">
        <v>1696</v>
      </c>
      <c r="B655" s="4" t="s">
        <v>979</v>
      </c>
      <c r="C655" s="4" t="s">
        <v>1025</v>
      </c>
      <c r="D655" s="4">
        <v>1</v>
      </c>
      <c r="E655" s="6">
        <v>179000</v>
      </c>
      <c r="F655" t="str">
        <f>VLOOKUP(C655,products!A:C,2,FALSE)</f>
        <v>Rak Penyimpanan Serbaguna</v>
      </c>
      <c r="G655">
        <f t="shared" si="20"/>
        <v>179000</v>
      </c>
      <c r="H655">
        <f>VLOOKUP(C655,products!A:D,4,FALSE)</f>
        <v>90000</v>
      </c>
      <c r="I655">
        <f t="shared" si="21"/>
        <v>89000</v>
      </c>
      <c r="J655" t="str">
        <f>VLOOKUP(B655,orders!A:B,2,FALSE)</f>
        <v>CUST0083</v>
      </c>
      <c r="K655" t="str">
        <f>VLOOKUP(J655,customers!A:F,6,FALSE)</f>
        <v>Jakarta</v>
      </c>
    </row>
    <row r="656" spans="1:11" x14ac:dyDescent="0.35">
      <c r="A656" s="4" t="s">
        <v>1697</v>
      </c>
      <c r="B656" s="4" t="s">
        <v>148</v>
      </c>
      <c r="C656" s="4" t="s">
        <v>1023</v>
      </c>
      <c r="D656" s="4">
        <v>1</v>
      </c>
      <c r="E656" s="6">
        <v>69000</v>
      </c>
      <c r="F656" t="str">
        <f>VLOOKUP(C656,products!A:C,2,FALSE)</f>
        <v>Lampu LED Hias 5m</v>
      </c>
      <c r="G656">
        <f t="shared" si="20"/>
        <v>69000</v>
      </c>
      <c r="H656">
        <f>VLOOKUP(C656,products!A:D,4,FALSE)</f>
        <v>30000</v>
      </c>
      <c r="I656">
        <f t="shared" si="21"/>
        <v>39000</v>
      </c>
      <c r="J656" t="str">
        <f>VLOOKUP(B656,orders!A:B,2,FALSE)</f>
        <v>CUST0132</v>
      </c>
      <c r="K656" t="str">
        <f>VLOOKUP(J656,customers!A:F,6,FALSE)</f>
        <v>Jakarta</v>
      </c>
    </row>
    <row r="657" spans="1:11" x14ac:dyDescent="0.35">
      <c r="A657" s="4" t="s">
        <v>1698</v>
      </c>
      <c r="B657" s="4" t="s">
        <v>985</v>
      </c>
      <c r="C657" s="4" t="s">
        <v>1031</v>
      </c>
      <c r="D657" s="4">
        <v>3</v>
      </c>
      <c r="E657" s="6">
        <v>79000</v>
      </c>
      <c r="F657" t="str">
        <f>VLOOKUP(C657,products!A:C,2,FALSE)</f>
        <v>Kaos Polos Cotton Combed</v>
      </c>
      <c r="G657">
        <f t="shared" si="20"/>
        <v>237000</v>
      </c>
      <c r="H657">
        <f>VLOOKUP(C657,products!A:D,4,FALSE)</f>
        <v>35000</v>
      </c>
      <c r="I657">
        <f t="shared" si="21"/>
        <v>132000</v>
      </c>
      <c r="J657" t="str">
        <f>VLOOKUP(B657,orders!A:B,2,FALSE)</f>
        <v>CUST0169</v>
      </c>
      <c r="K657" t="str">
        <f>VLOOKUP(J657,customers!A:F,6,FALSE)</f>
        <v>Palembang</v>
      </c>
    </row>
    <row r="658" spans="1:11" x14ac:dyDescent="0.35">
      <c r="A658" s="4" t="s">
        <v>1699</v>
      </c>
      <c r="B658" s="4" t="s">
        <v>995</v>
      </c>
      <c r="C658" s="4" t="s">
        <v>1029</v>
      </c>
      <c r="D658" s="4">
        <v>2</v>
      </c>
      <c r="E658" s="6">
        <v>39000</v>
      </c>
      <c r="F658" t="str">
        <f>VLOOKUP(C658,products!A:C,2,FALSE)</f>
        <v>Kabel Data USB-C</v>
      </c>
      <c r="G658">
        <f t="shared" si="20"/>
        <v>78000</v>
      </c>
      <c r="H658">
        <f>VLOOKUP(C658,products!A:D,4,FALSE)</f>
        <v>15000</v>
      </c>
      <c r="I658">
        <f t="shared" si="21"/>
        <v>48000</v>
      </c>
      <c r="J658" t="str">
        <f>VLOOKUP(B658,orders!A:B,2,FALSE)</f>
        <v>CUST0119</v>
      </c>
      <c r="K658" t="str">
        <f>VLOOKUP(J658,customers!A:F,6,FALSE)</f>
        <v>Surabaya</v>
      </c>
    </row>
    <row r="659" spans="1:11" x14ac:dyDescent="0.35">
      <c r="A659" s="4" t="s">
        <v>1700</v>
      </c>
      <c r="B659" s="4" t="s">
        <v>995</v>
      </c>
      <c r="C659" s="4" t="s">
        <v>1023</v>
      </c>
      <c r="D659" s="4">
        <v>2</v>
      </c>
      <c r="E659" s="6">
        <v>69000</v>
      </c>
      <c r="F659" t="str">
        <f>VLOOKUP(C659,products!A:C,2,FALSE)</f>
        <v>Lampu LED Hias 5m</v>
      </c>
      <c r="G659">
        <f t="shared" si="20"/>
        <v>138000</v>
      </c>
      <c r="H659">
        <f>VLOOKUP(C659,products!A:D,4,FALSE)</f>
        <v>30000</v>
      </c>
      <c r="I659">
        <f t="shared" si="21"/>
        <v>78000</v>
      </c>
      <c r="J659" t="str">
        <f>VLOOKUP(B659,orders!A:B,2,FALSE)</f>
        <v>CUST0119</v>
      </c>
      <c r="K659" t="str">
        <f>VLOOKUP(J659,customers!A:F,6,FALSE)</f>
        <v>Surabaya</v>
      </c>
    </row>
    <row r="660" spans="1:11" x14ac:dyDescent="0.35">
      <c r="A660" s="4" t="s">
        <v>1701</v>
      </c>
      <c r="B660" s="4" t="s">
        <v>995</v>
      </c>
      <c r="C660" s="4" t="s">
        <v>1031</v>
      </c>
      <c r="D660" s="4">
        <v>1</v>
      </c>
      <c r="E660" s="6">
        <v>79000</v>
      </c>
      <c r="F660" t="str">
        <f>VLOOKUP(C660,products!A:C,2,FALSE)</f>
        <v>Kaos Polos Cotton Combed</v>
      </c>
      <c r="G660">
        <f t="shared" si="20"/>
        <v>79000</v>
      </c>
      <c r="H660">
        <f>VLOOKUP(C660,products!A:D,4,FALSE)</f>
        <v>35000</v>
      </c>
      <c r="I660">
        <f t="shared" si="21"/>
        <v>44000</v>
      </c>
      <c r="J660" t="str">
        <f>VLOOKUP(B660,orders!A:B,2,FALSE)</f>
        <v>CUST0119</v>
      </c>
      <c r="K660" t="str">
        <f>VLOOKUP(J660,customers!A:F,6,FALSE)</f>
        <v>Surabaya</v>
      </c>
    </row>
    <row r="661" spans="1:11" x14ac:dyDescent="0.35">
      <c r="A661" s="4" t="s">
        <v>1702</v>
      </c>
      <c r="B661" s="4" t="s">
        <v>357</v>
      </c>
      <c r="C661" s="4" t="s">
        <v>1023</v>
      </c>
      <c r="D661" s="4">
        <v>1</v>
      </c>
      <c r="E661" s="6">
        <v>69000</v>
      </c>
      <c r="F661" t="str">
        <f>VLOOKUP(C661,products!A:C,2,FALSE)</f>
        <v>Lampu LED Hias 5m</v>
      </c>
      <c r="G661">
        <f t="shared" si="20"/>
        <v>69000</v>
      </c>
      <c r="H661">
        <f>VLOOKUP(C661,products!A:D,4,FALSE)</f>
        <v>30000</v>
      </c>
      <c r="I661">
        <f t="shared" si="21"/>
        <v>39000</v>
      </c>
      <c r="J661" t="str">
        <f>VLOOKUP(B661,orders!A:B,2,FALSE)</f>
        <v>CUST0049</v>
      </c>
      <c r="K661" t="str">
        <f>VLOOKUP(J661,customers!A:F,6,FALSE)</f>
        <v>Medan</v>
      </c>
    </row>
    <row r="662" spans="1:11" x14ac:dyDescent="0.35">
      <c r="A662" s="4" t="s">
        <v>1703</v>
      </c>
      <c r="B662" s="4" t="s">
        <v>74</v>
      </c>
      <c r="C662" s="4" t="s">
        <v>1044</v>
      </c>
      <c r="D662" s="4">
        <v>2</v>
      </c>
      <c r="E662" s="6">
        <v>329000</v>
      </c>
      <c r="F662" t="str">
        <f>VLOOKUP(C662,products!A:C,2,FALSE)</f>
        <v>Rice Cooker Mini 1.5L</v>
      </c>
      <c r="G662">
        <f t="shared" si="20"/>
        <v>658000</v>
      </c>
      <c r="H662">
        <f>VLOOKUP(C662,products!A:D,4,FALSE)</f>
        <v>180000</v>
      </c>
      <c r="I662">
        <f t="shared" si="21"/>
        <v>298000</v>
      </c>
      <c r="J662" t="str">
        <f>VLOOKUP(B662,orders!A:B,2,FALSE)</f>
        <v>CUST0160</v>
      </c>
      <c r="K662" t="str">
        <f>VLOOKUP(J662,customers!A:F,6,FALSE)</f>
        <v>Jakarta</v>
      </c>
    </row>
    <row r="663" spans="1:11" x14ac:dyDescent="0.35">
      <c r="A663" s="4" t="s">
        <v>1704</v>
      </c>
      <c r="B663" s="4" t="s">
        <v>972</v>
      </c>
      <c r="C663" s="4" t="s">
        <v>1025</v>
      </c>
      <c r="D663" s="4">
        <v>1</v>
      </c>
      <c r="E663" s="6">
        <v>179000</v>
      </c>
      <c r="F663" t="str">
        <f>VLOOKUP(C663,products!A:C,2,FALSE)</f>
        <v>Rak Penyimpanan Serbaguna</v>
      </c>
      <c r="G663">
        <f t="shared" si="20"/>
        <v>179000</v>
      </c>
      <c r="H663">
        <f>VLOOKUP(C663,products!A:D,4,FALSE)</f>
        <v>90000</v>
      </c>
      <c r="I663">
        <f t="shared" si="21"/>
        <v>89000</v>
      </c>
      <c r="J663" t="str">
        <f>VLOOKUP(B663,orders!A:B,2,FALSE)</f>
        <v>CUST0161</v>
      </c>
      <c r="K663" t="str">
        <f>VLOOKUP(J663,customers!A:F,6,FALSE)</f>
        <v>Medan</v>
      </c>
    </row>
    <row r="664" spans="1:11" x14ac:dyDescent="0.35">
      <c r="A664" s="4" t="s">
        <v>1705</v>
      </c>
      <c r="B664" s="4" t="s">
        <v>972</v>
      </c>
      <c r="C664" s="4" t="s">
        <v>1029</v>
      </c>
      <c r="D664" s="4">
        <v>1</v>
      </c>
      <c r="E664" s="6">
        <v>39000</v>
      </c>
      <c r="F664" t="str">
        <f>VLOOKUP(C664,products!A:C,2,FALSE)</f>
        <v>Kabel Data USB-C</v>
      </c>
      <c r="G664">
        <f t="shared" si="20"/>
        <v>39000</v>
      </c>
      <c r="H664">
        <f>VLOOKUP(C664,products!A:D,4,FALSE)</f>
        <v>15000</v>
      </c>
      <c r="I664">
        <f t="shared" si="21"/>
        <v>24000</v>
      </c>
      <c r="J664" t="str">
        <f>VLOOKUP(B664,orders!A:B,2,FALSE)</f>
        <v>CUST0161</v>
      </c>
      <c r="K664" t="str">
        <f>VLOOKUP(J664,customers!A:F,6,FALSE)</f>
        <v>Medan</v>
      </c>
    </row>
    <row r="665" spans="1:11" x14ac:dyDescent="0.35">
      <c r="A665" s="4" t="s">
        <v>1706</v>
      </c>
      <c r="B665" s="4" t="s">
        <v>917</v>
      </c>
      <c r="C665" s="4" t="s">
        <v>1023</v>
      </c>
      <c r="D665" s="4">
        <v>1</v>
      </c>
      <c r="E665" s="6">
        <v>69000</v>
      </c>
      <c r="F665" t="str">
        <f>VLOOKUP(C665,products!A:C,2,FALSE)</f>
        <v>Lampu LED Hias 5m</v>
      </c>
      <c r="G665">
        <f t="shared" si="20"/>
        <v>69000</v>
      </c>
      <c r="H665">
        <f>VLOOKUP(C665,products!A:D,4,FALSE)</f>
        <v>30000</v>
      </c>
      <c r="I665">
        <f t="shared" si="21"/>
        <v>39000</v>
      </c>
      <c r="J665" t="str">
        <f>VLOOKUP(B665,orders!A:B,2,FALSE)</f>
        <v>CUST0014</v>
      </c>
      <c r="K665" t="str">
        <f>VLOOKUP(J665,customers!A:F,6,FALSE)</f>
        <v>Jakarta</v>
      </c>
    </row>
    <row r="666" spans="1:11" x14ac:dyDescent="0.35">
      <c r="A666" s="4" t="s">
        <v>1707</v>
      </c>
      <c r="B666" s="4" t="s">
        <v>56</v>
      </c>
      <c r="C666" s="4" t="s">
        <v>1029</v>
      </c>
      <c r="D666" s="4">
        <v>1</v>
      </c>
      <c r="E666" s="6">
        <v>39000</v>
      </c>
      <c r="F666" t="str">
        <f>VLOOKUP(C666,products!A:C,2,FALSE)</f>
        <v>Kabel Data USB-C</v>
      </c>
      <c r="G666">
        <f t="shared" si="20"/>
        <v>39000</v>
      </c>
      <c r="H666">
        <f>VLOOKUP(C666,products!A:D,4,FALSE)</f>
        <v>15000</v>
      </c>
      <c r="I666">
        <f t="shared" si="21"/>
        <v>24000</v>
      </c>
      <c r="J666" t="str">
        <f>VLOOKUP(B666,orders!A:B,2,FALSE)</f>
        <v>CUST0141</v>
      </c>
      <c r="K666" t="str">
        <f>VLOOKUP(J666,customers!A:F,6,FALSE)</f>
        <v>Palembang</v>
      </c>
    </row>
    <row r="667" spans="1:11" x14ac:dyDescent="0.35">
      <c r="A667" s="4" t="s">
        <v>1708</v>
      </c>
      <c r="B667" s="4" t="s">
        <v>122</v>
      </c>
      <c r="C667" s="4" t="s">
        <v>1046</v>
      </c>
      <c r="D667" s="4">
        <v>2</v>
      </c>
      <c r="E667" s="6">
        <v>139000</v>
      </c>
      <c r="F667" t="str">
        <f>VLOOKUP(C667,products!A:C,2,FALSE)</f>
        <v>Wajan Anti Lengket 24cm</v>
      </c>
      <c r="G667">
        <f t="shared" si="20"/>
        <v>278000</v>
      </c>
      <c r="H667">
        <f>VLOOKUP(C667,products!A:D,4,FALSE)</f>
        <v>65000</v>
      </c>
      <c r="I667">
        <f t="shared" si="21"/>
        <v>148000</v>
      </c>
      <c r="J667" t="str">
        <f>VLOOKUP(B667,orders!A:B,2,FALSE)</f>
        <v>CUST0074</v>
      </c>
      <c r="K667" t="str">
        <f>VLOOKUP(J667,customers!A:F,6,FALSE)</f>
        <v>Semarang</v>
      </c>
    </row>
    <row r="668" spans="1:11" x14ac:dyDescent="0.35">
      <c r="A668" s="4" t="s">
        <v>1709</v>
      </c>
      <c r="B668" s="4" t="s">
        <v>122</v>
      </c>
      <c r="C668" s="4" t="s">
        <v>1049</v>
      </c>
      <c r="D668" s="4">
        <v>1</v>
      </c>
      <c r="E668" s="6">
        <v>349000</v>
      </c>
      <c r="F668" t="str">
        <f>VLOOKUP(C668,products!A:C,2,FALSE)</f>
        <v>Sepatu Sneakers Casual</v>
      </c>
      <c r="G668">
        <f t="shared" si="20"/>
        <v>349000</v>
      </c>
      <c r="H668">
        <f>VLOOKUP(C668,products!A:D,4,FALSE)</f>
        <v>180000</v>
      </c>
      <c r="I668">
        <f t="shared" si="21"/>
        <v>169000</v>
      </c>
      <c r="J668" t="str">
        <f>VLOOKUP(B668,orders!A:B,2,FALSE)</f>
        <v>CUST0074</v>
      </c>
      <c r="K668" t="str">
        <f>VLOOKUP(J668,customers!A:F,6,FALSE)</f>
        <v>Semarang</v>
      </c>
    </row>
    <row r="669" spans="1:11" x14ac:dyDescent="0.35">
      <c r="A669" s="4" t="s">
        <v>1710</v>
      </c>
      <c r="B669" s="4" t="s">
        <v>279</v>
      </c>
      <c r="C669" s="4" t="s">
        <v>1084</v>
      </c>
      <c r="D669" s="4">
        <v>2</v>
      </c>
      <c r="E669" s="6">
        <v>79000</v>
      </c>
      <c r="F669" t="str">
        <f>VLOOKUP(C669,products!A:C,2,FALSE)</f>
        <v>Botol Minum Stainless 1L</v>
      </c>
      <c r="G669">
        <f t="shared" si="20"/>
        <v>158000</v>
      </c>
      <c r="H669">
        <f>VLOOKUP(C669,products!A:D,4,FALSE)</f>
        <v>35000</v>
      </c>
      <c r="I669">
        <f t="shared" si="21"/>
        <v>88000</v>
      </c>
      <c r="J669" t="str">
        <f>VLOOKUP(B669,orders!A:B,2,FALSE)</f>
        <v>CUST0179</v>
      </c>
      <c r="K669" t="str">
        <f>VLOOKUP(J669,customers!A:F,6,FALSE)</f>
        <v>Jakarta</v>
      </c>
    </row>
    <row r="670" spans="1:11" x14ac:dyDescent="0.35">
      <c r="A670" s="4" t="s">
        <v>1711</v>
      </c>
      <c r="B670" s="4" t="s">
        <v>620</v>
      </c>
      <c r="C670" s="4" t="s">
        <v>1084</v>
      </c>
      <c r="D670" s="4">
        <v>3</v>
      </c>
      <c r="E670" s="6">
        <v>79000</v>
      </c>
      <c r="F670" t="str">
        <f>VLOOKUP(C670,products!A:C,2,FALSE)</f>
        <v>Botol Minum Stainless 1L</v>
      </c>
      <c r="G670">
        <f t="shared" si="20"/>
        <v>237000</v>
      </c>
      <c r="H670">
        <f>VLOOKUP(C670,products!A:D,4,FALSE)</f>
        <v>35000</v>
      </c>
      <c r="I670">
        <f t="shared" si="21"/>
        <v>132000</v>
      </c>
      <c r="J670" t="str">
        <f>VLOOKUP(B670,orders!A:B,2,FALSE)</f>
        <v>CUST0008</v>
      </c>
      <c r="K670" t="str">
        <f>VLOOKUP(J670,customers!A:F,6,FALSE)</f>
        <v>Jakarta</v>
      </c>
    </row>
    <row r="671" spans="1:11" x14ac:dyDescent="0.35">
      <c r="A671" s="4" t="s">
        <v>1712</v>
      </c>
      <c r="B671" s="4" t="s">
        <v>620</v>
      </c>
      <c r="C671" s="4" t="s">
        <v>1033</v>
      </c>
      <c r="D671" s="4">
        <v>1</v>
      </c>
      <c r="E671" s="6">
        <v>55000</v>
      </c>
      <c r="F671" t="str">
        <f>VLOOKUP(C671,products!A:C,2,FALSE)</f>
        <v>Sapu + Pengki Set</v>
      </c>
      <c r="G671">
        <f t="shared" si="20"/>
        <v>55000</v>
      </c>
      <c r="H671">
        <f>VLOOKUP(C671,products!A:D,4,FALSE)</f>
        <v>25000</v>
      </c>
      <c r="I671">
        <f t="shared" si="21"/>
        <v>30000</v>
      </c>
      <c r="J671" t="str">
        <f>VLOOKUP(B671,orders!A:B,2,FALSE)</f>
        <v>CUST0008</v>
      </c>
      <c r="K671" t="str">
        <f>VLOOKUP(J671,customers!A:F,6,FALSE)</f>
        <v>Jakarta</v>
      </c>
    </row>
    <row r="672" spans="1:11" x14ac:dyDescent="0.35">
      <c r="A672" s="4" t="s">
        <v>1713</v>
      </c>
      <c r="B672" s="4" t="s">
        <v>270</v>
      </c>
      <c r="C672" s="4" t="s">
        <v>1029</v>
      </c>
      <c r="D672" s="4">
        <v>2</v>
      </c>
      <c r="E672" s="6">
        <v>39000</v>
      </c>
      <c r="F672" t="str">
        <f>VLOOKUP(C672,products!A:C,2,FALSE)</f>
        <v>Kabel Data USB-C</v>
      </c>
      <c r="G672">
        <f t="shared" si="20"/>
        <v>78000</v>
      </c>
      <c r="H672">
        <f>VLOOKUP(C672,products!A:D,4,FALSE)</f>
        <v>15000</v>
      </c>
      <c r="I672">
        <f t="shared" si="21"/>
        <v>48000</v>
      </c>
      <c r="J672" t="str">
        <f>VLOOKUP(B672,orders!A:B,2,FALSE)</f>
        <v>CUST0062</v>
      </c>
      <c r="K672" t="str">
        <f>VLOOKUP(J672,customers!A:F,6,FALSE)</f>
        <v>Surabaya</v>
      </c>
    </row>
    <row r="673" spans="1:11" x14ac:dyDescent="0.35">
      <c r="A673" s="4" t="s">
        <v>1714</v>
      </c>
      <c r="B673" s="4" t="s">
        <v>270</v>
      </c>
      <c r="C673" s="4" t="s">
        <v>1025</v>
      </c>
      <c r="D673" s="4">
        <v>1</v>
      </c>
      <c r="E673" s="6">
        <v>179000</v>
      </c>
      <c r="F673" t="str">
        <f>VLOOKUP(C673,products!A:C,2,FALSE)</f>
        <v>Rak Penyimpanan Serbaguna</v>
      </c>
      <c r="G673">
        <f t="shared" si="20"/>
        <v>179000</v>
      </c>
      <c r="H673">
        <f>VLOOKUP(C673,products!A:D,4,FALSE)</f>
        <v>90000</v>
      </c>
      <c r="I673">
        <f t="shared" si="21"/>
        <v>89000</v>
      </c>
      <c r="J673" t="str">
        <f>VLOOKUP(B673,orders!A:B,2,FALSE)</f>
        <v>CUST0062</v>
      </c>
      <c r="K673" t="str">
        <f>VLOOKUP(J673,customers!A:F,6,FALSE)</f>
        <v>Surabaya</v>
      </c>
    </row>
    <row r="674" spans="1:11" x14ac:dyDescent="0.35">
      <c r="A674" s="4" t="s">
        <v>1715</v>
      </c>
      <c r="B674" s="4" t="s">
        <v>270</v>
      </c>
      <c r="C674" s="4" t="s">
        <v>1049</v>
      </c>
      <c r="D674" s="4">
        <v>1</v>
      </c>
      <c r="E674" s="6">
        <v>349000</v>
      </c>
      <c r="F674" t="str">
        <f>VLOOKUP(C674,products!A:C,2,FALSE)</f>
        <v>Sepatu Sneakers Casual</v>
      </c>
      <c r="G674">
        <f t="shared" si="20"/>
        <v>349000</v>
      </c>
      <c r="H674">
        <f>VLOOKUP(C674,products!A:D,4,FALSE)</f>
        <v>180000</v>
      </c>
      <c r="I674">
        <f t="shared" si="21"/>
        <v>169000</v>
      </c>
      <c r="J674" t="str">
        <f>VLOOKUP(B674,orders!A:B,2,FALSE)</f>
        <v>CUST0062</v>
      </c>
      <c r="K674" t="str">
        <f>VLOOKUP(J674,customers!A:F,6,FALSE)</f>
        <v>Surabaya</v>
      </c>
    </row>
    <row r="675" spans="1:11" x14ac:dyDescent="0.35">
      <c r="A675" s="4" t="s">
        <v>1716</v>
      </c>
      <c r="B675" s="4" t="s">
        <v>428</v>
      </c>
      <c r="C675" s="4" t="s">
        <v>1023</v>
      </c>
      <c r="D675" s="4">
        <v>2</v>
      </c>
      <c r="E675" s="6">
        <v>69000</v>
      </c>
      <c r="F675" t="str">
        <f>VLOOKUP(C675,products!A:C,2,FALSE)</f>
        <v>Lampu LED Hias 5m</v>
      </c>
      <c r="G675">
        <f t="shared" si="20"/>
        <v>138000</v>
      </c>
      <c r="H675">
        <f>VLOOKUP(C675,products!A:D,4,FALSE)</f>
        <v>30000</v>
      </c>
      <c r="I675">
        <f t="shared" si="21"/>
        <v>78000</v>
      </c>
      <c r="J675" t="str">
        <f>VLOOKUP(B675,orders!A:B,2,FALSE)</f>
        <v>CUST0004</v>
      </c>
      <c r="K675" t="str">
        <f>VLOOKUP(J675,customers!A:F,6,FALSE)</f>
        <v>Jakarta</v>
      </c>
    </row>
    <row r="676" spans="1:11" x14ac:dyDescent="0.35">
      <c r="A676" s="4" t="s">
        <v>1717</v>
      </c>
      <c r="B676" s="4" t="s">
        <v>636</v>
      </c>
      <c r="C676" s="4" t="s">
        <v>1023</v>
      </c>
      <c r="D676" s="4">
        <v>1</v>
      </c>
      <c r="E676" s="6">
        <v>69000</v>
      </c>
      <c r="F676" t="str">
        <f>VLOOKUP(C676,products!A:C,2,FALSE)</f>
        <v>Lampu LED Hias 5m</v>
      </c>
      <c r="G676">
        <f t="shared" si="20"/>
        <v>69000</v>
      </c>
      <c r="H676">
        <f>VLOOKUP(C676,products!A:D,4,FALSE)</f>
        <v>30000</v>
      </c>
      <c r="I676">
        <f t="shared" si="21"/>
        <v>39000</v>
      </c>
      <c r="J676" t="str">
        <f>VLOOKUP(B676,orders!A:B,2,FALSE)</f>
        <v>CUST0024</v>
      </c>
      <c r="K676" t="str">
        <f>VLOOKUP(J676,customers!A:F,6,FALSE)</f>
        <v>Surabaya</v>
      </c>
    </row>
    <row r="677" spans="1:11" x14ac:dyDescent="0.35">
      <c r="A677" s="4" t="s">
        <v>1718</v>
      </c>
      <c r="B677" s="4" t="s">
        <v>169</v>
      </c>
      <c r="C677" s="4" t="s">
        <v>1023</v>
      </c>
      <c r="D677" s="4">
        <v>1</v>
      </c>
      <c r="E677" s="6">
        <v>69000</v>
      </c>
      <c r="F677" t="str">
        <f>VLOOKUP(C677,products!A:C,2,FALSE)</f>
        <v>Lampu LED Hias 5m</v>
      </c>
      <c r="G677">
        <f t="shared" si="20"/>
        <v>69000</v>
      </c>
      <c r="H677">
        <f>VLOOKUP(C677,products!A:D,4,FALSE)</f>
        <v>30000</v>
      </c>
      <c r="I677">
        <f t="shared" si="21"/>
        <v>39000</v>
      </c>
      <c r="J677" t="str">
        <f>VLOOKUP(B677,orders!A:B,2,FALSE)</f>
        <v>CUST0030</v>
      </c>
      <c r="K677" t="str">
        <f>VLOOKUP(J677,customers!A:F,6,FALSE)</f>
        <v>Jakarta</v>
      </c>
    </row>
    <row r="678" spans="1:11" x14ac:dyDescent="0.35">
      <c r="A678" s="4" t="s">
        <v>1719</v>
      </c>
      <c r="B678" s="4" t="s">
        <v>169</v>
      </c>
      <c r="C678" s="4" t="s">
        <v>1036</v>
      </c>
      <c r="D678" s="4">
        <v>1</v>
      </c>
      <c r="E678" s="6">
        <v>229000</v>
      </c>
      <c r="F678" t="str">
        <f>VLOOKUP(C678,products!A:C,2,FALSE)</f>
        <v>Celana Jeans Slimfit</v>
      </c>
      <c r="G678">
        <f t="shared" si="20"/>
        <v>229000</v>
      </c>
      <c r="H678">
        <f>VLOOKUP(C678,products!A:D,4,FALSE)</f>
        <v>110000</v>
      </c>
      <c r="I678">
        <f t="shared" si="21"/>
        <v>119000</v>
      </c>
      <c r="J678" t="str">
        <f>VLOOKUP(B678,orders!A:B,2,FALSE)</f>
        <v>CUST0030</v>
      </c>
      <c r="K678" t="str">
        <f>VLOOKUP(J678,customers!A:F,6,FALSE)</f>
        <v>Jakarta</v>
      </c>
    </row>
    <row r="679" spans="1:11" x14ac:dyDescent="0.35">
      <c r="A679" s="4" t="s">
        <v>1720</v>
      </c>
      <c r="B679" s="4" t="s">
        <v>530</v>
      </c>
      <c r="C679" s="4" t="s">
        <v>1029</v>
      </c>
      <c r="D679" s="4">
        <v>3</v>
      </c>
      <c r="E679" s="6">
        <v>39000</v>
      </c>
      <c r="F679" t="str">
        <f>VLOOKUP(C679,products!A:C,2,FALSE)</f>
        <v>Kabel Data USB-C</v>
      </c>
      <c r="G679">
        <f t="shared" si="20"/>
        <v>117000</v>
      </c>
      <c r="H679">
        <f>VLOOKUP(C679,products!A:D,4,FALSE)</f>
        <v>15000</v>
      </c>
      <c r="I679">
        <f t="shared" si="21"/>
        <v>72000</v>
      </c>
      <c r="J679" t="str">
        <f>VLOOKUP(B679,orders!A:B,2,FALSE)</f>
        <v>CUST0166</v>
      </c>
      <c r="K679" t="str">
        <f>VLOOKUP(J679,customers!A:F,6,FALSE)</f>
        <v>Bandung</v>
      </c>
    </row>
    <row r="680" spans="1:11" x14ac:dyDescent="0.35">
      <c r="A680" s="4" t="s">
        <v>1721</v>
      </c>
      <c r="B680" s="4" t="s">
        <v>530</v>
      </c>
      <c r="C680" s="4" t="s">
        <v>1023</v>
      </c>
      <c r="D680" s="4">
        <v>1</v>
      </c>
      <c r="E680" s="6">
        <v>69000</v>
      </c>
      <c r="F680" t="str">
        <f>VLOOKUP(C680,products!A:C,2,FALSE)</f>
        <v>Lampu LED Hias 5m</v>
      </c>
      <c r="G680">
        <f t="shared" si="20"/>
        <v>69000</v>
      </c>
      <c r="H680">
        <f>VLOOKUP(C680,products!A:D,4,FALSE)</f>
        <v>30000</v>
      </c>
      <c r="I680">
        <f t="shared" si="21"/>
        <v>39000</v>
      </c>
      <c r="J680" t="str">
        <f>VLOOKUP(B680,orders!A:B,2,FALSE)</f>
        <v>CUST0166</v>
      </c>
      <c r="K680" t="str">
        <f>VLOOKUP(J680,customers!A:F,6,FALSE)</f>
        <v>Bandung</v>
      </c>
    </row>
    <row r="681" spans="1:11" x14ac:dyDescent="0.35">
      <c r="A681" s="4" t="s">
        <v>1722</v>
      </c>
      <c r="B681" s="4" t="s">
        <v>530</v>
      </c>
      <c r="C681" s="4" t="s">
        <v>1031</v>
      </c>
      <c r="D681" s="4">
        <v>1</v>
      </c>
      <c r="E681" s="6">
        <v>79000</v>
      </c>
      <c r="F681" t="str">
        <f>VLOOKUP(C681,products!A:C,2,FALSE)</f>
        <v>Kaos Polos Cotton Combed</v>
      </c>
      <c r="G681">
        <f t="shared" si="20"/>
        <v>79000</v>
      </c>
      <c r="H681">
        <f>VLOOKUP(C681,products!A:D,4,FALSE)</f>
        <v>35000</v>
      </c>
      <c r="I681">
        <f t="shared" si="21"/>
        <v>44000</v>
      </c>
      <c r="J681" t="str">
        <f>VLOOKUP(B681,orders!A:B,2,FALSE)</f>
        <v>CUST0166</v>
      </c>
      <c r="K681" t="str">
        <f>VLOOKUP(J681,customers!A:F,6,FALSE)</f>
        <v>Bandung</v>
      </c>
    </row>
    <row r="682" spans="1:11" x14ac:dyDescent="0.35">
      <c r="A682" s="4" t="s">
        <v>1723</v>
      </c>
      <c r="B682" s="4" t="s">
        <v>118</v>
      </c>
      <c r="C682" s="4" t="s">
        <v>1046</v>
      </c>
      <c r="D682" s="4">
        <v>1</v>
      </c>
      <c r="E682" s="6">
        <v>139000</v>
      </c>
      <c r="F682" t="str">
        <f>VLOOKUP(C682,products!A:C,2,FALSE)</f>
        <v>Wajan Anti Lengket 24cm</v>
      </c>
      <c r="G682">
        <f t="shared" si="20"/>
        <v>139000</v>
      </c>
      <c r="H682">
        <f>VLOOKUP(C682,products!A:D,4,FALSE)</f>
        <v>65000</v>
      </c>
      <c r="I682">
        <f t="shared" si="21"/>
        <v>74000</v>
      </c>
      <c r="J682" t="str">
        <f>VLOOKUP(B682,orders!A:B,2,FALSE)</f>
        <v>CUST0128</v>
      </c>
      <c r="K682" t="str">
        <f>VLOOKUP(J682,customers!A:F,6,FALSE)</f>
        <v>Jakarta</v>
      </c>
    </row>
    <row r="683" spans="1:11" x14ac:dyDescent="0.35">
      <c r="A683" s="4" t="s">
        <v>1724</v>
      </c>
      <c r="B683" s="4" t="s">
        <v>118</v>
      </c>
      <c r="C683" s="4" t="s">
        <v>1029</v>
      </c>
      <c r="D683" s="4">
        <v>1</v>
      </c>
      <c r="E683" s="6">
        <v>39000</v>
      </c>
      <c r="F683" t="str">
        <f>VLOOKUP(C683,products!A:C,2,FALSE)</f>
        <v>Kabel Data USB-C</v>
      </c>
      <c r="G683">
        <f t="shared" si="20"/>
        <v>39000</v>
      </c>
      <c r="H683">
        <f>VLOOKUP(C683,products!A:D,4,FALSE)</f>
        <v>15000</v>
      </c>
      <c r="I683">
        <f t="shared" si="21"/>
        <v>24000</v>
      </c>
      <c r="J683" t="str">
        <f>VLOOKUP(B683,orders!A:B,2,FALSE)</f>
        <v>CUST0128</v>
      </c>
      <c r="K683" t="str">
        <f>VLOOKUP(J683,customers!A:F,6,FALSE)</f>
        <v>Jakarta</v>
      </c>
    </row>
    <row r="684" spans="1:11" x14ac:dyDescent="0.35">
      <c r="A684" s="4" t="s">
        <v>1725</v>
      </c>
      <c r="B684" s="4" t="s">
        <v>38</v>
      </c>
      <c r="C684" s="4" t="s">
        <v>1029</v>
      </c>
      <c r="D684" s="4">
        <v>1</v>
      </c>
      <c r="E684" s="6">
        <v>39000</v>
      </c>
      <c r="F684" t="str">
        <f>VLOOKUP(C684,products!A:C,2,FALSE)</f>
        <v>Kabel Data USB-C</v>
      </c>
      <c r="G684">
        <f t="shared" si="20"/>
        <v>39000</v>
      </c>
      <c r="H684">
        <f>VLOOKUP(C684,products!A:D,4,FALSE)</f>
        <v>15000</v>
      </c>
      <c r="I684">
        <f t="shared" si="21"/>
        <v>24000</v>
      </c>
      <c r="J684" t="str">
        <f>VLOOKUP(B684,orders!A:B,2,FALSE)</f>
        <v>CUST0070</v>
      </c>
      <c r="K684" t="str">
        <f>VLOOKUP(J684,customers!A:F,6,FALSE)</f>
        <v>Bandung</v>
      </c>
    </row>
    <row r="685" spans="1:11" x14ac:dyDescent="0.35">
      <c r="A685" s="4" t="s">
        <v>1726</v>
      </c>
      <c r="B685" s="4" t="s">
        <v>670</v>
      </c>
      <c r="C685" s="4" t="s">
        <v>1033</v>
      </c>
      <c r="D685" s="4">
        <v>2</v>
      </c>
      <c r="E685" s="6">
        <v>55000</v>
      </c>
      <c r="F685" t="str">
        <f>VLOOKUP(C685,products!A:C,2,FALSE)</f>
        <v>Sapu + Pengki Set</v>
      </c>
      <c r="G685">
        <f t="shared" si="20"/>
        <v>110000</v>
      </c>
      <c r="H685">
        <f>VLOOKUP(C685,products!A:D,4,FALSE)</f>
        <v>25000</v>
      </c>
      <c r="I685">
        <f t="shared" si="21"/>
        <v>60000</v>
      </c>
      <c r="J685" t="str">
        <f>VLOOKUP(B685,orders!A:B,2,FALSE)</f>
        <v>CUST0124</v>
      </c>
      <c r="K685" t="str">
        <f>VLOOKUP(J685,customers!A:F,6,FALSE)</f>
        <v>Bandung</v>
      </c>
    </row>
    <row r="686" spans="1:11" x14ac:dyDescent="0.35">
      <c r="A686" s="4" t="s">
        <v>1727</v>
      </c>
      <c r="B686" s="4" t="s">
        <v>733</v>
      </c>
      <c r="C686" s="4" t="s">
        <v>1023</v>
      </c>
      <c r="D686" s="4">
        <v>1</v>
      </c>
      <c r="E686" s="6">
        <v>69000</v>
      </c>
      <c r="F686" t="str">
        <f>VLOOKUP(C686,products!A:C,2,FALSE)</f>
        <v>Lampu LED Hias 5m</v>
      </c>
      <c r="G686">
        <f t="shared" si="20"/>
        <v>69000</v>
      </c>
      <c r="H686">
        <f>VLOOKUP(C686,products!A:D,4,FALSE)</f>
        <v>30000</v>
      </c>
      <c r="I686">
        <f t="shared" si="21"/>
        <v>39000</v>
      </c>
      <c r="J686" t="str">
        <f>VLOOKUP(B686,orders!A:B,2,FALSE)</f>
        <v>CUST0142</v>
      </c>
      <c r="K686" t="str">
        <f>VLOOKUP(J686,customers!A:F,6,FALSE)</f>
        <v>Bandung</v>
      </c>
    </row>
    <row r="687" spans="1:11" x14ac:dyDescent="0.35">
      <c r="A687" s="4" t="s">
        <v>1728</v>
      </c>
      <c r="B687" s="4" t="s">
        <v>306</v>
      </c>
      <c r="C687" s="4" t="s">
        <v>1023</v>
      </c>
      <c r="D687" s="4">
        <v>1</v>
      </c>
      <c r="E687" s="6">
        <v>69000</v>
      </c>
      <c r="F687" t="str">
        <f>VLOOKUP(C687,products!A:C,2,FALSE)</f>
        <v>Lampu LED Hias 5m</v>
      </c>
      <c r="G687">
        <f t="shared" si="20"/>
        <v>69000</v>
      </c>
      <c r="H687">
        <f>VLOOKUP(C687,products!A:D,4,FALSE)</f>
        <v>30000</v>
      </c>
      <c r="I687">
        <f t="shared" si="21"/>
        <v>39000</v>
      </c>
      <c r="J687" t="str">
        <f>VLOOKUP(B687,orders!A:B,2,FALSE)</f>
        <v>CUST0049</v>
      </c>
      <c r="K687" t="str">
        <f>VLOOKUP(J687,customers!A:F,6,FALSE)</f>
        <v>Medan</v>
      </c>
    </row>
    <row r="688" spans="1:11" x14ac:dyDescent="0.35">
      <c r="A688" s="4" t="s">
        <v>1729</v>
      </c>
      <c r="B688" s="4" t="s">
        <v>306</v>
      </c>
      <c r="C688" s="4" t="s">
        <v>1025</v>
      </c>
      <c r="D688" s="4">
        <v>1</v>
      </c>
      <c r="E688" s="6">
        <v>179000</v>
      </c>
      <c r="F688" t="str">
        <f>VLOOKUP(C688,products!A:C,2,FALSE)</f>
        <v>Rak Penyimpanan Serbaguna</v>
      </c>
      <c r="G688">
        <f t="shared" si="20"/>
        <v>179000</v>
      </c>
      <c r="H688">
        <f>VLOOKUP(C688,products!A:D,4,FALSE)</f>
        <v>90000</v>
      </c>
      <c r="I688">
        <f t="shared" si="21"/>
        <v>89000</v>
      </c>
      <c r="J688" t="str">
        <f>VLOOKUP(B688,orders!A:B,2,FALSE)</f>
        <v>CUST0049</v>
      </c>
      <c r="K688" t="str">
        <f>VLOOKUP(J688,customers!A:F,6,FALSE)</f>
        <v>Medan</v>
      </c>
    </row>
    <row r="689" spans="1:11" x14ac:dyDescent="0.35">
      <c r="A689" s="4" t="s">
        <v>1730</v>
      </c>
      <c r="B689" s="4" t="s">
        <v>575</v>
      </c>
      <c r="C689" s="4" t="s">
        <v>1023</v>
      </c>
      <c r="D689" s="4">
        <v>1</v>
      </c>
      <c r="E689" s="6">
        <v>69000</v>
      </c>
      <c r="F689" t="str">
        <f>VLOOKUP(C689,products!A:C,2,FALSE)</f>
        <v>Lampu LED Hias 5m</v>
      </c>
      <c r="G689">
        <f t="shared" si="20"/>
        <v>69000</v>
      </c>
      <c r="H689">
        <f>VLOOKUP(C689,products!A:D,4,FALSE)</f>
        <v>30000</v>
      </c>
      <c r="I689">
        <f t="shared" si="21"/>
        <v>39000</v>
      </c>
      <c r="J689" t="str">
        <f>VLOOKUP(B689,orders!A:B,2,FALSE)</f>
        <v>CUST0035</v>
      </c>
      <c r="K689" t="str">
        <f>VLOOKUP(J689,customers!A:F,6,FALSE)</f>
        <v>Jakarta</v>
      </c>
    </row>
    <row r="690" spans="1:11" x14ac:dyDescent="0.35">
      <c r="A690" s="4" t="s">
        <v>1731</v>
      </c>
      <c r="B690" s="4" t="s">
        <v>181</v>
      </c>
      <c r="C690" s="4" t="s">
        <v>1023</v>
      </c>
      <c r="D690" s="4">
        <v>1</v>
      </c>
      <c r="E690" s="6">
        <v>69000</v>
      </c>
      <c r="F690" t="str">
        <f>VLOOKUP(C690,products!A:C,2,FALSE)</f>
        <v>Lampu LED Hias 5m</v>
      </c>
      <c r="G690">
        <f t="shared" si="20"/>
        <v>69000</v>
      </c>
      <c r="H690">
        <f>VLOOKUP(C690,products!A:D,4,FALSE)</f>
        <v>30000</v>
      </c>
      <c r="I690">
        <f t="shared" si="21"/>
        <v>39000</v>
      </c>
      <c r="J690" t="str">
        <f>VLOOKUP(B690,orders!A:B,2,FALSE)</f>
        <v>CUST0107</v>
      </c>
      <c r="K690" t="str">
        <f>VLOOKUP(J690,customers!A:F,6,FALSE)</f>
        <v>Makassar</v>
      </c>
    </row>
    <row r="691" spans="1:11" x14ac:dyDescent="0.35">
      <c r="A691" s="4" t="s">
        <v>1732</v>
      </c>
      <c r="B691" s="4" t="s">
        <v>826</v>
      </c>
      <c r="C691" s="4" t="s">
        <v>1023</v>
      </c>
      <c r="D691" s="4">
        <v>1</v>
      </c>
      <c r="E691" s="6">
        <v>69000</v>
      </c>
      <c r="F691" t="str">
        <f>VLOOKUP(C691,products!A:C,2,FALSE)</f>
        <v>Lampu LED Hias 5m</v>
      </c>
      <c r="G691">
        <f t="shared" si="20"/>
        <v>69000</v>
      </c>
      <c r="H691">
        <f>VLOOKUP(C691,products!A:D,4,FALSE)</f>
        <v>30000</v>
      </c>
      <c r="I691">
        <f t="shared" si="21"/>
        <v>39000</v>
      </c>
      <c r="J691" t="str">
        <f>VLOOKUP(B691,orders!A:B,2,FALSE)</f>
        <v>CUST0069</v>
      </c>
      <c r="K691" t="str">
        <f>VLOOKUP(J691,customers!A:F,6,FALSE)</f>
        <v>Medan</v>
      </c>
    </row>
    <row r="692" spans="1:11" x14ac:dyDescent="0.35">
      <c r="A692" s="4" t="s">
        <v>1733</v>
      </c>
      <c r="B692" s="4" t="s">
        <v>219</v>
      </c>
      <c r="C692" s="4" t="s">
        <v>1049</v>
      </c>
      <c r="D692" s="4">
        <v>1</v>
      </c>
      <c r="E692" s="6">
        <v>349000</v>
      </c>
      <c r="F692" t="str">
        <f>VLOOKUP(C692,products!A:C,2,FALSE)</f>
        <v>Sepatu Sneakers Casual</v>
      </c>
      <c r="G692">
        <f t="shared" si="20"/>
        <v>349000</v>
      </c>
      <c r="H692">
        <f>VLOOKUP(C692,products!A:D,4,FALSE)</f>
        <v>180000</v>
      </c>
      <c r="I692">
        <f t="shared" si="21"/>
        <v>169000</v>
      </c>
      <c r="J692" t="str">
        <f>VLOOKUP(B692,orders!A:B,2,FALSE)</f>
        <v>CUST0073</v>
      </c>
      <c r="K692" t="str">
        <f>VLOOKUP(J692,customers!A:F,6,FALSE)</f>
        <v>Surabaya</v>
      </c>
    </row>
    <row r="693" spans="1:11" x14ac:dyDescent="0.35">
      <c r="A693" s="4" t="s">
        <v>1734</v>
      </c>
      <c r="B693" s="4" t="s">
        <v>690</v>
      </c>
      <c r="C693" s="4" t="s">
        <v>1029</v>
      </c>
      <c r="D693" s="4">
        <v>3</v>
      </c>
      <c r="E693" s="6">
        <v>39000</v>
      </c>
      <c r="F693" t="str">
        <f>VLOOKUP(C693,products!A:C,2,FALSE)</f>
        <v>Kabel Data USB-C</v>
      </c>
      <c r="G693">
        <f t="shared" si="20"/>
        <v>117000</v>
      </c>
      <c r="H693">
        <f>VLOOKUP(C693,products!A:D,4,FALSE)</f>
        <v>15000</v>
      </c>
      <c r="I693">
        <f t="shared" si="21"/>
        <v>72000</v>
      </c>
      <c r="J693" t="str">
        <f>VLOOKUP(B693,orders!A:B,2,FALSE)</f>
        <v>CUST0151</v>
      </c>
      <c r="K693" t="str">
        <f>VLOOKUP(J693,customers!A:F,6,FALSE)</f>
        <v>Jakarta</v>
      </c>
    </row>
    <row r="694" spans="1:11" x14ac:dyDescent="0.35">
      <c r="A694" s="4" t="s">
        <v>1735</v>
      </c>
      <c r="B694" s="4" t="s">
        <v>690</v>
      </c>
      <c r="C694" s="4" t="s">
        <v>1285</v>
      </c>
      <c r="D694" s="4">
        <v>1</v>
      </c>
      <c r="E694" s="6">
        <v>139000</v>
      </c>
      <c r="F694" t="str">
        <f>VLOOKUP(C694,products!A:C,2,FALSE)</f>
        <v>Tas Selempang Kanvas</v>
      </c>
      <c r="G694">
        <f t="shared" si="20"/>
        <v>139000</v>
      </c>
      <c r="H694">
        <f>VLOOKUP(C694,products!A:D,4,FALSE)</f>
        <v>60000</v>
      </c>
      <c r="I694">
        <f t="shared" si="21"/>
        <v>79000</v>
      </c>
      <c r="J694" t="str">
        <f>VLOOKUP(B694,orders!A:B,2,FALSE)</f>
        <v>CUST0151</v>
      </c>
      <c r="K694" t="str">
        <f>VLOOKUP(J694,customers!A:F,6,FALSE)</f>
        <v>Jakarta</v>
      </c>
    </row>
    <row r="695" spans="1:11" x14ac:dyDescent="0.35">
      <c r="A695" s="4" t="s">
        <v>1736</v>
      </c>
      <c r="B695" s="4" t="s">
        <v>454</v>
      </c>
      <c r="C695" s="4" t="s">
        <v>1033</v>
      </c>
      <c r="D695" s="4">
        <v>1</v>
      </c>
      <c r="E695" s="6">
        <v>55000</v>
      </c>
      <c r="F695" t="str">
        <f>VLOOKUP(C695,products!A:C,2,FALSE)</f>
        <v>Sapu + Pengki Set</v>
      </c>
      <c r="G695">
        <f t="shared" si="20"/>
        <v>55000</v>
      </c>
      <c r="H695">
        <f>VLOOKUP(C695,products!A:D,4,FALSE)</f>
        <v>25000</v>
      </c>
      <c r="I695">
        <f t="shared" si="21"/>
        <v>30000</v>
      </c>
      <c r="J695" t="str">
        <f>VLOOKUP(B695,orders!A:B,2,FALSE)</f>
        <v>CUST0039</v>
      </c>
      <c r="K695" t="str">
        <f>VLOOKUP(J695,customers!A:F,6,FALSE)</f>
        <v>Yogyakarta</v>
      </c>
    </row>
    <row r="696" spans="1:11" x14ac:dyDescent="0.35">
      <c r="A696" s="4" t="s">
        <v>1737</v>
      </c>
      <c r="B696" s="4" t="s">
        <v>658</v>
      </c>
      <c r="C696" s="4" t="s">
        <v>1082</v>
      </c>
      <c r="D696" s="4">
        <v>2</v>
      </c>
      <c r="E696" s="6">
        <v>399000</v>
      </c>
      <c r="F696" t="str">
        <f>VLOOKUP(C696,products!A:C,2,FALSE)</f>
        <v>Keyboard Mechanical Mini</v>
      </c>
      <c r="G696">
        <f t="shared" si="20"/>
        <v>798000</v>
      </c>
      <c r="H696">
        <f>VLOOKUP(C696,products!A:D,4,FALSE)</f>
        <v>200000</v>
      </c>
      <c r="I696">
        <f t="shared" si="21"/>
        <v>398000</v>
      </c>
      <c r="J696" t="str">
        <f>VLOOKUP(B696,orders!A:B,2,FALSE)</f>
        <v>CUST0124</v>
      </c>
      <c r="K696" t="str">
        <f>VLOOKUP(J696,customers!A:F,6,FALSE)</f>
        <v>Bandung</v>
      </c>
    </row>
    <row r="697" spans="1:11" x14ac:dyDescent="0.35">
      <c r="A697" s="4" t="s">
        <v>1738</v>
      </c>
      <c r="B697" s="4" t="s">
        <v>45</v>
      </c>
      <c r="C697" s="4" t="s">
        <v>1023</v>
      </c>
      <c r="D697" s="4">
        <v>1</v>
      </c>
      <c r="E697" s="6">
        <v>69000</v>
      </c>
      <c r="F697" t="str">
        <f>VLOOKUP(C697,products!A:C,2,FALSE)</f>
        <v>Lampu LED Hias 5m</v>
      </c>
      <c r="G697">
        <f t="shared" si="20"/>
        <v>69000</v>
      </c>
      <c r="H697">
        <f>VLOOKUP(C697,products!A:D,4,FALSE)</f>
        <v>30000</v>
      </c>
      <c r="I697">
        <f t="shared" si="21"/>
        <v>39000</v>
      </c>
      <c r="J697" t="str">
        <f>VLOOKUP(B697,orders!A:B,2,FALSE)</f>
        <v>CUST0196</v>
      </c>
      <c r="K697" t="str">
        <f>VLOOKUP(J697,customers!A:F,6,FALSE)</f>
        <v>Denpasar</v>
      </c>
    </row>
    <row r="698" spans="1:11" x14ac:dyDescent="0.35">
      <c r="A698" s="4" t="s">
        <v>1739</v>
      </c>
      <c r="B698" s="4" t="s">
        <v>45</v>
      </c>
      <c r="C698" s="4" t="s">
        <v>1029</v>
      </c>
      <c r="D698" s="4">
        <v>1</v>
      </c>
      <c r="E698" s="6">
        <v>39000</v>
      </c>
      <c r="F698" t="str">
        <f>VLOOKUP(C698,products!A:C,2,FALSE)</f>
        <v>Kabel Data USB-C</v>
      </c>
      <c r="G698">
        <f t="shared" si="20"/>
        <v>39000</v>
      </c>
      <c r="H698">
        <f>VLOOKUP(C698,products!A:D,4,FALSE)</f>
        <v>15000</v>
      </c>
      <c r="I698">
        <f t="shared" si="21"/>
        <v>24000</v>
      </c>
      <c r="J698" t="str">
        <f>VLOOKUP(B698,orders!A:B,2,FALSE)</f>
        <v>CUST0196</v>
      </c>
      <c r="K698" t="str">
        <f>VLOOKUP(J698,customers!A:F,6,FALSE)</f>
        <v>Denpasar</v>
      </c>
    </row>
    <row r="699" spans="1:11" x14ac:dyDescent="0.35">
      <c r="A699" s="4" t="s">
        <v>1740</v>
      </c>
      <c r="B699" s="4" t="s">
        <v>45</v>
      </c>
      <c r="C699" s="4" t="s">
        <v>1325</v>
      </c>
      <c r="D699" s="4">
        <v>1</v>
      </c>
      <c r="E699" s="6">
        <v>199000</v>
      </c>
      <c r="F699" t="str">
        <f>VLOOKUP(C699,products!A:C,2,FALSE)</f>
        <v>Speaker Bluetooth Mini</v>
      </c>
      <c r="G699">
        <f t="shared" si="20"/>
        <v>199000</v>
      </c>
      <c r="H699">
        <f>VLOOKUP(C699,products!A:D,4,FALSE)</f>
        <v>100000</v>
      </c>
      <c r="I699">
        <f t="shared" si="21"/>
        <v>99000</v>
      </c>
      <c r="J699" t="str">
        <f>VLOOKUP(B699,orders!A:B,2,FALSE)</f>
        <v>CUST0196</v>
      </c>
      <c r="K699" t="str">
        <f>VLOOKUP(J699,customers!A:F,6,FALSE)</f>
        <v>Denpasar</v>
      </c>
    </row>
    <row r="700" spans="1:11" x14ac:dyDescent="0.35">
      <c r="A700" s="4" t="s">
        <v>1741</v>
      </c>
      <c r="B700" s="4" t="s">
        <v>994</v>
      </c>
      <c r="C700" s="4" t="s">
        <v>1023</v>
      </c>
      <c r="D700" s="4">
        <v>1</v>
      </c>
      <c r="E700" s="6">
        <v>69000</v>
      </c>
      <c r="F700" t="str">
        <f>VLOOKUP(C700,products!A:C,2,FALSE)</f>
        <v>Lampu LED Hias 5m</v>
      </c>
      <c r="G700">
        <f t="shared" si="20"/>
        <v>69000</v>
      </c>
      <c r="H700">
        <f>VLOOKUP(C700,products!A:D,4,FALSE)</f>
        <v>30000</v>
      </c>
      <c r="I700">
        <f t="shared" si="21"/>
        <v>39000</v>
      </c>
      <c r="J700" t="str">
        <f>VLOOKUP(B700,orders!A:B,2,FALSE)</f>
        <v>CUST0083</v>
      </c>
      <c r="K700" t="str">
        <f>VLOOKUP(J700,customers!A:F,6,FALSE)</f>
        <v>Jakarta</v>
      </c>
    </row>
    <row r="701" spans="1:11" x14ac:dyDescent="0.35">
      <c r="A701" s="4" t="s">
        <v>1742</v>
      </c>
      <c r="B701" s="4" t="s">
        <v>814</v>
      </c>
      <c r="C701" s="4" t="s">
        <v>1029</v>
      </c>
      <c r="D701" s="4">
        <v>2</v>
      </c>
      <c r="E701" s="6">
        <v>39000</v>
      </c>
      <c r="F701" t="str">
        <f>VLOOKUP(C701,products!A:C,2,FALSE)</f>
        <v>Kabel Data USB-C</v>
      </c>
      <c r="G701">
        <f t="shared" si="20"/>
        <v>78000</v>
      </c>
      <c r="H701">
        <f>VLOOKUP(C701,products!A:D,4,FALSE)</f>
        <v>15000</v>
      </c>
      <c r="I701">
        <f t="shared" si="21"/>
        <v>48000</v>
      </c>
      <c r="J701" t="str">
        <f>VLOOKUP(B701,orders!A:B,2,FALSE)</f>
        <v>CUST0147</v>
      </c>
      <c r="K701" t="str">
        <f>VLOOKUP(J701,customers!A:F,6,FALSE)</f>
        <v>Yogyakarta</v>
      </c>
    </row>
    <row r="702" spans="1:11" x14ac:dyDescent="0.35">
      <c r="A702" s="4" t="s">
        <v>1743</v>
      </c>
      <c r="B702" s="4" t="s">
        <v>315</v>
      </c>
      <c r="C702" s="4" t="s">
        <v>1023</v>
      </c>
      <c r="D702" s="4">
        <v>1</v>
      </c>
      <c r="E702" s="6">
        <v>69000</v>
      </c>
      <c r="F702" t="str">
        <f>VLOOKUP(C702,products!A:C,2,FALSE)</f>
        <v>Lampu LED Hias 5m</v>
      </c>
      <c r="G702">
        <f t="shared" si="20"/>
        <v>69000</v>
      </c>
      <c r="H702">
        <f>VLOOKUP(C702,products!A:D,4,FALSE)</f>
        <v>30000</v>
      </c>
      <c r="I702">
        <f t="shared" si="21"/>
        <v>39000</v>
      </c>
      <c r="J702" t="str">
        <f>VLOOKUP(B702,orders!A:B,2,FALSE)</f>
        <v>CUST0199</v>
      </c>
      <c r="K702" t="str">
        <f>VLOOKUP(J702,customers!A:F,6,FALSE)</f>
        <v>Palembang</v>
      </c>
    </row>
    <row r="703" spans="1:11" x14ac:dyDescent="0.35">
      <c r="A703" s="4" t="s">
        <v>1744</v>
      </c>
      <c r="B703" s="4" t="s">
        <v>315</v>
      </c>
      <c r="C703" s="4" t="s">
        <v>1053</v>
      </c>
      <c r="D703" s="4">
        <v>3</v>
      </c>
      <c r="E703" s="6">
        <v>129000</v>
      </c>
      <c r="F703" t="str">
        <f>VLOOKUP(C703,products!A:C,2,FALSE)</f>
        <v>Charger Fast Charging 33W</v>
      </c>
      <c r="G703">
        <f t="shared" si="20"/>
        <v>387000</v>
      </c>
      <c r="H703">
        <f>VLOOKUP(C703,products!A:D,4,FALSE)</f>
        <v>60000</v>
      </c>
      <c r="I703">
        <f t="shared" si="21"/>
        <v>207000</v>
      </c>
      <c r="J703" t="str">
        <f>VLOOKUP(B703,orders!A:B,2,FALSE)</f>
        <v>CUST0199</v>
      </c>
      <c r="K703" t="str">
        <f>VLOOKUP(J703,customers!A:F,6,FALSE)</f>
        <v>Palembang</v>
      </c>
    </row>
    <row r="704" spans="1:11" x14ac:dyDescent="0.35">
      <c r="A704" s="4" t="s">
        <v>1745</v>
      </c>
      <c r="B704" s="4" t="s">
        <v>315</v>
      </c>
      <c r="C704" s="4" t="s">
        <v>1025</v>
      </c>
      <c r="D704" s="4">
        <v>1</v>
      </c>
      <c r="E704" s="6">
        <v>179000</v>
      </c>
      <c r="F704" t="str">
        <f>VLOOKUP(C704,products!A:C,2,FALSE)</f>
        <v>Rak Penyimpanan Serbaguna</v>
      </c>
      <c r="G704">
        <f t="shared" si="20"/>
        <v>179000</v>
      </c>
      <c r="H704">
        <f>VLOOKUP(C704,products!A:D,4,FALSE)</f>
        <v>90000</v>
      </c>
      <c r="I704">
        <f t="shared" si="21"/>
        <v>89000</v>
      </c>
      <c r="J704" t="str">
        <f>VLOOKUP(B704,orders!A:B,2,FALSE)</f>
        <v>CUST0199</v>
      </c>
      <c r="K704" t="str">
        <f>VLOOKUP(J704,customers!A:F,6,FALSE)</f>
        <v>Palembang</v>
      </c>
    </row>
    <row r="705" spans="1:11" x14ac:dyDescent="0.35">
      <c r="A705" s="4" t="s">
        <v>1746</v>
      </c>
      <c r="B705" s="4" t="s">
        <v>706</v>
      </c>
      <c r="C705" s="4" t="s">
        <v>1046</v>
      </c>
      <c r="D705" s="4">
        <v>1</v>
      </c>
      <c r="E705" s="6">
        <v>139000</v>
      </c>
      <c r="F705" t="str">
        <f>VLOOKUP(C705,products!A:C,2,FALSE)</f>
        <v>Wajan Anti Lengket 24cm</v>
      </c>
      <c r="G705">
        <f t="shared" si="20"/>
        <v>139000</v>
      </c>
      <c r="H705">
        <f>VLOOKUP(C705,products!A:D,4,FALSE)</f>
        <v>65000</v>
      </c>
      <c r="I705">
        <f t="shared" si="21"/>
        <v>74000</v>
      </c>
      <c r="J705" t="str">
        <f>VLOOKUP(B705,orders!A:B,2,FALSE)</f>
        <v>CUST0191</v>
      </c>
      <c r="K705" t="str">
        <f>VLOOKUP(J705,customers!A:F,6,FALSE)</f>
        <v>Jakarta</v>
      </c>
    </row>
    <row r="706" spans="1:11" x14ac:dyDescent="0.35">
      <c r="A706" s="4" t="s">
        <v>1747</v>
      </c>
      <c r="B706" s="4" t="s">
        <v>706</v>
      </c>
      <c r="C706" s="4" t="s">
        <v>1053</v>
      </c>
      <c r="D706" s="4">
        <v>1</v>
      </c>
      <c r="E706" s="6">
        <v>129000</v>
      </c>
      <c r="F706" t="str">
        <f>VLOOKUP(C706,products!A:C,2,FALSE)</f>
        <v>Charger Fast Charging 33W</v>
      </c>
      <c r="G706">
        <f t="shared" si="20"/>
        <v>129000</v>
      </c>
      <c r="H706">
        <f>VLOOKUP(C706,products!A:D,4,FALSE)</f>
        <v>60000</v>
      </c>
      <c r="I706">
        <f t="shared" si="21"/>
        <v>69000</v>
      </c>
      <c r="J706" t="str">
        <f>VLOOKUP(B706,orders!A:B,2,FALSE)</f>
        <v>CUST0191</v>
      </c>
      <c r="K706" t="str">
        <f>VLOOKUP(J706,customers!A:F,6,FALSE)</f>
        <v>Jakarta</v>
      </c>
    </row>
    <row r="707" spans="1:11" x14ac:dyDescent="0.35">
      <c r="A707" s="4" t="s">
        <v>1748</v>
      </c>
      <c r="B707" s="4" t="s">
        <v>706</v>
      </c>
      <c r="C707" s="4" t="s">
        <v>1325</v>
      </c>
      <c r="D707" s="4">
        <v>1</v>
      </c>
      <c r="E707" s="6">
        <v>199000</v>
      </c>
      <c r="F707" t="str">
        <f>VLOOKUP(C707,products!A:C,2,FALSE)</f>
        <v>Speaker Bluetooth Mini</v>
      </c>
      <c r="G707">
        <f t="shared" ref="G707:G770" si="22">D707*E707</f>
        <v>199000</v>
      </c>
      <c r="H707">
        <f>VLOOKUP(C707,products!A:D,4,FALSE)</f>
        <v>100000</v>
      </c>
      <c r="I707">
        <f t="shared" ref="I707:I770" si="23">(E707-H707)*D707</f>
        <v>99000</v>
      </c>
      <c r="J707" t="str">
        <f>VLOOKUP(B707,orders!A:B,2,FALSE)</f>
        <v>CUST0191</v>
      </c>
      <c r="K707" t="str">
        <f>VLOOKUP(J707,customers!A:F,6,FALSE)</f>
        <v>Jakarta</v>
      </c>
    </row>
    <row r="708" spans="1:11" x14ac:dyDescent="0.35">
      <c r="A708" s="4" t="s">
        <v>1749</v>
      </c>
      <c r="B708" s="4" t="s">
        <v>819</v>
      </c>
      <c r="C708" s="4" t="s">
        <v>1029</v>
      </c>
      <c r="D708" s="4">
        <v>1</v>
      </c>
      <c r="E708" s="6">
        <v>39000</v>
      </c>
      <c r="F708" t="str">
        <f>VLOOKUP(C708,products!A:C,2,FALSE)</f>
        <v>Kabel Data USB-C</v>
      </c>
      <c r="G708">
        <f t="shared" si="22"/>
        <v>39000</v>
      </c>
      <c r="H708">
        <f>VLOOKUP(C708,products!A:D,4,FALSE)</f>
        <v>15000</v>
      </c>
      <c r="I708">
        <f t="shared" si="23"/>
        <v>24000</v>
      </c>
      <c r="J708" t="str">
        <f>VLOOKUP(B708,orders!A:B,2,FALSE)</f>
        <v>CUST0098</v>
      </c>
      <c r="K708" t="str">
        <f>VLOOKUP(J708,customers!A:F,6,FALSE)</f>
        <v>Surabaya</v>
      </c>
    </row>
    <row r="709" spans="1:11" x14ac:dyDescent="0.35">
      <c r="A709" s="4" t="s">
        <v>1750</v>
      </c>
      <c r="B709" s="4" t="s">
        <v>21</v>
      </c>
      <c r="C709" s="4" t="s">
        <v>1082</v>
      </c>
      <c r="D709" s="4">
        <v>1</v>
      </c>
      <c r="E709" s="6">
        <v>399000</v>
      </c>
      <c r="F709" t="str">
        <f>VLOOKUP(C709,products!A:C,2,FALSE)</f>
        <v>Keyboard Mechanical Mini</v>
      </c>
      <c r="G709">
        <f t="shared" si="22"/>
        <v>399000</v>
      </c>
      <c r="H709">
        <f>VLOOKUP(C709,products!A:D,4,FALSE)</f>
        <v>200000</v>
      </c>
      <c r="I709">
        <f t="shared" si="23"/>
        <v>199000</v>
      </c>
      <c r="J709" t="str">
        <f>VLOOKUP(B709,orders!A:B,2,FALSE)</f>
        <v>CUST0167</v>
      </c>
      <c r="K709" t="str">
        <f>VLOOKUP(J709,customers!A:F,6,FALSE)</f>
        <v>Jakarta</v>
      </c>
    </row>
    <row r="710" spans="1:11" x14ac:dyDescent="0.35">
      <c r="A710" s="4" t="s">
        <v>1751</v>
      </c>
      <c r="B710" s="4" t="s">
        <v>21</v>
      </c>
      <c r="C710" s="4" t="s">
        <v>1029</v>
      </c>
      <c r="D710" s="4">
        <v>3</v>
      </c>
      <c r="E710" s="6">
        <v>39000</v>
      </c>
      <c r="F710" t="str">
        <f>VLOOKUP(C710,products!A:C,2,FALSE)</f>
        <v>Kabel Data USB-C</v>
      </c>
      <c r="G710">
        <f t="shared" si="22"/>
        <v>117000</v>
      </c>
      <c r="H710">
        <f>VLOOKUP(C710,products!A:D,4,FALSE)</f>
        <v>15000</v>
      </c>
      <c r="I710">
        <f t="shared" si="23"/>
        <v>72000</v>
      </c>
      <c r="J710" t="str">
        <f>VLOOKUP(B710,orders!A:B,2,FALSE)</f>
        <v>CUST0167</v>
      </c>
      <c r="K710" t="str">
        <f>VLOOKUP(J710,customers!A:F,6,FALSE)</f>
        <v>Jakarta</v>
      </c>
    </row>
    <row r="711" spans="1:11" x14ac:dyDescent="0.35">
      <c r="A711" s="4" t="s">
        <v>1752</v>
      </c>
      <c r="B711" s="4" t="s">
        <v>433</v>
      </c>
      <c r="C711" s="4" t="s">
        <v>1025</v>
      </c>
      <c r="D711" s="4">
        <v>1</v>
      </c>
      <c r="E711" s="6">
        <v>179000</v>
      </c>
      <c r="F711" t="str">
        <f>VLOOKUP(C711,products!A:C,2,FALSE)</f>
        <v>Rak Penyimpanan Serbaguna</v>
      </c>
      <c r="G711">
        <f t="shared" si="22"/>
        <v>179000</v>
      </c>
      <c r="H711">
        <f>VLOOKUP(C711,products!A:D,4,FALSE)</f>
        <v>90000</v>
      </c>
      <c r="I711">
        <f t="shared" si="23"/>
        <v>89000</v>
      </c>
      <c r="J711" t="str">
        <f>VLOOKUP(B711,orders!A:B,2,FALSE)</f>
        <v>CUST0033</v>
      </c>
      <c r="K711" t="str">
        <f>VLOOKUP(J711,customers!A:F,6,FALSE)</f>
        <v>Surabaya</v>
      </c>
    </row>
    <row r="712" spans="1:11" x14ac:dyDescent="0.35">
      <c r="A712" s="4" t="s">
        <v>1753</v>
      </c>
      <c r="B712" s="4" t="s">
        <v>433</v>
      </c>
      <c r="C712" s="4" t="s">
        <v>1046</v>
      </c>
      <c r="D712" s="4">
        <v>2</v>
      </c>
      <c r="E712" s="6">
        <v>139000</v>
      </c>
      <c r="F712" t="str">
        <f>VLOOKUP(C712,products!A:C,2,FALSE)</f>
        <v>Wajan Anti Lengket 24cm</v>
      </c>
      <c r="G712">
        <f t="shared" si="22"/>
        <v>278000</v>
      </c>
      <c r="H712">
        <f>VLOOKUP(C712,products!A:D,4,FALSE)</f>
        <v>65000</v>
      </c>
      <c r="I712">
        <f t="shared" si="23"/>
        <v>148000</v>
      </c>
      <c r="J712" t="str">
        <f>VLOOKUP(B712,orders!A:B,2,FALSE)</f>
        <v>CUST0033</v>
      </c>
      <c r="K712" t="str">
        <f>VLOOKUP(J712,customers!A:F,6,FALSE)</f>
        <v>Surabaya</v>
      </c>
    </row>
    <row r="713" spans="1:11" x14ac:dyDescent="0.35">
      <c r="A713" s="4" t="s">
        <v>1754</v>
      </c>
      <c r="B713" s="4" t="s">
        <v>339</v>
      </c>
      <c r="C713" s="4" t="s">
        <v>1023</v>
      </c>
      <c r="D713" s="4">
        <v>1</v>
      </c>
      <c r="E713" s="6">
        <v>69000</v>
      </c>
      <c r="F713" t="str">
        <f>VLOOKUP(C713,products!A:C,2,FALSE)</f>
        <v>Lampu LED Hias 5m</v>
      </c>
      <c r="G713">
        <f t="shared" si="22"/>
        <v>69000</v>
      </c>
      <c r="H713">
        <f>VLOOKUP(C713,products!A:D,4,FALSE)</f>
        <v>30000</v>
      </c>
      <c r="I713">
        <f t="shared" si="23"/>
        <v>39000</v>
      </c>
      <c r="J713" t="str">
        <f>VLOOKUP(B713,orders!A:B,2,FALSE)</f>
        <v>CUST0026</v>
      </c>
      <c r="K713" t="str">
        <f>VLOOKUP(J713,customers!A:F,6,FALSE)</f>
        <v>Denpasar</v>
      </c>
    </row>
    <row r="714" spans="1:11" x14ac:dyDescent="0.35">
      <c r="A714" s="4" t="s">
        <v>1755</v>
      </c>
      <c r="B714" s="4" t="s">
        <v>339</v>
      </c>
      <c r="C714" s="4" t="s">
        <v>1031</v>
      </c>
      <c r="D714" s="4">
        <v>1</v>
      </c>
      <c r="E714" s="6">
        <v>79000</v>
      </c>
      <c r="F714" t="str">
        <f>VLOOKUP(C714,products!A:C,2,FALSE)</f>
        <v>Kaos Polos Cotton Combed</v>
      </c>
      <c r="G714">
        <f t="shared" si="22"/>
        <v>79000</v>
      </c>
      <c r="H714">
        <f>VLOOKUP(C714,products!A:D,4,FALSE)</f>
        <v>35000</v>
      </c>
      <c r="I714">
        <f t="shared" si="23"/>
        <v>44000</v>
      </c>
      <c r="J714" t="str">
        <f>VLOOKUP(B714,orders!A:B,2,FALSE)</f>
        <v>CUST0026</v>
      </c>
      <c r="K714" t="str">
        <f>VLOOKUP(J714,customers!A:F,6,FALSE)</f>
        <v>Denpasar</v>
      </c>
    </row>
    <row r="715" spans="1:11" x14ac:dyDescent="0.35">
      <c r="A715" s="4" t="s">
        <v>1756</v>
      </c>
      <c r="B715" s="4" t="s">
        <v>483</v>
      </c>
      <c r="C715" s="4" t="s">
        <v>1023</v>
      </c>
      <c r="D715" s="4">
        <v>1</v>
      </c>
      <c r="E715" s="6">
        <v>69000</v>
      </c>
      <c r="F715" t="str">
        <f>VLOOKUP(C715,products!A:C,2,FALSE)</f>
        <v>Lampu LED Hias 5m</v>
      </c>
      <c r="G715">
        <f t="shared" si="22"/>
        <v>69000</v>
      </c>
      <c r="H715">
        <f>VLOOKUP(C715,products!A:D,4,FALSE)</f>
        <v>30000</v>
      </c>
      <c r="I715">
        <f t="shared" si="23"/>
        <v>39000</v>
      </c>
      <c r="J715" t="str">
        <f>VLOOKUP(B715,orders!A:B,2,FALSE)</f>
        <v>CUST0117</v>
      </c>
      <c r="K715" t="str">
        <f>VLOOKUP(J715,customers!A:F,6,FALSE)</f>
        <v>Semarang</v>
      </c>
    </row>
    <row r="716" spans="1:11" x14ac:dyDescent="0.35">
      <c r="A716" s="4" t="s">
        <v>1757</v>
      </c>
      <c r="B716" s="4" t="s">
        <v>483</v>
      </c>
      <c r="C716" s="4" t="s">
        <v>1325</v>
      </c>
      <c r="D716" s="4">
        <v>3</v>
      </c>
      <c r="E716" s="6">
        <v>199000</v>
      </c>
      <c r="F716" t="str">
        <f>VLOOKUP(C716,products!A:C,2,FALSE)</f>
        <v>Speaker Bluetooth Mini</v>
      </c>
      <c r="G716">
        <f t="shared" si="22"/>
        <v>597000</v>
      </c>
      <c r="H716">
        <f>VLOOKUP(C716,products!A:D,4,FALSE)</f>
        <v>100000</v>
      </c>
      <c r="I716">
        <f t="shared" si="23"/>
        <v>297000</v>
      </c>
      <c r="J716" t="str">
        <f>VLOOKUP(B716,orders!A:B,2,FALSE)</f>
        <v>CUST0117</v>
      </c>
      <c r="K716" t="str">
        <f>VLOOKUP(J716,customers!A:F,6,FALSE)</f>
        <v>Semarang</v>
      </c>
    </row>
    <row r="717" spans="1:11" x14ac:dyDescent="0.35">
      <c r="A717" s="4" t="s">
        <v>1758</v>
      </c>
      <c r="B717" s="4" t="s">
        <v>483</v>
      </c>
      <c r="C717" s="4" t="s">
        <v>1082</v>
      </c>
      <c r="D717" s="4">
        <v>1</v>
      </c>
      <c r="E717" s="6">
        <v>399000</v>
      </c>
      <c r="F717" t="str">
        <f>VLOOKUP(C717,products!A:C,2,FALSE)</f>
        <v>Keyboard Mechanical Mini</v>
      </c>
      <c r="G717">
        <f t="shared" si="22"/>
        <v>399000</v>
      </c>
      <c r="H717">
        <f>VLOOKUP(C717,products!A:D,4,FALSE)</f>
        <v>200000</v>
      </c>
      <c r="I717">
        <f t="shared" si="23"/>
        <v>199000</v>
      </c>
      <c r="J717" t="str">
        <f>VLOOKUP(B717,orders!A:B,2,FALSE)</f>
        <v>CUST0117</v>
      </c>
      <c r="K717" t="str">
        <f>VLOOKUP(J717,customers!A:F,6,FALSE)</f>
        <v>Semarang</v>
      </c>
    </row>
    <row r="718" spans="1:11" x14ac:dyDescent="0.35">
      <c r="A718" s="4" t="s">
        <v>1759</v>
      </c>
      <c r="B718" s="4" t="s">
        <v>483</v>
      </c>
      <c r="C718" s="4" t="s">
        <v>1044</v>
      </c>
      <c r="D718" s="4">
        <v>1</v>
      </c>
      <c r="E718" s="6">
        <v>329000</v>
      </c>
      <c r="F718" t="str">
        <f>VLOOKUP(C718,products!A:C,2,FALSE)</f>
        <v>Rice Cooker Mini 1.5L</v>
      </c>
      <c r="G718">
        <f t="shared" si="22"/>
        <v>329000</v>
      </c>
      <c r="H718">
        <f>VLOOKUP(C718,products!A:D,4,FALSE)</f>
        <v>180000</v>
      </c>
      <c r="I718">
        <f t="shared" si="23"/>
        <v>149000</v>
      </c>
      <c r="J718" t="str">
        <f>VLOOKUP(B718,orders!A:B,2,FALSE)</f>
        <v>CUST0117</v>
      </c>
      <c r="K718" t="str">
        <f>VLOOKUP(J718,customers!A:F,6,FALSE)</f>
        <v>Semarang</v>
      </c>
    </row>
    <row r="719" spans="1:11" x14ac:dyDescent="0.35">
      <c r="A719" s="4" t="s">
        <v>1760</v>
      </c>
      <c r="B719" s="4" t="s">
        <v>672</v>
      </c>
      <c r="C719" s="4" t="s">
        <v>1040</v>
      </c>
      <c r="D719" s="4">
        <v>1</v>
      </c>
      <c r="E719" s="6">
        <v>99000</v>
      </c>
      <c r="F719" t="str">
        <f>VLOOKUP(C719,products!A:C,2,FALSE)</f>
        <v>Mouse Wireless</v>
      </c>
      <c r="G719">
        <f t="shared" si="22"/>
        <v>99000</v>
      </c>
      <c r="H719">
        <f>VLOOKUP(C719,products!A:D,4,FALSE)</f>
        <v>45000</v>
      </c>
      <c r="I719">
        <f t="shared" si="23"/>
        <v>54000</v>
      </c>
      <c r="J719" t="str">
        <f>VLOOKUP(B719,orders!A:B,2,FALSE)</f>
        <v>CUST0105</v>
      </c>
      <c r="K719" t="str">
        <f>VLOOKUP(J719,customers!A:F,6,FALSE)</f>
        <v>Jakarta</v>
      </c>
    </row>
    <row r="720" spans="1:11" x14ac:dyDescent="0.35">
      <c r="A720" s="4" t="s">
        <v>1761</v>
      </c>
      <c r="B720" s="4" t="s">
        <v>672</v>
      </c>
      <c r="C720" s="4" t="s">
        <v>1029</v>
      </c>
      <c r="D720" s="4">
        <v>1</v>
      </c>
      <c r="E720" s="6">
        <v>39000</v>
      </c>
      <c r="F720" t="str">
        <f>VLOOKUP(C720,products!A:C,2,FALSE)</f>
        <v>Kabel Data USB-C</v>
      </c>
      <c r="G720">
        <f t="shared" si="22"/>
        <v>39000</v>
      </c>
      <c r="H720">
        <f>VLOOKUP(C720,products!A:D,4,FALSE)</f>
        <v>15000</v>
      </c>
      <c r="I720">
        <f t="shared" si="23"/>
        <v>24000</v>
      </c>
      <c r="J720" t="str">
        <f>VLOOKUP(B720,orders!A:B,2,FALSE)</f>
        <v>CUST0105</v>
      </c>
      <c r="K720" t="str">
        <f>VLOOKUP(J720,customers!A:F,6,FALSE)</f>
        <v>Jakarta</v>
      </c>
    </row>
    <row r="721" spans="1:11" x14ac:dyDescent="0.35">
      <c r="A721" s="4" t="s">
        <v>1762</v>
      </c>
      <c r="B721" s="4" t="s">
        <v>850</v>
      </c>
      <c r="C721" s="4" t="s">
        <v>1044</v>
      </c>
      <c r="D721" s="4">
        <v>1</v>
      </c>
      <c r="E721" s="6">
        <v>329000</v>
      </c>
      <c r="F721" t="str">
        <f>VLOOKUP(C721,products!A:C,2,FALSE)</f>
        <v>Rice Cooker Mini 1.5L</v>
      </c>
      <c r="G721">
        <f t="shared" si="22"/>
        <v>329000</v>
      </c>
      <c r="H721">
        <f>VLOOKUP(C721,products!A:D,4,FALSE)</f>
        <v>180000</v>
      </c>
      <c r="I721">
        <f t="shared" si="23"/>
        <v>149000</v>
      </c>
      <c r="J721" t="str">
        <f>VLOOKUP(B721,orders!A:B,2,FALSE)</f>
        <v>CUST0040</v>
      </c>
      <c r="K721" t="str">
        <f>VLOOKUP(J721,customers!A:F,6,FALSE)</f>
        <v>Bandung</v>
      </c>
    </row>
    <row r="722" spans="1:11" x14ac:dyDescent="0.35">
      <c r="A722" s="4" t="s">
        <v>1763</v>
      </c>
      <c r="B722" s="4" t="s">
        <v>850</v>
      </c>
      <c r="C722" s="4" t="s">
        <v>1033</v>
      </c>
      <c r="D722" s="4">
        <v>1</v>
      </c>
      <c r="E722" s="6">
        <v>55000</v>
      </c>
      <c r="F722" t="str">
        <f>VLOOKUP(C722,products!A:C,2,FALSE)</f>
        <v>Sapu + Pengki Set</v>
      </c>
      <c r="G722">
        <f t="shared" si="22"/>
        <v>55000</v>
      </c>
      <c r="H722">
        <f>VLOOKUP(C722,products!A:D,4,FALSE)</f>
        <v>25000</v>
      </c>
      <c r="I722">
        <f t="shared" si="23"/>
        <v>30000</v>
      </c>
      <c r="J722" t="str">
        <f>VLOOKUP(B722,orders!A:B,2,FALSE)</f>
        <v>CUST0040</v>
      </c>
      <c r="K722" t="str">
        <f>VLOOKUP(J722,customers!A:F,6,FALSE)</f>
        <v>Bandung</v>
      </c>
    </row>
    <row r="723" spans="1:11" x14ac:dyDescent="0.35">
      <c r="A723" s="4" t="s">
        <v>1764</v>
      </c>
      <c r="B723" s="4" t="s">
        <v>73</v>
      </c>
      <c r="C723" s="4" t="s">
        <v>1023</v>
      </c>
      <c r="D723" s="4">
        <v>1</v>
      </c>
      <c r="E723" s="6">
        <v>69000</v>
      </c>
      <c r="F723" t="str">
        <f>VLOOKUP(C723,products!A:C,2,FALSE)</f>
        <v>Lampu LED Hias 5m</v>
      </c>
      <c r="G723">
        <f t="shared" si="22"/>
        <v>69000</v>
      </c>
      <c r="H723">
        <f>VLOOKUP(C723,products!A:D,4,FALSE)</f>
        <v>30000</v>
      </c>
      <c r="I723">
        <f t="shared" si="23"/>
        <v>39000</v>
      </c>
      <c r="J723" t="str">
        <f>VLOOKUP(B723,orders!A:B,2,FALSE)</f>
        <v>CUST0068</v>
      </c>
      <c r="K723" t="str">
        <f>VLOOKUP(J723,customers!A:F,6,FALSE)</f>
        <v>Denpasar</v>
      </c>
    </row>
    <row r="724" spans="1:11" x14ac:dyDescent="0.35">
      <c r="A724" s="4" t="s">
        <v>1765</v>
      </c>
      <c r="B724" s="4" t="s">
        <v>894</v>
      </c>
      <c r="C724" s="4" t="s">
        <v>1025</v>
      </c>
      <c r="D724" s="4">
        <v>3</v>
      </c>
      <c r="E724" s="6">
        <v>179000</v>
      </c>
      <c r="F724" t="str">
        <f>VLOOKUP(C724,products!A:C,2,FALSE)</f>
        <v>Rak Penyimpanan Serbaguna</v>
      </c>
      <c r="G724">
        <f t="shared" si="22"/>
        <v>537000</v>
      </c>
      <c r="H724">
        <f>VLOOKUP(C724,products!A:D,4,FALSE)</f>
        <v>90000</v>
      </c>
      <c r="I724">
        <f t="shared" si="23"/>
        <v>267000</v>
      </c>
      <c r="J724" t="str">
        <f>VLOOKUP(B724,orders!A:B,2,FALSE)</f>
        <v>CUST0178</v>
      </c>
      <c r="K724" t="str">
        <f>VLOOKUP(J724,customers!A:F,6,FALSE)</f>
        <v>Jakarta</v>
      </c>
    </row>
    <row r="725" spans="1:11" x14ac:dyDescent="0.35">
      <c r="A725" s="4" t="s">
        <v>1766</v>
      </c>
      <c r="B725" s="4" t="s">
        <v>434</v>
      </c>
      <c r="C725" s="4" t="s">
        <v>1029</v>
      </c>
      <c r="D725" s="4">
        <v>1</v>
      </c>
      <c r="E725" s="6">
        <v>39000</v>
      </c>
      <c r="F725" t="str">
        <f>VLOOKUP(C725,products!A:C,2,FALSE)</f>
        <v>Kabel Data USB-C</v>
      </c>
      <c r="G725">
        <f t="shared" si="22"/>
        <v>39000</v>
      </c>
      <c r="H725">
        <f>VLOOKUP(C725,products!A:D,4,FALSE)</f>
        <v>15000</v>
      </c>
      <c r="I725">
        <f t="shared" si="23"/>
        <v>24000</v>
      </c>
      <c r="J725" t="str">
        <f>VLOOKUP(B725,orders!A:B,2,FALSE)</f>
        <v>CUST0021</v>
      </c>
      <c r="K725" t="str">
        <f>VLOOKUP(J725,customers!A:F,6,FALSE)</f>
        <v>Jakarta</v>
      </c>
    </row>
    <row r="726" spans="1:11" x14ac:dyDescent="0.35">
      <c r="A726" s="4" t="s">
        <v>1767</v>
      </c>
      <c r="B726" s="4" t="s">
        <v>470</v>
      </c>
      <c r="C726" s="4" t="s">
        <v>1023</v>
      </c>
      <c r="D726" s="4">
        <v>1</v>
      </c>
      <c r="E726" s="6">
        <v>69000</v>
      </c>
      <c r="F726" t="str">
        <f>VLOOKUP(C726,products!A:C,2,FALSE)</f>
        <v>Lampu LED Hias 5m</v>
      </c>
      <c r="G726">
        <f t="shared" si="22"/>
        <v>69000</v>
      </c>
      <c r="H726">
        <f>VLOOKUP(C726,products!A:D,4,FALSE)</f>
        <v>30000</v>
      </c>
      <c r="I726">
        <f t="shared" si="23"/>
        <v>39000</v>
      </c>
      <c r="J726" t="str">
        <f>VLOOKUP(B726,orders!A:B,2,FALSE)</f>
        <v>CUST0173</v>
      </c>
      <c r="K726" t="str">
        <f>VLOOKUP(J726,customers!A:F,6,FALSE)</f>
        <v>Bandung</v>
      </c>
    </row>
    <row r="727" spans="1:11" x14ac:dyDescent="0.35">
      <c r="A727" s="4" t="s">
        <v>1768</v>
      </c>
      <c r="B727" s="4" t="s">
        <v>470</v>
      </c>
      <c r="C727" s="4" t="s">
        <v>1029</v>
      </c>
      <c r="D727" s="4">
        <v>2</v>
      </c>
      <c r="E727" s="6">
        <v>39000</v>
      </c>
      <c r="F727" t="str">
        <f>VLOOKUP(C727,products!A:C,2,FALSE)</f>
        <v>Kabel Data USB-C</v>
      </c>
      <c r="G727">
        <f t="shared" si="22"/>
        <v>78000</v>
      </c>
      <c r="H727">
        <f>VLOOKUP(C727,products!A:D,4,FALSE)</f>
        <v>15000</v>
      </c>
      <c r="I727">
        <f t="shared" si="23"/>
        <v>48000</v>
      </c>
      <c r="J727" t="str">
        <f>VLOOKUP(B727,orders!A:B,2,FALSE)</f>
        <v>CUST0173</v>
      </c>
      <c r="K727" t="str">
        <f>VLOOKUP(J727,customers!A:F,6,FALSE)</f>
        <v>Bandung</v>
      </c>
    </row>
    <row r="728" spans="1:11" x14ac:dyDescent="0.35">
      <c r="A728" s="4" t="s">
        <v>1769</v>
      </c>
      <c r="B728" s="4" t="s">
        <v>470</v>
      </c>
      <c r="C728" s="4" t="s">
        <v>1033</v>
      </c>
      <c r="D728" s="4">
        <v>1</v>
      </c>
      <c r="E728" s="6">
        <v>55000</v>
      </c>
      <c r="F728" t="str">
        <f>VLOOKUP(C728,products!A:C,2,FALSE)</f>
        <v>Sapu + Pengki Set</v>
      </c>
      <c r="G728">
        <f t="shared" si="22"/>
        <v>55000</v>
      </c>
      <c r="H728">
        <f>VLOOKUP(C728,products!A:D,4,FALSE)</f>
        <v>25000</v>
      </c>
      <c r="I728">
        <f t="shared" si="23"/>
        <v>30000</v>
      </c>
      <c r="J728" t="str">
        <f>VLOOKUP(B728,orders!A:B,2,FALSE)</f>
        <v>CUST0173</v>
      </c>
      <c r="K728" t="str">
        <f>VLOOKUP(J728,customers!A:F,6,FALSE)</f>
        <v>Bandung</v>
      </c>
    </row>
    <row r="729" spans="1:11" x14ac:dyDescent="0.35">
      <c r="A729" s="4" t="s">
        <v>1770</v>
      </c>
      <c r="B729" s="4" t="s">
        <v>767</v>
      </c>
      <c r="C729" s="4" t="s">
        <v>1029</v>
      </c>
      <c r="D729" s="4">
        <v>1</v>
      </c>
      <c r="E729" s="6">
        <v>39000</v>
      </c>
      <c r="F729" t="str">
        <f>VLOOKUP(C729,products!A:C,2,FALSE)</f>
        <v>Kabel Data USB-C</v>
      </c>
      <c r="G729">
        <f t="shared" si="22"/>
        <v>39000</v>
      </c>
      <c r="H729">
        <f>VLOOKUP(C729,products!A:D,4,FALSE)</f>
        <v>15000</v>
      </c>
      <c r="I729">
        <f t="shared" si="23"/>
        <v>24000</v>
      </c>
      <c r="J729" t="str">
        <f>VLOOKUP(B729,orders!A:B,2,FALSE)</f>
        <v>CUST0161</v>
      </c>
      <c r="K729" t="str">
        <f>VLOOKUP(J729,customers!A:F,6,FALSE)</f>
        <v>Medan</v>
      </c>
    </row>
    <row r="730" spans="1:11" x14ac:dyDescent="0.35">
      <c r="A730" s="4" t="s">
        <v>1771</v>
      </c>
      <c r="B730" s="4" t="s">
        <v>554</v>
      </c>
      <c r="C730" s="4" t="s">
        <v>1031</v>
      </c>
      <c r="D730" s="4">
        <v>3</v>
      </c>
      <c r="E730" s="6">
        <v>79000</v>
      </c>
      <c r="F730" t="str">
        <f>VLOOKUP(C730,products!A:C,2,FALSE)</f>
        <v>Kaos Polos Cotton Combed</v>
      </c>
      <c r="G730">
        <f t="shared" si="22"/>
        <v>237000</v>
      </c>
      <c r="H730">
        <f>VLOOKUP(C730,products!A:D,4,FALSE)</f>
        <v>35000</v>
      </c>
      <c r="I730">
        <f t="shared" si="23"/>
        <v>132000</v>
      </c>
      <c r="J730" t="str">
        <f>VLOOKUP(B730,orders!A:B,2,FALSE)</f>
        <v>CUST0195</v>
      </c>
      <c r="K730" t="str">
        <f>VLOOKUP(J730,customers!A:F,6,FALSE)</f>
        <v>Depok</v>
      </c>
    </row>
    <row r="731" spans="1:11" x14ac:dyDescent="0.35">
      <c r="A731" s="4" t="s">
        <v>1772</v>
      </c>
      <c r="B731" s="4" t="s">
        <v>779</v>
      </c>
      <c r="C731" s="4" t="s">
        <v>1029</v>
      </c>
      <c r="D731" s="4">
        <v>1</v>
      </c>
      <c r="E731" s="6">
        <v>39000</v>
      </c>
      <c r="F731" t="str">
        <f>VLOOKUP(C731,products!A:C,2,FALSE)</f>
        <v>Kabel Data USB-C</v>
      </c>
      <c r="G731">
        <f t="shared" si="22"/>
        <v>39000</v>
      </c>
      <c r="H731">
        <f>VLOOKUP(C731,products!A:D,4,FALSE)</f>
        <v>15000</v>
      </c>
      <c r="I731">
        <f t="shared" si="23"/>
        <v>24000</v>
      </c>
      <c r="J731" t="str">
        <f>VLOOKUP(B731,orders!A:B,2,FALSE)</f>
        <v>CUST0139</v>
      </c>
      <c r="K731" t="str">
        <f>VLOOKUP(J731,customers!A:F,6,FALSE)</f>
        <v>Yogyakarta</v>
      </c>
    </row>
    <row r="732" spans="1:11" x14ac:dyDescent="0.35">
      <c r="A732" s="4" t="s">
        <v>1773</v>
      </c>
      <c r="B732" s="4" t="s">
        <v>779</v>
      </c>
      <c r="C732" s="4" t="s">
        <v>1031</v>
      </c>
      <c r="D732" s="4">
        <v>1</v>
      </c>
      <c r="E732" s="6">
        <v>79000</v>
      </c>
      <c r="F732" t="str">
        <f>VLOOKUP(C732,products!A:C,2,FALSE)</f>
        <v>Kaos Polos Cotton Combed</v>
      </c>
      <c r="G732">
        <f t="shared" si="22"/>
        <v>79000</v>
      </c>
      <c r="H732">
        <f>VLOOKUP(C732,products!A:D,4,FALSE)</f>
        <v>35000</v>
      </c>
      <c r="I732">
        <f t="shared" si="23"/>
        <v>44000</v>
      </c>
      <c r="J732" t="str">
        <f>VLOOKUP(B732,orders!A:B,2,FALSE)</f>
        <v>CUST0139</v>
      </c>
      <c r="K732" t="str">
        <f>VLOOKUP(J732,customers!A:F,6,FALSE)</f>
        <v>Yogyakarta</v>
      </c>
    </row>
    <row r="733" spans="1:11" x14ac:dyDescent="0.35">
      <c r="A733" s="4" t="s">
        <v>1774</v>
      </c>
      <c r="B733" s="4" t="s">
        <v>779</v>
      </c>
      <c r="C733" s="4" t="s">
        <v>1049</v>
      </c>
      <c r="D733" s="4">
        <v>1</v>
      </c>
      <c r="E733" s="6">
        <v>349000</v>
      </c>
      <c r="F733" t="str">
        <f>VLOOKUP(C733,products!A:C,2,FALSE)</f>
        <v>Sepatu Sneakers Casual</v>
      </c>
      <c r="G733">
        <f t="shared" si="22"/>
        <v>349000</v>
      </c>
      <c r="H733">
        <f>VLOOKUP(C733,products!A:D,4,FALSE)</f>
        <v>180000</v>
      </c>
      <c r="I733">
        <f t="shared" si="23"/>
        <v>169000</v>
      </c>
      <c r="J733" t="str">
        <f>VLOOKUP(B733,orders!A:B,2,FALSE)</f>
        <v>CUST0139</v>
      </c>
      <c r="K733" t="str">
        <f>VLOOKUP(J733,customers!A:F,6,FALSE)</f>
        <v>Yogyakarta</v>
      </c>
    </row>
    <row r="734" spans="1:11" x14ac:dyDescent="0.35">
      <c r="A734" s="4" t="s">
        <v>1775</v>
      </c>
      <c r="B734" s="4" t="s">
        <v>197</v>
      </c>
      <c r="C734" s="4" t="s">
        <v>1046</v>
      </c>
      <c r="D734" s="4">
        <v>1</v>
      </c>
      <c r="E734" s="6">
        <v>139000</v>
      </c>
      <c r="F734" t="str">
        <f>VLOOKUP(C734,products!A:C,2,FALSE)</f>
        <v>Wajan Anti Lengket 24cm</v>
      </c>
      <c r="G734">
        <f t="shared" si="22"/>
        <v>139000</v>
      </c>
      <c r="H734">
        <f>VLOOKUP(C734,products!A:D,4,FALSE)</f>
        <v>65000</v>
      </c>
      <c r="I734">
        <f t="shared" si="23"/>
        <v>74000</v>
      </c>
      <c r="J734" t="str">
        <f>VLOOKUP(B734,orders!A:B,2,FALSE)</f>
        <v>CUST0018</v>
      </c>
      <c r="K734" t="str">
        <f>VLOOKUP(J734,customers!A:F,6,FALSE)</f>
        <v>Denpasar</v>
      </c>
    </row>
    <row r="735" spans="1:11" x14ac:dyDescent="0.35">
      <c r="A735" s="4" t="s">
        <v>1776</v>
      </c>
      <c r="B735" s="4" t="s">
        <v>197</v>
      </c>
      <c r="C735" s="4" t="s">
        <v>1029</v>
      </c>
      <c r="D735" s="4">
        <v>1</v>
      </c>
      <c r="E735" s="6">
        <v>39000</v>
      </c>
      <c r="F735" t="str">
        <f>VLOOKUP(C735,products!A:C,2,FALSE)</f>
        <v>Kabel Data USB-C</v>
      </c>
      <c r="G735">
        <f t="shared" si="22"/>
        <v>39000</v>
      </c>
      <c r="H735">
        <f>VLOOKUP(C735,products!A:D,4,FALSE)</f>
        <v>15000</v>
      </c>
      <c r="I735">
        <f t="shared" si="23"/>
        <v>24000</v>
      </c>
      <c r="J735" t="str">
        <f>VLOOKUP(B735,orders!A:B,2,FALSE)</f>
        <v>CUST0018</v>
      </c>
      <c r="K735" t="str">
        <f>VLOOKUP(J735,customers!A:F,6,FALSE)</f>
        <v>Denpasar</v>
      </c>
    </row>
    <row r="736" spans="1:11" x14ac:dyDescent="0.35">
      <c r="A736" s="4" t="s">
        <v>1777</v>
      </c>
      <c r="B736" s="4" t="s">
        <v>88</v>
      </c>
      <c r="C736" s="4" t="s">
        <v>1029</v>
      </c>
      <c r="D736" s="4">
        <v>1</v>
      </c>
      <c r="E736" s="6">
        <v>39000</v>
      </c>
      <c r="F736" t="str">
        <f>VLOOKUP(C736,products!A:C,2,FALSE)</f>
        <v>Kabel Data USB-C</v>
      </c>
      <c r="G736">
        <f t="shared" si="22"/>
        <v>39000</v>
      </c>
      <c r="H736">
        <f>VLOOKUP(C736,products!A:D,4,FALSE)</f>
        <v>15000</v>
      </c>
      <c r="I736">
        <f t="shared" si="23"/>
        <v>24000</v>
      </c>
      <c r="J736" t="str">
        <f>VLOOKUP(B736,orders!A:B,2,FALSE)</f>
        <v>CUST0074</v>
      </c>
      <c r="K736" t="str">
        <f>VLOOKUP(J736,customers!A:F,6,FALSE)</f>
        <v>Semarang</v>
      </c>
    </row>
    <row r="737" spans="1:11" x14ac:dyDescent="0.35">
      <c r="A737" s="4" t="s">
        <v>1778</v>
      </c>
      <c r="B737" s="4" t="s">
        <v>609</v>
      </c>
      <c r="C737" s="4" t="s">
        <v>1023</v>
      </c>
      <c r="D737" s="4">
        <v>1</v>
      </c>
      <c r="E737" s="6">
        <v>69000</v>
      </c>
      <c r="F737" t="str">
        <f>VLOOKUP(C737,products!A:C,2,FALSE)</f>
        <v>Lampu LED Hias 5m</v>
      </c>
      <c r="G737">
        <f t="shared" si="22"/>
        <v>69000</v>
      </c>
      <c r="H737">
        <f>VLOOKUP(C737,products!A:D,4,FALSE)</f>
        <v>30000</v>
      </c>
      <c r="I737">
        <f t="shared" si="23"/>
        <v>39000</v>
      </c>
      <c r="J737" t="str">
        <f>VLOOKUP(B737,orders!A:B,2,FALSE)</f>
        <v>CUST0024</v>
      </c>
      <c r="K737" t="str">
        <f>VLOOKUP(J737,customers!A:F,6,FALSE)</f>
        <v>Surabaya</v>
      </c>
    </row>
    <row r="738" spans="1:11" x14ac:dyDescent="0.35">
      <c r="A738" s="4" t="s">
        <v>1779</v>
      </c>
      <c r="B738" s="4" t="s">
        <v>909</v>
      </c>
      <c r="C738" s="4" t="s">
        <v>1082</v>
      </c>
      <c r="D738" s="4">
        <v>2</v>
      </c>
      <c r="E738" s="6">
        <v>399000</v>
      </c>
      <c r="F738" t="str">
        <f>VLOOKUP(C738,products!A:C,2,FALSE)</f>
        <v>Keyboard Mechanical Mini</v>
      </c>
      <c r="G738">
        <f t="shared" si="22"/>
        <v>798000</v>
      </c>
      <c r="H738">
        <f>VLOOKUP(C738,products!A:D,4,FALSE)</f>
        <v>200000</v>
      </c>
      <c r="I738">
        <f t="shared" si="23"/>
        <v>398000</v>
      </c>
      <c r="J738" t="str">
        <f>VLOOKUP(B738,orders!A:B,2,FALSE)</f>
        <v>CUST0195</v>
      </c>
      <c r="K738" t="str">
        <f>VLOOKUP(J738,customers!A:F,6,FALSE)</f>
        <v>Depok</v>
      </c>
    </row>
    <row r="739" spans="1:11" x14ac:dyDescent="0.35">
      <c r="A739" s="4" t="s">
        <v>1780</v>
      </c>
      <c r="B739" s="4" t="s">
        <v>340</v>
      </c>
      <c r="C739" s="4" t="s">
        <v>1082</v>
      </c>
      <c r="D739" s="4">
        <v>2</v>
      </c>
      <c r="E739" s="6">
        <v>399000</v>
      </c>
      <c r="F739" t="str">
        <f>VLOOKUP(C739,products!A:C,2,FALSE)</f>
        <v>Keyboard Mechanical Mini</v>
      </c>
      <c r="G739">
        <f t="shared" si="22"/>
        <v>798000</v>
      </c>
      <c r="H739">
        <f>VLOOKUP(C739,products!A:D,4,FALSE)</f>
        <v>200000</v>
      </c>
      <c r="I739">
        <f t="shared" si="23"/>
        <v>398000</v>
      </c>
      <c r="J739" t="str">
        <f>VLOOKUP(B739,orders!A:B,2,FALSE)</f>
        <v>CUST0026</v>
      </c>
      <c r="K739" t="str">
        <f>VLOOKUP(J739,customers!A:F,6,FALSE)</f>
        <v>Denpasar</v>
      </c>
    </row>
    <row r="740" spans="1:11" x14ac:dyDescent="0.35">
      <c r="A740" s="4" t="s">
        <v>1781</v>
      </c>
      <c r="B740" s="4" t="s">
        <v>340</v>
      </c>
      <c r="C740" s="4" t="s">
        <v>1089</v>
      </c>
      <c r="D740" s="4">
        <v>1</v>
      </c>
      <c r="E740" s="6">
        <v>159000</v>
      </c>
      <c r="F740" t="str">
        <f>VLOOKUP(C740,products!A:C,2,FALSE)</f>
        <v>Power Bank 10000mAh</v>
      </c>
      <c r="G740">
        <f t="shared" si="22"/>
        <v>159000</v>
      </c>
      <c r="H740">
        <f>VLOOKUP(C740,products!A:D,4,FALSE)</f>
        <v>80000</v>
      </c>
      <c r="I740">
        <f t="shared" si="23"/>
        <v>79000</v>
      </c>
      <c r="J740" t="str">
        <f>VLOOKUP(B740,orders!A:B,2,FALSE)</f>
        <v>CUST0026</v>
      </c>
      <c r="K740" t="str">
        <f>VLOOKUP(J740,customers!A:F,6,FALSE)</f>
        <v>Denpasar</v>
      </c>
    </row>
    <row r="741" spans="1:11" x14ac:dyDescent="0.35">
      <c r="A741" s="4" t="s">
        <v>1782</v>
      </c>
      <c r="B741" s="4" t="s">
        <v>869</v>
      </c>
      <c r="C741" s="4" t="s">
        <v>1029</v>
      </c>
      <c r="D741" s="4">
        <v>1</v>
      </c>
      <c r="E741" s="6">
        <v>39000</v>
      </c>
      <c r="F741" t="str">
        <f>VLOOKUP(C741,products!A:C,2,FALSE)</f>
        <v>Kabel Data USB-C</v>
      </c>
      <c r="G741">
        <f t="shared" si="22"/>
        <v>39000</v>
      </c>
      <c r="H741">
        <f>VLOOKUP(C741,products!A:D,4,FALSE)</f>
        <v>15000</v>
      </c>
      <c r="I741">
        <f t="shared" si="23"/>
        <v>24000</v>
      </c>
      <c r="J741" t="str">
        <f>VLOOKUP(B741,orders!A:B,2,FALSE)</f>
        <v>CUST0077</v>
      </c>
      <c r="K741" t="str">
        <f>VLOOKUP(J741,customers!A:F,6,FALSE)</f>
        <v>Jakarta</v>
      </c>
    </row>
    <row r="742" spans="1:11" x14ac:dyDescent="0.35">
      <c r="A742" s="4" t="s">
        <v>1783</v>
      </c>
      <c r="B742" s="4" t="s">
        <v>869</v>
      </c>
      <c r="C742" s="4" t="s">
        <v>1049</v>
      </c>
      <c r="D742" s="4">
        <v>1</v>
      </c>
      <c r="E742" s="6">
        <v>349000</v>
      </c>
      <c r="F742" t="str">
        <f>VLOOKUP(C742,products!A:C,2,FALSE)</f>
        <v>Sepatu Sneakers Casual</v>
      </c>
      <c r="G742">
        <f t="shared" si="22"/>
        <v>349000</v>
      </c>
      <c r="H742">
        <f>VLOOKUP(C742,products!A:D,4,FALSE)</f>
        <v>180000</v>
      </c>
      <c r="I742">
        <f t="shared" si="23"/>
        <v>169000</v>
      </c>
      <c r="J742" t="str">
        <f>VLOOKUP(B742,orders!A:B,2,FALSE)</f>
        <v>CUST0077</v>
      </c>
      <c r="K742" t="str">
        <f>VLOOKUP(J742,customers!A:F,6,FALSE)</f>
        <v>Jakarta</v>
      </c>
    </row>
    <row r="743" spans="1:11" x14ac:dyDescent="0.35">
      <c r="A743" s="4" t="s">
        <v>1784</v>
      </c>
      <c r="B743" s="4" t="s">
        <v>869</v>
      </c>
      <c r="C743" s="4" t="s">
        <v>1044</v>
      </c>
      <c r="D743" s="4">
        <v>2</v>
      </c>
      <c r="E743" s="6">
        <v>329000</v>
      </c>
      <c r="F743" t="str">
        <f>VLOOKUP(C743,products!A:C,2,FALSE)</f>
        <v>Rice Cooker Mini 1.5L</v>
      </c>
      <c r="G743">
        <f t="shared" si="22"/>
        <v>658000</v>
      </c>
      <c r="H743">
        <f>VLOOKUP(C743,products!A:D,4,FALSE)</f>
        <v>180000</v>
      </c>
      <c r="I743">
        <f t="shared" si="23"/>
        <v>298000</v>
      </c>
      <c r="J743" t="str">
        <f>VLOOKUP(B743,orders!A:B,2,FALSE)</f>
        <v>CUST0077</v>
      </c>
      <c r="K743" t="str">
        <f>VLOOKUP(J743,customers!A:F,6,FALSE)</f>
        <v>Jakarta</v>
      </c>
    </row>
    <row r="744" spans="1:11" x14ac:dyDescent="0.35">
      <c r="A744" s="4" t="s">
        <v>1785</v>
      </c>
      <c r="B744" s="4" t="s">
        <v>838</v>
      </c>
      <c r="C744" s="4" t="s">
        <v>1023</v>
      </c>
      <c r="D744" s="4">
        <v>1</v>
      </c>
      <c r="E744" s="6">
        <v>69000</v>
      </c>
      <c r="F744" t="str">
        <f>VLOOKUP(C744,products!A:C,2,FALSE)</f>
        <v>Lampu LED Hias 5m</v>
      </c>
      <c r="G744">
        <f t="shared" si="22"/>
        <v>69000</v>
      </c>
      <c r="H744">
        <f>VLOOKUP(C744,products!A:D,4,FALSE)</f>
        <v>30000</v>
      </c>
      <c r="I744">
        <f t="shared" si="23"/>
        <v>39000</v>
      </c>
      <c r="J744" t="str">
        <f>VLOOKUP(B744,orders!A:B,2,FALSE)</f>
        <v>CUST0084</v>
      </c>
      <c r="K744" t="str">
        <f>VLOOKUP(J744,customers!A:F,6,FALSE)</f>
        <v>Surabaya</v>
      </c>
    </row>
    <row r="745" spans="1:11" x14ac:dyDescent="0.35">
      <c r="A745" s="4" t="s">
        <v>1786</v>
      </c>
      <c r="B745" s="4" t="s">
        <v>838</v>
      </c>
      <c r="C745" s="4" t="s">
        <v>1031</v>
      </c>
      <c r="D745" s="4">
        <v>1</v>
      </c>
      <c r="E745" s="6">
        <v>79000</v>
      </c>
      <c r="F745" t="str">
        <f>VLOOKUP(C745,products!A:C,2,FALSE)</f>
        <v>Kaos Polos Cotton Combed</v>
      </c>
      <c r="G745">
        <f t="shared" si="22"/>
        <v>79000</v>
      </c>
      <c r="H745">
        <f>VLOOKUP(C745,products!A:D,4,FALSE)</f>
        <v>35000</v>
      </c>
      <c r="I745">
        <f t="shared" si="23"/>
        <v>44000</v>
      </c>
      <c r="J745" t="str">
        <f>VLOOKUP(B745,orders!A:B,2,FALSE)</f>
        <v>CUST0084</v>
      </c>
      <c r="K745" t="str">
        <f>VLOOKUP(J745,customers!A:F,6,FALSE)</f>
        <v>Surabaya</v>
      </c>
    </row>
    <row r="746" spans="1:11" x14ac:dyDescent="0.35">
      <c r="A746" s="4" t="s">
        <v>1787</v>
      </c>
      <c r="B746" s="4" t="s">
        <v>838</v>
      </c>
      <c r="C746" s="4" t="s">
        <v>1029</v>
      </c>
      <c r="D746" s="4">
        <v>2</v>
      </c>
      <c r="E746" s="6">
        <v>39000</v>
      </c>
      <c r="F746" t="str">
        <f>VLOOKUP(C746,products!A:C,2,FALSE)</f>
        <v>Kabel Data USB-C</v>
      </c>
      <c r="G746">
        <f t="shared" si="22"/>
        <v>78000</v>
      </c>
      <c r="H746">
        <f>VLOOKUP(C746,products!A:D,4,FALSE)</f>
        <v>15000</v>
      </c>
      <c r="I746">
        <f t="shared" si="23"/>
        <v>48000</v>
      </c>
      <c r="J746" t="str">
        <f>VLOOKUP(B746,orders!A:B,2,FALSE)</f>
        <v>CUST0084</v>
      </c>
      <c r="K746" t="str">
        <f>VLOOKUP(J746,customers!A:F,6,FALSE)</f>
        <v>Surabaya</v>
      </c>
    </row>
    <row r="747" spans="1:11" x14ac:dyDescent="0.35">
      <c r="A747" s="4" t="s">
        <v>1788</v>
      </c>
      <c r="B747" s="4" t="s">
        <v>838</v>
      </c>
      <c r="C747" s="4" t="s">
        <v>1044</v>
      </c>
      <c r="D747" s="4">
        <v>1</v>
      </c>
      <c r="E747" s="6">
        <v>329000</v>
      </c>
      <c r="F747" t="str">
        <f>VLOOKUP(C747,products!A:C,2,FALSE)</f>
        <v>Rice Cooker Mini 1.5L</v>
      </c>
      <c r="G747">
        <f t="shared" si="22"/>
        <v>329000</v>
      </c>
      <c r="H747">
        <f>VLOOKUP(C747,products!A:D,4,FALSE)</f>
        <v>180000</v>
      </c>
      <c r="I747">
        <f t="shared" si="23"/>
        <v>149000</v>
      </c>
      <c r="J747" t="str">
        <f>VLOOKUP(B747,orders!A:B,2,FALSE)</f>
        <v>CUST0084</v>
      </c>
      <c r="K747" t="str">
        <f>VLOOKUP(J747,customers!A:F,6,FALSE)</f>
        <v>Surabaya</v>
      </c>
    </row>
    <row r="748" spans="1:11" x14ac:dyDescent="0.35">
      <c r="A748" s="4" t="s">
        <v>1789</v>
      </c>
      <c r="B748" s="4" t="s">
        <v>824</v>
      </c>
      <c r="C748" s="4" t="s">
        <v>1023</v>
      </c>
      <c r="D748" s="4">
        <v>1</v>
      </c>
      <c r="E748" s="6">
        <v>69000</v>
      </c>
      <c r="F748" t="str">
        <f>VLOOKUP(C748,products!A:C,2,FALSE)</f>
        <v>Lampu LED Hias 5m</v>
      </c>
      <c r="G748">
        <f t="shared" si="22"/>
        <v>69000</v>
      </c>
      <c r="H748">
        <f>VLOOKUP(C748,products!A:D,4,FALSE)</f>
        <v>30000</v>
      </c>
      <c r="I748">
        <f t="shared" si="23"/>
        <v>39000</v>
      </c>
      <c r="J748" t="str">
        <f>VLOOKUP(B748,orders!A:B,2,FALSE)</f>
        <v>CUST0076</v>
      </c>
      <c r="K748" t="str">
        <f>VLOOKUP(J748,customers!A:F,6,FALSE)</f>
        <v>Palembang</v>
      </c>
    </row>
    <row r="749" spans="1:11" x14ac:dyDescent="0.35">
      <c r="A749" s="4" t="s">
        <v>1790</v>
      </c>
      <c r="B749" s="4" t="s">
        <v>900</v>
      </c>
      <c r="C749" s="4" t="s">
        <v>1029</v>
      </c>
      <c r="D749" s="4">
        <v>1</v>
      </c>
      <c r="E749" s="6">
        <v>39000</v>
      </c>
      <c r="F749" t="str">
        <f>VLOOKUP(C749,products!A:C,2,FALSE)</f>
        <v>Kabel Data USB-C</v>
      </c>
      <c r="G749">
        <f t="shared" si="22"/>
        <v>39000</v>
      </c>
      <c r="H749">
        <f>VLOOKUP(C749,products!A:D,4,FALSE)</f>
        <v>15000</v>
      </c>
      <c r="I749">
        <f t="shared" si="23"/>
        <v>24000</v>
      </c>
      <c r="J749" t="str">
        <f>VLOOKUP(B749,orders!A:B,2,FALSE)</f>
        <v>CUST0111</v>
      </c>
      <c r="K749" t="str">
        <f>VLOOKUP(J749,customers!A:F,6,FALSE)</f>
        <v>Makassar</v>
      </c>
    </row>
    <row r="750" spans="1:11" x14ac:dyDescent="0.35">
      <c r="A750" s="4" t="s">
        <v>1791</v>
      </c>
      <c r="B750" s="4" t="s">
        <v>900</v>
      </c>
      <c r="C750" s="4" t="s">
        <v>1025</v>
      </c>
      <c r="D750" s="4">
        <v>1</v>
      </c>
      <c r="E750" s="6">
        <v>179000</v>
      </c>
      <c r="F750" t="str">
        <f>VLOOKUP(C750,products!A:C,2,FALSE)</f>
        <v>Rak Penyimpanan Serbaguna</v>
      </c>
      <c r="G750">
        <f t="shared" si="22"/>
        <v>179000</v>
      </c>
      <c r="H750">
        <f>VLOOKUP(C750,products!A:D,4,FALSE)</f>
        <v>90000</v>
      </c>
      <c r="I750">
        <f t="shared" si="23"/>
        <v>89000</v>
      </c>
      <c r="J750" t="str">
        <f>VLOOKUP(B750,orders!A:B,2,FALSE)</f>
        <v>CUST0111</v>
      </c>
      <c r="K750" t="str">
        <f>VLOOKUP(J750,customers!A:F,6,FALSE)</f>
        <v>Makassar</v>
      </c>
    </row>
    <row r="751" spans="1:11" x14ac:dyDescent="0.35">
      <c r="A751" s="4" t="s">
        <v>1792</v>
      </c>
      <c r="B751" s="4" t="s">
        <v>900</v>
      </c>
      <c r="C751" s="4" t="s">
        <v>1044</v>
      </c>
      <c r="D751" s="4">
        <v>1</v>
      </c>
      <c r="E751" s="6">
        <v>329000</v>
      </c>
      <c r="F751" t="str">
        <f>VLOOKUP(C751,products!A:C,2,FALSE)</f>
        <v>Rice Cooker Mini 1.5L</v>
      </c>
      <c r="G751">
        <f t="shared" si="22"/>
        <v>329000</v>
      </c>
      <c r="H751">
        <f>VLOOKUP(C751,products!A:D,4,FALSE)</f>
        <v>180000</v>
      </c>
      <c r="I751">
        <f t="shared" si="23"/>
        <v>149000</v>
      </c>
      <c r="J751" t="str">
        <f>VLOOKUP(B751,orders!A:B,2,FALSE)</f>
        <v>CUST0111</v>
      </c>
      <c r="K751" t="str">
        <f>VLOOKUP(J751,customers!A:F,6,FALSE)</f>
        <v>Makassar</v>
      </c>
    </row>
    <row r="752" spans="1:11" x14ac:dyDescent="0.35">
      <c r="A752" s="4" t="s">
        <v>1793</v>
      </c>
      <c r="B752" s="4" t="s">
        <v>900</v>
      </c>
      <c r="C752" s="4" t="s">
        <v>1023</v>
      </c>
      <c r="D752" s="4">
        <v>1</v>
      </c>
      <c r="E752" s="6">
        <v>69000</v>
      </c>
      <c r="F752" t="str">
        <f>VLOOKUP(C752,products!A:C,2,FALSE)</f>
        <v>Lampu LED Hias 5m</v>
      </c>
      <c r="G752">
        <f t="shared" si="22"/>
        <v>69000</v>
      </c>
      <c r="H752">
        <f>VLOOKUP(C752,products!A:D,4,FALSE)</f>
        <v>30000</v>
      </c>
      <c r="I752">
        <f t="shared" si="23"/>
        <v>39000</v>
      </c>
      <c r="J752" t="str">
        <f>VLOOKUP(B752,orders!A:B,2,FALSE)</f>
        <v>CUST0111</v>
      </c>
      <c r="K752" t="str">
        <f>VLOOKUP(J752,customers!A:F,6,FALSE)</f>
        <v>Makassar</v>
      </c>
    </row>
    <row r="753" spans="1:11" x14ac:dyDescent="0.35">
      <c r="A753" s="4" t="s">
        <v>1794</v>
      </c>
      <c r="B753" s="4" t="s">
        <v>409</v>
      </c>
      <c r="C753" s="4" t="s">
        <v>1023</v>
      </c>
      <c r="D753" s="4">
        <v>1</v>
      </c>
      <c r="E753" s="6">
        <v>69000</v>
      </c>
      <c r="F753" t="str">
        <f>VLOOKUP(C753,products!A:C,2,FALSE)</f>
        <v>Lampu LED Hias 5m</v>
      </c>
      <c r="G753">
        <f t="shared" si="22"/>
        <v>69000</v>
      </c>
      <c r="H753">
        <f>VLOOKUP(C753,products!A:D,4,FALSE)</f>
        <v>30000</v>
      </c>
      <c r="I753">
        <f t="shared" si="23"/>
        <v>39000</v>
      </c>
      <c r="J753" t="str">
        <f>VLOOKUP(B753,orders!A:B,2,FALSE)</f>
        <v>CUST0136</v>
      </c>
      <c r="K753" t="str">
        <f>VLOOKUP(J753,customers!A:F,6,FALSE)</f>
        <v>Yogyakarta</v>
      </c>
    </row>
    <row r="754" spans="1:11" x14ac:dyDescent="0.35">
      <c r="A754" s="4" t="s">
        <v>1795</v>
      </c>
      <c r="B754" s="4" t="s">
        <v>911</v>
      </c>
      <c r="C754" s="4" t="s">
        <v>1025</v>
      </c>
      <c r="D754" s="4">
        <v>1</v>
      </c>
      <c r="E754" s="6">
        <v>179000</v>
      </c>
      <c r="F754" t="str">
        <f>VLOOKUP(C754,products!A:C,2,FALSE)</f>
        <v>Rak Penyimpanan Serbaguna</v>
      </c>
      <c r="G754">
        <f t="shared" si="22"/>
        <v>179000</v>
      </c>
      <c r="H754">
        <f>VLOOKUP(C754,products!A:D,4,FALSE)</f>
        <v>90000</v>
      </c>
      <c r="I754">
        <f t="shared" si="23"/>
        <v>89000</v>
      </c>
      <c r="J754" t="str">
        <f>VLOOKUP(B754,orders!A:B,2,FALSE)</f>
        <v>CUST0175</v>
      </c>
      <c r="K754" t="str">
        <f>VLOOKUP(J754,customers!A:F,6,FALSE)</f>
        <v>Bandung</v>
      </c>
    </row>
    <row r="755" spans="1:11" x14ac:dyDescent="0.35">
      <c r="A755" s="4" t="s">
        <v>1796</v>
      </c>
      <c r="B755" s="4" t="s">
        <v>911</v>
      </c>
      <c r="C755" s="4" t="s">
        <v>1031</v>
      </c>
      <c r="D755" s="4">
        <v>3</v>
      </c>
      <c r="E755" s="6">
        <v>79000</v>
      </c>
      <c r="F755" t="str">
        <f>VLOOKUP(C755,products!A:C,2,FALSE)</f>
        <v>Kaos Polos Cotton Combed</v>
      </c>
      <c r="G755">
        <f t="shared" si="22"/>
        <v>237000</v>
      </c>
      <c r="H755">
        <f>VLOOKUP(C755,products!A:D,4,FALSE)</f>
        <v>35000</v>
      </c>
      <c r="I755">
        <f t="shared" si="23"/>
        <v>132000</v>
      </c>
      <c r="J755" t="str">
        <f>VLOOKUP(B755,orders!A:B,2,FALSE)</f>
        <v>CUST0175</v>
      </c>
      <c r="K755" t="str">
        <f>VLOOKUP(J755,customers!A:F,6,FALSE)</f>
        <v>Bandung</v>
      </c>
    </row>
    <row r="756" spans="1:11" x14ac:dyDescent="0.35">
      <c r="A756" s="4" t="s">
        <v>1797</v>
      </c>
      <c r="B756" s="4" t="s">
        <v>978</v>
      </c>
      <c r="C756" s="4" t="s">
        <v>1023</v>
      </c>
      <c r="D756" s="4">
        <v>1</v>
      </c>
      <c r="E756" s="6">
        <v>69000</v>
      </c>
      <c r="F756" t="str">
        <f>VLOOKUP(C756,products!A:C,2,FALSE)</f>
        <v>Lampu LED Hias 5m</v>
      </c>
      <c r="G756">
        <f t="shared" si="22"/>
        <v>69000</v>
      </c>
      <c r="H756">
        <f>VLOOKUP(C756,products!A:D,4,FALSE)</f>
        <v>30000</v>
      </c>
      <c r="I756">
        <f t="shared" si="23"/>
        <v>39000</v>
      </c>
      <c r="J756" t="str">
        <f>VLOOKUP(B756,orders!A:B,2,FALSE)</f>
        <v>CUST0044</v>
      </c>
      <c r="K756" t="str">
        <f>VLOOKUP(J756,customers!A:F,6,FALSE)</f>
        <v>Depok</v>
      </c>
    </row>
    <row r="757" spans="1:11" x14ac:dyDescent="0.35">
      <c r="A757" s="4" t="s">
        <v>1798</v>
      </c>
      <c r="B757" s="4" t="s">
        <v>978</v>
      </c>
      <c r="C757" s="4" t="s">
        <v>1029</v>
      </c>
      <c r="D757" s="4">
        <v>1</v>
      </c>
      <c r="E757" s="6">
        <v>39000</v>
      </c>
      <c r="F757" t="str">
        <f>VLOOKUP(C757,products!A:C,2,FALSE)</f>
        <v>Kabel Data USB-C</v>
      </c>
      <c r="G757">
        <f t="shared" si="22"/>
        <v>39000</v>
      </c>
      <c r="H757">
        <f>VLOOKUP(C757,products!A:D,4,FALSE)</f>
        <v>15000</v>
      </c>
      <c r="I757">
        <f t="shared" si="23"/>
        <v>24000</v>
      </c>
      <c r="J757" t="str">
        <f>VLOOKUP(B757,orders!A:B,2,FALSE)</f>
        <v>CUST0044</v>
      </c>
      <c r="K757" t="str">
        <f>VLOOKUP(J757,customers!A:F,6,FALSE)</f>
        <v>Depok</v>
      </c>
    </row>
    <row r="758" spans="1:11" x14ac:dyDescent="0.35">
      <c r="A758" s="4" t="s">
        <v>1799</v>
      </c>
      <c r="B758" s="4" t="s">
        <v>866</v>
      </c>
      <c r="C758" s="4" t="s">
        <v>1023</v>
      </c>
      <c r="D758" s="4">
        <v>1</v>
      </c>
      <c r="E758" s="6">
        <v>69000</v>
      </c>
      <c r="F758" t="str">
        <f>VLOOKUP(C758,products!A:C,2,FALSE)</f>
        <v>Lampu LED Hias 5m</v>
      </c>
      <c r="G758">
        <f t="shared" si="22"/>
        <v>69000</v>
      </c>
      <c r="H758">
        <f>VLOOKUP(C758,products!A:D,4,FALSE)</f>
        <v>30000</v>
      </c>
      <c r="I758">
        <f t="shared" si="23"/>
        <v>39000</v>
      </c>
      <c r="J758" t="str">
        <f>VLOOKUP(B758,orders!A:B,2,FALSE)</f>
        <v>CUST0157</v>
      </c>
      <c r="K758" t="str">
        <f>VLOOKUP(J758,customers!A:F,6,FALSE)</f>
        <v>Jakarta</v>
      </c>
    </row>
    <row r="759" spans="1:11" x14ac:dyDescent="0.35">
      <c r="A759" s="4" t="s">
        <v>1800</v>
      </c>
      <c r="B759" s="4" t="s">
        <v>866</v>
      </c>
      <c r="C759" s="4" t="s">
        <v>1325</v>
      </c>
      <c r="D759" s="4">
        <v>1</v>
      </c>
      <c r="E759" s="6">
        <v>199000</v>
      </c>
      <c r="F759" t="str">
        <f>VLOOKUP(C759,products!A:C,2,FALSE)</f>
        <v>Speaker Bluetooth Mini</v>
      </c>
      <c r="G759">
        <f t="shared" si="22"/>
        <v>199000</v>
      </c>
      <c r="H759">
        <f>VLOOKUP(C759,products!A:D,4,FALSE)</f>
        <v>100000</v>
      </c>
      <c r="I759">
        <f t="shared" si="23"/>
        <v>99000</v>
      </c>
      <c r="J759" t="str">
        <f>VLOOKUP(B759,orders!A:B,2,FALSE)</f>
        <v>CUST0157</v>
      </c>
      <c r="K759" t="str">
        <f>VLOOKUP(J759,customers!A:F,6,FALSE)</f>
        <v>Jakarta</v>
      </c>
    </row>
    <row r="760" spans="1:11" x14ac:dyDescent="0.35">
      <c r="A760" s="4" t="s">
        <v>1801</v>
      </c>
      <c r="B760" s="4" t="s">
        <v>473</v>
      </c>
      <c r="C760" s="4" t="s">
        <v>1044</v>
      </c>
      <c r="D760" s="4">
        <v>1</v>
      </c>
      <c r="E760" s="6">
        <v>329000</v>
      </c>
      <c r="F760" t="str">
        <f>VLOOKUP(C760,products!A:C,2,FALSE)</f>
        <v>Rice Cooker Mini 1.5L</v>
      </c>
      <c r="G760">
        <f t="shared" si="22"/>
        <v>329000</v>
      </c>
      <c r="H760">
        <f>VLOOKUP(C760,products!A:D,4,FALSE)</f>
        <v>180000</v>
      </c>
      <c r="I760">
        <f t="shared" si="23"/>
        <v>149000</v>
      </c>
      <c r="J760" t="str">
        <f>VLOOKUP(B760,orders!A:B,2,FALSE)</f>
        <v>CUST0159</v>
      </c>
      <c r="K760" t="str">
        <f>VLOOKUP(J760,customers!A:F,6,FALSE)</f>
        <v>Bandung</v>
      </c>
    </row>
    <row r="761" spans="1:11" x14ac:dyDescent="0.35">
      <c r="A761" s="4" t="s">
        <v>1802</v>
      </c>
      <c r="B761" s="4" t="s">
        <v>211</v>
      </c>
      <c r="C761" s="4" t="s">
        <v>1023</v>
      </c>
      <c r="D761" s="4">
        <v>1</v>
      </c>
      <c r="E761" s="6">
        <v>69000</v>
      </c>
      <c r="F761" t="str">
        <f>VLOOKUP(C761,products!A:C,2,FALSE)</f>
        <v>Lampu LED Hias 5m</v>
      </c>
      <c r="G761">
        <f t="shared" si="22"/>
        <v>69000</v>
      </c>
      <c r="H761">
        <f>VLOOKUP(C761,products!A:D,4,FALSE)</f>
        <v>30000</v>
      </c>
      <c r="I761">
        <f t="shared" si="23"/>
        <v>39000</v>
      </c>
      <c r="J761" t="str">
        <f>VLOOKUP(B761,orders!A:B,2,FALSE)</f>
        <v>CUST0128</v>
      </c>
      <c r="K761" t="str">
        <f>VLOOKUP(J761,customers!A:F,6,FALSE)</f>
        <v>Jakarta</v>
      </c>
    </row>
    <row r="762" spans="1:11" x14ac:dyDescent="0.35">
      <c r="A762" s="4" t="s">
        <v>1803</v>
      </c>
      <c r="B762" s="4" t="s">
        <v>792</v>
      </c>
      <c r="C762" s="4" t="s">
        <v>1025</v>
      </c>
      <c r="D762" s="4">
        <v>1</v>
      </c>
      <c r="E762" s="6">
        <v>179000</v>
      </c>
      <c r="F762" t="str">
        <f>VLOOKUP(C762,products!A:C,2,FALSE)</f>
        <v>Rak Penyimpanan Serbaguna</v>
      </c>
      <c r="G762">
        <f t="shared" si="22"/>
        <v>179000</v>
      </c>
      <c r="H762">
        <f>VLOOKUP(C762,products!A:D,4,FALSE)</f>
        <v>90000</v>
      </c>
      <c r="I762">
        <f t="shared" si="23"/>
        <v>89000</v>
      </c>
      <c r="J762" t="str">
        <f>VLOOKUP(B762,orders!A:B,2,FALSE)</f>
        <v>CUST0060</v>
      </c>
      <c r="K762" t="str">
        <f>VLOOKUP(J762,customers!A:F,6,FALSE)</f>
        <v>Palembang</v>
      </c>
    </row>
    <row r="763" spans="1:11" x14ac:dyDescent="0.35">
      <c r="A763" s="4" t="s">
        <v>1804</v>
      </c>
      <c r="B763" s="4" t="s">
        <v>792</v>
      </c>
      <c r="C763" s="4" t="s">
        <v>1023</v>
      </c>
      <c r="D763" s="4">
        <v>2</v>
      </c>
      <c r="E763" s="6">
        <v>69000</v>
      </c>
      <c r="F763" t="str">
        <f>VLOOKUP(C763,products!A:C,2,FALSE)</f>
        <v>Lampu LED Hias 5m</v>
      </c>
      <c r="G763">
        <f t="shared" si="22"/>
        <v>138000</v>
      </c>
      <c r="H763">
        <f>VLOOKUP(C763,products!A:D,4,FALSE)</f>
        <v>30000</v>
      </c>
      <c r="I763">
        <f t="shared" si="23"/>
        <v>78000</v>
      </c>
      <c r="J763" t="str">
        <f>VLOOKUP(B763,orders!A:B,2,FALSE)</f>
        <v>CUST0060</v>
      </c>
      <c r="K763" t="str">
        <f>VLOOKUP(J763,customers!A:F,6,FALSE)</f>
        <v>Palembang</v>
      </c>
    </row>
    <row r="764" spans="1:11" x14ac:dyDescent="0.35">
      <c r="A764" s="4" t="s">
        <v>1805</v>
      </c>
      <c r="B764" s="4" t="s">
        <v>360</v>
      </c>
      <c r="C764" s="4" t="s">
        <v>1029</v>
      </c>
      <c r="D764" s="4">
        <v>1</v>
      </c>
      <c r="E764" s="6">
        <v>39000</v>
      </c>
      <c r="F764" t="str">
        <f>VLOOKUP(C764,products!A:C,2,FALSE)</f>
        <v>Kabel Data USB-C</v>
      </c>
      <c r="G764">
        <f t="shared" si="22"/>
        <v>39000</v>
      </c>
      <c r="H764">
        <f>VLOOKUP(C764,products!A:D,4,FALSE)</f>
        <v>15000</v>
      </c>
      <c r="I764">
        <f t="shared" si="23"/>
        <v>24000</v>
      </c>
      <c r="J764" t="str">
        <f>VLOOKUP(B764,orders!A:B,2,FALSE)</f>
        <v>CUST0066</v>
      </c>
      <c r="K764" t="str">
        <f>VLOOKUP(J764,customers!A:F,6,FALSE)</f>
        <v>Bandung</v>
      </c>
    </row>
    <row r="765" spans="1:11" x14ac:dyDescent="0.35">
      <c r="A765" s="4" t="s">
        <v>1806</v>
      </c>
      <c r="B765" s="4" t="s">
        <v>533</v>
      </c>
      <c r="C765" s="4" t="s">
        <v>1023</v>
      </c>
      <c r="D765" s="4">
        <v>1</v>
      </c>
      <c r="E765" s="6">
        <v>69000</v>
      </c>
      <c r="F765" t="str">
        <f>VLOOKUP(C765,products!A:C,2,FALSE)</f>
        <v>Lampu LED Hias 5m</v>
      </c>
      <c r="G765">
        <f t="shared" si="22"/>
        <v>69000</v>
      </c>
      <c r="H765">
        <f>VLOOKUP(C765,products!A:D,4,FALSE)</f>
        <v>30000</v>
      </c>
      <c r="I765">
        <f t="shared" si="23"/>
        <v>39000</v>
      </c>
      <c r="J765" t="str">
        <f>VLOOKUP(B765,orders!A:B,2,FALSE)</f>
        <v>CUST0171</v>
      </c>
      <c r="K765" t="str">
        <f>VLOOKUP(J765,customers!A:F,6,FALSE)</f>
        <v>Medan</v>
      </c>
    </row>
    <row r="766" spans="1:11" x14ac:dyDescent="0.35">
      <c r="A766" s="4" t="s">
        <v>1807</v>
      </c>
      <c r="B766" s="4" t="s">
        <v>396</v>
      </c>
      <c r="C766" s="4" t="s">
        <v>1023</v>
      </c>
      <c r="D766" s="4">
        <v>1</v>
      </c>
      <c r="E766" s="6">
        <v>69000</v>
      </c>
      <c r="F766" t="str">
        <f>VLOOKUP(C766,products!A:C,2,FALSE)</f>
        <v>Lampu LED Hias 5m</v>
      </c>
      <c r="G766">
        <f t="shared" si="22"/>
        <v>69000</v>
      </c>
      <c r="H766">
        <f>VLOOKUP(C766,products!A:D,4,FALSE)</f>
        <v>30000</v>
      </c>
      <c r="I766">
        <f t="shared" si="23"/>
        <v>39000</v>
      </c>
      <c r="J766" t="str">
        <f>VLOOKUP(B766,orders!A:B,2,FALSE)</f>
        <v>CUST0120</v>
      </c>
      <c r="K766" t="str">
        <f>VLOOKUP(J766,customers!A:F,6,FALSE)</f>
        <v>Makassar</v>
      </c>
    </row>
    <row r="767" spans="1:11" x14ac:dyDescent="0.35">
      <c r="A767" s="4" t="s">
        <v>1808</v>
      </c>
      <c r="B767" s="4" t="s">
        <v>375</v>
      </c>
      <c r="C767" s="4" t="s">
        <v>1044</v>
      </c>
      <c r="D767" s="4">
        <v>3</v>
      </c>
      <c r="E767" s="6">
        <v>329000</v>
      </c>
      <c r="F767" t="str">
        <f>VLOOKUP(C767,products!A:C,2,FALSE)</f>
        <v>Rice Cooker Mini 1.5L</v>
      </c>
      <c r="G767">
        <f t="shared" si="22"/>
        <v>987000</v>
      </c>
      <c r="H767">
        <f>VLOOKUP(C767,products!A:D,4,FALSE)</f>
        <v>180000</v>
      </c>
      <c r="I767">
        <f t="shared" si="23"/>
        <v>447000</v>
      </c>
      <c r="J767" t="str">
        <f>VLOOKUP(B767,orders!A:B,2,FALSE)</f>
        <v>CUST0041</v>
      </c>
      <c r="K767" t="str">
        <f>VLOOKUP(J767,customers!A:F,6,FALSE)</f>
        <v>Palembang</v>
      </c>
    </row>
    <row r="768" spans="1:11" x14ac:dyDescent="0.35">
      <c r="A768" s="4" t="s">
        <v>1809</v>
      </c>
      <c r="B768" s="4" t="s">
        <v>53</v>
      </c>
      <c r="C768" s="4" t="s">
        <v>1031</v>
      </c>
      <c r="D768" s="4">
        <v>1</v>
      </c>
      <c r="E768" s="6">
        <v>79000</v>
      </c>
      <c r="F768" t="str">
        <f>VLOOKUP(C768,products!A:C,2,FALSE)</f>
        <v>Kaos Polos Cotton Combed</v>
      </c>
      <c r="G768">
        <f t="shared" si="22"/>
        <v>79000</v>
      </c>
      <c r="H768">
        <f>VLOOKUP(C768,products!A:D,4,FALSE)</f>
        <v>35000</v>
      </c>
      <c r="I768">
        <f t="shared" si="23"/>
        <v>44000</v>
      </c>
      <c r="J768" t="str">
        <f>VLOOKUP(B768,orders!A:B,2,FALSE)</f>
        <v>CUST0089</v>
      </c>
      <c r="K768" t="str">
        <f>VLOOKUP(J768,customers!A:F,6,FALSE)</f>
        <v>Makassar</v>
      </c>
    </row>
    <row r="769" spans="1:11" x14ac:dyDescent="0.35">
      <c r="A769" s="4" t="s">
        <v>1810</v>
      </c>
      <c r="B769" s="4" t="s">
        <v>954</v>
      </c>
      <c r="C769" s="4" t="s">
        <v>1029</v>
      </c>
      <c r="D769" s="4">
        <v>2</v>
      </c>
      <c r="E769" s="6">
        <v>39000</v>
      </c>
      <c r="F769" t="str">
        <f>VLOOKUP(C769,products!A:C,2,FALSE)</f>
        <v>Kabel Data USB-C</v>
      </c>
      <c r="G769">
        <f t="shared" si="22"/>
        <v>78000</v>
      </c>
      <c r="H769">
        <f>VLOOKUP(C769,products!A:D,4,FALSE)</f>
        <v>15000</v>
      </c>
      <c r="I769">
        <f t="shared" si="23"/>
        <v>48000</v>
      </c>
      <c r="J769" t="str">
        <f>VLOOKUP(B769,orders!A:B,2,FALSE)</f>
        <v>CUST0164</v>
      </c>
      <c r="K769" t="str">
        <f>VLOOKUP(J769,customers!A:F,6,FALSE)</f>
        <v>Semarang</v>
      </c>
    </row>
    <row r="770" spans="1:11" x14ac:dyDescent="0.35">
      <c r="A770" s="4" t="s">
        <v>1811</v>
      </c>
      <c r="B770" s="4" t="s">
        <v>954</v>
      </c>
      <c r="C770" s="4" t="s">
        <v>1025</v>
      </c>
      <c r="D770" s="4">
        <v>3</v>
      </c>
      <c r="E770" s="6">
        <v>179000</v>
      </c>
      <c r="F770" t="str">
        <f>VLOOKUP(C770,products!A:C,2,FALSE)</f>
        <v>Rak Penyimpanan Serbaguna</v>
      </c>
      <c r="G770">
        <f t="shared" si="22"/>
        <v>537000</v>
      </c>
      <c r="H770">
        <f>VLOOKUP(C770,products!A:D,4,FALSE)</f>
        <v>90000</v>
      </c>
      <c r="I770">
        <f t="shared" si="23"/>
        <v>267000</v>
      </c>
      <c r="J770" t="str">
        <f>VLOOKUP(B770,orders!A:B,2,FALSE)</f>
        <v>CUST0164</v>
      </c>
      <c r="K770" t="str">
        <f>VLOOKUP(J770,customers!A:F,6,FALSE)</f>
        <v>Semarang</v>
      </c>
    </row>
    <row r="771" spans="1:11" x14ac:dyDescent="0.35">
      <c r="A771" s="4" t="s">
        <v>1812</v>
      </c>
      <c r="B771" s="4" t="s">
        <v>498</v>
      </c>
      <c r="C771" s="4" t="s">
        <v>1023</v>
      </c>
      <c r="D771" s="4">
        <v>2</v>
      </c>
      <c r="E771" s="6">
        <v>69000</v>
      </c>
      <c r="F771" t="str">
        <f>VLOOKUP(C771,products!A:C,2,FALSE)</f>
        <v>Lampu LED Hias 5m</v>
      </c>
      <c r="G771">
        <f t="shared" ref="G771:G834" si="24">D771*E771</f>
        <v>138000</v>
      </c>
      <c r="H771">
        <f>VLOOKUP(C771,products!A:D,4,FALSE)</f>
        <v>30000</v>
      </c>
      <c r="I771">
        <f t="shared" ref="I771:I834" si="25">(E771-H771)*D771</f>
        <v>78000</v>
      </c>
      <c r="J771" t="str">
        <f>VLOOKUP(B771,orders!A:B,2,FALSE)</f>
        <v>CUST0117</v>
      </c>
      <c r="K771" t="str">
        <f>VLOOKUP(J771,customers!A:F,6,FALSE)</f>
        <v>Semarang</v>
      </c>
    </row>
    <row r="772" spans="1:11" x14ac:dyDescent="0.35">
      <c r="A772" s="4" t="s">
        <v>1813</v>
      </c>
      <c r="B772" s="4" t="s">
        <v>632</v>
      </c>
      <c r="C772" s="4" t="s">
        <v>1031</v>
      </c>
      <c r="D772" s="4">
        <v>1</v>
      </c>
      <c r="E772" s="6">
        <v>79000</v>
      </c>
      <c r="F772" t="str">
        <f>VLOOKUP(C772,products!A:C,2,FALSE)</f>
        <v>Kaos Polos Cotton Combed</v>
      </c>
      <c r="G772">
        <f t="shared" si="24"/>
        <v>79000</v>
      </c>
      <c r="H772">
        <f>VLOOKUP(C772,products!A:D,4,FALSE)</f>
        <v>35000</v>
      </c>
      <c r="I772">
        <f t="shared" si="25"/>
        <v>44000</v>
      </c>
      <c r="J772" t="str">
        <f>VLOOKUP(B772,orders!A:B,2,FALSE)</f>
        <v>CUST0124</v>
      </c>
      <c r="K772" t="str">
        <f>VLOOKUP(J772,customers!A:F,6,FALSE)</f>
        <v>Bandung</v>
      </c>
    </row>
    <row r="773" spans="1:11" x14ac:dyDescent="0.35">
      <c r="A773" s="4" t="s">
        <v>1814</v>
      </c>
      <c r="B773" s="4" t="s">
        <v>509</v>
      </c>
      <c r="C773" s="4" t="s">
        <v>1023</v>
      </c>
      <c r="D773" s="4">
        <v>3</v>
      </c>
      <c r="E773" s="6">
        <v>69000</v>
      </c>
      <c r="F773" t="str">
        <f>VLOOKUP(C773,products!A:C,2,FALSE)</f>
        <v>Lampu LED Hias 5m</v>
      </c>
      <c r="G773">
        <f t="shared" si="24"/>
        <v>207000</v>
      </c>
      <c r="H773">
        <f>VLOOKUP(C773,products!A:D,4,FALSE)</f>
        <v>30000</v>
      </c>
      <c r="I773">
        <f t="shared" si="25"/>
        <v>117000</v>
      </c>
      <c r="J773" t="str">
        <f>VLOOKUP(B773,orders!A:B,2,FALSE)</f>
        <v>CUST0147</v>
      </c>
      <c r="K773" t="str">
        <f>VLOOKUP(J773,customers!A:F,6,FALSE)</f>
        <v>Yogyakarta</v>
      </c>
    </row>
    <row r="774" spans="1:11" x14ac:dyDescent="0.35">
      <c r="A774" s="4" t="s">
        <v>1815</v>
      </c>
      <c r="B774" s="4" t="s">
        <v>509</v>
      </c>
      <c r="C774" s="4" t="s">
        <v>1082</v>
      </c>
      <c r="D774" s="4">
        <v>2</v>
      </c>
      <c r="E774" s="6">
        <v>399000</v>
      </c>
      <c r="F774" t="str">
        <f>VLOOKUP(C774,products!A:C,2,FALSE)</f>
        <v>Keyboard Mechanical Mini</v>
      </c>
      <c r="G774">
        <f t="shared" si="24"/>
        <v>798000</v>
      </c>
      <c r="H774">
        <f>VLOOKUP(C774,products!A:D,4,FALSE)</f>
        <v>200000</v>
      </c>
      <c r="I774">
        <f t="shared" si="25"/>
        <v>398000</v>
      </c>
      <c r="J774" t="str">
        <f>VLOOKUP(B774,orders!A:B,2,FALSE)</f>
        <v>CUST0147</v>
      </c>
      <c r="K774" t="str">
        <f>VLOOKUP(J774,customers!A:F,6,FALSE)</f>
        <v>Yogyakarta</v>
      </c>
    </row>
    <row r="775" spans="1:11" x14ac:dyDescent="0.35">
      <c r="A775" s="4" t="s">
        <v>1816</v>
      </c>
      <c r="B775" s="4" t="s">
        <v>759</v>
      </c>
      <c r="C775" s="4" t="s">
        <v>1031</v>
      </c>
      <c r="D775" s="4">
        <v>1</v>
      </c>
      <c r="E775" s="6">
        <v>79000</v>
      </c>
      <c r="F775" t="str">
        <f>VLOOKUP(C775,products!A:C,2,FALSE)</f>
        <v>Kaos Polos Cotton Combed</v>
      </c>
      <c r="G775">
        <f t="shared" si="24"/>
        <v>79000</v>
      </c>
      <c r="H775">
        <f>VLOOKUP(C775,products!A:D,4,FALSE)</f>
        <v>35000</v>
      </c>
      <c r="I775">
        <f t="shared" si="25"/>
        <v>44000</v>
      </c>
      <c r="J775" t="str">
        <f>VLOOKUP(B775,orders!A:B,2,FALSE)</f>
        <v>CUST0076</v>
      </c>
      <c r="K775" t="str">
        <f>VLOOKUP(J775,customers!A:F,6,FALSE)</f>
        <v>Palembang</v>
      </c>
    </row>
    <row r="776" spans="1:11" x14ac:dyDescent="0.35">
      <c r="A776" s="4" t="s">
        <v>1817</v>
      </c>
      <c r="B776" s="4" t="s">
        <v>759</v>
      </c>
      <c r="C776" s="4" t="s">
        <v>1044</v>
      </c>
      <c r="D776" s="4">
        <v>1</v>
      </c>
      <c r="E776" s="6">
        <v>329000</v>
      </c>
      <c r="F776" t="str">
        <f>VLOOKUP(C776,products!A:C,2,FALSE)</f>
        <v>Rice Cooker Mini 1.5L</v>
      </c>
      <c r="G776">
        <f t="shared" si="24"/>
        <v>329000</v>
      </c>
      <c r="H776">
        <f>VLOOKUP(C776,products!A:D,4,FALSE)</f>
        <v>180000</v>
      </c>
      <c r="I776">
        <f t="shared" si="25"/>
        <v>149000</v>
      </c>
      <c r="J776" t="str">
        <f>VLOOKUP(B776,orders!A:B,2,FALSE)</f>
        <v>CUST0076</v>
      </c>
      <c r="K776" t="str">
        <f>VLOOKUP(J776,customers!A:F,6,FALSE)</f>
        <v>Palembang</v>
      </c>
    </row>
    <row r="777" spans="1:11" x14ac:dyDescent="0.35">
      <c r="A777" s="4" t="s">
        <v>1818</v>
      </c>
      <c r="B777" s="4" t="s">
        <v>759</v>
      </c>
      <c r="C777" s="4" t="s">
        <v>1023</v>
      </c>
      <c r="D777" s="4">
        <v>2</v>
      </c>
      <c r="E777" s="6">
        <v>69000</v>
      </c>
      <c r="F777" t="str">
        <f>VLOOKUP(C777,products!A:C,2,FALSE)</f>
        <v>Lampu LED Hias 5m</v>
      </c>
      <c r="G777">
        <f t="shared" si="24"/>
        <v>138000</v>
      </c>
      <c r="H777">
        <f>VLOOKUP(C777,products!A:D,4,FALSE)</f>
        <v>30000</v>
      </c>
      <c r="I777">
        <f t="shared" si="25"/>
        <v>78000</v>
      </c>
      <c r="J777" t="str">
        <f>VLOOKUP(B777,orders!A:B,2,FALSE)</f>
        <v>CUST0076</v>
      </c>
      <c r="K777" t="str">
        <f>VLOOKUP(J777,customers!A:F,6,FALSE)</f>
        <v>Palembang</v>
      </c>
    </row>
    <row r="778" spans="1:11" x14ac:dyDescent="0.35">
      <c r="A778" s="4" t="s">
        <v>1819</v>
      </c>
      <c r="B778" s="4" t="s">
        <v>565</v>
      </c>
      <c r="C778" s="4" t="s">
        <v>1049</v>
      </c>
      <c r="D778" s="4">
        <v>1</v>
      </c>
      <c r="E778" s="6">
        <v>349000</v>
      </c>
      <c r="F778" t="str">
        <f>VLOOKUP(C778,products!A:C,2,FALSE)</f>
        <v>Sepatu Sneakers Casual</v>
      </c>
      <c r="G778">
        <f t="shared" si="24"/>
        <v>349000</v>
      </c>
      <c r="H778">
        <f>VLOOKUP(C778,products!A:D,4,FALSE)</f>
        <v>180000</v>
      </c>
      <c r="I778">
        <f t="shared" si="25"/>
        <v>169000</v>
      </c>
      <c r="J778" t="str">
        <f>VLOOKUP(B778,orders!A:B,2,FALSE)</f>
        <v>CUST0006</v>
      </c>
      <c r="K778" t="str">
        <f>VLOOKUP(J778,customers!A:F,6,FALSE)</f>
        <v>Jakarta</v>
      </c>
    </row>
    <row r="779" spans="1:11" x14ac:dyDescent="0.35">
      <c r="A779" s="4" t="s">
        <v>1820</v>
      </c>
      <c r="B779" s="4" t="s">
        <v>766</v>
      </c>
      <c r="C779" s="4" t="s">
        <v>1031</v>
      </c>
      <c r="D779" s="4">
        <v>1</v>
      </c>
      <c r="E779" s="6">
        <v>79000</v>
      </c>
      <c r="F779" t="str">
        <f>VLOOKUP(C779,products!A:C,2,FALSE)</f>
        <v>Kaos Polos Cotton Combed</v>
      </c>
      <c r="G779">
        <f t="shared" si="24"/>
        <v>79000</v>
      </c>
      <c r="H779">
        <f>VLOOKUP(C779,products!A:D,4,FALSE)</f>
        <v>35000</v>
      </c>
      <c r="I779">
        <f t="shared" si="25"/>
        <v>44000</v>
      </c>
      <c r="J779" t="str">
        <f>VLOOKUP(B779,orders!A:B,2,FALSE)</f>
        <v>CUST0003</v>
      </c>
      <c r="K779" t="str">
        <f>VLOOKUP(J779,customers!A:F,6,FALSE)</f>
        <v>Jakarta</v>
      </c>
    </row>
    <row r="780" spans="1:11" x14ac:dyDescent="0.35">
      <c r="A780" s="4" t="s">
        <v>1821</v>
      </c>
      <c r="B780" s="4" t="s">
        <v>252</v>
      </c>
      <c r="C780" s="4" t="s">
        <v>1031</v>
      </c>
      <c r="D780" s="4">
        <v>3</v>
      </c>
      <c r="E780" s="6">
        <v>79000</v>
      </c>
      <c r="F780" t="str">
        <f>VLOOKUP(C780,products!A:C,2,FALSE)</f>
        <v>Kaos Polos Cotton Combed</v>
      </c>
      <c r="G780">
        <f t="shared" si="24"/>
        <v>237000</v>
      </c>
      <c r="H780">
        <f>VLOOKUP(C780,products!A:D,4,FALSE)</f>
        <v>35000</v>
      </c>
      <c r="I780">
        <f t="shared" si="25"/>
        <v>132000</v>
      </c>
      <c r="J780" t="str">
        <f>VLOOKUP(B780,orders!A:B,2,FALSE)</f>
        <v>CUST0176</v>
      </c>
      <c r="K780" t="str">
        <f>VLOOKUP(J780,customers!A:F,6,FALSE)</f>
        <v>Medan</v>
      </c>
    </row>
    <row r="781" spans="1:11" x14ac:dyDescent="0.35">
      <c r="A781" s="4" t="s">
        <v>1822</v>
      </c>
      <c r="B781" s="4" t="s">
        <v>119</v>
      </c>
      <c r="C781" s="4" t="s">
        <v>1023</v>
      </c>
      <c r="D781" s="4">
        <v>1</v>
      </c>
      <c r="E781" s="6">
        <v>69000</v>
      </c>
      <c r="F781" t="str">
        <f>VLOOKUP(C781,products!A:C,2,FALSE)</f>
        <v>Lampu LED Hias 5m</v>
      </c>
      <c r="G781">
        <f t="shared" si="24"/>
        <v>69000</v>
      </c>
      <c r="H781">
        <f>VLOOKUP(C781,products!A:D,4,FALSE)</f>
        <v>30000</v>
      </c>
      <c r="I781">
        <f t="shared" si="25"/>
        <v>39000</v>
      </c>
      <c r="J781" t="str">
        <f>VLOOKUP(B781,orders!A:B,2,FALSE)</f>
        <v>CUST0128</v>
      </c>
      <c r="K781" t="str">
        <f>VLOOKUP(J781,customers!A:F,6,FALSE)</f>
        <v>Jakarta</v>
      </c>
    </row>
    <row r="782" spans="1:11" x14ac:dyDescent="0.35">
      <c r="A782" s="4" t="s">
        <v>1823</v>
      </c>
      <c r="B782" s="4" t="s">
        <v>100</v>
      </c>
      <c r="C782" s="4" t="s">
        <v>1033</v>
      </c>
      <c r="D782" s="4">
        <v>1</v>
      </c>
      <c r="E782" s="6">
        <v>55000</v>
      </c>
      <c r="F782" t="str">
        <f>VLOOKUP(C782,products!A:C,2,FALSE)</f>
        <v>Sapu + Pengki Set</v>
      </c>
      <c r="G782">
        <f t="shared" si="24"/>
        <v>55000</v>
      </c>
      <c r="H782">
        <f>VLOOKUP(C782,products!A:D,4,FALSE)</f>
        <v>25000</v>
      </c>
      <c r="I782">
        <f t="shared" si="25"/>
        <v>30000</v>
      </c>
      <c r="J782" t="str">
        <f>VLOOKUP(B782,orders!A:B,2,FALSE)</f>
        <v>CUST0059</v>
      </c>
      <c r="K782" t="str">
        <f>VLOOKUP(J782,customers!A:F,6,FALSE)</f>
        <v>Yogyakarta</v>
      </c>
    </row>
    <row r="783" spans="1:11" x14ac:dyDescent="0.35">
      <c r="A783" s="4" t="s">
        <v>1824</v>
      </c>
      <c r="B783" s="4" t="s">
        <v>938</v>
      </c>
      <c r="C783" s="4" t="s">
        <v>1036</v>
      </c>
      <c r="D783" s="4">
        <v>2</v>
      </c>
      <c r="E783" s="6">
        <v>229000</v>
      </c>
      <c r="F783" t="str">
        <f>VLOOKUP(C783,products!A:C,2,FALSE)</f>
        <v>Celana Jeans Slimfit</v>
      </c>
      <c r="G783">
        <f t="shared" si="24"/>
        <v>458000</v>
      </c>
      <c r="H783">
        <f>VLOOKUP(C783,products!A:D,4,FALSE)</f>
        <v>110000</v>
      </c>
      <c r="I783">
        <f t="shared" si="25"/>
        <v>238000</v>
      </c>
      <c r="J783" t="str">
        <f>VLOOKUP(B783,orders!A:B,2,FALSE)</f>
        <v>CUST0091</v>
      </c>
      <c r="K783" t="str">
        <f>VLOOKUP(J783,customers!A:F,6,FALSE)</f>
        <v>Surabaya</v>
      </c>
    </row>
    <row r="784" spans="1:11" x14ac:dyDescent="0.35">
      <c r="A784" s="4" t="s">
        <v>1825</v>
      </c>
      <c r="B784" s="4" t="s">
        <v>877</v>
      </c>
      <c r="C784" s="4" t="s">
        <v>1023</v>
      </c>
      <c r="D784" s="4">
        <v>1</v>
      </c>
      <c r="E784" s="6">
        <v>69000</v>
      </c>
      <c r="F784" t="str">
        <f>VLOOKUP(C784,products!A:C,2,FALSE)</f>
        <v>Lampu LED Hias 5m</v>
      </c>
      <c r="G784">
        <f t="shared" si="24"/>
        <v>69000</v>
      </c>
      <c r="H784">
        <f>VLOOKUP(C784,products!A:D,4,FALSE)</f>
        <v>30000</v>
      </c>
      <c r="I784">
        <f t="shared" si="25"/>
        <v>39000</v>
      </c>
      <c r="J784" t="str">
        <f>VLOOKUP(B784,orders!A:B,2,FALSE)</f>
        <v>CUST0049</v>
      </c>
      <c r="K784" t="str">
        <f>VLOOKUP(J784,customers!A:F,6,FALSE)</f>
        <v>Medan</v>
      </c>
    </row>
    <row r="785" spans="1:11" x14ac:dyDescent="0.35">
      <c r="A785" s="4" t="s">
        <v>1826</v>
      </c>
      <c r="B785" s="4" t="s">
        <v>937</v>
      </c>
      <c r="C785" s="4" t="s">
        <v>1023</v>
      </c>
      <c r="D785" s="4">
        <v>1</v>
      </c>
      <c r="E785" s="6">
        <v>69000</v>
      </c>
      <c r="F785" t="str">
        <f>VLOOKUP(C785,products!A:C,2,FALSE)</f>
        <v>Lampu LED Hias 5m</v>
      </c>
      <c r="G785">
        <f t="shared" si="24"/>
        <v>69000</v>
      </c>
      <c r="H785">
        <f>VLOOKUP(C785,products!A:D,4,FALSE)</f>
        <v>30000</v>
      </c>
      <c r="I785">
        <f t="shared" si="25"/>
        <v>39000</v>
      </c>
      <c r="J785" t="str">
        <f>VLOOKUP(B785,orders!A:B,2,FALSE)</f>
        <v>CUST0174</v>
      </c>
      <c r="K785" t="str">
        <f>VLOOKUP(J785,customers!A:F,6,FALSE)</f>
        <v>Makassar</v>
      </c>
    </row>
    <row r="786" spans="1:11" x14ac:dyDescent="0.35">
      <c r="A786" s="4" t="s">
        <v>1827</v>
      </c>
      <c r="B786" s="4" t="s">
        <v>383</v>
      </c>
      <c r="C786" s="4" t="s">
        <v>1023</v>
      </c>
      <c r="D786" s="4">
        <v>1</v>
      </c>
      <c r="E786" s="6">
        <v>69000</v>
      </c>
      <c r="F786" t="str">
        <f>VLOOKUP(C786,products!A:C,2,FALSE)</f>
        <v>Lampu LED Hias 5m</v>
      </c>
      <c r="G786">
        <f t="shared" si="24"/>
        <v>69000</v>
      </c>
      <c r="H786">
        <f>VLOOKUP(C786,products!A:D,4,FALSE)</f>
        <v>30000</v>
      </c>
      <c r="I786">
        <f t="shared" si="25"/>
        <v>39000</v>
      </c>
      <c r="J786" t="str">
        <f>VLOOKUP(B786,orders!A:B,2,FALSE)</f>
        <v>CUST0197</v>
      </c>
      <c r="K786" t="str">
        <f>VLOOKUP(J786,customers!A:F,6,FALSE)</f>
        <v>Bandung</v>
      </c>
    </row>
    <row r="787" spans="1:11" x14ac:dyDescent="0.35">
      <c r="A787" s="4" t="s">
        <v>1828</v>
      </c>
      <c r="B787" s="4" t="s">
        <v>305</v>
      </c>
      <c r="C787" s="4" t="s">
        <v>1031</v>
      </c>
      <c r="D787" s="4">
        <v>1</v>
      </c>
      <c r="E787" s="6">
        <v>79000</v>
      </c>
      <c r="F787" t="str">
        <f>VLOOKUP(C787,products!A:C,2,FALSE)</f>
        <v>Kaos Polos Cotton Combed</v>
      </c>
      <c r="G787">
        <f t="shared" si="24"/>
        <v>79000</v>
      </c>
      <c r="H787">
        <f>VLOOKUP(C787,products!A:D,4,FALSE)</f>
        <v>35000</v>
      </c>
      <c r="I787">
        <f t="shared" si="25"/>
        <v>44000</v>
      </c>
      <c r="J787" t="str">
        <f>VLOOKUP(B787,orders!A:B,2,FALSE)</f>
        <v>CUST0036</v>
      </c>
      <c r="K787" t="str">
        <f>VLOOKUP(J787,customers!A:F,6,FALSE)</f>
        <v>Yogyakarta</v>
      </c>
    </row>
    <row r="788" spans="1:11" x14ac:dyDescent="0.35">
      <c r="A788" s="4" t="s">
        <v>1829</v>
      </c>
      <c r="B788" s="4" t="s">
        <v>305</v>
      </c>
      <c r="C788" s="4" t="s">
        <v>1023</v>
      </c>
      <c r="D788" s="4">
        <v>1</v>
      </c>
      <c r="E788" s="6">
        <v>69000</v>
      </c>
      <c r="F788" t="str">
        <f>VLOOKUP(C788,products!A:C,2,FALSE)</f>
        <v>Lampu LED Hias 5m</v>
      </c>
      <c r="G788">
        <f t="shared" si="24"/>
        <v>69000</v>
      </c>
      <c r="H788">
        <f>VLOOKUP(C788,products!A:D,4,FALSE)</f>
        <v>30000</v>
      </c>
      <c r="I788">
        <f t="shared" si="25"/>
        <v>39000</v>
      </c>
      <c r="J788" t="str">
        <f>VLOOKUP(B788,orders!A:B,2,FALSE)</f>
        <v>CUST0036</v>
      </c>
      <c r="K788" t="str">
        <f>VLOOKUP(J788,customers!A:F,6,FALSE)</f>
        <v>Yogyakarta</v>
      </c>
    </row>
    <row r="789" spans="1:11" x14ac:dyDescent="0.35">
      <c r="A789" s="4" t="s">
        <v>1830</v>
      </c>
      <c r="B789" s="4" t="s">
        <v>305</v>
      </c>
      <c r="C789" s="4" t="s">
        <v>1033</v>
      </c>
      <c r="D789" s="4">
        <v>2</v>
      </c>
      <c r="E789" s="6">
        <v>55000</v>
      </c>
      <c r="F789" t="str">
        <f>VLOOKUP(C789,products!A:C,2,FALSE)</f>
        <v>Sapu + Pengki Set</v>
      </c>
      <c r="G789">
        <f t="shared" si="24"/>
        <v>110000</v>
      </c>
      <c r="H789">
        <f>VLOOKUP(C789,products!A:D,4,FALSE)</f>
        <v>25000</v>
      </c>
      <c r="I789">
        <f t="shared" si="25"/>
        <v>60000</v>
      </c>
      <c r="J789" t="str">
        <f>VLOOKUP(B789,orders!A:B,2,FALSE)</f>
        <v>CUST0036</v>
      </c>
      <c r="K789" t="str">
        <f>VLOOKUP(J789,customers!A:F,6,FALSE)</f>
        <v>Yogyakarta</v>
      </c>
    </row>
    <row r="790" spans="1:11" x14ac:dyDescent="0.35">
      <c r="A790" s="4" t="s">
        <v>1831</v>
      </c>
      <c r="B790" s="4" t="s">
        <v>298</v>
      </c>
      <c r="C790" s="4" t="s">
        <v>1029</v>
      </c>
      <c r="D790" s="4">
        <v>1</v>
      </c>
      <c r="E790" s="6">
        <v>39000</v>
      </c>
      <c r="F790" t="str">
        <f>VLOOKUP(C790,products!A:C,2,FALSE)</f>
        <v>Kabel Data USB-C</v>
      </c>
      <c r="G790">
        <f t="shared" si="24"/>
        <v>39000</v>
      </c>
      <c r="H790">
        <f>VLOOKUP(C790,products!A:D,4,FALSE)</f>
        <v>15000</v>
      </c>
      <c r="I790">
        <f t="shared" si="25"/>
        <v>24000</v>
      </c>
      <c r="J790" t="str">
        <f>VLOOKUP(B790,orders!A:B,2,FALSE)</f>
        <v>CUST0161</v>
      </c>
      <c r="K790" t="str">
        <f>VLOOKUP(J790,customers!A:F,6,FALSE)</f>
        <v>Medan</v>
      </c>
    </row>
    <row r="791" spans="1:11" x14ac:dyDescent="0.35">
      <c r="A791" s="4" t="s">
        <v>1832</v>
      </c>
      <c r="B791" s="4" t="s">
        <v>298</v>
      </c>
      <c r="C791" s="4" t="s">
        <v>1053</v>
      </c>
      <c r="D791" s="4">
        <v>1</v>
      </c>
      <c r="E791" s="6">
        <v>129000</v>
      </c>
      <c r="F791" t="str">
        <f>VLOOKUP(C791,products!A:C,2,FALSE)</f>
        <v>Charger Fast Charging 33W</v>
      </c>
      <c r="G791">
        <f t="shared" si="24"/>
        <v>129000</v>
      </c>
      <c r="H791">
        <f>VLOOKUP(C791,products!A:D,4,FALSE)</f>
        <v>60000</v>
      </c>
      <c r="I791">
        <f t="shared" si="25"/>
        <v>69000</v>
      </c>
      <c r="J791" t="str">
        <f>VLOOKUP(B791,orders!A:B,2,FALSE)</f>
        <v>CUST0161</v>
      </c>
      <c r="K791" t="str">
        <f>VLOOKUP(J791,customers!A:F,6,FALSE)</f>
        <v>Medan</v>
      </c>
    </row>
    <row r="792" spans="1:11" x14ac:dyDescent="0.35">
      <c r="A792" s="4" t="s">
        <v>1833</v>
      </c>
      <c r="B792" s="4" t="s">
        <v>298</v>
      </c>
      <c r="C792" s="4" t="s">
        <v>1023</v>
      </c>
      <c r="D792" s="4">
        <v>1</v>
      </c>
      <c r="E792" s="6">
        <v>69000</v>
      </c>
      <c r="F792" t="str">
        <f>VLOOKUP(C792,products!A:C,2,FALSE)</f>
        <v>Lampu LED Hias 5m</v>
      </c>
      <c r="G792">
        <f t="shared" si="24"/>
        <v>69000</v>
      </c>
      <c r="H792">
        <f>VLOOKUP(C792,products!A:D,4,FALSE)</f>
        <v>30000</v>
      </c>
      <c r="I792">
        <f t="shared" si="25"/>
        <v>39000</v>
      </c>
      <c r="J792" t="str">
        <f>VLOOKUP(B792,orders!A:B,2,FALSE)</f>
        <v>CUST0161</v>
      </c>
      <c r="K792" t="str">
        <f>VLOOKUP(J792,customers!A:F,6,FALSE)</f>
        <v>Medan</v>
      </c>
    </row>
    <row r="793" spans="1:11" x14ac:dyDescent="0.35">
      <c r="A793" s="4" t="s">
        <v>1834</v>
      </c>
      <c r="B793" s="4" t="s">
        <v>448</v>
      </c>
      <c r="C793" s="4" t="s">
        <v>1023</v>
      </c>
      <c r="D793" s="4">
        <v>1</v>
      </c>
      <c r="E793" s="6">
        <v>69000</v>
      </c>
      <c r="F793" t="str">
        <f>VLOOKUP(C793,products!A:C,2,FALSE)</f>
        <v>Lampu LED Hias 5m</v>
      </c>
      <c r="G793">
        <f t="shared" si="24"/>
        <v>69000</v>
      </c>
      <c r="H793">
        <f>VLOOKUP(C793,products!A:D,4,FALSE)</f>
        <v>30000</v>
      </c>
      <c r="I793">
        <f t="shared" si="25"/>
        <v>39000</v>
      </c>
      <c r="J793" t="str">
        <f>VLOOKUP(B793,orders!A:B,2,FALSE)</f>
        <v>CUST0080</v>
      </c>
      <c r="K793" t="str">
        <f>VLOOKUP(J793,customers!A:F,6,FALSE)</f>
        <v>Surabaya</v>
      </c>
    </row>
    <row r="794" spans="1:11" x14ac:dyDescent="0.35">
      <c r="A794" s="4" t="s">
        <v>1835</v>
      </c>
      <c r="B794" s="4" t="s">
        <v>683</v>
      </c>
      <c r="C794" s="4" t="s">
        <v>1023</v>
      </c>
      <c r="D794" s="4">
        <v>2</v>
      </c>
      <c r="E794" s="6">
        <v>69000</v>
      </c>
      <c r="F794" t="str">
        <f>VLOOKUP(C794,products!A:C,2,FALSE)</f>
        <v>Lampu LED Hias 5m</v>
      </c>
      <c r="G794">
        <f t="shared" si="24"/>
        <v>138000</v>
      </c>
      <c r="H794">
        <f>VLOOKUP(C794,products!A:D,4,FALSE)</f>
        <v>30000</v>
      </c>
      <c r="I794">
        <f t="shared" si="25"/>
        <v>78000</v>
      </c>
      <c r="J794" t="str">
        <f>VLOOKUP(B794,orders!A:B,2,FALSE)</f>
        <v>CUST0009</v>
      </c>
      <c r="K794" t="str">
        <f>VLOOKUP(J794,customers!A:F,6,FALSE)</f>
        <v>Surabaya</v>
      </c>
    </row>
    <row r="795" spans="1:11" x14ac:dyDescent="0.35">
      <c r="A795" s="4" t="s">
        <v>1836</v>
      </c>
      <c r="B795" s="4" t="s">
        <v>445</v>
      </c>
      <c r="C795" s="4" t="s">
        <v>1046</v>
      </c>
      <c r="D795" s="4">
        <v>1</v>
      </c>
      <c r="E795" s="6">
        <v>139000</v>
      </c>
      <c r="F795" t="str">
        <f>VLOOKUP(C795,products!A:C,2,FALSE)</f>
        <v>Wajan Anti Lengket 24cm</v>
      </c>
      <c r="G795">
        <f t="shared" si="24"/>
        <v>139000</v>
      </c>
      <c r="H795">
        <f>VLOOKUP(C795,products!A:D,4,FALSE)</f>
        <v>65000</v>
      </c>
      <c r="I795">
        <f t="shared" si="25"/>
        <v>74000</v>
      </c>
      <c r="J795" t="str">
        <f>VLOOKUP(B795,orders!A:B,2,FALSE)</f>
        <v>CUST0188</v>
      </c>
      <c r="K795" t="str">
        <f>VLOOKUP(J795,customers!A:F,6,FALSE)</f>
        <v>Jakarta</v>
      </c>
    </row>
    <row r="796" spans="1:11" x14ac:dyDescent="0.35">
      <c r="A796" s="4" t="s">
        <v>1837</v>
      </c>
      <c r="B796" s="4" t="s">
        <v>445</v>
      </c>
      <c r="C796" s="4" t="s">
        <v>1053</v>
      </c>
      <c r="D796" s="4">
        <v>1</v>
      </c>
      <c r="E796" s="6">
        <v>129000</v>
      </c>
      <c r="F796" t="str">
        <f>VLOOKUP(C796,products!A:C,2,FALSE)</f>
        <v>Charger Fast Charging 33W</v>
      </c>
      <c r="G796">
        <f t="shared" si="24"/>
        <v>129000</v>
      </c>
      <c r="H796">
        <f>VLOOKUP(C796,products!A:D,4,FALSE)</f>
        <v>60000</v>
      </c>
      <c r="I796">
        <f t="shared" si="25"/>
        <v>69000</v>
      </c>
      <c r="J796" t="str">
        <f>VLOOKUP(B796,orders!A:B,2,FALSE)</f>
        <v>CUST0188</v>
      </c>
      <c r="K796" t="str">
        <f>VLOOKUP(J796,customers!A:F,6,FALSE)</f>
        <v>Jakarta</v>
      </c>
    </row>
    <row r="797" spans="1:11" x14ac:dyDescent="0.35">
      <c r="A797" s="4" t="s">
        <v>1838</v>
      </c>
      <c r="B797" s="4" t="s">
        <v>445</v>
      </c>
      <c r="C797" s="4" t="s">
        <v>1033</v>
      </c>
      <c r="D797" s="4">
        <v>1</v>
      </c>
      <c r="E797" s="6">
        <v>55000</v>
      </c>
      <c r="F797" t="str">
        <f>VLOOKUP(C797,products!A:C,2,FALSE)</f>
        <v>Sapu + Pengki Set</v>
      </c>
      <c r="G797">
        <f t="shared" si="24"/>
        <v>55000</v>
      </c>
      <c r="H797">
        <f>VLOOKUP(C797,products!A:D,4,FALSE)</f>
        <v>25000</v>
      </c>
      <c r="I797">
        <f t="shared" si="25"/>
        <v>30000</v>
      </c>
      <c r="J797" t="str">
        <f>VLOOKUP(B797,orders!A:B,2,FALSE)</f>
        <v>CUST0188</v>
      </c>
      <c r="K797" t="str">
        <f>VLOOKUP(J797,customers!A:F,6,FALSE)</f>
        <v>Jakarta</v>
      </c>
    </row>
    <row r="798" spans="1:11" x14ac:dyDescent="0.35">
      <c r="A798" s="4" t="s">
        <v>1839</v>
      </c>
      <c r="B798" s="4" t="s">
        <v>589</v>
      </c>
      <c r="C798" s="4" t="s">
        <v>1023</v>
      </c>
      <c r="D798" s="4">
        <v>1</v>
      </c>
      <c r="E798" s="6">
        <v>69000</v>
      </c>
      <c r="F798" t="str">
        <f>VLOOKUP(C798,products!A:C,2,FALSE)</f>
        <v>Lampu LED Hias 5m</v>
      </c>
      <c r="G798">
        <f t="shared" si="24"/>
        <v>69000</v>
      </c>
      <c r="H798">
        <f>VLOOKUP(C798,products!A:D,4,FALSE)</f>
        <v>30000</v>
      </c>
      <c r="I798">
        <f t="shared" si="25"/>
        <v>39000</v>
      </c>
      <c r="J798" t="str">
        <f>VLOOKUP(B798,orders!A:B,2,FALSE)</f>
        <v>CUST0076</v>
      </c>
      <c r="K798" t="str">
        <f>VLOOKUP(J798,customers!A:F,6,FALSE)</f>
        <v>Palembang</v>
      </c>
    </row>
    <row r="799" spans="1:11" x14ac:dyDescent="0.35">
      <c r="A799" s="4" t="s">
        <v>1840</v>
      </c>
      <c r="B799" s="4" t="s">
        <v>266</v>
      </c>
      <c r="C799" s="4" t="s">
        <v>1029</v>
      </c>
      <c r="D799" s="4">
        <v>1</v>
      </c>
      <c r="E799" s="6">
        <v>39000</v>
      </c>
      <c r="F799" t="str">
        <f>VLOOKUP(C799,products!A:C,2,FALSE)</f>
        <v>Kabel Data USB-C</v>
      </c>
      <c r="G799">
        <f t="shared" si="24"/>
        <v>39000</v>
      </c>
      <c r="H799">
        <f>VLOOKUP(C799,products!A:D,4,FALSE)</f>
        <v>15000</v>
      </c>
      <c r="I799">
        <f t="shared" si="25"/>
        <v>24000</v>
      </c>
      <c r="J799" t="str">
        <f>VLOOKUP(B799,orders!A:B,2,FALSE)</f>
        <v>CUST0107</v>
      </c>
      <c r="K799" t="str">
        <f>VLOOKUP(J799,customers!A:F,6,FALSE)</f>
        <v>Makassar</v>
      </c>
    </row>
    <row r="800" spans="1:11" x14ac:dyDescent="0.35">
      <c r="A800" s="4" t="s">
        <v>1841</v>
      </c>
      <c r="B800" s="4" t="s">
        <v>266</v>
      </c>
      <c r="C800" s="4" t="s">
        <v>1023</v>
      </c>
      <c r="D800" s="4">
        <v>1</v>
      </c>
      <c r="E800" s="6">
        <v>69000</v>
      </c>
      <c r="F800" t="str">
        <f>VLOOKUP(C800,products!A:C,2,FALSE)</f>
        <v>Lampu LED Hias 5m</v>
      </c>
      <c r="G800">
        <f t="shared" si="24"/>
        <v>69000</v>
      </c>
      <c r="H800">
        <f>VLOOKUP(C800,products!A:D,4,FALSE)</f>
        <v>30000</v>
      </c>
      <c r="I800">
        <f t="shared" si="25"/>
        <v>39000</v>
      </c>
      <c r="J800" t="str">
        <f>VLOOKUP(B800,orders!A:B,2,FALSE)</f>
        <v>CUST0107</v>
      </c>
      <c r="K800" t="str">
        <f>VLOOKUP(J800,customers!A:F,6,FALSE)</f>
        <v>Makassar</v>
      </c>
    </row>
    <row r="801" spans="1:11" x14ac:dyDescent="0.35">
      <c r="A801" s="4" t="s">
        <v>1842</v>
      </c>
      <c r="B801" s="4" t="s">
        <v>992</v>
      </c>
      <c r="C801" s="4" t="s">
        <v>1044</v>
      </c>
      <c r="D801" s="4">
        <v>2</v>
      </c>
      <c r="E801" s="6">
        <v>329000</v>
      </c>
      <c r="F801" t="str">
        <f>VLOOKUP(C801,products!A:C,2,FALSE)</f>
        <v>Rice Cooker Mini 1.5L</v>
      </c>
      <c r="G801">
        <f t="shared" si="24"/>
        <v>658000</v>
      </c>
      <c r="H801">
        <f>VLOOKUP(C801,products!A:D,4,FALSE)</f>
        <v>180000</v>
      </c>
      <c r="I801">
        <f t="shared" si="25"/>
        <v>298000</v>
      </c>
      <c r="J801" t="str">
        <f>VLOOKUP(B801,orders!A:B,2,FALSE)</f>
        <v>CUST0034</v>
      </c>
      <c r="K801" t="str">
        <f>VLOOKUP(J801,customers!A:F,6,FALSE)</f>
        <v>Jakarta</v>
      </c>
    </row>
    <row r="802" spans="1:11" x14ac:dyDescent="0.35">
      <c r="A802" s="4" t="s">
        <v>1843</v>
      </c>
      <c r="B802" s="4" t="s">
        <v>291</v>
      </c>
      <c r="C802" s="4" t="s">
        <v>1023</v>
      </c>
      <c r="D802" s="4">
        <v>1</v>
      </c>
      <c r="E802" s="6">
        <v>69000</v>
      </c>
      <c r="F802" t="str">
        <f>VLOOKUP(C802,products!A:C,2,FALSE)</f>
        <v>Lampu LED Hias 5m</v>
      </c>
      <c r="G802">
        <f t="shared" si="24"/>
        <v>69000</v>
      </c>
      <c r="H802">
        <f>VLOOKUP(C802,products!A:D,4,FALSE)</f>
        <v>30000</v>
      </c>
      <c r="I802">
        <f t="shared" si="25"/>
        <v>39000</v>
      </c>
      <c r="J802" t="str">
        <f>VLOOKUP(B802,orders!A:B,2,FALSE)</f>
        <v>CUST0129</v>
      </c>
      <c r="K802" t="str">
        <f>VLOOKUP(J802,customers!A:F,6,FALSE)</f>
        <v>Denpasar</v>
      </c>
    </row>
    <row r="803" spans="1:11" x14ac:dyDescent="0.35">
      <c r="A803" s="4" t="s">
        <v>1844</v>
      </c>
      <c r="B803" s="4" t="s">
        <v>291</v>
      </c>
      <c r="C803" s="4" t="s">
        <v>1029</v>
      </c>
      <c r="D803" s="4">
        <v>1</v>
      </c>
      <c r="E803" s="6">
        <v>39000</v>
      </c>
      <c r="F803" t="str">
        <f>VLOOKUP(C803,products!A:C,2,FALSE)</f>
        <v>Kabel Data USB-C</v>
      </c>
      <c r="G803">
        <f t="shared" si="24"/>
        <v>39000</v>
      </c>
      <c r="H803">
        <f>VLOOKUP(C803,products!A:D,4,FALSE)</f>
        <v>15000</v>
      </c>
      <c r="I803">
        <f t="shared" si="25"/>
        <v>24000</v>
      </c>
      <c r="J803" t="str">
        <f>VLOOKUP(B803,orders!A:B,2,FALSE)</f>
        <v>CUST0129</v>
      </c>
      <c r="K803" t="str">
        <f>VLOOKUP(J803,customers!A:F,6,FALSE)</f>
        <v>Denpasar</v>
      </c>
    </row>
    <row r="804" spans="1:11" x14ac:dyDescent="0.35">
      <c r="A804" s="4" t="s">
        <v>1845</v>
      </c>
      <c r="B804" s="4" t="s">
        <v>49</v>
      </c>
      <c r="C804" s="4" t="s">
        <v>1033</v>
      </c>
      <c r="D804" s="4">
        <v>1</v>
      </c>
      <c r="E804" s="6">
        <v>55000</v>
      </c>
      <c r="F804" t="str">
        <f>VLOOKUP(C804,products!A:C,2,FALSE)</f>
        <v>Sapu + Pengki Set</v>
      </c>
      <c r="G804">
        <f t="shared" si="24"/>
        <v>55000</v>
      </c>
      <c r="H804">
        <f>VLOOKUP(C804,products!A:D,4,FALSE)</f>
        <v>25000</v>
      </c>
      <c r="I804">
        <f t="shared" si="25"/>
        <v>30000</v>
      </c>
      <c r="J804" t="str">
        <f>VLOOKUP(B804,orders!A:B,2,FALSE)</f>
        <v>CUST0066</v>
      </c>
      <c r="K804" t="str">
        <f>VLOOKUP(J804,customers!A:F,6,FALSE)</f>
        <v>Bandung</v>
      </c>
    </row>
    <row r="805" spans="1:11" x14ac:dyDescent="0.35">
      <c r="A805" s="4" t="s">
        <v>1846</v>
      </c>
      <c r="B805" s="4" t="s">
        <v>49</v>
      </c>
      <c r="C805" s="4" t="s">
        <v>1082</v>
      </c>
      <c r="D805" s="4">
        <v>1</v>
      </c>
      <c r="E805" s="6">
        <v>399000</v>
      </c>
      <c r="F805" t="str">
        <f>VLOOKUP(C805,products!A:C,2,FALSE)</f>
        <v>Keyboard Mechanical Mini</v>
      </c>
      <c r="G805">
        <f t="shared" si="24"/>
        <v>399000</v>
      </c>
      <c r="H805">
        <f>VLOOKUP(C805,products!A:D,4,FALSE)</f>
        <v>200000</v>
      </c>
      <c r="I805">
        <f t="shared" si="25"/>
        <v>199000</v>
      </c>
      <c r="J805" t="str">
        <f>VLOOKUP(B805,orders!A:B,2,FALSE)</f>
        <v>CUST0066</v>
      </c>
      <c r="K805" t="str">
        <f>VLOOKUP(J805,customers!A:F,6,FALSE)</f>
        <v>Bandung</v>
      </c>
    </row>
    <row r="806" spans="1:11" x14ac:dyDescent="0.35">
      <c r="A806" s="4" t="s">
        <v>1847</v>
      </c>
      <c r="B806" s="4" t="s">
        <v>222</v>
      </c>
      <c r="C806" s="4" t="s">
        <v>1029</v>
      </c>
      <c r="D806" s="4">
        <v>1</v>
      </c>
      <c r="E806" s="6">
        <v>39000</v>
      </c>
      <c r="F806" t="str">
        <f>VLOOKUP(C806,products!A:C,2,FALSE)</f>
        <v>Kabel Data USB-C</v>
      </c>
      <c r="G806">
        <f t="shared" si="24"/>
        <v>39000</v>
      </c>
      <c r="H806">
        <f>VLOOKUP(C806,products!A:D,4,FALSE)</f>
        <v>15000</v>
      </c>
      <c r="I806">
        <f t="shared" si="25"/>
        <v>24000</v>
      </c>
      <c r="J806" t="str">
        <f>VLOOKUP(B806,orders!A:B,2,FALSE)</f>
        <v>CUST0076</v>
      </c>
      <c r="K806" t="str">
        <f>VLOOKUP(J806,customers!A:F,6,FALSE)</f>
        <v>Palembang</v>
      </c>
    </row>
    <row r="807" spans="1:11" x14ac:dyDescent="0.35">
      <c r="A807" s="4" t="s">
        <v>1848</v>
      </c>
      <c r="B807" s="4" t="s">
        <v>222</v>
      </c>
      <c r="C807" s="4" t="s">
        <v>1049</v>
      </c>
      <c r="D807" s="4">
        <v>3</v>
      </c>
      <c r="E807" s="6">
        <v>349000</v>
      </c>
      <c r="F807" t="str">
        <f>VLOOKUP(C807,products!A:C,2,FALSE)</f>
        <v>Sepatu Sneakers Casual</v>
      </c>
      <c r="G807">
        <f t="shared" si="24"/>
        <v>1047000</v>
      </c>
      <c r="H807">
        <f>VLOOKUP(C807,products!A:D,4,FALSE)</f>
        <v>180000</v>
      </c>
      <c r="I807">
        <f t="shared" si="25"/>
        <v>507000</v>
      </c>
      <c r="J807" t="str">
        <f>VLOOKUP(B807,orders!A:B,2,FALSE)</f>
        <v>CUST0076</v>
      </c>
      <c r="K807" t="str">
        <f>VLOOKUP(J807,customers!A:F,6,FALSE)</f>
        <v>Palembang</v>
      </c>
    </row>
    <row r="808" spans="1:11" x14ac:dyDescent="0.35">
      <c r="A808" s="4" t="s">
        <v>1849</v>
      </c>
      <c r="B808" s="4" t="s">
        <v>674</v>
      </c>
      <c r="C808" s="4" t="s">
        <v>1029</v>
      </c>
      <c r="D808" s="4">
        <v>1</v>
      </c>
      <c r="E808" s="6">
        <v>39000</v>
      </c>
      <c r="F808" t="str">
        <f>VLOOKUP(C808,products!A:C,2,FALSE)</f>
        <v>Kabel Data USB-C</v>
      </c>
      <c r="G808">
        <f t="shared" si="24"/>
        <v>39000</v>
      </c>
      <c r="H808">
        <f>VLOOKUP(C808,products!A:D,4,FALSE)</f>
        <v>15000</v>
      </c>
      <c r="I808">
        <f t="shared" si="25"/>
        <v>24000</v>
      </c>
      <c r="J808" t="str">
        <f>VLOOKUP(B808,orders!A:B,2,FALSE)</f>
        <v>CUST0087</v>
      </c>
      <c r="K808" t="str">
        <f>VLOOKUP(J808,customers!A:F,6,FALSE)</f>
        <v>Medan</v>
      </c>
    </row>
    <row r="809" spans="1:11" x14ac:dyDescent="0.35">
      <c r="A809" s="4" t="s">
        <v>1850</v>
      </c>
      <c r="B809" s="4" t="s">
        <v>674</v>
      </c>
      <c r="C809" s="4" t="s">
        <v>1023</v>
      </c>
      <c r="D809" s="4">
        <v>1</v>
      </c>
      <c r="E809" s="6">
        <v>69000</v>
      </c>
      <c r="F809" t="str">
        <f>VLOOKUP(C809,products!A:C,2,FALSE)</f>
        <v>Lampu LED Hias 5m</v>
      </c>
      <c r="G809">
        <f t="shared" si="24"/>
        <v>69000</v>
      </c>
      <c r="H809">
        <f>VLOOKUP(C809,products!A:D,4,FALSE)</f>
        <v>30000</v>
      </c>
      <c r="I809">
        <f t="shared" si="25"/>
        <v>39000</v>
      </c>
      <c r="J809" t="str">
        <f>VLOOKUP(B809,orders!A:B,2,FALSE)</f>
        <v>CUST0087</v>
      </c>
      <c r="K809" t="str">
        <f>VLOOKUP(J809,customers!A:F,6,FALSE)</f>
        <v>Medan</v>
      </c>
    </row>
    <row r="810" spans="1:11" x14ac:dyDescent="0.35">
      <c r="A810" s="4" t="s">
        <v>1851</v>
      </c>
      <c r="B810" s="4" t="s">
        <v>391</v>
      </c>
      <c r="C810" s="4" t="s">
        <v>1285</v>
      </c>
      <c r="D810" s="4">
        <v>1</v>
      </c>
      <c r="E810" s="6">
        <v>139000</v>
      </c>
      <c r="F810" t="str">
        <f>VLOOKUP(C810,products!A:C,2,FALSE)</f>
        <v>Tas Selempang Kanvas</v>
      </c>
      <c r="G810">
        <f t="shared" si="24"/>
        <v>139000</v>
      </c>
      <c r="H810">
        <f>VLOOKUP(C810,products!A:D,4,FALSE)</f>
        <v>60000</v>
      </c>
      <c r="I810">
        <f t="shared" si="25"/>
        <v>79000</v>
      </c>
      <c r="J810" t="str">
        <f>VLOOKUP(B810,orders!A:B,2,FALSE)</f>
        <v>CUST0120</v>
      </c>
      <c r="K810" t="str">
        <f>VLOOKUP(J810,customers!A:F,6,FALSE)</f>
        <v>Makassar</v>
      </c>
    </row>
    <row r="811" spans="1:11" x14ac:dyDescent="0.35">
      <c r="A811" s="4" t="s">
        <v>1852</v>
      </c>
      <c r="B811" s="4" t="s">
        <v>391</v>
      </c>
      <c r="C811" s="4" t="s">
        <v>1023</v>
      </c>
      <c r="D811" s="4">
        <v>1</v>
      </c>
      <c r="E811" s="6">
        <v>69000</v>
      </c>
      <c r="F811" t="str">
        <f>VLOOKUP(C811,products!A:C,2,FALSE)</f>
        <v>Lampu LED Hias 5m</v>
      </c>
      <c r="G811">
        <f t="shared" si="24"/>
        <v>69000</v>
      </c>
      <c r="H811">
        <f>VLOOKUP(C811,products!A:D,4,FALSE)</f>
        <v>30000</v>
      </c>
      <c r="I811">
        <f t="shared" si="25"/>
        <v>39000</v>
      </c>
      <c r="J811" t="str">
        <f>VLOOKUP(B811,orders!A:B,2,FALSE)</f>
        <v>CUST0120</v>
      </c>
      <c r="K811" t="str">
        <f>VLOOKUP(J811,customers!A:F,6,FALSE)</f>
        <v>Makassar</v>
      </c>
    </row>
    <row r="812" spans="1:11" x14ac:dyDescent="0.35">
      <c r="A812" s="4" t="s">
        <v>1853</v>
      </c>
      <c r="B812" s="4" t="s">
        <v>391</v>
      </c>
      <c r="C812" s="4" t="s">
        <v>1025</v>
      </c>
      <c r="D812" s="4">
        <v>1</v>
      </c>
      <c r="E812" s="6">
        <v>179000</v>
      </c>
      <c r="F812" t="str">
        <f>VLOOKUP(C812,products!A:C,2,FALSE)</f>
        <v>Rak Penyimpanan Serbaguna</v>
      </c>
      <c r="G812">
        <f t="shared" si="24"/>
        <v>179000</v>
      </c>
      <c r="H812">
        <f>VLOOKUP(C812,products!A:D,4,FALSE)</f>
        <v>90000</v>
      </c>
      <c r="I812">
        <f t="shared" si="25"/>
        <v>89000</v>
      </c>
      <c r="J812" t="str">
        <f>VLOOKUP(B812,orders!A:B,2,FALSE)</f>
        <v>CUST0120</v>
      </c>
      <c r="K812" t="str">
        <f>VLOOKUP(J812,customers!A:F,6,FALSE)</f>
        <v>Makassar</v>
      </c>
    </row>
    <row r="813" spans="1:11" x14ac:dyDescent="0.35">
      <c r="A813" s="4" t="s">
        <v>1854</v>
      </c>
      <c r="B813" s="4" t="s">
        <v>391</v>
      </c>
      <c r="C813" s="4" t="s">
        <v>1029</v>
      </c>
      <c r="D813" s="4">
        <v>3</v>
      </c>
      <c r="E813" s="6">
        <v>39000</v>
      </c>
      <c r="F813" t="str">
        <f>VLOOKUP(C813,products!A:C,2,FALSE)</f>
        <v>Kabel Data USB-C</v>
      </c>
      <c r="G813">
        <f t="shared" si="24"/>
        <v>117000</v>
      </c>
      <c r="H813">
        <f>VLOOKUP(C813,products!A:D,4,FALSE)</f>
        <v>15000</v>
      </c>
      <c r="I813">
        <f t="shared" si="25"/>
        <v>72000</v>
      </c>
      <c r="J813" t="str">
        <f>VLOOKUP(B813,orders!A:B,2,FALSE)</f>
        <v>CUST0120</v>
      </c>
      <c r="K813" t="str">
        <f>VLOOKUP(J813,customers!A:F,6,FALSE)</f>
        <v>Makassar</v>
      </c>
    </row>
    <row r="814" spans="1:11" x14ac:dyDescent="0.35">
      <c r="A814" s="4" t="s">
        <v>1855</v>
      </c>
      <c r="B814" s="4" t="s">
        <v>321</v>
      </c>
      <c r="C814" s="4" t="s">
        <v>1023</v>
      </c>
      <c r="D814" s="4">
        <v>1</v>
      </c>
      <c r="E814" s="6">
        <v>69000</v>
      </c>
      <c r="F814" t="str">
        <f>VLOOKUP(C814,products!A:C,2,FALSE)</f>
        <v>Lampu LED Hias 5m</v>
      </c>
      <c r="G814">
        <f t="shared" si="24"/>
        <v>69000</v>
      </c>
      <c r="H814">
        <f>VLOOKUP(C814,products!A:D,4,FALSE)</f>
        <v>30000</v>
      </c>
      <c r="I814">
        <f t="shared" si="25"/>
        <v>39000</v>
      </c>
      <c r="J814" t="str">
        <f>VLOOKUP(B814,orders!A:B,2,FALSE)</f>
        <v>CUST0058</v>
      </c>
      <c r="K814" t="str">
        <f>VLOOKUP(J814,customers!A:F,6,FALSE)</f>
        <v>Makassar</v>
      </c>
    </row>
    <row r="815" spans="1:11" x14ac:dyDescent="0.35">
      <c r="A815" s="4" t="s">
        <v>1856</v>
      </c>
      <c r="B815" s="4" t="s">
        <v>701</v>
      </c>
      <c r="C815" s="4" t="s">
        <v>1082</v>
      </c>
      <c r="D815" s="4">
        <v>1</v>
      </c>
      <c r="E815" s="6">
        <v>399000</v>
      </c>
      <c r="F815" t="str">
        <f>VLOOKUP(C815,products!A:C,2,FALSE)</f>
        <v>Keyboard Mechanical Mini</v>
      </c>
      <c r="G815">
        <f t="shared" si="24"/>
        <v>399000</v>
      </c>
      <c r="H815">
        <f>VLOOKUP(C815,products!A:D,4,FALSE)</f>
        <v>200000</v>
      </c>
      <c r="I815">
        <f t="shared" si="25"/>
        <v>199000</v>
      </c>
      <c r="J815" t="str">
        <f>VLOOKUP(B815,orders!A:B,2,FALSE)</f>
        <v>CUST0102</v>
      </c>
      <c r="K815" t="str">
        <f>VLOOKUP(J815,customers!A:F,6,FALSE)</f>
        <v>Jakarta</v>
      </c>
    </row>
    <row r="816" spans="1:11" x14ac:dyDescent="0.35">
      <c r="A816" s="4" t="s">
        <v>1857</v>
      </c>
      <c r="B816" s="4" t="s">
        <v>646</v>
      </c>
      <c r="C816" s="4" t="s">
        <v>1082</v>
      </c>
      <c r="D816" s="4">
        <v>1</v>
      </c>
      <c r="E816" s="6">
        <v>399000</v>
      </c>
      <c r="F816" t="str">
        <f>VLOOKUP(C816,products!A:C,2,FALSE)</f>
        <v>Keyboard Mechanical Mini</v>
      </c>
      <c r="G816">
        <f t="shared" si="24"/>
        <v>399000</v>
      </c>
      <c r="H816">
        <f>VLOOKUP(C816,products!A:D,4,FALSE)</f>
        <v>200000</v>
      </c>
      <c r="I816">
        <f t="shared" si="25"/>
        <v>199000</v>
      </c>
      <c r="J816" t="str">
        <f>VLOOKUP(B816,orders!A:B,2,FALSE)</f>
        <v>CUST0102</v>
      </c>
      <c r="K816" t="str">
        <f>VLOOKUP(J816,customers!A:F,6,FALSE)</f>
        <v>Jakarta</v>
      </c>
    </row>
    <row r="817" spans="1:11" x14ac:dyDescent="0.35">
      <c r="A817" s="4" t="s">
        <v>1858</v>
      </c>
      <c r="B817" s="4" t="s">
        <v>264</v>
      </c>
      <c r="C817" s="4" t="s">
        <v>1023</v>
      </c>
      <c r="D817" s="4">
        <v>1</v>
      </c>
      <c r="E817" s="6">
        <v>69000</v>
      </c>
      <c r="F817" t="str">
        <f>VLOOKUP(C817,products!A:C,2,FALSE)</f>
        <v>Lampu LED Hias 5m</v>
      </c>
      <c r="G817">
        <f t="shared" si="24"/>
        <v>69000</v>
      </c>
      <c r="H817">
        <f>VLOOKUP(C817,products!A:D,4,FALSE)</f>
        <v>30000</v>
      </c>
      <c r="I817">
        <f t="shared" si="25"/>
        <v>39000</v>
      </c>
      <c r="J817" t="str">
        <f>VLOOKUP(B817,orders!A:B,2,FALSE)</f>
        <v>CUST0032</v>
      </c>
      <c r="K817" t="str">
        <f>VLOOKUP(J817,customers!A:F,6,FALSE)</f>
        <v>Yogyakarta</v>
      </c>
    </row>
    <row r="818" spans="1:11" x14ac:dyDescent="0.35">
      <c r="A818" s="4" t="s">
        <v>1859</v>
      </c>
      <c r="B818" s="4" t="s">
        <v>760</v>
      </c>
      <c r="C818" s="4" t="s">
        <v>1053</v>
      </c>
      <c r="D818" s="4">
        <v>1</v>
      </c>
      <c r="E818" s="6">
        <v>129000</v>
      </c>
      <c r="F818" t="str">
        <f>VLOOKUP(C818,products!A:C,2,FALSE)</f>
        <v>Charger Fast Charging 33W</v>
      </c>
      <c r="G818">
        <f t="shared" si="24"/>
        <v>129000</v>
      </c>
      <c r="H818">
        <f>VLOOKUP(C818,products!A:D,4,FALSE)</f>
        <v>60000</v>
      </c>
      <c r="I818">
        <f t="shared" si="25"/>
        <v>69000</v>
      </c>
      <c r="J818" t="str">
        <f>VLOOKUP(B818,orders!A:B,2,FALSE)</f>
        <v>CUST0192</v>
      </c>
      <c r="K818" t="str">
        <f>VLOOKUP(J818,customers!A:F,6,FALSE)</f>
        <v>Semarang</v>
      </c>
    </row>
    <row r="819" spans="1:11" x14ac:dyDescent="0.35">
      <c r="A819" s="4" t="s">
        <v>1860</v>
      </c>
      <c r="B819" s="4" t="s">
        <v>760</v>
      </c>
      <c r="C819" s="4" t="s">
        <v>1029</v>
      </c>
      <c r="D819" s="4">
        <v>1</v>
      </c>
      <c r="E819" s="6">
        <v>39000</v>
      </c>
      <c r="F819" t="str">
        <f>VLOOKUP(C819,products!A:C,2,FALSE)</f>
        <v>Kabel Data USB-C</v>
      </c>
      <c r="G819">
        <f t="shared" si="24"/>
        <v>39000</v>
      </c>
      <c r="H819">
        <f>VLOOKUP(C819,products!A:D,4,FALSE)</f>
        <v>15000</v>
      </c>
      <c r="I819">
        <f t="shared" si="25"/>
        <v>24000</v>
      </c>
      <c r="J819" t="str">
        <f>VLOOKUP(B819,orders!A:B,2,FALSE)</f>
        <v>CUST0192</v>
      </c>
      <c r="K819" t="str">
        <f>VLOOKUP(J819,customers!A:F,6,FALSE)</f>
        <v>Semarang</v>
      </c>
    </row>
    <row r="820" spans="1:11" x14ac:dyDescent="0.35">
      <c r="A820" s="4" t="s">
        <v>1861</v>
      </c>
      <c r="B820" s="4" t="s">
        <v>760</v>
      </c>
      <c r="C820" s="4" t="s">
        <v>1023</v>
      </c>
      <c r="D820" s="4">
        <v>1</v>
      </c>
      <c r="E820" s="6">
        <v>69000</v>
      </c>
      <c r="F820" t="str">
        <f>VLOOKUP(C820,products!A:C,2,FALSE)</f>
        <v>Lampu LED Hias 5m</v>
      </c>
      <c r="G820">
        <f t="shared" si="24"/>
        <v>69000</v>
      </c>
      <c r="H820">
        <f>VLOOKUP(C820,products!A:D,4,FALSE)</f>
        <v>30000</v>
      </c>
      <c r="I820">
        <f t="shared" si="25"/>
        <v>39000</v>
      </c>
      <c r="J820" t="str">
        <f>VLOOKUP(B820,orders!A:B,2,FALSE)</f>
        <v>CUST0192</v>
      </c>
      <c r="K820" t="str">
        <f>VLOOKUP(J820,customers!A:F,6,FALSE)</f>
        <v>Semarang</v>
      </c>
    </row>
    <row r="821" spans="1:11" x14ac:dyDescent="0.35">
      <c r="A821" s="4" t="s">
        <v>1862</v>
      </c>
      <c r="B821" s="4" t="s">
        <v>143</v>
      </c>
      <c r="C821" s="4" t="s">
        <v>1031</v>
      </c>
      <c r="D821" s="4">
        <v>1</v>
      </c>
      <c r="E821" s="6">
        <v>79000</v>
      </c>
      <c r="F821" t="str">
        <f>VLOOKUP(C821,products!A:C,2,FALSE)</f>
        <v>Kaos Polos Cotton Combed</v>
      </c>
      <c r="G821">
        <f t="shared" si="24"/>
        <v>79000</v>
      </c>
      <c r="H821">
        <f>VLOOKUP(C821,products!A:D,4,FALSE)</f>
        <v>35000</v>
      </c>
      <c r="I821">
        <f t="shared" si="25"/>
        <v>44000</v>
      </c>
      <c r="J821" t="str">
        <f>VLOOKUP(B821,orders!A:B,2,FALSE)</f>
        <v>CUST0150</v>
      </c>
      <c r="K821" t="str">
        <f>VLOOKUP(J821,customers!A:F,6,FALSE)</f>
        <v>Semarang</v>
      </c>
    </row>
    <row r="822" spans="1:11" x14ac:dyDescent="0.35">
      <c r="A822" s="4" t="s">
        <v>1863</v>
      </c>
      <c r="B822" s="4" t="s">
        <v>143</v>
      </c>
      <c r="C822" s="4" t="s">
        <v>1325</v>
      </c>
      <c r="D822" s="4">
        <v>3</v>
      </c>
      <c r="E822" s="6">
        <v>199000</v>
      </c>
      <c r="F822" t="str">
        <f>VLOOKUP(C822,products!A:C,2,FALSE)</f>
        <v>Speaker Bluetooth Mini</v>
      </c>
      <c r="G822">
        <f t="shared" si="24"/>
        <v>597000</v>
      </c>
      <c r="H822">
        <f>VLOOKUP(C822,products!A:D,4,FALSE)</f>
        <v>100000</v>
      </c>
      <c r="I822">
        <f t="shared" si="25"/>
        <v>297000</v>
      </c>
      <c r="J822" t="str">
        <f>VLOOKUP(B822,orders!A:B,2,FALSE)</f>
        <v>CUST0150</v>
      </c>
      <c r="K822" t="str">
        <f>VLOOKUP(J822,customers!A:F,6,FALSE)</f>
        <v>Semarang</v>
      </c>
    </row>
    <row r="823" spans="1:11" x14ac:dyDescent="0.35">
      <c r="A823" s="4" t="s">
        <v>1864</v>
      </c>
      <c r="B823" s="4" t="s">
        <v>949</v>
      </c>
      <c r="C823" s="4" t="s">
        <v>1029</v>
      </c>
      <c r="D823" s="4">
        <v>2</v>
      </c>
      <c r="E823" s="6">
        <v>39000</v>
      </c>
      <c r="F823" t="str">
        <f>VLOOKUP(C823,products!A:C,2,FALSE)</f>
        <v>Kabel Data USB-C</v>
      </c>
      <c r="G823">
        <f t="shared" si="24"/>
        <v>78000</v>
      </c>
      <c r="H823">
        <f>VLOOKUP(C823,products!A:D,4,FALSE)</f>
        <v>15000</v>
      </c>
      <c r="I823">
        <f t="shared" si="25"/>
        <v>48000</v>
      </c>
      <c r="J823" t="str">
        <f>VLOOKUP(B823,orders!A:B,2,FALSE)</f>
        <v>CUST0164</v>
      </c>
      <c r="K823" t="str">
        <f>VLOOKUP(J823,customers!A:F,6,FALSE)</f>
        <v>Semarang</v>
      </c>
    </row>
    <row r="824" spans="1:11" x14ac:dyDescent="0.35">
      <c r="A824" s="4" t="s">
        <v>1865</v>
      </c>
      <c r="B824" s="4" t="s">
        <v>333</v>
      </c>
      <c r="C824" s="4" t="s">
        <v>1023</v>
      </c>
      <c r="D824" s="4">
        <v>3</v>
      </c>
      <c r="E824" s="6">
        <v>69000</v>
      </c>
      <c r="F824" t="str">
        <f>VLOOKUP(C824,products!A:C,2,FALSE)</f>
        <v>Lampu LED Hias 5m</v>
      </c>
      <c r="G824">
        <f t="shared" si="24"/>
        <v>207000</v>
      </c>
      <c r="H824">
        <f>VLOOKUP(C824,products!A:D,4,FALSE)</f>
        <v>30000</v>
      </c>
      <c r="I824">
        <f t="shared" si="25"/>
        <v>117000</v>
      </c>
      <c r="J824" t="str">
        <f>VLOOKUP(B824,orders!A:B,2,FALSE)</f>
        <v>CUST0060</v>
      </c>
      <c r="K824" t="str">
        <f>VLOOKUP(J824,customers!A:F,6,FALSE)</f>
        <v>Palembang</v>
      </c>
    </row>
    <row r="825" spans="1:11" x14ac:dyDescent="0.35">
      <c r="A825" s="4" t="s">
        <v>1866</v>
      </c>
      <c r="B825" s="4" t="s">
        <v>22</v>
      </c>
      <c r="C825" s="4" t="s">
        <v>1044</v>
      </c>
      <c r="D825" s="4">
        <v>1</v>
      </c>
      <c r="E825" s="6">
        <v>329000</v>
      </c>
      <c r="F825" t="str">
        <f>VLOOKUP(C825,products!A:C,2,FALSE)</f>
        <v>Rice Cooker Mini 1.5L</v>
      </c>
      <c r="G825">
        <f t="shared" si="24"/>
        <v>329000</v>
      </c>
      <c r="H825">
        <f>VLOOKUP(C825,products!A:D,4,FALSE)</f>
        <v>180000</v>
      </c>
      <c r="I825">
        <f t="shared" si="25"/>
        <v>149000</v>
      </c>
      <c r="J825" t="str">
        <f>VLOOKUP(B825,orders!A:B,2,FALSE)</f>
        <v>CUST0159</v>
      </c>
      <c r="K825" t="str">
        <f>VLOOKUP(J825,customers!A:F,6,FALSE)</f>
        <v>Bandung</v>
      </c>
    </row>
    <row r="826" spans="1:11" x14ac:dyDescent="0.35">
      <c r="A826" s="4" t="s">
        <v>1867</v>
      </c>
      <c r="B826" s="4" t="s">
        <v>714</v>
      </c>
      <c r="C826" s="4" t="s">
        <v>1029</v>
      </c>
      <c r="D826" s="4">
        <v>1</v>
      </c>
      <c r="E826" s="6">
        <v>39000</v>
      </c>
      <c r="F826" t="str">
        <f>VLOOKUP(C826,products!A:C,2,FALSE)</f>
        <v>Kabel Data USB-C</v>
      </c>
      <c r="G826">
        <f t="shared" si="24"/>
        <v>39000</v>
      </c>
      <c r="H826">
        <f>VLOOKUP(C826,products!A:D,4,FALSE)</f>
        <v>15000</v>
      </c>
      <c r="I826">
        <f t="shared" si="25"/>
        <v>24000</v>
      </c>
      <c r="J826" t="str">
        <f>VLOOKUP(B826,orders!A:B,2,FALSE)</f>
        <v>CUST0157</v>
      </c>
      <c r="K826" t="str">
        <f>VLOOKUP(J826,customers!A:F,6,FALSE)</f>
        <v>Jakarta</v>
      </c>
    </row>
    <row r="827" spans="1:11" x14ac:dyDescent="0.35">
      <c r="A827" s="4" t="s">
        <v>1868</v>
      </c>
      <c r="B827" s="4" t="s">
        <v>714</v>
      </c>
      <c r="C827" s="4" t="s">
        <v>1082</v>
      </c>
      <c r="D827" s="4">
        <v>1</v>
      </c>
      <c r="E827" s="6">
        <v>399000</v>
      </c>
      <c r="F827" t="str">
        <f>VLOOKUP(C827,products!A:C,2,FALSE)</f>
        <v>Keyboard Mechanical Mini</v>
      </c>
      <c r="G827">
        <f t="shared" si="24"/>
        <v>399000</v>
      </c>
      <c r="H827">
        <f>VLOOKUP(C827,products!A:D,4,FALSE)</f>
        <v>200000</v>
      </c>
      <c r="I827">
        <f t="shared" si="25"/>
        <v>199000</v>
      </c>
      <c r="J827" t="str">
        <f>VLOOKUP(B827,orders!A:B,2,FALSE)</f>
        <v>CUST0157</v>
      </c>
      <c r="K827" t="str">
        <f>VLOOKUP(J827,customers!A:F,6,FALSE)</f>
        <v>Jakarta</v>
      </c>
    </row>
    <row r="828" spans="1:11" x14ac:dyDescent="0.35">
      <c r="A828" s="4" t="s">
        <v>1869</v>
      </c>
      <c r="B828" s="4" t="s">
        <v>621</v>
      </c>
      <c r="C828" s="4" t="s">
        <v>1023</v>
      </c>
      <c r="D828" s="4">
        <v>1</v>
      </c>
      <c r="E828" s="6">
        <v>69000</v>
      </c>
      <c r="F828" t="str">
        <f>VLOOKUP(C828,products!A:C,2,FALSE)</f>
        <v>Lampu LED Hias 5m</v>
      </c>
      <c r="G828">
        <f t="shared" si="24"/>
        <v>69000</v>
      </c>
      <c r="H828">
        <f>VLOOKUP(C828,products!A:D,4,FALSE)</f>
        <v>30000</v>
      </c>
      <c r="I828">
        <f t="shared" si="25"/>
        <v>39000</v>
      </c>
      <c r="J828" t="str">
        <f>VLOOKUP(B828,orders!A:B,2,FALSE)</f>
        <v>CUST0163</v>
      </c>
      <c r="K828" t="str">
        <f>VLOOKUP(J828,customers!A:F,6,FALSE)</f>
        <v>Denpasar</v>
      </c>
    </row>
    <row r="829" spans="1:11" x14ac:dyDescent="0.35">
      <c r="A829" s="4" t="s">
        <v>1870</v>
      </c>
      <c r="B829" s="4" t="s">
        <v>621</v>
      </c>
      <c r="C829" s="4" t="s">
        <v>1029</v>
      </c>
      <c r="D829" s="4">
        <v>1</v>
      </c>
      <c r="E829" s="6">
        <v>39000</v>
      </c>
      <c r="F829" t="str">
        <f>VLOOKUP(C829,products!A:C,2,FALSE)</f>
        <v>Kabel Data USB-C</v>
      </c>
      <c r="G829">
        <f t="shared" si="24"/>
        <v>39000</v>
      </c>
      <c r="H829">
        <f>VLOOKUP(C829,products!A:D,4,FALSE)</f>
        <v>15000</v>
      </c>
      <c r="I829">
        <f t="shared" si="25"/>
        <v>24000</v>
      </c>
      <c r="J829" t="str">
        <f>VLOOKUP(B829,orders!A:B,2,FALSE)</f>
        <v>CUST0163</v>
      </c>
      <c r="K829" t="str">
        <f>VLOOKUP(J829,customers!A:F,6,FALSE)</f>
        <v>Denpasar</v>
      </c>
    </row>
    <row r="830" spans="1:11" x14ac:dyDescent="0.35">
      <c r="A830" s="4" t="s">
        <v>1871</v>
      </c>
      <c r="B830" s="4" t="s">
        <v>212</v>
      </c>
      <c r="C830" s="4" t="s">
        <v>1076</v>
      </c>
      <c r="D830" s="4">
        <v>3</v>
      </c>
      <c r="E830" s="6">
        <v>499000</v>
      </c>
      <c r="F830" t="str">
        <f>VLOOKUP(C830,products!A:C,2,FALSE)</f>
        <v>Smartwatch Lite</v>
      </c>
      <c r="G830">
        <f t="shared" si="24"/>
        <v>1497000</v>
      </c>
      <c r="H830">
        <f>VLOOKUP(C830,products!A:D,4,FALSE)</f>
        <v>250000</v>
      </c>
      <c r="I830">
        <f t="shared" si="25"/>
        <v>747000</v>
      </c>
      <c r="J830" t="str">
        <f>VLOOKUP(B830,orders!A:B,2,FALSE)</f>
        <v>CUST0167</v>
      </c>
      <c r="K830" t="str">
        <f>VLOOKUP(J830,customers!A:F,6,FALSE)</f>
        <v>Jakarta</v>
      </c>
    </row>
    <row r="831" spans="1:11" x14ac:dyDescent="0.35">
      <c r="A831" s="4" t="s">
        <v>1872</v>
      </c>
      <c r="B831" s="4" t="s">
        <v>249</v>
      </c>
      <c r="C831" s="4" t="s">
        <v>1033</v>
      </c>
      <c r="D831" s="4">
        <v>1</v>
      </c>
      <c r="E831" s="6">
        <v>55000</v>
      </c>
      <c r="F831" t="str">
        <f>VLOOKUP(C831,products!A:C,2,FALSE)</f>
        <v>Sapu + Pengki Set</v>
      </c>
      <c r="G831">
        <f t="shared" si="24"/>
        <v>55000</v>
      </c>
      <c r="H831">
        <f>VLOOKUP(C831,products!A:D,4,FALSE)</f>
        <v>25000</v>
      </c>
      <c r="I831">
        <f t="shared" si="25"/>
        <v>30000</v>
      </c>
      <c r="J831" t="str">
        <f>VLOOKUP(B831,orders!A:B,2,FALSE)</f>
        <v>CUST0036</v>
      </c>
      <c r="K831" t="str">
        <f>VLOOKUP(J831,customers!A:F,6,FALSE)</f>
        <v>Yogyakarta</v>
      </c>
    </row>
    <row r="832" spans="1:11" x14ac:dyDescent="0.35">
      <c r="A832" s="4" t="s">
        <v>1873</v>
      </c>
      <c r="B832" s="4" t="s">
        <v>249</v>
      </c>
      <c r="C832" s="4" t="s">
        <v>1049</v>
      </c>
      <c r="D832" s="4">
        <v>1</v>
      </c>
      <c r="E832" s="6">
        <v>349000</v>
      </c>
      <c r="F832" t="str">
        <f>VLOOKUP(C832,products!A:C,2,FALSE)</f>
        <v>Sepatu Sneakers Casual</v>
      </c>
      <c r="G832">
        <f t="shared" si="24"/>
        <v>349000</v>
      </c>
      <c r="H832">
        <f>VLOOKUP(C832,products!A:D,4,FALSE)</f>
        <v>180000</v>
      </c>
      <c r="I832">
        <f t="shared" si="25"/>
        <v>169000</v>
      </c>
      <c r="J832" t="str">
        <f>VLOOKUP(B832,orders!A:B,2,FALSE)</f>
        <v>CUST0036</v>
      </c>
      <c r="K832" t="str">
        <f>VLOOKUP(J832,customers!A:F,6,FALSE)</f>
        <v>Yogyakarta</v>
      </c>
    </row>
    <row r="833" spans="1:11" x14ac:dyDescent="0.35">
      <c r="A833" s="4" t="s">
        <v>1874</v>
      </c>
      <c r="B833" s="4" t="s">
        <v>249</v>
      </c>
      <c r="C833" s="4" t="s">
        <v>1029</v>
      </c>
      <c r="D833" s="4">
        <v>1</v>
      </c>
      <c r="E833" s="6">
        <v>39000</v>
      </c>
      <c r="F833" t="str">
        <f>VLOOKUP(C833,products!A:C,2,FALSE)</f>
        <v>Kabel Data USB-C</v>
      </c>
      <c r="G833">
        <f t="shared" si="24"/>
        <v>39000</v>
      </c>
      <c r="H833">
        <f>VLOOKUP(C833,products!A:D,4,FALSE)</f>
        <v>15000</v>
      </c>
      <c r="I833">
        <f t="shared" si="25"/>
        <v>24000</v>
      </c>
      <c r="J833" t="str">
        <f>VLOOKUP(B833,orders!A:B,2,FALSE)</f>
        <v>CUST0036</v>
      </c>
      <c r="K833" t="str">
        <f>VLOOKUP(J833,customers!A:F,6,FALSE)</f>
        <v>Yogyakarta</v>
      </c>
    </row>
    <row r="834" spans="1:11" x14ac:dyDescent="0.35">
      <c r="A834" s="4" t="s">
        <v>1875</v>
      </c>
      <c r="B834" s="4" t="s">
        <v>661</v>
      </c>
      <c r="C834" s="4" t="s">
        <v>1082</v>
      </c>
      <c r="D834" s="4">
        <v>1</v>
      </c>
      <c r="E834" s="6">
        <v>399000</v>
      </c>
      <c r="F834" t="str">
        <f>VLOOKUP(C834,products!A:C,2,FALSE)</f>
        <v>Keyboard Mechanical Mini</v>
      </c>
      <c r="G834">
        <f t="shared" si="24"/>
        <v>399000</v>
      </c>
      <c r="H834">
        <f>VLOOKUP(C834,products!A:D,4,FALSE)</f>
        <v>200000</v>
      </c>
      <c r="I834">
        <f t="shared" si="25"/>
        <v>199000</v>
      </c>
      <c r="J834" t="str">
        <f>VLOOKUP(B834,orders!A:B,2,FALSE)</f>
        <v>CUST0127</v>
      </c>
      <c r="K834" t="str">
        <f>VLOOKUP(J834,customers!A:F,6,FALSE)</f>
        <v>Palembang</v>
      </c>
    </row>
    <row r="835" spans="1:11" x14ac:dyDescent="0.35">
      <c r="A835" s="4" t="s">
        <v>1876</v>
      </c>
      <c r="B835" s="4" t="s">
        <v>661</v>
      </c>
      <c r="C835" s="4" t="s">
        <v>1053</v>
      </c>
      <c r="D835" s="4">
        <v>1</v>
      </c>
      <c r="E835" s="6">
        <v>129000</v>
      </c>
      <c r="F835" t="str">
        <f>VLOOKUP(C835,products!A:C,2,FALSE)</f>
        <v>Charger Fast Charging 33W</v>
      </c>
      <c r="G835">
        <f t="shared" ref="G835:G898" si="26">D835*E835</f>
        <v>129000</v>
      </c>
      <c r="H835">
        <f>VLOOKUP(C835,products!A:D,4,FALSE)</f>
        <v>60000</v>
      </c>
      <c r="I835">
        <f t="shared" ref="I835:I898" si="27">(E835-H835)*D835</f>
        <v>69000</v>
      </c>
      <c r="J835" t="str">
        <f>VLOOKUP(B835,orders!A:B,2,FALSE)</f>
        <v>CUST0127</v>
      </c>
      <c r="K835" t="str">
        <f>VLOOKUP(J835,customers!A:F,6,FALSE)</f>
        <v>Palembang</v>
      </c>
    </row>
    <row r="836" spans="1:11" x14ac:dyDescent="0.35">
      <c r="A836" s="4" t="s">
        <v>1877</v>
      </c>
      <c r="B836" s="4" t="s">
        <v>607</v>
      </c>
      <c r="C836" s="4" t="s">
        <v>1023</v>
      </c>
      <c r="D836" s="4">
        <v>3</v>
      </c>
      <c r="E836" s="6">
        <v>69000</v>
      </c>
      <c r="F836" t="str">
        <f>VLOOKUP(C836,products!A:C,2,FALSE)</f>
        <v>Lampu LED Hias 5m</v>
      </c>
      <c r="G836">
        <f t="shared" si="26"/>
        <v>207000</v>
      </c>
      <c r="H836">
        <f>VLOOKUP(C836,products!A:D,4,FALSE)</f>
        <v>30000</v>
      </c>
      <c r="I836">
        <f t="shared" si="27"/>
        <v>117000</v>
      </c>
      <c r="J836" t="str">
        <f>VLOOKUP(B836,orders!A:B,2,FALSE)</f>
        <v>CUST0138</v>
      </c>
      <c r="K836" t="str">
        <f>VLOOKUP(J836,customers!A:F,6,FALSE)</f>
        <v>Medan</v>
      </c>
    </row>
    <row r="837" spans="1:11" x14ac:dyDescent="0.35">
      <c r="A837" s="4" t="s">
        <v>1878</v>
      </c>
      <c r="B837" s="4" t="s">
        <v>267</v>
      </c>
      <c r="C837" s="4" t="s">
        <v>1029</v>
      </c>
      <c r="D837" s="4">
        <v>1</v>
      </c>
      <c r="E837" s="6">
        <v>39000</v>
      </c>
      <c r="F837" t="str">
        <f>VLOOKUP(C837,products!A:C,2,FALSE)</f>
        <v>Kabel Data USB-C</v>
      </c>
      <c r="G837">
        <f t="shared" si="26"/>
        <v>39000</v>
      </c>
      <c r="H837">
        <f>VLOOKUP(C837,products!A:D,4,FALSE)</f>
        <v>15000</v>
      </c>
      <c r="I837">
        <f t="shared" si="27"/>
        <v>24000</v>
      </c>
      <c r="J837" t="str">
        <f>VLOOKUP(B837,orders!A:B,2,FALSE)</f>
        <v>CUST0095</v>
      </c>
      <c r="K837" t="str">
        <f>VLOOKUP(J837,customers!A:F,6,FALSE)</f>
        <v>Medan</v>
      </c>
    </row>
    <row r="838" spans="1:11" x14ac:dyDescent="0.35">
      <c r="A838" s="4" t="s">
        <v>1879</v>
      </c>
      <c r="B838" s="4" t="s">
        <v>176</v>
      </c>
      <c r="C838" s="4" t="s">
        <v>1023</v>
      </c>
      <c r="D838" s="4">
        <v>1</v>
      </c>
      <c r="E838" s="6">
        <v>69000</v>
      </c>
      <c r="F838" t="str">
        <f>VLOOKUP(C838,products!A:C,2,FALSE)</f>
        <v>Lampu LED Hias 5m</v>
      </c>
      <c r="G838">
        <f t="shared" si="26"/>
        <v>69000</v>
      </c>
      <c r="H838">
        <f>VLOOKUP(C838,products!A:D,4,FALSE)</f>
        <v>30000</v>
      </c>
      <c r="I838">
        <f t="shared" si="27"/>
        <v>39000</v>
      </c>
      <c r="J838" t="str">
        <f>VLOOKUP(B838,orders!A:B,2,FALSE)</f>
        <v>CUST0179</v>
      </c>
      <c r="K838" t="str">
        <f>VLOOKUP(J838,customers!A:F,6,FALSE)</f>
        <v>Jakarta</v>
      </c>
    </row>
    <row r="839" spans="1:11" x14ac:dyDescent="0.35">
      <c r="A839" s="4" t="s">
        <v>1880</v>
      </c>
      <c r="B839" s="4" t="s">
        <v>568</v>
      </c>
      <c r="C839" s="4" t="s">
        <v>1082</v>
      </c>
      <c r="D839" s="4">
        <v>2</v>
      </c>
      <c r="E839" s="6">
        <v>399000</v>
      </c>
      <c r="F839" t="str">
        <f>VLOOKUP(C839,products!A:C,2,FALSE)</f>
        <v>Keyboard Mechanical Mini</v>
      </c>
      <c r="G839">
        <f t="shared" si="26"/>
        <v>798000</v>
      </c>
      <c r="H839">
        <f>VLOOKUP(C839,products!A:D,4,FALSE)</f>
        <v>200000</v>
      </c>
      <c r="I839">
        <f t="shared" si="27"/>
        <v>398000</v>
      </c>
      <c r="J839" t="str">
        <f>VLOOKUP(B839,orders!A:B,2,FALSE)</f>
        <v>CUST0191</v>
      </c>
      <c r="K839" t="str">
        <f>VLOOKUP(J839,customers!A:F,6,FALSE)</f>
        <v>Jakarta</v>
      </c>
    </row>
    <row r="840" spans="1:11" x14ac:dyDescent="0.35">
      <c r="A840" s="4" t="s">
        <v>1881</v>
      </c>
      <c r="B840" s="4" t="s">
        <v>568</v>
      </c>
      <c r="C840" s="4" t="s">
        <v>1031</v>
      </c>
      <c r="D840" s="4">
        <v>2</v>
      </c>
      <c r="E840" s="6">
        <v>79000</v>
      </c>
      <c r="F840" t="str">
        <f>VLOOKUP(C840,products!A:C,2,FALSE)</f>
        <v>Kaos Polos Cotton Combed</v>
      </c>
      <c r="G840">
        <f t="shared" si="26"/>
        <v>158000</v>
      </c>
      <c r="H840">
        <f>VLOOKUP(C840,products!A:D,4,FALSE)</f>
        <v>35000</v>
      </c>
      <c r="I840">
        <f t="shared" si="27"/>
        <v>88000</v>
      </c>
      <c r="J840" t="str">
        <f>VLOOKUP(B840,orders!A:B,2,FALSE)</f>
        <v>CUST0191</v>
      </c>
      <c r="K840" t="str">
        <f>VLOOKUP(J840,customers!A:F,6,FALSE)</f>
        <v>Jakarta</v>
      </c>
    </row>
    <row r="841" spans="1:11" x14ac:dyDescent="0.35">
      <c r="A841" s="4" t="s">
        <v>1882</v>
      </c>
      <c r="B841" s="4" t="s">
        <v>624</v>
      </c>
      <c r="C841" s="4" t="s">
        <v>1025</v>
      </c>
      <c r="D841" s="4">
        <v>1</v>
      </c>
      <c r="E841" s="6">
        <v>179000</v>
      </c>
      <c r="F841" t="str">
        <f>VLOOKUP(C841,products!A:C,2,FALSE)</f>
        <v>Rak Penyimpanan Serbaguna</v>
      </c>
      <c r="G841">
        <f t="shared" si="26"/>
        <v>179000</v>
      </c>
      <c r="H841">
        <f>VLOOKUP(C841,products!A:D,4,FALSE)</f>
        <v>90000</v>
      </c>
      <c r="I841">
        <f t="shared" si="27"/>
        <v>89000</v>
      </c>
      <c r="J841" t="str">
        <f>VLOOKUP(B841,orders!A:B,2,FALSE)</f>
        <v>CUST0026</v>
      </c>
      <c r="K841" t="str">
        <f>VLOOKUP(J841,customers!A:F,6,FALSE)</f>
        <v>Denpasar</v>
      </c>
    </row>
    <row r="842" spans="1:11" x14ac:dyDescent="0.35">
      <c r="A842" s="4" t="s">
        <v>1883</v>
      </c>
      <c r="B842" s="4" t="s">
        <v>624</v>
      </c>
      <c r="C842" s="4" t="s">
        <v>1029</v>
      </c>
      <c r="D842" s="4">
        <v>3</v>
      </c>
      <c r="E842" s="6">
        <v>39000</v>
      </c>
      <c r="F842" t="str">
        <f>VLOOKUP(C842,products!A:C,2,FALSE)</f>
        <v>Kabel Data USB-C</v>
      </c>
      <c r="G842">
        <f t="shared" si="26"/>
        <v>117000</v>
      </c>
      <c r="H842">
        <f>VLOOKUP(C842,products!A:D,4,FALSE)</f>
        <v>15000</v>
      </c>
      <c r="I842">
        <f t="shared" si="27"/>
        <v>72000</v>
      </c>
      <c r="J842" t="str">
        <f>VLOOKUP(B842,orders!A:B,2,FALSE)</f>
        <v>CUST0026</v>
      </c>
      <c r="K842" t="str">
        <f>VLOOKUP(J842,customers!A:F,6,FALSE)</f>
        <v>Denpasar</v>
      </c>
    </row>
    <row r="843" spans="1:11" x14ac:dyDescent="0.35">
      <c r="A843" s="4" t="s">
        <v>1884</v>
      </c>
      <c r="B843" s="4" t="s">
        <v>466</v>
      </c>
      <c r="C843" s="4" t="s">
        <v>1031</v>
      </c>
      <c r="D843" s="4">
        <v>1</v>
      </c>
      <c r="E843" s="6">
        <v>79000</v>
      </c>
      <c r="F843" t="str">
        <f>VLOOKUP(C843,products!A:C,2,FALSE)</f>
        <v>Kaos Polos Cotton Combed</v>
      </c>
      <c r="G843">
        <f t="shared" si="26"/>
        <v>79000</v>
      </c>
      <c r="H843">
        <f>VLOOKUP(C843,products!A:D,4,FALSE)</f>
        <v>35000</v>
      </c>
      <c r="I843">
        <f t="shared" si="27"/>
        <v>44000</v>
      </c>
      <c r="J843" t="str">
        <f>VLOOKUP(B843,orders!A:B,2,FALSE)</f>
        <v>CUST0158</v>
      </c>
      <c r="K843" t="str">
        <f>VLOOKUP(J843,customers!A:F,6,FALSE)</f>
        <v>Yogyakarta</v>
      </c>
    </row>
    <row r="844" spans="1:11" x14ac:dyDescent="0.35">
      <c r="A844" s="4" t="s">
        <v>1885</v>
      </c>
      <c r="B844" s="4" t="s">
        <v>170</v>
      </c>
      <c r="C844" s="4" t="s">
        <v>1031</v>
      </c>
      <c r="D844" s="4">
        <v>3</v>
      </c>
      <c r="E844" s="6">
        <v>79000</v>
      </c>
      <c r="F844" t="str">
        <f>VLOOKUP(C844,products!A:C,2,FALSE)</f>
        <v>Kaos Polos Cotton Combed</v>
      </c>
      <c r="G844">
        <f t="shared" si="26"/>
        <v>237000</v>
      </c>
      <c r="H844">
        <f>VLOOKUP(C844,products!A:D,4,FALSE)</f>
        <v>35000</v>
      </c>
      <c r="I844">
        <f t="shared" si="27"/>
        <v>132000</v>
      </c>
      <c r="J844" t="str">
        <f>VLOOKUP(B844,orders!A:B,2,FALSE)</f>
        <v>CUST0009</v>
      </c>
      <c r="K844" t="str">
        <f>VLOOKUP(J844,customers!A:F,6,FALSE)</f>
        <v>Surabaya</v>
      </c>
    </row>
    <row r="845" spans="1:11" x14ac:dyDescent="0.35">
      <c r="A845" s="4" t="s">
        <v>1886</v>
      </c>
      <c r="B845" s="4" t="s">
        <v>170</v>
      </c>
      <c r="C845" s="4" t="s">
        <v>1023</v>
      </c>
      <c r="D845" s="4">
        <v>1</v>
      </c>
      <c r="E845" s="6">
        <v>69000</v>
      </c>
      <c r="F845" t="str">
        <f>VLOOKUP(C845,products!A:C,2,FALSE)</f>
        <v>Lampu LED Hias 5m</v>
      </c>
      <c r="G845">
        <f t="shared" si="26"/>
        <v>69000</v>
      </c>
      <c r="H845">
        <f>VLOOKUP(C845,products!A:D,4,FALSE)</f>
        <v>30000</v>
      </c>
      <c r="I845">
        <f t="shared" si="27"/>
        <v>39000</v>
      </c>
      <c r="J845" t="str">
        <f>VLOOKUP(B845,orders!A:B,2,FALSE)</f>
        <v>CUST0009</v>
      </c>
      <c r="K845" t="str">
        <f>VLOOKUP(J845,customers!A:F,6,FALSE)</f>
        <v>Surabaya</v>
      </c>
    </row>
    <row r="846" spans="1:11" x14ac:dyDescent="0.35">
      <c r="A846" s="4" t="s">
        <v>1887</v>
      </c>
      <c r="B846" s="4" t="s">
        <v>189</v>
      </c>
      <c r="C846" s="4" t="s">
        <v>1029</v>
      </c>
      <c r="D846" s="4">
        <v>2</v>
      </c>
      <c r="E846" s="6">
        <v>39000</v>
      </c>
      <c r="F846" t="str">
        <f>VLOOKUP(C846,products!A:C,2,FALSE)</f>
        <v>Kabel Data USB-C</v>
      </c>
      <c r="G846">
        <f t="shared" si="26"/>
        <v>78000</v>
      </c>
      <c r="H846">
        <f>VLOOKUP(C846,products!A:D,4,FALSE)</f>
        <v>15000</v>
      </c>
      <c r="I846">
        <f t="shared" si="27"/>
        <v>48000</v>
      </c>
      <c r="J846" t="str">
        <f>VLOOKUP(B846,orders!A:B,2,FALSE)</f>
        <v>CUST0114</v>
      </c>
      <c r="K846" t="str">
        <f>VLOOKUP(J846,customers!A:F,6,FALSE)</f>
        <v>Denpasar</v>
      </c>
    </row>
    <row r="847" spans="1:11" x14ac:dyDescent="0.35">
      <c r="A847" s="4" t="s">
        <v>1888</v>
      </c>
      <c r="B847" s="4" t="s">
        <v>833</v>
      </c>
      <c r="C847" s="4" t="s">
        <v>1023</v>
      </c>
      <c r="D847" s="4">
        <v>2</v>
      </c>
      <c r="E847" s="6">
        <v>69000</v>
      </c>
      <c r="F847" t="str">
        <f>VLOOKUP(C847,products!A:C,2,FALSE)</f>
        <v>Lampu LED Hias 5m</v>
      </c>
      <c r="G847">
        <f t="shared" si="26"/>
        <v>138000</v>
      </c>
      <c r="H847">
        <f>VLOOKUP(C847,products!A:D,4,FALSE)</f>
        <v>30000</v>
      </c>
      <c r="I847">
        <f t="shared" si="27"/>
        <v>78000</v>
      </c>
      <c r="J847" t="str">
        <f>VLOOKUP(B847,orders!A:B,2,FALSE)</f>
        <v>CUST0026</v>
      </c>
      <c r="K847" t="str">
        <f>VLOOKUP(J847,customers!A:F,6,FALSE)</f>
        <v>Denpasar</v>
      </c>
    </row>
    <row r="848" spans="1:11" x14ac:dyDescent="0.35">
      <c r="A848" s="4" t="s">
        <v>1889</v>
      </c>
      <c r="B848" s="4" t="s">
        <v>833</v>
      </c>
      <c r="C848" s="4" t="s">
        <v>1036</v>
      </c>
      <c r="D848" s="4">
        <v>1</v>
      </c>
      <c r="E848" s="6">
        <v>229000</v>
      </c>
      <c r="F848" t="str">
        <f>VLOOKUP(C848,products!A:C,2,FALSE)</f>
        <v>Celana Jeans Slimfit</v>
      </c>
      <c r="G848">
        <f t="shared" si="26"/>
        <v>229000</v>
      </c>
      <c r="H848">
        <f>VLOOKUP(C848,products!A:D,4,FALSE)</f>
        <v>110000</v>
      </c>
      <c r="I848">
        <f t="shared" si="27"/>
        <v>119000</v>
      </c>
      <c r="J848" t="str">
        <f>VLOOKUP(B848,orders!A:B,2,FALSE)</f>
        <v>CUST0026</v>
      </c>
      <c r="K848" t="str">
        <f>VLOOKUP(J848,customers!A:F,6,FALSE)</f>
        <v>Denpasar</v>
      </c>
    </row>
    <row r="849" spans="1:11" x14ac:dyDescent="0.35">
      <c r="A849" s="4" t="s">
        <v>1890</v>
      </c>
      <c r="B849" s="4" t="s">
        <v>663</v>
      </c>
      <c r="C849" s="4" t="s">
        <v>1076</v>
      </c>
      <c r="D849" s="4">
        <v>1</v>
      </c>
      <c r="E849" s="6">
        <v>499000</v>
      </c>
      <c r="F849" t="str">
        <f>VLOOKUP(C849,products!A:C,2,FALSE)</f>
        <v>Smartwatch Lite</v>
      </c>
      <c r="G849">
        <f t="shared" si="26"/>
        <v>499000</v>
      </c>
      <c r="H849">
        <f>VLOOKUP(C849,products!A:D,4,FALSE)</f>
        <v>250000</v>
      </c>
      <c r="I849">
        <f t="shared" si="27"/>
        <v>249000</v>
      </c>
      <c r="J849" t="str">
        <f>VLOOKUP(B849,orders!A:B,2,FALSE)</f>
        <v>CUST0140</v>
      </c>
      <c r="K849" t="str">
        <f>VLOOKUP(J849,customers!A:F,6,FALSE)</f>
        <v>Depok</v>
      </c>
    </row>
    <row r="850" spans="1:11" x14ac:dyDescent="0.35">
      <c r="A850" s="4" t="s">
        <v>1891</v>
      </c>
      <c r="B850" s="4" t="s">
        <v>663</v>
      </c>
      <c r="C850" s="4" t="s">
        <v>1285</v>
      </c>
      <c r="D850" s="4">
        <v>2</v>
      </c>
      <c r="E850" s="6">
        <v>139000</v>
      </c>
      <c r="F850" t="str">
        <f>VLOOKUP(C850,products!A:C,2,FALSE)</f>
        <v>Tas Selempang Kanvas</v>
      </c>
      <c r="G850">
        <f t="shared" si="26"/>
        <v>278000</v>
      </c>
      <c r="H850">
        <f>VLOOKUP(C850,products!A:D,4,FALSE)</f>
        <v>60000</v>
      </c>
      <c r="I850">
        <f t="shared" si="27"/>
        <v>158000</v>
      </c>
      <c r="J850" t="str">
        <f>VLOOKUP(B850,orders!A:B,2,FALSE)</f>
        <v>CUST0140</v>
      </c>
      <c r="K850" t="str">
        <f>VLOOKUP(J850,customers!A:F,6,FALSE)</f>
        <v>Depok</v>
      </c>
    </row>
    <row r="851" spans="1:11" x14ac:dyDescent="0.35">
      <c r="A851" s="4" t="s">
        <v>1892</v>
      </c>
      <c r="B851" s="4" t="s">
        <v>663</v>
      </c>
      <c r="C851" s="4" t="s">
        <v>1084</v>
      </c>
      <c r="D851" s="4">
        <v>1</v>
      </c>
      <c r="E851" s="6">
        <v>79000</v>
      </c>
      <c r="F851" t="str">
        <f>VLOOKUP(C851,products!A:C,2,FALSE)</f>
        <v>Botol Minum Stainless 1L</v>
      </c>
      <c r="G851">
        <f t="shared" si="26"/>
        <v>79000</v>
      </c>
      <c r="H851">
        <f>VLOOKUP(C851,products!A:D,4,FALSE)</f>
        <v>35000</v>
      </c>
      <c r="I851">
        <f t="shared" si="27"/>
        <v>44000</v>
      </c>
      <c r="J851" t="str">
        <f>VLOOKUP(B851,orders!A:B,2,FALSE)</f>
        <v>CUST0140</v>
      </c>
      <c r="K851" t="str">
        <f>VLOOKUP(J851,customers!A:F,6,FALSE)</f>
        <v>Depok</v>
      </c>
    </row>
    <row r="852" spans="1:11" x14ac:dyDescent="0.35">
      <c r="A852" s="4" t="s">
        <v>1893</v>
      </c>
      <c r="B852" s="4" t="s">
        <v>663</v>
      </c>
      <c r="C852" s="4" t="s">
        <v>1029</v>
      </c>
      <c r="D852" s="4">
        <v>1</v>
      </c>
      <c r="E852" s="6">
        <v>39000</v>
      </c>
      <c r="F852" t="str">
        <f>VLOOKUP(C852,products!A:C,2,FALSE)</f>
        <v>Kabel Data USB-C</v>
      </c>
      <c r="G852">
        <f t="shared" si="26"/>
        <v>39000</v>
      </c>
      <c r="H852">
        <f>VLOOKUP(C852,products!A:D,4,FALSE)</f>
        <v>15000</v>
      </c>
      <c r="I852">
        <f t="shared" si="27"/>
        <v>24000</v>
      </c>
      <c r="J852" t="str">
        <f>VLOOKUP(B852,orders!A:B,2,FALSE)</f>
        <v>CUST0140</v>
      </c>
      <c r="K852" t="str">
        <f>VLOOKUP(J852,customers!A:F,6,FALSE)</f>
        <v>Depok</v>
      </c>
    </row>
    <row r="853" spans="1:11" x14ac:dyDescent="0.35">
      <c r="A853" s="4" t="s">
        <v>1894</v>
      </c>
      <c r="B853" s="4" t="s">
        <v>1009</v>
      </c>
      <c r="C853" s="4" t="s">
        <v>1044</v>
      </c>
      <c r="D853" s="4">
        <v>1</v>
      </c>
      <c r="E853" s="6">
        <v>329000</v>
      </c>
      <c r="F853" t="str">
        <f>VLOOKUP(C853,products!A:C,2,FALSE)</f>
        <v>Rice Cooker Mini 1.5L</v>
      </c>
      <c r="G853">
        <f t="shared" si="26"/>
        <v>329000</v>
      </c>
      <c r="H853">
        <f>VLOOKUP(C853,products!A:D,4,FALSE)</f>
        <v>180000</v>
      </c>
      <c r="I853">
        <f t="shared" si="27"/>
        <v>149000</v>
      </c>
      <c r="J853" t="str">
        <f>VLOOKUP(B853,orders!A:B,2,FALSE)</f>
        <v>CUST0016</v>
      </c>
      <c r="K853" t="str">
        <f>VLOOKUP(J853,customers!A:F,6,FALSE)</f>
        <v>Semarang</v>
      </c>
    </row>
    <row r="854" spans="1:11" x14ac:dyDescent="0.35">
      <c r="A854" s="4" t="s">
        <v>1895</v>
      </c>
      <c r="B854" s="4" t="s">
        <v>342</v>
      </c>
      <c r="C854" s="4" t="s">
        <v>1049</v>
      </c>
      <c r="D854" s="4">
        <v>1</v>
      </c>
      <c r="E854" s="6">
        <v>349000</v>
      </c>
      <c r="F854" t="str">
        <f>VLOOKUP(C854,products!A:C,2,FALSE)</f>
        <v>Sepatu Sneakers Casual</v>
      </c>
      <c r="G854">
        <f t="shared" si="26"/>
        <v>349000</v>
      </c>
      <c r="H854">
        <f>VLOOKUP(C854,products!A:D,4,FALSE)</f>
        <v>180000</v>
      </c>
      <c r="I854">
        <f t="shared" si="27"/>
        <v>169000</v>
      </c>
      <c r="J854" t="str">
        <f>VLOOKUP(B854,orders!A:B,2,FALSE)</f>
        <v>CUST0032</v>
      </c>
      <c r="K854" t="str">
        <f>VLOOKUP(J854,customers!A:F,6,FALSE)</f>
        <v>Yogyakarta</v>
      </c>
    </row>
    <row r="855" spans="1:11" x14ac:dyDescent="0.35">
      <c r="A855" s="4" t="s">
        <v>1896</v>
      </c>
      <c r="B855" s="4" t="s">
        <v>490</v>
      </c>
      <c r="C855" s="4" t="s">
        <v>1053</v>
      </c>
      <c r="D855" s="4">
        <v>1</v>
      </c>
      <c r="E855" s="6">
        <v>129000</v>
      </c>
      <c r="F855" t="str">
        <f>VLOOKUP(C855,products!A:C,2,FALSE)</f>
        <v>Charger Fast Charging 33W</v>
      </c>
      <c r="G855">
        <f t="shared" si="26"/>
        <v>129000</v>
      </c>
      <c r="H855">
        <f>VLOOKUP(C855,products!A:D,4,FALSE)</f>
        <v>60000</v>
      </c>
      <c r="I855">
        <f t="shared" si="27"/>
        <v>69000</v>
      </c>
      <c r="J855" t="str">
        <f>VLOOKUP(B855,orders!A:B,2,FALSE)</f>
        <v>CUST0117</v>
      </c>
      <c r="K855" t="str">
        <f>VLOOKUP(J855,customers!A:F,6,FALSE)</f>
        <v>Semarang</v>
      </c>
    </row>
    <row r="856" spans="1:11" x14ac:dyDescent="0.35">
      <c r="A856" s="4" t="s">
        <v>1897</v>
      </c>
      <c r="B856" s="4" t="s">
        <v>490</v>
      </c>
      <c r="C856" s="4" t="s">
        <v>1044</v>
      </c>
      <c r="D856" s="4">
        <v>1</v>
      </c>
      <c r="E856" s="6">
        <v>329000</v>
      </c>
      <c r="F856" t="str">
        <f>VLOOKUP(C856,products!A:C,2,FALSE)</f>
        <v>Rice Cooker Mini 1.5L</v>
      </c>
      <c r="G856">
        <f t="shared" si="26"/>
        <v>329000</v>
      </c>
      <c r="H856">
        <f>VLOOKUP(C856,products!A:D,4,FALSE)</f>
        <v>180000</v>
      </c>
      <c r="I856">
        <f t="shared" si="27"/>
        <v>149000</v>
      </c>
      <c r="J856" t="str">
        <f>VLOOKUP(B856,orders!A:B,2,FALSE)</f>
        <v>CUST0117</v>
      </c>
      <c r="K856" t="str">
        <f>VLOOKUP(J856,customers!A:F,6,FALSE)</f>
        <v>Semarang</v>
      </c>
    </row>
    <row r="857" spans="1:11" x14ac:dyDescent="0.35">
      <c r="A857" s="4" t="s">
        <v>1898</v>
      </c>
      <c r="B857" s="4" t="s">
        <v>808</v>
      </c>
      <c r="C857" s="4" t="s">
        <v>1025</v>
      </c>
      <c r="D857" s="4">
        <v>1</v>
      </c>
      <c r="E857" s="6">
        <v>179000</v>
      </c>
      <c r="F857" t="str">
        <f>VLOOKUP(C857,products!A:C,2,FALSE)</f>
        <v>Rak Penyimpanan Serbaguna</v>
      </c>
      <c r="G857">
        <f t="shared" si="26"/>
        <v>179000</v>
      </c>
      <c r="H857">
        <f>VLOOKUP(C857,products!A:D,4,FALSE)</f>
        <v>90000</v>
      </c>
      <c r="I857">
        <f t="shared" si="27"/>
        <v>89000</v>
      </c>
      <c r="J857" t="str">
        <f>VLOOKUP(B857,orders!A:B,2,FALSE)</f>
        <v>CUST0165</v>
      </c>
      <c r="K857" t="str">
        <f>VLOOKUP(J857,customers!A:F,6,FALSE)</f>
        <v>Bandung</v>
      </c>
    </row>
    <row r="858" spans="1:11" x14ac:dyDescent="0.35">
      <c r="A858" s="4" t="s">
        <v>1899</v>
      </c>
      <c r="B858" s="4" t="s">
        <v>808</v>
      </c>
      <c r="C858" s="4" t="s">
        <v>1029</v>
      </c>
      <c r="D858" s="4">
        <v>3</v>
      </c>
      <c r="E858" s="6">
        <v>39000</v>
      </c>
      <c r="F858" t="str">
        <f>VLOOKUP(C858,products!A:C,2,FALSE)</f>
        <v>Kabel Data USB-C</v>
      </c>
      <c r="G858">
        <f t="shared" si="26"/>
        <v>117000</v>
      </c>
      <c r="H858">
        <f>VLOOKUP(C858,products!A:D,4,FALSE)</f>
        <v>15000</v>
      </c>
      <c r="I858">
        <f t="shared" si="27"/>
        <v>72000</v>
      </c>
      <c r="J858" t="str">
        <f>VLOOKUP(B858,orders!A:B,2,FALSE)</f>
        <v>CUST0165</v>
      </c>
      <c r="K858" t="str">
        <f>VLOOKUP(J858,customers!A:F,6,FALSE)</f>
        <v>Bandung</v>
      </c>
    </row>
    <row r="859" spans="1:11" x14ac:dyDescent="0.35">
      <c r="A859" s="4" t="s">
        <v>1900</v>
      </c>
      <c r="B859" s="4" t="s">
        <v>539</v>
      </c>
      <c r="C859" s="4" t="s">
        <v>1023</v>
      </c>
      <c r="D859" s="4">
        <v>1</v>
      </c>
      <c r="E859" s="6">
        <v>69000</v>
      </c>
      <c r="F859" t="str">
        <f>VLOOKUP(C859,products!A:C,2,FALSE)</f>
        <v>Lampu LED Hias 5m</v>
      </c>
      <c r="G859">
        <f t="shared" si="26"/>
        <v>69000</v>
      </c>
      <c r="H859">
        <f>VLOOKUP(C859,products!A:D,4,FALSE)</f>
        <v>30000</v>
      </c>
      <c r="I859">
        <f t="shared" si="27"/>
        <v>39000</v>
      </c>
      <c r="J859" t="str">
        <f>VLOOKUP(B859,orders!A:B,2,FALSE)</f>
        <v>CUST0006</v>
      </c>
      <c r="K859" t="str">
        <f>VLOOKUP(J859,customers!A:F,6,FALSE)</f>
        <v>Jakarta</v>
      </c>
    </row>
    <row r="860" spans="1:11" x14ac:dyDescent="0.35">
      <c r="A860" s="4" t="s">
        <v>1901</v>
      </c>
      <c r="B860" s="4" t="s">
        <v>539</v>
      </c>
      <c r="C860" s="4" t="s">
        <v>1044</v>
      </c>
      <c r="D860" s="4">
        <v>1</v>
      </c>
      <c r="E860" s="6">
        <v>329000</v>
      </c>
      <c r="F860" t="str">
        <f>VLOOKUP(C860,products!A:C,2,FALSE)</f>
        <v>Rice Cooker Mini 1.5L</v>
      </c>
      <c r="G860">
        <f t="shared" si="26"/>
        <v>329000</v>
      </c>
      <c r="H860">
        <f>VLOOKUP(C860,products!A:D,4,FALSE)</f>
        <v>180000</v>
      </c>
      <c r="I860">
        <f t="shared" si="27"/>
        <v>149000</v>
      </c>
      <c r="J860" t="str">
        <f>VLOOKUP(B860,orders!A:B,2,FALSE)</f>
        <v>CUST0006</v>
      </c>
      <c r="K860" t="str">
        <f>VLOOKUP(J860,customers!A:F,6,FALSE)</f>
        <v>Jakarta</v>
      </c>
    </row>
    <row r="861" spans="1:11" x14ac:dyDescent="0.35">
      <c r="A861" s="4" t="s">
        <v>1902</v>
      </c>
      <c r="B861" s="4" t="s">
        <v>825</v>
      </c>
      <c r="C861" s="4" t="s">
        <v>1033</v>
      </c>
      <c r="D861" s="4">
        <v>1</v>
      </c>
      <c r="E861" s="6">
        <v>55000</v>
      </c>
      <c r="F861" t="str">
        <f>VLOOKUP(C861,products!A:C,2,FALSE)</f>
        <v>Sapu + Pengki Set</v>
      </c>
      <c r="G861">
        <f t="shared" si="26"/>
        <v>55000</v>
      </c>
      <c r="H861">
        <f>VLOOKUP(C861,products!A:D,4,FALSE)</f>
        <v>25000</v>
      </c>
      <c r="I861">
        <f t="shared" si="27"/>
        <v>30000</v>
      </c>
      <c r="J861" t="str">
        <f>VLOOKUP(B861,orders!A:B,2,FALSE)</f>
        <v>CUST0063</v>
      </c>
      <c r="K861" t="str">
        <f>VLOOKUP(J861,customers!A:F,6,FALSE)</f>
        <v>Surabaya</v>
      </c>
    </row>
    <row r="862" spans="1:11" x14ac:dyDescent="0.35">
      <c r="A862" s="4" t="s">
        <v>1903</v>
      </c>
      <c r="B862" s="4" t="s">
        <v>913</v>
      </c>
      <c r="C862" s="4" t="s">
        <v>1029</v>
      </c>
      <c r="D862" s="4">
        <v>3</v>
      </c>
      <c r="E862" s="6">
        <v>39000</v>
      </c>
      <c r="F862" t="str">
        <f>VLOOKUP(C862,products!A:C,2,FALSE)</f>
        <v>Kabel Data USB-C</v>
      </c>
      <c r="G862">
        <f t="shared" si="26"/>
        <v>117000</v>
      </c>
      <c r="H862">
        <f>VLOOKUP(C862,products!A:D,4,FALSE)</f>
        <v>15000</v>
      </c>
      <c r="I862">
        <f t="shared" si="27"/>
        <v>72000</v>
      </c>
      <c r="J862" t="str">
        <f>VLOOKUP(B862,orders!A:B,2,FALSE)</f>
        <v>CUST0145</v>
      </c>
      <c r="K862" t="str">
        <f>VLOOKUP(J862,customers!A:F,6,FALSE)</f>
        <v>Surabaya</v>
      </c>
    </row>
    <row r="863" spans="1:11" x14ac:dyDescent="0.35">
      <c r="A863" s="4" t="s">
        <v>1904</v>
      </c>
      <c r="B863" s="4" t="s">
        <v>913</v>
      </c>
      <c r="C863" s="4" t="s">
        <v>1023</v>
      </c>
      <c r="D863" s="4">
        <v>1</v>
      </c>
      <c r="E863" s="6">
        <v>69000</v>
      </c>
      <c r="F863" t="str">
        <f>VLOOKUP(C863,products!A:C,2,FALSE)</f>
        <v>Lampu LED Hias 5m</v>
      </c>
      <c r="G863">
        <f t="shared" si="26"/>
        <v>69000</v>
      </c>
      <c r="H863">
        <f>VLOOKUP(C863,products!A:D,4,FALSE)</f>
        <v>30000</v>
      </c>
      <c r="I863">
        <f t="shared" si="27"/>
        <v>39000</v>
      </c>
      <c r="J863" t="str">
        <f>VLOOKUP(B863,orders!A:B,2,FALSE)</f>
        <v>CUST0145</v>
      </c>
      <c r="K863" t="str">
        <f>VLOOKUP(J863,customers!A:F,6,FALSE)</f>
        <v>Surabaya</v>
      </c>
    </row>
    <row r="864" spans="1:11" x14ac:dyDescent="0.35">
      <c r="A864" s="4" t="s">
        <v>1905</v>
      </c>
      <c r="B864" s="4" t="s">
        <v>495</v>
      </c>
      <c r="C864" s="4" t="s">
        <v>1044</v>
      </c>
      <c r="D864" s="4">
        <v>1</v>
      </c>
      <c r="E864" s="6">
        <v>329000</v>
      </c>
      <c r="F864" t="str">
        <f>VLOOKUP(C864,products!A:C,2,FALSE)</f>
        <v>Rice Cooker Mini 1.5L</v>
      </c>
      <c r="G864">
        <f t="shared" si="26"/>
        <v>329000</v>
      </c>
      <c r="H864">
        <f>VLOOKUP(C864,products!A:D,4,FALSE)</f>
        <v>180000</v>
      </c>
      <c r="I864">
        <f t="shared" si="27"/>
        <v>149000</v>
      </c>
      <c r="J864" t="str">
        <f>VLOOKUP(B864,orders!A:B,2,FALSE)</f>
        <v>CUST0196</v>
      </c>
      <c r="K864" t="str">
        <f>VLOOKUP(J864,customers!A:F,6,FALSE)</f>
        <v>Denpasar</v>
      </c>
    </row>
    <row r="865" spans="1:11" x14ac:dyDescent="0.35">
      <c r="A865" s="4" t="s">
        <v>1906</v>
      </c>
      <c r="B865" s="4" t="s">
        <v>654</v>
      </c>
      <c r="C865" s="4" t="s">
        <v>1023</v>
      </c>
      <c r="D865" s="4">
        <v>2</v>
      </c>
      <c r="E865" s="6">
        <v>69000</v>
      </c>
      <c r="F865" t="str">
        <f>VLOOKUP(C865,products!A:C,2,FALSE)</f>
        <v>Lampu LED Hias 5m</v>
      </c>
      <c r="G865">
        <f t="shared" si="26"/>
        <v>138000</v>
      </c>
      <c r="H865">
        <f>VLOOKUP(C865,products!A:D,4,FALSE)</f>
        <v>30000</v>
      </c>
      <c r="I865">
        <f t="shared" si="27"/>
        <v>78000</v>
      </c>
      <c r="J865" t="str">
        <f>VLOOKUP(B865,orders!A:B,2,FALSE)</f>
        <v>CUST0151</v>
      </c>
      <c r="K865" t="str">
        <f>VLOOKUP(J865,customers!A:F,6,FALSE)</f>
        <v>Jakarta</v>
      </c>
    </row>
    <row r="866" spans="1:11" x14ac:dyDescent="0.35">
      <c r="A866" s="4" t="s">
        <v>1907</v>
      </c>
      <c r="B866" s="4" t="s">
        <v>390</v>
      </c>
      <c r="C866" s="4" t="s">
        <v>1033</v>
      </c>
      <c r="D866" s="4">
        <v>1</v>
      </c>
      <c r="E866" s="6">
        <v>55000</v>
      </c>
      <c r="F866" t="str">
        <f>VLOOKUP(C866,products!A:C,2,FALSE)</f>
        <v>Sapu + Pengki Set</v>
      </c>
      <c r="G866">
        <f t="shared" si="26"/>
        <v>55000</v>
      </c>
      <c r="H866">
        <f>VLOOKUP(C866,products!A:D,4,FALSE)</f>
        <v>25000</v>
      </c>
      <c r="I866">
        <f t="shared" si="27"/>
        <v>30000</v>
      </c>
      <c r="J866" t="str">
        <f>VLOOKUP(B866,orders!A:B,2,FALSE)</f>
        <v>CUST0060</v>
      </c>
      <c r="K866" t="str">
        <f>VLOOKUP(J866,customers!A:F,6,FALSE)</f>
        <v>Palembang</v>
      </c>
    </row>
    <row r="867" spans="1:11" x14ac:dyDescent="0.35">
      <c r="A867" s="4" t="s">
        <v>1908</v>
      </c>
      <c r="B867" s="4" t="s">
        <v>390</v>
      </c>
      <c r="C867" s="4" t="s">
        <v>1029</v>
      </c>
      <c r="D867" s="4">
        <v>1</v>
      </c>
      <c r="E867" s="6">
        <v>39000</v>
      </c>
      <c r="F867" t="str">
        <f>VLOOKUP(C867,products!A:C,2,FALSE)</f>
        <v>Kabel Data USB-C</v>
      </c>
      <c r="G867">
        <f t="shared" si="26"/>
        <v>39000</v>
      </c>
      <c r="H867">
        <f>VLOOKUP(C867,products!A:D,4,FALSE)</f>
        <v>15000</v>
      </c>
      <c r="I867">
        <f t="shared" si="27"/>
        <v>24000</v>
      </c>
      <c r="J867" t="str">
        <f>VLOOKUP(B867,orders!A:B,2,FALSE)</f>
        <v>CUST0060</v>
      </c>
      <c r="K867" t="str">
        <f>VLOOKUP(J867,customers!A:F,6,FALSE)</f>
        <v>Palembang</v>
      </c>
    </row>
    <row r="868" spans="1:11" x14ac:dyDescent="0.35">
      <c r="A868" s="4" t="s">
        <v>1909</v>
      </c>
      <c r="B868" s="4" t="s">
        <v>761</v>
      </c>
      <c r="C868" s="4" t="s">
        <v>1023</v>
      </c>
      <c r="D868" s="4">
        <v>2</v>
      </c>
      <c r="E868" s="6">
        <v>69000</v>
      </c>
      <c r="F868" t="str">
        <f>VLOOKUP(C868,products!A:C,2,FALSE)</f>
        <v>Lampu LED Hias 5m</v>
      </c>
      <c r="G868">
        <f t="shared" si="26"/>
        <v>138000</v>
      </c>
      <c r="H868">
        <f>VLOOKUP(C868,products!A:D,4,FALSE)</f>
        <v>30000</v>
      </c>
      <c r="I868">
        <f t="shared" si="27"/>
        <v>78000</v>
      </c>
      <c r="J868" t="str">
        <f>VLOOKUP(B868,orders!A:B,2,FALSE)</f>
        <v>CUST0038</v>
      </c>
      <c r="K868" t="str">
        <f>VLOOKUP(J868,customers!A:F,6,FALSE)</f>
        <v>Depok</v>
      </c>
    </row>
    <row r="869" spans="1:11" x14ac:dyDescent="0.35">
      <c r="A869" s="4" t="s">
        <v>1910</v>
      </c>
      <c r="B869" s="4" t="s">
        <v>761</v>
      </c>
      <c r="C869" s="4" t="s">
        <v>1029</v>
      </c>
      <c r="D869" s="4">
        <v>1</v>
      </c>
      <c r="E869" s="6">
        <v>39000</v>
      </c>
      <c r="F869" t="str">
        <f>VLOOKUP(C869,products!A:C,2,FALSE)</f>
        <v>Kabel Data USB-C</v>
      </c>
      <c r="G869">
        <f t="shared" si="26"/>
        <v>39000</v>
      </c>
      <c r="H869">
        <f>VLOOKUP(C869,products!A:D,4,FALSE)</f>
        <v>15000</v>
      </c>
      <c r="I869">
        <f t="shared" si="27"/>
        <v>24000</v>
      </c>
      <c r="J869" t="str">
        <f>VLOOKUP(B869,orders!A:B,2,FALSE)</f>
        <v>CUST0038</v>
      </c>
      <c r="K869" t="str">
        <f>VLOOKUP(J869,customers!A:F,6,FALSE)</f>
        <v>Depok</v>
      </c>
    </row>
    <row r="870" spans="1:11" x14ac:dyDescent="0.35">
      <c r="A870" s="4" t="s">
        <v>1911</v>
      </c>
      <c r="B870" s="4" t="s">
        <v>721</v>
      </c>
      <c r="C870" s="4" t="s">
        <v>1025</v>
      </c>
      <c r="D870" s="4">
        <v>3</v>
      </c>
      <c r="E870" s="6">
        <v>179000</v>
      </c>
      <c r="F870" t="str">
        <f>VLOOKUP(C870,products!A:C,2,FALSE)</f>
        <v>Rak Penyimpanan Serbaguna</v>
      </c>
      <c r="G870">
        <f t="shared" si="26"/>
        <v>537000</v>
      </c>
      <c r="H870">
        <f>VLOOKUP(C870,products!A:D,4,FALSE)</f>
        <v>90000</v>
      </c>
      <c r="I870">
        <f t="shared" si="27"/>
        <v>267000</v>
      </c>
      <c r="J870" t="str">
        <f>VLOOKUP(B870,orders!A:B,2,FALSE)</f>
        <v>CUST0038</v>
      </c>
      <c r="K870" t="str">
        <f>VLOOKUP(J870,customers!A:F,6,FALSE)</f>
        <v>Depok</v>
      </c>
    </row>
    <row r="871" spans="1:11" x14ac:dyDescent="0.35">
      <c r="A871" s="4" t="s">
        <v>1912</v>
      </c>
      <c r="B871" s="4" t="s">
        <v>790</v>
      </c>
      <c r="C871" s="4" t="s">
        <v>1023</v>
      </c>
      <c r="D871" s="4">
        <v>1</v>
      </c>
      <c r="E871" s="6">
        <v>69000</v>
      </c>
      <c r="F871" t="str">
        <f>VLOOKUP(C871,products!A:C,2,FALSE)</f>
        <v>Lampu LED Hias 5m</v>
      </c>
      <c r="G871">
        <f t="shared" si="26"/>
        <v>69000</v>
      </c>
      <c r="H871">
        <f>VLOOKUP(C871,products!A:D,4,FALSE)</f>
        <v>30000</v>
      </c>
      <c r="I871">
        <f t="shared" si="27"/>
        <v>39000</v>
      </c>
      <c r="J871" t="str">
        <f>VLOOKUP(B871,orders!A:B,2,FALSE)</f>
        <v>CUST0045</v>
      </c>
      <c r="K871" t="str">
        <f>VLOOKUP(J871,customers!A:F,6,FALSE)</f>
        <v>Palembang</v>
      </c>
    </row>
    <row r="872" spans="1:11" x14ac:dyDescent="0.35">
      <c r="A872" s="4" t="s">
        <v>1913</v>
      </c>
      <c r="B872" s="4" t="s">
        <v>790</v>
      </c>
      <c r="C872" s="4" t="s">
        <v>1025</v>
      </c>
      <c r="D872" s="4">
        <v>3</v>
      </c>
      <c r="E872" s="6">
        <v>179000</v>
      </c>
      <c r="F872" t="str">
        <f>VLOOKUP(C872,products!A:C,2,FALSE)</f>
        <v>Rak Penyimpanan Serbaguna</v>
      </c>
      <c r="G872">
        <f t="shared" si="26"/>
        <v>537000</v>
      </c>
      <c r="H872">
        <f>VLOOKUP(C872,products!A:D,4,FALSE)</f>
        <v>90000</v>
      </c>
      <c r="I872">
        <f t="shared" si="27"/>
        <v>267000</v>
      </c>
      <c r="J872" t="str">
        <f>VLOOKUP(B872,orders!A:B,2,FALSE)</f>
        <v>CUST0045</v>
      </c>
      <c r="K872" t="str">
        <f>VLOOKUP(J872,customers!A:F,6,FALSE)</f>
        <v>Palembang</v>
      </c>
    </row>
    <row r="873" spans="1:11" x14ac:dyDescent="0.35">
      <c r="A873" s="4" t="s">
        <v>1914</v>
      </c>
      <c r="B873" s="4" t="s">
        <v>790</v>
      </c>
      <c r="C873" s="4" t="s">
        <v>1053</v>
      </c>
      <c r="D873" s="4">
        <v>1</v>
      </c>
      <c r="E873" s="6">
        <v>129000</v>
      </c>
      <c r="F873" t="str">
        <f>VLOOKUP(C873,products!A:C,2,FALSE)</f>
        <v>Charger Fast Charging 33W</v>
      </c>
      <c r="G873">
        <f t="shared" si="26"/>
        <v>129000</v>
      </c>
      <c r="H873">
        <f>VLOOKUP(C873,products!A:D,4,FALSE)</f>
        <v>60000</v>
      </c>
      <c r="I873">
        <f t="shared" si="27"/>
        <v>69000</v>
      </c>
      <c r="J873" t="str">
        <f>VLOOKUP(B873,orders!A:B,2,FALSE)</f>
        <v>CUST0045</v>
      </c>
      <c r="K873" t="str">
        <f>VLOOKUP(J873,customers!A:F,6,FALSE)</f>
        <v>Palembang</v>
      </c>
    </row>
    <row r="874" spans="1:11" x14ac:dyDescent="0.35">
      <c r="A874" s="4" t="s">
        <v>1915</v>
      </c>
      <c r="B874" s="4" t="s">
        <v>276</v>
      </c>
      <c r="C874" s="4" t="s">
        <v>1031</v>
      </c>
      <c r="D874" s="4">
        <v>1</v>
      </c>
      <c r="E874" s="6">
        <v>79000</v>
      </c>
      <c r="F874" t="str">
        <f>VLOOKUP(C874,products!A:C,2,FALSE)</f>
        <v>Kaos Polos Cotton Combed</v>
      </c>
      <c r="G874">
        <f t="shared" si="26"/>
        <v>79000</v>
      </c>
      <c r="H874">
        <f>VLOOKUP(C874,products!A:D,4,FALSE)</f>
        <v>35000</v>
      </c>
      <c r="I874">
        <f t="shared" si="27"/>
        <v>44000</v>
      </c>
      <c r="J874" t="str">
        <f>VLOOKUP(B874,orders!A:B,2,FALSE)</f>
        <v>CUST0007</v>
      </c>
      <c r="K874" t="str">
        <f>VLOOKUP(J874,customers!A:F,6,FALSE)</f>
        <v>Yogyakarta</v>
      </c>
    </row>
    <row r="875" spans="1:11" x14ac:dyDescent="0.35">
      <c r="A875" s="4" t="s">
        <v>1916</v>
      </c>
      <c r="B875" s="4" t="s">
        <v>276</v>
      </c>
      <c r="C875" s="4" t="s">
        <v>1023</v>
      </c>
      <c r="D875" s="4">
        <v>1</v>
      </c>
      <c r="E875" s="6">
        <v>69000</v>
      </c>
      <c r="F875" t="str">
        <f>VLOOKUP(C875,products!A:C,2,FALSE)</f>
        <v>Lampu LED Hias 5m</v>
      </c>
      <c r="G875">
        <f t="shared" si="26"/>
        <v>69000</v>
      </c>
      <c r="H875">
        <f>VLOOKUP(C875,products!A:D,4,FALSE)</f>
        <v>30000</v>
      </c>
      <c r="I875">
        <f t="shared" si="27"/>
        <v>39000</v>
      </c>
      <c r="J875" t="str">
        <f>VLOOKUP(B875,orders!A:B,2,FALSE)</f>
        <v>CUST0007</v>
      </c>
      <c r="K875" t="str">
        <f>VLOOKUP(J875,customers!A:F,6,FALSE)</f>
        <v>Yogyakarta</v>
      </c>
    </row>
    <row r="876" spans="1:11" x14ac:dyDescent="0.35">
      <c r="A876" s="4" t="s">
        <v>1917</v>
      </c>
      <c r="B876" s="4" t="s">
        <v>76</v>
      </c>
      <c r="C876" s="4" t="s">
        <v>1084</v>
      </c>
      <c r="D876" s="4">
        <v>2</v>
      </c>
      <c r="E876" s="6">
        <v>79000</v>
      </c>
      <c r="F876" t="str">
        <f>VLOOKUP(C876,products!A:C,2,FALSE)</f>
        <v>Botol Minum Stainless 1L</v>
      </c>
      <c r="G876">
        <f t="shared" si="26"/>
        <v>158000</v>
      </c>
      <c r="H876">
        <f>VLOOKUP(C876,products!A:D,4,FALSE)</f>
        <v>35000</v>
      </c>
      <c r="I876">
        <f t="shared" si="27"/>
        <v>88000</v>
      </c>
      <c r="J876" t="str">
        <f>VLOOKUP(B876,orders!A:B,2,FALSE)</f>
        <v>CUST0061</v>
      </c>
      <c r="K876" t="str">
        <f>VLOOKUP(J876,customers!A:F,6,FALSE)</f>
        <v>Yogyakarta</v>
      </c>
    </row>
    <row r="877" spans="1:11" x14ac:dyDescent="0.35">
      <c r="A877" s="4" t="s">
        <v>1918</v>
      </c>
      <c r="B877" s="4" t="s">
        <v>519</v>
      </c>
      <c r="C877" s="4" t="s">
        <v>1023</v>
      </c>
      <c r="D877" s="4">
        <v>1</v>
      </c>
      <c r="E877" s="6">
        <v>69000</v>
      </c>
      <c r="F877" t="str">
        <f>VLOOKUP(C877,products!A:C,2,FALSE)</f>
        <v>Lampu LED Hias 5m</v>
      </c>
      <c r="G877">
        <f t="shared" si="26"/>
        <v>69000</v>
      </c>
      <c r="H877">
        <f>VLOOKUP(C877,products!A:D,4,FALSE)</f>
        <v>30000</v>
      </c>
      <c r="I877">
        <f t="shared" si="27"/>
        <v>39000</v>
      </c>
      <c r="J877" t="str">
        <f>VLOOKUP(B877,orders!A:B,2,FALSE)</f>
        <v>CUST0045</v>
      </c>
      <c r="K877" t="str">
        <f>VLOOKUP(J877,customers!A:F,6,FALSE)</f>
        <v>Palembang</v>
      </c>
    </row>
    <row r="878" spans="1:11" x14ac:dyDescent="0.35">
      <c r="A878" s="4" t="s">
        <v>1919</v>
      </c>
      <c r="B878" s="4" t="s">
        <v>425</v>
      </c>
      <c r="C878" s="4" t="s">
        <v>1025</v>
      </c>
      <c r="D878" s="4">
        <v>3</v>
      </c>
      <c r="E878" s="6">
        <v>179000</v>
      </c>
      <c r="F878" t="str">
        <f>VLOOKUP(C878,products!A:C,2,FALSE)</f>
        <v>Rak Penyimpanan Serbaguna</v>
      </c>
      <c r="G878">
        <f t="shared" si="26"/>
        <v>537000</v>
      </c>
      <c r="H878">
        <f>VLOOKUP(C878,products!A:D,4,FALSE)</f>
        <v>90000</v>
      </c>
      <c r="I878">
        <f t="shared" si="27"/>
        <v>267000</v>
      </c>
      <c r="J878" t="str">
        <f>VLOOKUP(B878,orders!A:B,2,FALSE)</f>
        <v>CUST0033</v>
      </c>
      <c r="K878" t="str">
        <f>VLOOKUP(J878,customers!A:F,6,FALSE)</f>
        <v>Surabaya</v>
      </c>
    </row>
    <row r="879" spans="1:11" x14ac:dyDescent="0.35">
      <c r="A879" s="4" t="s">
        <v>1920</v>
      </c>
      <c r="B879" s="4" t="s">
        <v>462</v>
      </c>
      <c r="C879" s="4" t="s">
        <v>1023</v>
      </c>
      <c r="D879" s="4">
        <v>3</v>
      </c>
      <c r="E879" s="6">
        <v>69000</v>
      </c>
      <c r="F879" t="str">
        <f>VLOOKUP(C879,products!A:C,2,FALSE)</f>
        <v>Lampu LED Hias 5m</v>
      </c>
      <c r="G879">
        <f t="shared" si="26"/>
        <v>207000</v>
      </c>
      <c r="H879">
        <f>VLOOKUP(C879,products!A:D,4,FALSE)</f>
        <v>30000</v>
      </c>
      <c r="I879">
        <f t="shared" si="27"/>
        <v>117000</v>
      </c>
      <c r="J879" t="str">
        <f>VLOOKUP(B879,orders!A:B,2,FALSE)</f>
        <v>CUST0135</v>
      </c>
      <c r="K879" t="str">
        <f>VLOOKUP(J879,customers!A:F,6,FALSE)</f>
        <v>Bandung</v>
      </c>
    </row>
    <row r="880" spans="1:11" x14ac:dyDescent="0.35">
      <c r="A880" s="4" t="s">
        <v>1921</v>
      </c>
      <c r="B880" s="4" t="s">
        <v>462</v>
      </c>
      <c r="C880" s="4" t="s">
        <v>1031</v>
      </c>
      <c r="D880" s="4">
        <v>1</v>
      </c>
      <c r="E880" s="6">
        <v>79000</v>
      </c>
      <c r="F880" t="str">
        <f>VLOOKUP(C880,products!A:C,2,FALSE)</f>
        <v>Kaos Polos Cotton Combed</v>
      </c>
      <c r="G880">
        <f t="shared" si="26"/>
        <v>79000</v>
      </c>
      <c r="H880">
        <f>VLOOKUP(C880,products!A:D,4,FALSE)</f>
        <v>35000</v>
      </c>
      <c r="I880">
        <f t="shared" si="27"/>
        <v>44000</v>
      </c>
      <c r="J880" t="str">
        <f>VLOOKUP(B880,orders!A:B,2,FALSE)</f>
        <v>CUST0135</v>
      </c>
      <c r="K880" t="str">
        <f>VLOOKUP(J880,customers!A:F,6,FALSE)</f>
        <v>Bandung</v>
      </c>
    </row>
    <row r="881" spans="1:11" x14ac:dyDescent="0.35">
      <c r="A881" s="4" t="s">
        <v>1922</v>
      </c>
      <c r="B881" s="4" t="s">
        <v>235</v>
      </c>
      <c r="C881" s="4" t="s">
        <v>1029</v>
      </c>
      <c r="D881" s="4">
        <v>3</v>
      </c>
      <c r="E881" s="6">
        <v>39000</v>
      </c>
      <c r="F881" t="str">
        <f>VLOOKUP(C881,products!A:C,2,FALSE)</f>
        <v>Kabel Data USB-C</v>
      </c>
      <c r="G881">
        <f t="shared" si="26"/>
        <v>117000</v>
      </c>
      <c r="H881">
        <f>VLOOKUP(C881,products!A:D,4,FALSE)</f>
        <v>15000</v>
      </c>
      <c r="I881">
        <f t="shared" si="27"/>
        <v>72000</v>
      </c>
      <c r="J881" t="str">
        <f>VLOOKUP(B881,orders!A:B,2,FALSE)</f>
        <v>CUST0017</v>
      </c>
      <c r="K881" t="str">
        <f>VLOOKUP(J881,customers!A:F,6,FALSE)</f>
        <v>Jakarta</v>
      </c>
    </row>
    <row r="882" spans="1:11" x14ac:dyDescent="0.35">
      <c r="A882" s="4" t="s">
        <v>1923</v>
      </c>
      <c r="B882" s="4" t="s">
        <v>956</v>
      </c>
      <c r="C882" s="4" t="s">
        <v>1029</v>
      </c>
      <c r="D882" s="4">
        <v>1</v>
      </c>
      <c r="E882" s="6">
        <v>39000</v>
      </c>
      <c r="F882" t="str">
        <f>VLOOKUP(C882,products!A:C,2,FALSE)</f>
        <v>Kabel Data USB-C</v>
      </c>
      <c r="G882">
        <f t="shared" si="26"/>
        <v>39000</v>
      </c>
      <c r="H882">
        <f>VLOOKUP(C882,products!A:D,4,FALSE)</f>
        <v>15000</v>
      </c>
      <c r="I882">
        <f t="shared" si="27"/>
        <v>24000</v>
      </c>
      <c r="J882" t="str">
        <f>VLOOKUP(B882,orders!A:B,2,FALSE)</f>
        <v>CUST0200</v>
      </c>
      <c r="K882" t="str">
        <f>VLOOKUP(J882,customers!A:F,6,FALSE)</f>
        <v>Depok</v>
      </c>
    </row>
    <row r="883" spans="1:11" x14ac:dyDescent="0.35">
      <c r="A883" s="4" t="s">
        <v>1924</v>
      </c>
      <c r="B883" s="4" t="s">
        <v>602</v>
      </c>
      <c r="C883" s="4" t="s">
        <v>1036</v>
      </c>
      <c r="D883" s="4">
        <v>1</v>
      </c>
      <c r="E883" s="6">
        <v>229000</v>
      </c>
      <c r="F883" t="str">
        <f>VLOOKUP(C883,products!A:C,2,FALSE)</f>
        <v>Celana Jeans Slimfit</v>
      </c>
      <c r="G883">
        <f t="shared" si="26"/>
        <v>229000</v>
      </c>
      <c r="H883">
        <f>VLOOKUP(C883,products!A:D,4,FALSE)</f>
        <v>110000</v>
      </c>
      <c r="I883">
        <f t="shared" si="27"/>
        <v>119000</v>
      </c>
      <c r="J883" t="str">
        <f>VLOOKUP(B883,orders!A:B,2,FALSE)</f>
        <v>CUST0028</v>
      </c>
      <c r="K883" t="str">
        <f>VLOOKUP(J883,customers!A:F,6,FALSE)</f>
        <v>Semarang</v>
      </c>
    </row>
    <row r="884" spans="1:11" x14ac:dyDescent="0.35">
      <c r="A884" s="4" t="s">
        <v>1925</v>
      </c>
      <c r="B884" s="4" t="s">
        <v>191</v>
      </c>
      <c r="C884" s="4" t="s">
        <v>1023</v>
      </c>
      <c r="D884" s="4">
        <v>1</v>
      </c>
      <c r="E884" s="6">
        <v>69000</v>
      </c>
      <c r="F884" t="str">
        <f>VLOOKUP(C884,products!A:C,2,FALSE)</f>
        <v>Lampu LED Hias 5m</v>
      </c>
      <c r="G884">
        <f t="shared" si="26"/>
        <v>69000</v>
      </c>
      <c r="H884">
        <f>VLOOKUP(C884,products!A:D,4,FALSE)</f>
        <v>30000</v>
      </c>
      <c r="I884">
        <f t="shared" si="27"/>
        <v>39000</v>
      </c>
      <c r="J884" t="str">
        <f>VLOOKUP(B884,orders!A:B,2,FALSE)</f>
        <v>CUST0158</v>
      </c>
      <c r="K884" t="str">
        <f>VLOOKUP(J884,customers!A:F,6,FALSE)</f>
        <v>Yogyakarta</v>
      </c>
    </row>
    <row r="885" spans="1:11" x14ac:dyDescent="0.35">
      <c r="A885" s="4" t="s">
        <v>1926</v>
      </c>
      <c r="B885" s="4" t="s">
        <v>678</v>
      </c>
      <c r="C885" s="4" t="s">
        <v>1023</v>
      </c>
      <c r="D885" s="4">
        <v>1</v>
      </c>
      <c r="E885" s="6">
        <v>69000</v>
      </c>
      <c r="F885" t="str">
        <f>VLOOKUP(C885,products!A:C,2,FALSE)</f>
        <v>Lampu LED Hias 5m</v>
      </c>
      <c r="G885">
        <f t="shared" si="26"/>
        <v>69000</v>
      </c>
      <c r="H885">
        <f>VLOOKUP(C885,products!A:D,4,FALSE)</f>
        <v>30000</v>
      </c>
      <c r="I885">
        <f t="shared" si="27"/>
        <v>39000</v>
      </c>
      <c r="J885" t="str">
        <f>VLOOKUP(B885,orders!A:B,2,FALSE)</f>
        <v>CUST0169</v>
      </c>
      <c r="K885" t="str">
        <f>VLOOKUP(J885,customers!A:F,6,FALSE)</f>
        <v>Palembang</v>
      </c>
    </row>
    <row r="886" spans="1:11" x14ac:dyDescent="0.35">
      <c r="A886" s="4" t="s">
        <v>1927</v>
      </c>
      <c r="B886" s="4" t="s">
        <v>678</v>
      </c>
      <c r="C886" s="4" t="s">
        <v>1084</v>
      </c>
      <c r="D886" s="4">
        <v>1</v>
      </c>
      <c r="E886" s="6">
        <v>79000</v>
      </c>
      <c r="F886" t="str">
        <f>VLOOKUP(C886,products!A:C,2,FALSE)</f>
        <v>Botol Minum Stainless 1L</v>
      </c>
      <c r="G886">
        <f t="shared" si="26"/>
        <v>79000</v>
      </c>
      <c r="H886">
        <f>VLOOKUP(C886,products!A:D,4,FALSE)</f>
        <v>35000</v>
      </c>
      <c r="I886">
        <f t="shared" si="27"/>
        <v>44000</v>
      </c>
      <c r="J886" t="str">
        <f>VLOOKUP(B886,orders!A:B,2,FALSE)</f>
        <v>CUST0169</v>
      </c>
      <c r="K886" t="str">
        <f>VLOOKUP(J886,customers!A:F,6,FALSE)</f>
        <v>Palembang</v>
      </c>
    </row>
    <row r="887" spans="1:11" x14ac:dyDescent="0.35">
      <c r="A887" s="4" t="s">
        <v>1928</v>
      </c>
      <c r="B887" s="4" t="s">
        <v>26</v>
      </c>
      <c r="C887" s="4" t="s">
        <v>1044</v>
      </c>
      <c r="D887" s="4">
        <v>1</v>
      </c>
      <c r="E887" s="6">
        <v>329000</v>
      </c>
      <c r="F887" t="str">
        <f>VLOOKUP(C887,products!A:C,2,FALSE)</f>
        <v>Rice Cooker Mini 1.5L</v>
      </c>
      <c r="G887">
        <f t="shared" si="26"/>
        <v>329000</v>
      </c>
      <c r="H887">
        <f>VLOOKUP(C887,products!A:D,4,FALSE)</f>
        <v>180000</v>
      </c>
      <c r="I887">
        <f t="shared" si="27"/>
        <v>149000</v>
      </c>
      <c r="J887" t="str">
        <f>VLOOKUP(B887,orders!A:B,2,FALSE)</f>
        <v>CUST0165</v>
      </c>
      <c r="K887" t="str">
        <f>VLOOKUP(J887,customers!A:F,6,FALSE)</f>
        <v>Bandung</v>
      </c>
    </row>
    <row r="888" spans="1:11" x14ac:dyDescent="0.35">
      <c r="A888" s="4" t="s">
        <v>1929</v>
      </c>
      <c r="B888" s="4" t="s">
        <v>215</v>
      </c>
      <c r="C888" s="4" t="s">
        <v>1082</v>
      </c>
      <c r="D888" s="4">
        <v>1</v>
      </c>
      <c r="E888" s="6">
        <v>399000</v>
      </c>
      <c r="F888" t="str">
        <f>VLOOKUP(C888,products!A:C,2,FALSE)</f>
        <v>Keyboard Mechanical Mini</v>
      </c>
      <c r="G888">
        <f t="shared" si="26"/>
        <v>399000</v>
      </c>
      <c r="H888">
        <f>VLOOKUP(C888,products!A:D,4,FALSE)</f>
        <v>200000</v>
      </c>
      <c r="I888">
        <f t="shared" si="27"/>
        <v>199000</v>
      </c>
      <c r="J888" t="str">
        <f>VLOOKUP(B888,orders!A:B,2,FALSE)</f>
        <v>CUST0103</v>
      </c>
      <c r="K888" t="str">
        <f>VLOOKUP(J888,customers!A:F,6,FALSE)</f>
        <v>Semarang</v>
      </c>
    </row>
    <row r="889" spans="1:11" x14ac:dyDescent="0.35">
      <c r="A889" s="4" t="s">
        <v>1930</v>
      </c>
      <c r="B889" s="4" t="s">
        <v>215</v>
      </c>
      <c r="C889" s="4" t="s">
        <v>1053</v>
      </c>
      <c r="D889" s="4">
        <v>2</v>
      </c>
      <c r="E889" s="6">
        <v>129000</v>
      </c>
      <c r="F889" t="str">
        <f>VLOOKUP(C889,products!A:C,2,FALSE)</f>
        <v>Charger Fast Charging 33W</v>
      </c>
      <c r="G889">
        <f t="shared" si="26"/>
        <v>258000</v>
      </c>
      <c r="H889">
        <f>VLOOKUP(C889,products!A:D,4,FALSE)</f>
        <v>60000</v>
      </c>
      <c r="I889">
        <f t="shared" si="27"/>
        <v>138000</v>
      </c>
      <c r="J889" t="str">
        <f>VLOOKUP(B889,orders!A:B,2,FALSE)</f>
        <v>CUST0103</v>
      </c>
      <c r="K889" t="str">
        <f>VLOOKUP(J889,customers!A:F,6,FALSE)</f>
        <v>Semarang</v>
      </c>
    </row>
    <row r="890" spans="1:11" x14ac:dyDescent="0.35">
      <c r="A890" s="4" t="s">
        <v>1931</v>
      </c>
      <c r="B890" s="4" t="s">
        <v>944</v>
      </c>
      <c r="C890" s="4" t="s">
        <v>1082</v>
      </c>
      <c r="D890" s="4">
        <v>1</v>
      </c>
      <c r="E890" s="6">
        <v>399000</v>
      </c>
      <c r="F890" t="str">
        <f>VLOOKUP(C890,products!A:C,2,FALSE)</f>
        <v>Keyboard Mechanical Mini</v>
      </c>
      <c r="G890">
        <f t="shared" si="26"/>
        <v>399000</v>
      </c>
      <c r="H890">
        <f>VLOOKUP(C890,products!A:D,4,FALSE)</f>
        <v>200000</v>
      </c>
      <c r="I890">
        <f t="shared" si="27"/>
        <v>199000</v>
      </c>
      <c r="J890" t="str">
        <f>VLOOKUP(B890,orders!A:B,2,FALSE)</f>
        <v>CUST0126</v>
      </c>
      <c r="K890" t="str">
        <f>VLOOKUP(J890,customers!A:F,6,FALSE)</f>
        <v>Surabaya</v>
      </c>
    </row>
    <row r="891" spans="1:11" x14ac:dyDescent="0.35">
      <c r="A891" s="4" t="s">
        <v>1932</v>
      </c>
      <c r="B891" s="4" t="s">
        <v>186</v>
      </c>
      <c r="C891" s="4" t="s">
        <v>1082</v>
      </c>
      <c r="D891" s="4">
        <v>2</v>
      </c>
      <c r="E891" s="6">
        <v>399000</v>
      </c>
      <c r="F891" t="str">
        <f>VLOOKUP(C891,products!A:C,2,FALSE)</f>
        <v>Keyboard Mechanical Mini</v>
      </c>
      <c r="G891">
        <f t="shared" si="26"/>
        <v>798000</v>
      </c>
      <c r="H891">
        <f>VLOOKUP(C891,products!A:D,4,FALSE)</f>
        <v>200000</v>
      </c>
      <c r="I891">
        <f t="shared" si="27"/>
        <v>398000</v>
      </c>
      <c r="J891" t="str">
        <f>VLOOKUP(B891,orders!A:B,2,FALSE)</f>
        <v>CUST0114</v>
      </c>
      <c r="K891" t="str">
        <f>VLOOKUP(J891,customers!A:F,6,FALSE)</f>
        <v>Denpasar</v>
      </c>
    </row>
    <row r="892" spans="1:11" x14ac:dyDescent="0.35">
      <c r="A892" s="4" t="s">
        <v>1933</v>
      </c>
      <c r="B892" s="4" t="s">
        <v>713</v>
      </c>
      <c r="C892" s="4" t="s">
        <v>1023</v>
      </c>
      <c r="D892" s="4">
        <v>3</v>
      </c>
      <c r="E892" s="6">
        <v>69000</v>
      </c>
      <c r="F892" t="str">
        <f>VLOOKUP(C892,products!A:C,2,FALSE)</f>
        <v>Lampu LED Hias 5m</v>
      </c>
      <c r="G892">
        <f t="shared" si="26"/>
        <v>207000</v>
      </c>
      <c r="H892">
        <f>VLOOKUP(C892,products!A:D,4,FALSE)</f>
        <v>30000</v>
      </c>
      <c r="I892">
        <f t="shared" si="27"/>
        <v>117000</v>
      </c>
      <c r="J892" t="str">
        <f>VLOOKUP(B892,orders!A:B,2,FALSE)</f>
        <v>CUST0156</v>
      </c>
      <c r="K892" t="str">
        <f>VLOOKUP(J892,customers!A:F,6,FALSE)</f>
        <v>Bandung</v>
      </c>
    </row>
    <row r="893" spans="1:11" x14ac:dyDescent="0.35">
      <c r="A893" s="4" t="s">
        <v>1934</v>
      </c>
      <c r="B893" s="4" t="s">
        <v>863</v>
      </c>
      <c r="C893" s="4" t="s">
        <v>1025</v>
      </c>
      <c r="D893" s="4">
        <v>1</v>
      </c>
      <c r="E893" s="6">
        <v>179000</v>
      </c>
      <c r="F893" t="str">
        <f>VLOOKUP(C893,products!A:C,2,FALSE)</f>
        <v>Rak Penyimpanan Serbaguna</v>
      </c>
      <c r="G893">
        <f t="shared" si="26"/>
        <v>179000</v>
      </c>
      <c r="H893">
        <f>VLOOKUP(C893,products!A:D,4,FALSE)</f>
        <v>90000</v>
      </c>
      <c r="I893">
        <f t="shared" si="27"/>
        <v>89000</v>
      </c>
      <c r="J893" t="str">
        <f>VLOOKUP(B893,orders!A:B,2,FALSE)</f>
        <v>CUST0033</v>
      </c>
      <c r="K893" t="str">
        <f>VLOOKUP(J893,customers!A:F,6,FALSE)</f>
        <v>Surabaya</v>
      </c>
    </row>
    <row r="894" spans="1:11" x14ac:dyDescent="0.35">
      <c r="A894" s="4" t="s">
        <v>1935</v>
      </c>
      <c r="B894" s="4" t="s">
        <v>863</v>
      </c>
      <c r="C894" s="4" t="s">
        <v>1031</v>
      </c>
      <c r="D894" s="4">
        <v>1</v>
      </c>
      <c r="E894" s="6">
        <v>79000</v>
      </c>
      <c r="F894" t="str">
        <f>VLOOKUP(C894,products!A:C,2,FALSE)</f>
        <v>Kaos Polos Cotton Combed</v>
      </c>
      <c r="G894">
        <f t="shared" si="26"/>
        <v>79000</v>
      </c>
      <c r="H894">
        <f>VLOOKUP(C894,products!A:D,4,FALSE)</f>
        <v>35000</v>
      </c>
      <c r="I894">
        <f t="shared" si="27"/>
        <v>44000</v>
      </c>
      <c r="J894" t="str">
        <f>VLOOKUP(B894,orders!A:B,2,FALSE)</f>
        <v>CUST0033</v>
      </c>
      <c r="K894" t="str">
        <f>VLOOKUP(J894,customers!A:F,6,FALSE)</f>
        <v>Surabaya</v>
      </c>
    </row>
    <row r="895" spans="1:11" x14ac:dyDescent="0.35">
      <c r="A895" s="4" t="s">
        <v>1936</v>
      </c>
      <c r="B895" s="4" t="s">
        <v>629</v>
      </c>
      <c r="C895" s="4" t="s">
        <v>1082</v>
      </c>
      <c r="D895" s="4">
        <v>1</v>
      </c>
      <c r="E895" s="6">
        <v>399000</v>
      </c>
      <c r="F895" t="str">
        <f>VLOOKUP(C895,products!A:C,2,FALSE)</f>
        <v>Keyboard Mechanical Mini</v>
      </c>
      <c r="G895">
        <f t="shared" si="26"/>
        <v>399000</v>
      </c>
      <c r="H895">
        <f>VLOOKUP(C895,products!A:D,4,FALSE)</f>
        <v>200000</v>
      </c>
      <c r="I895">
        <f t="shared" si="27"/>
        <v>199000</v>
      </c>
      <c r="J895" t="str">
        <f>VLOOKUP(B895,orders!A:B,2,FALSE)</f>
        <v>CUST0163</v>
      </c>
      <c r="K895" t="str">
        <f>VLOOKUP(J895,customers!A:F,6,FALSE)</f>
        <v>Denpasar</v>
      </c>
    </row>
    <row r="896" spans="1:11" x14ac:dyDescent="0.35">
      <c r="A896" s="4" t="s">
        <v>1937</v>
      </c>
      <c r="B896" s="4" t="s">
        <v>629</v>
      </c>
      <c r="C896" s="4" t="s">
        <v>1033</v>
      </c>
      <c r="D896" s="4">
        <v>1</v>
      </c>
      <c r="E896" s="6">
        <v>55000</v>
      </c>
      <c r="F896" t="str">
        <f>VLOOKUP(C896,products!A:C,2,FALSE)</f>
        <v>Sapu + Pengki Set</v>
      </c>
      <c r="G896">
        <f t="shared" si="26"/>
        <v>55000</v>
      </c>
      <c r="H896">
        <f>VLOOKUP(C896,products!A:D,4,FALSE)</f>
        <v>25000</v>
      </c>
      <c r="I896">
        <f t="shared" si="27"/>
        <v>30000</v>
      </c>
      <c r="J896" t="str">
        <f>VLOOKUP(B896,orders!A:B,2,FALSE)</f>
        <v>CUST0163</v>
      </c>
      <c r="K896" t="str">
        <f>VLOOKUP(J896,customers!A:F,6,FALSE)</f>
        <v>Denpasar</v>
      </c>
    </row>
    <row r="897" spans="1:11" x14ac:dyDescent="0.35">
      <c r="A897" s="4" t="s">
        <v>1938</v>
      </c>
      <c r="B897" s="4" t="s">
        <v>629</v>
      </c>
      <c r="C897" s="4" t="s">
        <v>1023</v>
      </c>
      <c r="D897" s="4">
        <v>1</v>
      </c>
      <c r="E897" s="6">
        <v>69000</v>
      </c>
      <c r="F897" t="str">
        <f>VLOOKUP(C897,products!A:C,2,FALSE)</f>
        <v>Lampu LED Hias 5m</v>
      </c>
      <c r="G897">
        <f t="shared" si="26"/>
        <v>69000</v>
      </c>
      <c r="H897">
        <f>VLOOKUP(C897,products!A:D,4,FALSE)</f>
        <v>30000</v>
      </c>
      <c r="I897">
        <f t="shared" si="27"/>
        <v>39000</v>
      </c>
      <c r="J897" t="str">
        <f>VLOOKUP(B897,orders!A:B,2,FALSE)</f>
        <v>CUST0163</v>
      </c>
      <c r="K897" t="str">
        <f>VLOOKUP(J897,customers!A:F,6,FALSE)</f>
        <v>Denpasar</v>
      </c>
    </row>
    <row r="898" spans="1:11" x14ac:dyDescent="0.35">
      <c r="A898" s="4" t="s">
        <v>1939</v>
      </c>
      <c r="B898" s="4" t="s">
        <v>444</v>
      </c>
      <c r="C898" s="4" t="s">
        <v>1023</v>
      </c>
      <c r="D898" s="4">
        <v>1</v>
      </c>
      <c r="E898" s="6">
        <v>69000</v>
      </c>
      <c r="F898" t="str">
        <f>VLOOKUP(C898,products!A:C,2,FALSE)</f>
        <v>Lampu LED Hias 5m</v>
      </c>
      <c r="G898">
        <f t="shared" si="26"/>
        <v>69000</v>
      </c>
      <c r="H898">
        <f>VLOOKUP(C898,products!A:D,4,FALSE)</f>
        <v>30000</v>
      </c>
      <c r="I898">
        <f t="shared" si="27"/>
        <v>39000</v>
      </c>
      <c r="J898" t="str">
        <f>VLOOKUP(B898,orders!A:B,2,FALSE)</f>
        <v>CUST0084</v>
      </c>
      <c r="K898" t="str">
        <f>VLOOKUP(J898,customers!A:F,6,FALSE)</f>
        <v>Surabaya</v>
      </c>
    </row>
    <row r="899" spans="1:11" x14ac:dyDescent="0.35">
      <c r="A899" s="4" t="s">
        <v>1940</v>
      </c>
      <c r="B899" s="4" t="s">
        <v>280</v>
      </c>
      <c r="C899" s="4" t="s">
        <v>1029</v>
      </c>
      <c r="D899" s="4">
        <v>1</v>
      </c>
      <c r="E899" s="6">
        <v>39000</v>
      </c>
      <c r="F899" t="str">
        <f>VLOOKUP(C899,products!A:C,2,FALSE)</f>
        <v>Kabel Data USB-C</v>
      </c>
      <c r="G899">
        <f t="shared" ref="G899:G962" si="28">D899*E899</f>
        <v>39000</v>
      </c>
      <c r="H899">
        <f>VLOOKUP(C899,products!A:D,4,FALSE)</f>
        <v>15000</v>
      </c>
      <c r="I899">
        <f t="shared" ref="I899:I962" si="29">(E899-H899)*D899</f>
        <v>24000</v>
      </c>
      <c r="J899" t="str">
        <f>VLOOKUP(B899,orders!A:B,2,FALSE)</f>
        <v>CUST0136</v>
      </c>
      <c r="K899" t="str">
        <f>VLOOKUP(J899,customers!A:F,6,FALSE)</f>
        <v>Yogyakarta</v>
      </c>
    </row>
    <row r="900" spans="1:11" x14ac:dyDescent="0.35">
      <c r="A900" s="4" t="s">
        <v>1941</v>
      </c>
      <c r="B900" s="4" t="s">
        <v>130</v>
      </c>
      <c r="C900" s="4" t="s">
        <v>1036</v>
      </c>
      <c r="D900" s="4">
        <v>2</v>
      </c>
      <c r="E900" s="6">
        <v>229000</v>
      </c>
      <c r="F900" t="str">
        <f>VLOOKUP(C900,products!A:C,2,FALSE)</f>
        <v>Celana Jeans Slimfit</v>
      </c>
      <c r="G900">
        <f t="shared" si="28"/>
        <v>458000</v>
      </c>
      <c r="H900">
        <f>VLOOKUP(C900,products!A:D,4,FALSE)</f>
        <v>110000</v>
      </c>
      <c r="I900">
        <f t="shared" si="29"/>
        <v>238000</v>
      </c>
      <c r="J900" t="str">
        <f>VLOOKUP(B900,orders!A:B,2,FALSE)</f>
        <v>CUST0155</v>
      </c>
      <c r="K900" t="str">
        <f>VLOOKUP(J900,customers!A:F,6,FALSE)</f>
        <v>Yogyakarta</v>
      </c>
    </row>
    <row r="901" spans="1:11" x14ac:dyDescent="0.35">
      <c r="A901" s="4" t="s">
        <v>1942</v>
      </c>
      <c r="B901" s="4" t="s">
        <v>237</v>
      </c>
      <c r="C901" s="4" t="s">
        <v>1023</v>
      </c>
      <c r="D901" s="4">
        <v>1</v>
      </c>
      <c r="E901" s="6">
        <v>69000</v>
      </c>
      <c r="F901" t="str">
        <f>VLOOKUP(C901,products!A:C,2,FALSE)</f>
        <v>Lampu LED Hias 5m</v>
      </c>
      <c r="G901">
        <f t="shared" si="28"/>
        <v>69000</v>
      </c>
      <c r="H901">
        <f>VLOOKUP(C901,products!A:D,4,FALSE)</f>
        <v>30000</v>
      </c>
      <c r="I901">
        <f t="shared" si="29"/>
        <v>39000</v>
      </c>
      <c r="J901" t="str">
        <f>VLOOKUP(B901,orders!A:B,2,FALSE)</f>
        <v>CUST0180</v>
      </c>
      <c r="K901" t="str">
        <f>VLOOKUP(J901,customers!A:F,6,FALSE)</f>
        <v>Denpasar</v>
      </c>
    </row>
    <row r="902" spans="1:11" x14ac:dyDescent="0.35">
      <c r="A902" s="4" t="s">
        <v>1943</v>
      </c>
      <c r="B902" s="4" t="s">
        <v>237</v>
      </c>
      <c r="C902" s="4" t="s">
        <v>1044</v>
      </c>
      <c r="D902" s="4">
        <v>1</v>
      </c>
      <c r="E902" s="6">
        <v>329000</v>
      </c>
      <c r="F902" t="str">
        <f>VLOOKUP(C902,products!A:C,2,FALSE)</f>
        <v>Rice Cooker Mini 1.5L</v>
      </c>
      <c r="G902">
        <f t="shared" si="28"/>
        <v>329000</v>
      </c>
      <c r="H902">
        <f>VLOOKUP(C902,products!A:D,4,FALSE)</f>
        <v>180000</v>
      </c>
      <c r="I902">
        <f t="shared" si="29"/>
        <v>149000</v>
      </c>
      <c r="J902" t="str">
        <f>VLOOKUP(B902,orders!A:B,2,FALSE)</f>
        <v>CUST0180</v>
      </c>
      <c r="K902" t="str">
        <f>VLOOKUP(J902,customers!A:F,6,FALSE)</f>
        <v>Denpasar</v>
      </c>
    </row>
    <row r="903" spans="1:11" x14ac:dyDescent="0.35">
      <c r="A903" s="4" t="s">
        <v>1944</v>
      </c>
      <c r="B903" s="4" t="s">
        <v>588</v>
      </c>
      <c r="C903" s="4" t="s">
        <v>1029</v>
      </c>
      <c r="D903" s="4">
        <v>1</v>
      </c>
      <c r="E903" s="6">
        <v>39000</v>
      </c>
      <c r="F903" t="str">
        <f>VLOOKUP(C903,products!A:C,2,FALSE)</f>
        <v>Kabel Data USB-C</v>
      </c>
      <c r="G903">
        <f t="shared" si="28"/>
        <v>39000</v>
      </c>
      <c r="H903">
        <f>VLOOKUP(C903,products!A:D,4,FALSE)</f>
        <v>15000</v>
      </c>
      <c r="I903">
        <f t="shared" si="29"/>
        <v>24000</v>
      </c>
      <c r="J903" t="str">
        <f>VLOOKUP(B903,orders!A:B,2,FALSE)</f>
        <v>CUST0168</v>
      </c>
      <c r="K903" t="str">
        <f>VLOOKUP(J903,customers!A:F,6,FALSE)</f>
        <v>Jakarta</v>
      </c>
    </row>
    <row r="904" spans="1:11" x14ac:dyDescent="0.35">
      <c r="A904" s="4" t="s">
        <v>1945</v>
      </c>
      <c r="B904" s="4" t="s">
        <v>588</v>
      </c>
      <c r="C904" s="4" t="s">
        <v>1044</v>
      </c>
      <c r="D904" s="4">
        <v>1</v>
      </c>
      <c r="E904" s="6">
        <v>329000</v>
      </c>
      <c r="F904" t="str">
        <f>VLOOKUP(C904,products!A:C,2,FALSE)</f>
        <v>Rice Cooker Mini 1.5L</v>
      </c>
      <c r="G904">
        <f t="shared" si="28"/>
        <v>329000</v>
      </c>
      <c r="H904">
        <f>VLOOKUP(C904,products!A:D,4,FALSE)</f>
        <v>180000</v>
      </c>
      <c r="I904">
        <f t="shared" si="29"/>
        <v>149000</v>
      </c>
      <c r="J904" t="str">
        <f>VLOOKUP(B904,orders!A:B,2,FALSE)</f>
        <v>CUST0168</v>
      </c>
      <c r="K904" t="str">
        <f>VLOOKUP(J904,customers!A:F,6,FALSE)</f>
        <v>Jakarta</v>
      </c>
    </row>
    <row r="905" spans="1:11" x14ac:dyDescent="0.35">
      <c r="A905" s="4" t="s">
        <v>1946</v>
      </c>
      <c r="B905" s="4" t="s">
        <v>588</v>
      </c>
      <c r="C905" s="4" t="s">
        <v>1023</v>
      </c>
      <c r="D905" s="4">
        <v>1</v>
      </c>
      <c r="E905" s="6">
        <v>69000</v>
      </c>
      <c r="F905" t="str">
        <f>VLOOKUP(C905,products!A:C,2,FALSE)</f>
        <v>Lampu LED Hias 5m</v>
      </c>
      <c r="G905">
        <f t="shared" si="28"/>
        <v>69000</v>
      </c>
      <c r="H905">
        <f>VLOOKUP(C905,products!A:D,4,FALSE)</f>
        <v>30000</v>
      </c>
      <c r="I905">
        <f t="shared" si="29"/>
        <v>39000</v>
      </c>
      <c r="J905" t="str">
        <f>VLOOKUP(B905,orders!A:B,2,FALSE)</f>
        <v>CUST0168</v>
      </c>
      <c r="K905" t="str">
        <f>VLOOKUP(J905,customers!A:F,6,FALSE)</f>
        <v>Jakarta</v>
      </c>
    </row>
    <row r="906" spans="1:11" x14ac:dyDescent="0.35">
      <c r="A906" s="4" t="s">
        <v>1947</v>
      </c>
      <c r="B906" s="4" t="s">
        <v>588</v>
      </c>
      <c r="C906" s="4" t="s">
        <v>1025</v>
      </c>
      <c r="D906" s="4">
        <v>1</v>
      </c>
      <c r="E906" s="6">
        <v>179000</v>
      </c>
      <c r="F906" t="str">
        <f>VLOOKUP(C906,products!A:C,2,FALSE)</f>
        <v>Rak Penyimpanan Serbaguna</v>
      </c>
      <c r="G906">
        <f t="shared" si="28"/>
        <v>179000</v>
      </c>
      <c r="H906">
        <f>VLOOKUP(C906,products!A:D,4,FALSE)</f>
        <v>90000</v>
      </c>
      <c r="I906">
        <f t="shared" si="29"/>
        <v>89000</v>
      </c>
      <c r="J906" t="str">
        <f>VLOOKUP(B906,orders!A:B,2,FALSE)</f>
        <v>CUST0168</v>
      </c>
      <c r="K906" t="str">
        <f>VLOOKUP(J906,customers!A:F,6,FALSE)</f>
        <v>Jakarta</v>
      </c>
    </row>
    <row r="907" spans="1:11" x14ac:dyDescent="0.35">
      <c r="A907" s="4" t="s">
        <v>1948</v>
      </c>
      <c r="B907" s="4" t="s">
        <v>807</v>
      </c>
      <c r="C907" s="4" t="s">
        <v>1029</v>
      </c>
      <c r="D907" s="4">
        <v>1</v>
      </c>
      <c r="E907" s="6">
        <v>39000</v>
      </c>
      <c r="F907" t="str">
        <f>VLOOKUP(C907,products!A:C,2,FALSE)</f>
        <v>Kabel Data USB-C</v>
      </c>
      <c r="G907">
        <f t="shared" si="28"/>
        <v>39000</v>
      </c>
      <c r="H907">
        <f>VLOOKUP(C907,products!A:D,4,FALSE)</f>
        <v>15000</v>
      </c>
      <c r="I907">
        <f t="shared" si="29"/>
        <v>24000</v>
      </c>
      <c r="J907" t="str">
        <f>VLOOKUP(B907,orders!A:B,2,FALSE)</f>
        <v>CUST0197</v>
      </c>
      <c r="K907" t="str">
        <f>VLOOKUP(J907,customers!A:F,6,FALSE)</f>
        <v>Bandung</v>
      </c>
    </row>
    <row r="908" spans="1:11" x14ac:dyDescent="0.35">
      <c r="A908" s="4" t="s">
        <v>1949</v>
      </c>
      <c r="B908" s="4" t="s">
        <v>807</v>
      </c>
      <c r="C908" s="4" t="s">
        <v>1325</v>
      </c>
      <c r="D908" s="4">
        <v>1</v>
      </c>
      <c r="E908" s="6">
        <v>199000</v>
      </c>
      <c r="F908" t="str">
        <f>VLOOKUP(C908,products!A:C,2,FALSE)</f>
        <v>Speaker Bluetooth Mini</v>
      </c>
      <c r="G908">
        <f t="shared" si="28"/>
        <v>199000</v>
      </c>
      <c r="H908">
        <f>VLOOKUP(C908,products!A:D,4,FALSE)</f>
        <v>100000</v>
      </c>
      <c r="I908">
        <f t="shared" si="29"/>
        <v>99000</v>
      </c>
      <c r="J908" t="str">
        <f>VLOOKUP(B908,orders!A:B,2,FALSE)</f>
        <v>CUST0197</v>
      </c>
      <c r="K908" t="str">
        <f>VLOOKUP(J908,customers!A:F,6,FALSE)</f>
        <v>Bandung</v>
      </c>
    </row>
    <row r="909" spans="1:11" x14ac:dyDescent="0.35">
      <c r="A909" s="4" t="s">
        <v>1950</v>
      </c>
      <c r="B909" s="4" t="s">
        <v>643</v>
      </c>
      <c r="C909" s="4" t="s">
        <v>1029</v>
      </c>
      <c r="D909" s="4">
        <v>1</v>
      </c>
      <c r="E909" s="6">
        <v>39000</v>
      </c>
      <c r="F909" t="str">
        <f>VLOOKUP(C909,products!A:C,2,FALSE)</f>
        <v>Kabel Data USB-C</v>
      </c>
      <c r="G909">
        <f t="shared" si="28"/>
        <v>39000</v>
      </c>
      <c r="H909">
        <f>VLOOKUP(C909,products!A:D,4,FALSE)</f>
        <v>15000</v>
      </c>
      <c r="I909">
        <f t="shared" si="29"/>
        <v>24000</v>
      </c>
      <c r="J909" t="str">
        <f>VLOOKUP(B909,orders!A:B,2,FALSE)</f>
        <v>CUST0056</v>
      </c>
      <c r="K909" t="str">
        <f>VLOOKUP(J909,customers!A:F,6,FALSE)</f>
        <v>Surabaya</v>
      </c>
    </row>
    <row r="910" spans="1:11" x14ac:dyDescent="0.35">
      <c r="A910" s="4" t="s">
        <v>1951</v>
      </c>
      <c r="B910" s="4" t="s">
        <v>643</v>
      </c>
      <c r="C910" s="4" t="s">
        <v>1025</v>
      </c>
      <c r="D910" s="4">
        <v>1</v>
      </c>
      <c r="E910" s="6">
        <v>179000</v>
      </c>
      <c r="F910" t="str">
        <f>VLOOKUP(C910,products!A:C,2,FALSE)</f>
        <v>Rak Penyimpanan Serbaguna</v>
      </c>
      <c r="G910">
        <f t="shared" si="28"/>
        <v>179000</v>
      </c>
      <c r="H910">
        <f>VLOOKUP(C910,products!A:D,4,FALSE)</f>
        <v>90000</v>
      </c>
      <c r="I910">
        <f t="shared" si="29"/>
        <v>89000</v>
      </c>
      <c r="J910" t="str">
        <f>VLOOKUP(B910,orders!A:B,2,FALSE)</f>
        <v>CUST0056</v>
      </c>
      <c r="K910" t="str">
        <f>VLOOKUP(J910,customers!A:F,6,FALSE)</f>
        <v>Surabaya</v>
      </c>
    </row>
    <row r="911" spans="1:11" x14ac:dyDescent="0.35">
      <c r="A911" s="4" t="s">
        <v>1952</v>
      </c>
      <c r="B911" s="4" t="s">
        <v>68</v>
      </c>
      <c r="C911" s="4" t="s">
        <v>1023</v>
      </c>
      <c r="D911" s="4">
        <v>3</v>
      </c>
      <c r="E911" s="6">
        <v>69000</v>
      </c>
      <c r="F911" t="str">
        <f>VLOOKUP(C911,products!A:C,2,FALSE)</f>
        <v>Lampu LED Hias 5m</v>
      </c>
      <c r="G911">
        <f t="shared" si="28"/>
        <v>207000</v>
      </c>
      <c r="H911">
        <f>VLOOKUP(C911,products!A:D,4,FALSE)</f>
        <v>30000</v>
      </c>
      <c r="I911">
        <f t="shared" si="29"/>
        <v>117000</v>
      </c>
      <c r="J911" t="str">
        <f>VLOOKUP(B911,orders!A:B,2,FALSE)</f>
        <v>CUST0059</v>
      </c>
      <c r="K911" t="str">
        <f>VLOOKUP(J911,customers!A:F,6,FALSE)</f>
        <v>Yogyakarta</v>
      </c>
    </row>
    <row r="912" spans="1:11" x14ac:dyDescent="0.35">
      <c r="A912" s="4" t="s">
        <v>1953</v>
      </c>
      <c r="B912" s="4" t="s">
        <v>770</v>
      </c>
      <c r="C912" s="4" t="s">
        <v>1029</v>
      </c>
      <c r="D912" s="4">
        <v>2</v>
      </c>
      <c r="E912" s="6">
        <v>39000</v>
      </c>
      <c r="F912" t="str">
        <f>VLOOKUP(C912,products!A:C,2,FALSE)</f>
        <v>Kabel Data USB-C</v>
      </c>
      <c r="G912">
        <f t="shared" si="28"/>
        <v>78000</v>
      </c>
      <c r="H912">
        <f>VLOOKUP(C912,products!A:D,4,FALSE)</f>
        <v>15000</v>
      </c>
      <c r="I912">
        <f t="shared" si="29"/>
        <v>48000</v>
      </c>
      <c r="J912" t="str">
        <f>VLOOKUP(B912,orders!A:B,2,FALSE)</f>
        <v>CUST0117</v>
      </c>
      <c r="K912" t="str">
        <f>VLOOKUP(J912,customers!A:F,6,FALSE)</f>
        <v>Semarang</v>
      </c>
    </row>
    <row r="913" spans="1:11" x14ac:dyDescent="0.35">
      <c r="A913" s="4" t="s">
        <v>1954</v>
      </c>
      <c r="B913" s="4" t="s">
        <v>770</v>
      </c>
      <c r="C913" s="4" t="s">
        <v>1044</v>
      </c>
      <c r="D913" s="4">
        <v>1</v>
      </c>
      <c r="E913" s="6">
        <v>329000</v>
      </c>
      <c r="F913" t="str">
        <f>VLOOKUP(C913,products!A:C,2,FALSE)</f>
        <v>Rice Cooker Mini 1.5L</v>
      </c>
      <c r="G913">
        <f t="shared" si="28"/>
        <v>329000</v>
      </c>
      <c r="H913">
        <f>VLOOKUP(C913,products!A:D,4,FALSE)</f>
        <v>180000</v>
      </c>
      <c r="I913">
        <f t="shared" si="29"/>
        <v>149000</v>
      </c>
      <c r="J913" t="str">
        <f>VLOOKUP(B913,orders!A:B,2,FALSE)</f>
        <v>CUST0117</v>
      </c>
      <c r="K913" t="str">
        <f>VLOOKUP(J913,customers!A:F,6,FALSE)</f>
        <v>Semarang</v>
      </c>
    </row>
    <row r="914" spans="1:11" x14ac:dyDescent="0.35">
      <c r="A914" s="4" t="s">
        <v>1955</v>
      </c>
      <c r="B914" s="4" t="s">
        <v>770</v>
      </c>
      <c r="C914" s="4" t="s">
        <v>1023</v>
      </c>
      <c r="D914" s="4">
        <v>3</v>
      </c>
      <c r="E914" s="6">
        <v>69000</v>
      </c>
      <c r="F914" t="str">
        <f>VLOOKUP(C914,products!A:C,2,FALSE)</f>
        <v>Lampu LED Hias 5m</v>
      </c>
      <c r="G914">
        <f t="shared" si="28"/>
        <v>207000</v>
      </c>
      <c r="H914">
        <f>VLOOKUP(C914,products!A:D,4,FALSE)</f>
        <v>30000</v>
      </c>
      <c r="I914">
        <f t="shared" si="29"/>
        <v>117000</v>
      </c>
      <c r="J914" t="str">
        <f>VLOOKUP(B914,orders!A:B,2,FALSE)</f>
        <v>CUST0117</v>
      </c>
      <c r="K914" t="str">
        <f>VLOOKUP(J914,customers!A:F,6,FALSE)</f>
        <v>Semarang</v>
      </c>
    </row>
    <row r="915" spans="1:11" x14ac:dyDescent="0.35">
      <c r="A915" s="4" t="s">
        <v>1956</v>
      </c>
      <c r="B915" s="4" t="s">
        <v>399</v>
      </c>
      <c r="C915" s="4" t="s">
        <v>1031</v>
      </c>
      <c r="D915" s="4">
        <v>3</v>
      </c>
      <c r="E915" s="6">
        <v>79000</v>
      </c>
      <c r="F915" t="str">
        <f>VLOOKUP(C915,products!A:C,2,FALSE)</f>
        <v>Kaos Polos Cotton Combed</v>
      </c>
      <c r="G915">
        <f t="shared" si="28"/>
        <v>237000</v>
      </c>
      <c r="H915">
        <f>VLOOKUP(C915,products!A:D,4,FALSE)</f>
        <v>35000</v>
      </c>
      <c r="I915">
        <f t="shared" si="29"/>
        <v>132000</v>
      </c>
      <c r="J915" t="str">
        <f>VLOOKUP(B915,orders!A:B,2,FALSE)</f>
        <v>CUST0187</v>
      </c>
      <c r="K915" t="str">
        <f>VLOOKUP(J915,customers!A:F,6,FALSE)</f>
        <v>Jakarta</v>
      </c>
    </row>
    <row r="916" spans="1:11" x14ac:dyDescent="0.35">
      <c r="A916" s="4" t="s">
        <v>1957</v>
      </c>
      <c r="B916" s="4" t="s">
        <v>399</v>
      </c>
      <c r="C916" s="4" t="s">
        <v>1036</v>
      </c>
      <c r="D916" s="4">
        <v>1</v>
      </c>
      <c r="E916" s="6">
        <v>229000</v>
      </c>
      <c r="F916" t="str">
        <f>VLOOKUP(C916,products!A:C,2,FALSE)</f>
        <v>Celana Jeans Slimfit</v>
      </c>
      <c r="G916">
        <f t="shared" si="28"/>
        <v>229000</v>
      </c>
      <c r="H916">
        <f>VLOOKUP(C916,products!A:D,4,FALSE)</f>
        <v>110000</v>
      </c>
      <c r="I916">
        <f t="shared" si="29"/>
        <v>119000</v>
      </c>
      <c r="J916" t="str">
        <f>VLOOKUP(B916,orders!A:B,2,FALSE)</f>
        <v>CUST0187</v>
      </c>
      <c r="K916" t="str">
        <f>VLOOKUP(J916,customers!A:F,6,FALSE)</f>
        <v>Jakarta</v>
      </c>
    </row>
    <row r="917" spans="1:11" x14ac:dyDescent="0.35">
      <c r="A917" s="4" t="s">
        <v>1958</v>
      </c>
      <c r="B917" s="4" t="s">
        <v>399</v>
      </c>
      <c r="C917" s="4" t="s">
        <v>1023</v>
      </c>
      <c r="D917" s="4">
        <v>2</v>
      </c>
      <c r="E917" s="6">
        <v>69000</v>
      </c>
      <c r="F917" t="str">
        <f>VLOOKUP(C917,products!A:C,2,FALSE)</f>
        <v>Lampu LED Hias 5m</v>
      </c>
      <c r="G917">
        <f t="shared" si="28"/>
        <v>138000</v>
      </c>
      <c r="H917">
        <f>VLOOKUP(C917,products!A:D,4,FALSE)</f>
        <v>30000</v>
      </c>
      <c r="I917">
        <f t="shared" si="29"/>
        <v>78000</v>
      </c>
      <c r="J917" t="str">
        <f>VLOOKUP(B917,orders!A:B,2,FALSE)</f>
        <v>CUST0187</v>
      </c>
      <c r="K917" t="str">
        <f>VLOOKUP(J917,customers!A:F,6,FALSE)</f>
        <v>Jakarta</v>
      </c>
    </row>
    <row r="918" spans="1:11" x14ac:dyDescent="0.35">
      <c r="A918" s="4" t="s">
        <v>1959</v>
      </c>
      <c r="B918" s="4" t="s">
        <v>399</v>
      </c>
      <c r="C918" s="4" t="s">
        <v>1040</v>
      </c>
      <c r="D918" s="4">
        <v>1</v>
      </c>
      <c r="E918" s="6">
        <v>99000</v>
      </c>
      <c r="F918" t="str">
        <f>VLOOKUP(C918,products!A:C,2,FALSE)</f>
        <v>Mouse Wireless</v>
      </c>
      <c r="G918">
        <f t="shared" si="28"/>
        <v>99000</v>
      </c>
      <c r="H918">
        <f>VLOOKUP(C918,products!A:D,4,FALSE)</f>
        <v>45000</v>
      </c>
      <c r="I918">
        <f t="shared" si="29"/>
        <v>54000</v>
      </c>
      <c r="J918" t="str">
        <f>VLOOKUP(B918,orders!A:B,2,FALSE)</f>
        <v>CUST0187</v>
      </c>
      <c r="K918" t="str">
        <f>VLOOKUP(J918,customers!A:F,6,FALSE)</f>
        <v>Jakarta</v>
      </c>
    </row>
    <row r="919" spans="1:11" x14ac:dyDescent="0.35">
      <c r="A919" s="4" t="s">
        <v>1960</v>
      </c>
      <c r="B919" s="4" t="s">
        <v>831</v>
      </c>
      <c r="C919" s="4" t="s">
        <v>1033</v>
      </c>
      <c r="D919" s="4">
        <v>2</v>
      </c>
      <c r="E919" s="6">
        <v>55000</v>
      </c>
      <c r="F919" t="str">
        <f>VLOOKUP(C919,products!A:C,2,FALSE)</f>
        <v>Sapu + Pengki Set</v>
      </c>
      <c r="G919">
        <f t="shared" si="28"/>
        <v>110000</v>
      </c>
      <c r="H919">
        <f>VLOOKUP(C919,products!A:D,4,FALSE)</f>
        <v>25000</v>
      </c>
      <c r="I919">
        <f t="shared" si="29"/>
        <v>60000</v>
      </c>
      <c r="J919" t="str">
        <f>VLOOKUP(B919,orders!A:B,2,FALSE)</f>
        <v>CUST0081</v>
      </c>
      <c r="K919" t="str">
        <f>VLOOKUP(J919,customers!A:F,6,FALSE)</f>
        <v>Bandung</v>
      </c>
    </row>
    <row r="920" spans="1:11" x14ac:dyDescent="0.35">
      <c r="A920" s="4" t="s">
        <v>1961</v>
      </c>
      <c r="B920" s="4" t="s">
        <v>891</v>
      </c>
      <c r="C920" s="4" t="s">
        <v>1023</v>
      </c>
      <c r="D920" s="4">
        <v>1</v>
      </c>
      <c r="E920" s="6">
        <v>69000</v>
      </c>
      <c r="F920" t="str">
        <f>VLOOKUP(C920,products!A:C,2,FALSE)</f>
        <v>Lampu LED Hias 5m</v>
      </c>
      <c r="G920">
        <f t="shared" si="28"/>
        <v>69000</v>
      </c>
      <c r="H920">
        <f>VLOOKUP(C920,products!A:D,4,FALSE)</f>
        <v>30000</v>
      </c>
      <c r="I920">
        <f t="shared" si="29"/>
        <v>39000</v>
      </c>
      <c r="J920" t="str">
        <f>VLOOKUP(B920,orders!A:B,2,FALSE)</f>
        <v>CUST0040</v>
      </c>
      <c r="K920" t="str">
        <f>VLOOKUP(J920,customers!A:F,6,FALSE)</f>
        <v>Bandung</v>
      </c>
    </row>
    <row r="921" spans="1:11" x14ac:dyDescent="0.35">
      <c r="A921" s="4" t="s">
        <v>1962</v>
      </c>
      <c r="B921" s="4" t="s">
        <v>224</v>
      </c>
      <c r="C921" s="4" t="s">
        <v>1023</v>
      </c>
      <c r="D921" s="4">
        <v>2</v>
      </c>
      <c r="E921" s="6">
        <v>69000</v>
      </c>
      <c r="F921" t="str">
        <f>VLOOKUP(C921,products!A:C,2,FALSE)</f>
        <v>Lampu LED Hias 5m</v>
      </c>
      <c r="G921">
        <f t="shared" si="28"/>
        <v>138000</v>
      </c>
      <c r="H921">
        <f>VLOOKUP(C921,products!A:D,4,FALSE)</f>
        <v>30000</v>
      </c>
      <c r="I921">
        <f t="shared" si="29"/>
        <v>78000</v>
      </c>
      <c r="J921" t="str">
        <f>VLOOKUP(B921,orders!A:B,2,FALSE)</f>
        <v>CUST0024</v>
      </c>
      <c r="K921" t="str">
        <f>VLOOKUP(J921,customers!A:F,6,FALSE)</f>
        <v>Surabaya</v>
      </c>
    </row>
    <row r="922" spans="1:11" x14ac:dyDescent="0.35">
      <c r="A922" s="4" t="s">
        <v>1963</v>
      </c>
      <c r="B922" s="4" t="s">
        <v>801</v>
      </c>
      <c r="C922" s="4" t="s">
        <v>1023</v>
      </c>
      <c r="D922" s="4">
        <v>1</v>
      </c>
      <c r="E922" s="6">
        <v>69000</v>
      </c>
      <c r="F922" t="str">
        <f>VLOOKUP(C922,products!A:C,2,FALSE)</f>
        <v>Lampu LED Hias 5m</v>
      </c>
      <c r="G922">
        <f t="shared" si="28"/>
        <v>69000</v>
      </c>
      <c r="H922">
        <f>VLOOKUP(C922,products!A:D,4,FALSE)</f>
        <v>30000</v>
      </c>
      <c r="I922">
        <f t="shared" si="29"/>
        <v>39000</v>
      </c>
      <c r="J922" t="str">
        <f>VLOOKUP(B922,orders!A:B,2,FALSE)</f>
        <v>CUST0025</v>
      </c>
      <c r="K922" t="str">
        <f>VLOOKUP(J922,customers!A:F,6,FALSE)</f>
        <v>Medan</v>
      </c>
    </row>
    <row r="923" spans="1:11" x14ac:dyDescent="0.35">
      <c r="A923" s="4" t="s">
        <v>1964</v>
      </c>
      <c r="B923" s="4" t="s">
        <v>801</v>
      </c>
      <c r="C923" s="4" t="s">
        <v>1031</v>
      </c>
      <c r="D923" s="4">
        <v>2</v>
      </c>
      <c r="E923" s="6">
        <v>79000</v>
      </c>
      <c r="F923" t="str">
        <f>VLOOKUP(C923,products!A:C,2,FALSE)</f>
        <v>Kaos Polos Cotton Combed</v>
      </c>
      <c r="G923">
        <f t="shared" si="28"/>
        <v>158000</v>
      </c>
      <c r="H923">
        <f>VLOOKUP(C923,products!A:D,4,FALSE)</f>
        <v>35000</v>
      </c>
      <c r="I923">
        <f t="shared" si="29"/>
        <v>88000</v>
      </c>
      <c r="J923" t="str">
        <f>VLOOKUP(B923,orders!A:B,2,FALSE)</f>
        <v>CUST0025</v>
      </c>
      <c r="K923" t="str">
        <f>VLOOKUP(J923,customers!A:F,6,FALSE)</f>
        <v>Medan</v>
      </c>
    </row>
    <row r="924" spans="1:11" x14ac:dyDescent="0.35">
      <c r="A924" s="4" t="s">
        <v>1965</v>
      </c>
      <c r="B924" s="4" t="s">
        <v>801</v>
      </c>
      <c r="C924" s="4" t="s">
        <v>1036</v>
      </c>
      <c r="D924" s="4">
        <v>1</v>
      </c>
      <c r="E924" s="6">
        <v>229000</v>
      </c>
      <c r="F924" t="str">
        <f>VLOOKUP(C924,products!A:C,2,FALSE)</f>
        <v>Celana Jeans Slimfit</v>
      </c>
      <c r="G924">
        <f t="shared" si="28"/>
        <v>229000</v>
      </c>
      <c r="H924">
        <f>VLOOKUP(C924,products!A:D,4,FALSE)</f>
        <v>110000</v>
      </c>
      <c r="I924">
        <f t="shared" si="29"/>
        <v>119000</v>
      </c>
      <c r="J924" t="str">
        <f>VLOOKUP(B924,orders!A:B,2,FALSE)</f>
        <v>CUST0025</v>
      </c>
      <c r="K924" t="str">
        <f>VLOOKUP(J924,customers!A:F,6,FALSE)</f>
        <v>Medan</v>
      </c>
    </row>
    <row r="925" spans="1:11" x14ac:dyDescent="0.35">
      <c r="A925" s="4" t="s">
        <v>1966</v>
      </c>
      <c r="B925" s="4" t="s">
        <v>313</v>
      </c>
      <c r="C925" s="4" t="s">
        <v>1049</v>
      </c>
      <c r="D925" s="4">
        <v>1</v>
      </c>
      <c r="E925" s="6">
        <v>349000</v>
      </c>
      <c r="F925" t="str">
        <f>VLOOKUP(C925,products!A:C,2,FALSE)</f>
        <v>Sepatu Sneakers Casual</v>
      </c>
      <c r="G925">
        <f t="shared" si="28"/>
        <v>349000</v>
      </c>
      <c r="H925">
        <f>VLOOKUP(C925,products!A:D,4,FALSE)</f>
        <v>180000</v>
      </c>
      <c r="I925">
        <f t="shared" si="29"/>
        <v>169000</v>
      </c>
      <c r="J925" t="str">
        <f>VLOOKUP(B925,orders!A:B,2,FALSE)</f>
        <v>CUST0143</v>
      </c>
      <c r="K925" t="str">
        <f>VLOOKUP(J925,customers!A:F,6,FALSE)</f>
        <v>Semarang</v>
      </c>
    </row>
    <row r="926" spans="1:11" x14ac:dyDescent="0.35">
      <c r="A926" s="4" t="s">
        <v>1967</v>
      </c>
      <c r="B926" s="4" t="s">
        <v>98</v>
      </c>
      <c r="C926" s="4" t="s">
        <v>1023</v>
      </c>
      <c r="D926" s="4">
        <v>1</v>
      </c>
      <c r="E926" s="6">
        <v>69000</v>
      </c>
      <c r="F926" t="str">
        <f>VLOOKUP(C926,products!A:C,2,FALSE)</f>
        <v>Lampu LED Hias 5m</v>
      </c>
      <c r="G926">
        <f t="shared" si="28"/>
        <v>69000</v>
      </c>
      <c r="H926">
        <f>VLOOKUP(C926,products!A:D,4,FALSE)</f>
        <v>30000</v>
      </c>
      <c r="I926">
        <f t="shared" si="29"/>
        <v>39000</v>
      </c>
      <c r="J926" t="str">
        <f>VLOOKUP(B926,orders!A:B,2,FALSE)</f>
        <v>CUST0144</v>
      </c>
      <c r="K926" t="str">
        <f>VLOOKUP(J926,customers!A:F,6,FALSE)</f>
        <v>Bandung</v>
      </c>
    </row>
    <row r="927" spans="1:11" x14ac:dyDescent="0.35">
      <c r="A927" s="4" t="s">
        <v>1968</v>
      </c>
      <c r="B927" s="4" t="s">
        <v>258</v>
      </c>
      <c r="C927" s="4" t="s">
        <v>1049</v>
      </c>
      <c r="D927" s="4">
        <v>1</v>
      </c>
      <c r="E927" s="6">
        <v>349000</v>
      </c>
      <c r="F927" t="str">
        <f>VLOOKUP(C927,products!A:C,2,FALSE)</f>
        <v>Sepatu Sneakers Casual</v>
      </c>
      <c r="G927">
        <f t="shared" si="28"/>
        <v>349000</v>
      </c>
      <c r="H927">
        <f>VLOOKUP(C927,products!A:D,4,FALSE)</f>
        <v>180000</v>
      </c>
      <c r="I927">
        <f t="shared" si="29"/>
        <v>169000</v>
      </c>
      <c r="J927" t="str">
        <f>VLOOKUP(B927,orders!A:B,2,FALSE)</f>
        <v>CUST0032</v>
      </c>
      <c r="K927" t="str">
        <f>VLOOKUP(J927,customers!A:F,6,FALSE)</f>
        <v>Yogyakarta</v>
      </c>
    </row>
    <row r="928" spans="1:11" x14ac:dyDescent="0.35">
      <c r="A928" s="4" t="s">
        <v>1969</v>
      </c>
      <c r="B928" s="4" t="s">
        <v>480</v>
      </c>
      <c r="C928" s="4" t="s">
        <v>1036</v>
      </c>
      <c r="D928" s="4">
        <v>1</v>
      </c>
      <c r="E928" s="6">
        <v>229000</v>
      </c>
      <c r="F928" t="str">
        <f>VLOOKUP(C928,products!A:C,2,FALSE)</f>
        <v>Celana Jeans Slimfit</v>
      </c>
      <c r="G928">
        <f t="shared" si="28"/>
        <v>229000</v>
      </c>
      <c r="H928">
        <f>VLOOKUP(C928,products!A:D,4,FALSE)</f>
        <v>110000</v>
      </c>
      <c r="I928">
        <f t="shared" si="29"/>
        <v>119000</v>
      </c>
      <c r="J928" t="str">
        <f>VLOOKUP(B928,orders!A:B,2,FALSE)</f>
        <v>CUST0171</v>
      </c>
      <c r="K928" t="str">
        <f>VLOOKUP(J928,customers!A:F,6,FALSE)</f>
        <v>Medan</v>
      </c>
    </row>
    <row r="929" spans="1:11" x14ac:dyDescent="0.35">
      <c r="A929" s="4" t="s">
        <v>1970</v>
      </c>
      <c r="B929" s="4" t="s">
        <v>630</v>
      </c>
      <c r="C929" s="4" t="s">
        <v>1084</v>
      </c>
      <c r="D929" s="4">
        <v>1</v>
      </c>
      <c r="E929" s="6">
        <v>79000</v>
      </c>
      <c r="F929" t="str">
        <f>VLOOKUP(C929,products!A:C,2,FALSE)</f>
        <v>Botol Minum Stainless 1L</v>
      </c>
      <c r="G929">
        <f t="shared" si="28"/>
        <v>79000</v>
      </c>
      <c r="H929">
        <f>VLOOKUP(C929,products!A:D,4,FALSE)</f>
        <v>35000</v>
      </c>
      <c r="I929">
        <f t="shared" si="29"/>
        <v>44000</v>
      </c>
      <c r="J929" t="str">
        <f>VLOOKUP(B929,orders!A:B,2,FALSE)</f>
        <v>CUST0185</v>
      </c>
      <c r="K929" t="str">
        <f>VLOOKUP(J929,customers!A:F,6,FALSE)</f>
        <v>Jakarta</v>
      </c>
    </row>
    <row r="930" spans="1:11" x14ac:dyDescent="0.35">
      <c r="A930" s="4" t="s">
        <v>1971</v>
      </c>
      <c r="B930" s="4" t="s">
        <v>429</v>
      </c>
      <c r="C930" s="4" t="s">
        <v>1029</v>
      </c>
      <c r="D930" s="4">
        <v>3</v>
      </c>
      <c r="E930" s="6">
        <v>39000</v>
      </c>
      <c r="F930" t="str">
        <f>VLOOKUP(C930,products!A:C,2,FALSE)</f>
        <v>Kabel Data USB-C</v>
      </c>
      <c r="G930">
        <f t="shared" si="28"/>
        <v>117000</v>
      </c>
      <c r="H930">
        <f>VLOOKUP(C930,products!A:D,4,FALSE)</f>
        <v>15000</v>
      </c>
      <c r="I930">
        <f t="shared" si="29"/>
        <v>72000</v>
      </c>
      <c r="J930" t="str">
        <f>VLOOKUP(B930,orders!A:B,2,FALSE)</f>
        <v>CUST0080</v>
      </c>
      <c r="K930" t="str">
        <f>VLOOKUP(J930,customers!A:F,6,FALSE)</f>
        <v>Surabaya</v>
      </c>
    </row>
    <row r="931" spans="1:11" x14ac:dyDescent="0.35">
      <c r="A931" s="4" t="s">
        <v>1972</v>
      </c>
      <c r="B931" s="4" t="s">
        <v>429</v>
      </c>
      <c r="C931" s="4" t="s">
        <v>1053</v>
      </c>
      <c r="D931" s="4">
        <v>1</v>
      </c>
      <c r="E931" s="6">
        <v>129000</v>
      </c>
      <c r="F931" t="str">
        <f>VLOOKUP(C931,products!A:C,2,FALSE)</f>
        <v>Charger Fast Charging 33W</v>
      </c>
      <c r="G931">
        <f t="shared" si="28"/>
        <v>129000</v>
      </c>
      <c r="H931">
        <f>VLOOKUP(C931,products!A:D,4,FALSE)</f>
        <v>60000</v>
      </c>
      <c r="I931">
        <f t="shared" si="29"/>
        <v>69000</v>
      </c>
      <c r="J931" t="str">
        <f>VLOOKUP(B931,orders!A:B,2,FALSE)</f>
        <v>CUST0080</v>
      </c>
      <c r="K931" t="str">
        <f>VLOOKUP(J931,customers!A:F,6,FALSE)</f>
        <v>Surabaya</v>
      </c>
    </row>
    <row r="932" spans="1:11" x14ac:dyDescent="0.35">
      <c r="A932" s="4" t="s">
        <v>1973</v>
      </c>
      <c r="B932" s="4" t="s">
        <v>429</v>
      </c>
      <c r="C932" s="4" t="s">
        <v>1023</v>
      </c>
      <c r="D932" s="4">
        <v>1</v>
      </c>
      <c r="E932" s="6">
        <v>69000</v>
      </c>
      <c r="F932" t="str">
        <f>VLOOKUP(C932,products!A:C,2,FALSE)</f>
        <v>Lampu LED Hias 5m</v>
      </c>
      <c r="G932">
        <f t="shared" si="28"/>
        <v>69000</v>
      </c>
      <c r="H932">
        <f>VLOOKUP(C932,products!A:D,4,FALSE)</f>
        <v>30000</v>
      </c>
      <c r="I932">
        <f t="shared" si="29"/>
        <v>39000</v>
      </c>
      <c r="J932" t="str">
        <f>VLOOKUP(B932,orders!A:B,2,FALSE)</f>
        <v>CUST0080</v>
      </c>
      <c r="K932" t="str">
        <f>VLOOKUP(J932,customers!A:F,6,FALSE)</f>
        <v>Surabaya</v>
      </c>
    </row>
    <row r="933" spans="1:11" x14ac:dyDescent="0.35">
      <c r="A933" s="4" t="s">
        <v>1974</v>
      </c>
      <c r="B933" s="4" t="s">
        <v>429</v>
      </c>
      <c r="C933" s="4" t="s">
        <v>1025</v>
      </c>
      <c r="D933" s="4">
        <v>1</v>
      </c>
      <c r="E933" s="6">
        <v>179000</v>
      </c>
      <c r="F933" t="str">
        <f>VLOOKUP(C933,products!A:C,2,FALSE)</f>
        <v>Rak Penyimpanan Serbaguna</v>
      </c>
      <c r="G933">
        <f t="shared" si="28"/>
        <v>179000</v>
      </c>
      <c r="H933">
        <f>VLOOKUP(C933,products!A:D,4,FALSE)</f>
        <v>90000</v>
      </c>
      <c r="I933">
        <f t="shared" si="29"/>
        <v>89000</v>
      </c>
      <c r="J933" t="str">
        <f>VLOOKUP(B933,orders!A:B,2,FALSE)</f>
        <v>CUST0080</v>
      </c>
      <c r="K933" t="str">
        <f>VLOOKUP(J933,customers!A:F,6,FALSE)</f>
        <v>Surabaya</v>
      </c>
    </row>
    <row r="934" spans="1:11" x14ac:dyDescent="0.35">
      <c r="A934" s="4" t="s">
        <v>1975</v>
      </c>
      <c r="B934" s="4" t="s">
        <v>432</v>
      </c>
      <c r="C934" s="4" t="s">
        <v>1029</v>
      </c>
      <c r="D934" s="4">
        <v>1</v>
      </c>
      <c r="E934" s="6">
        <v>39000</v>
      </c>
      <c r="F934" t="str">
        <f>VLOOKUP(C934,products!A:C,2,FALSE)</f>
        <v>Kabel Data USB-C</v>
      </c>
      <c r="G934">
        <f t="shared" si="28"/>
        <v>39000</v>
      </c>
      <c r="H934">
        <f>VLOOKUP(C934,products!A:D,4,FALSE)</f>
        <v>15000</v>
      </c>
      <c r="I934">
        <f t="shared" si="29"/>
        <v>24000</v>
      </c>
      <c r="J934" t="str">
        <f>VLOOKUP(B934,orders!A:B,2,FALSE)</f>
        <v>CUST0148</v>
      </c>
      <c r="K934" t="str">
        <f>VLOOKUP(J934,customers!A:F,6,FALSE)</f>
        <v>Jakarta</v>
      </c>
    </row>
    <row r="935" spans="1:11" x14ac:dyDescent="0.35">
      <c r="A935" s="4" t="s">
        <v>1976</v>
      </c>
      <c r="B935" s="4" t="s">
        <v>890</v>
      </c>
      <c r="C935" s="4" t="s">
        <v>1029</v>
      </c>
      <c r="D935" s="4">
        <v>2</v>
      </c>
      <c r="E935" s="6">
        <v>39000</v>
      </c>
      <c r="F935" t="str">
        <f>VLOOKUP(C935,products!A:C,2,FALSE)</f>
        <v>Kabel Data USB-C</v>
      </c>
      <c r="G935">
        <f t="shared" si="28"/>
        <v>78000</v>
      </c>
      <c r="H935">
        <f>VLOOKUP(C935,products!A:D,4,FALSE)</f>
        <v>15000</v>
      </c>
      <c r="I935">
        <f t="shared" si="29"/>
        <v>48000</v>
      </c>
      <c r="J935" t="str">
        <f>VLOOKUP(B935,orders!A:B,2,FALSE)</f>
        <v>CUST0040</v>
      </c>
      <c r="K935" t="str">
        <f>VLOOKUP(J935,customers!A:F,6,FALSE)</f>
        <v>Bandung</v>
      </c>
    </row>
    <row r="936" spans="1:11" x14ac:dyDescent="0.35">
      <c r="A936" s="4" t="s">
        <v>1977</v>
      </c>
      <c r="B936" s="4" t="s">
        <v>584</v>
      </c>
      <c r="C936" s="4" t="s">
        <v>1025</v>
      </c>
      <c r="D936" s="4">
        <v>1</v>
      </c>
      <c r="E936" s="6">
        <v>179000</v>
      </c>
      <c r="F936" t="str">
        <f>VLOOKUP(C936,products!A:C,2,FALSE)</f>
        <v>Rak Penyimpanan Serbaguna</v>
      </c>
      <c r="G936">
        <f t="shared" si="28"/>
        <v>179000</v>
      </c>
      <c r="H936">
        <f>VLOOKUP(C936,products!A:D,4,FALSE)</f>
        <v>90000</v>
      </c>
      <c r="I936">
        <f t="shared" si="29"/>
        <v>89000</v>
      </c>
      <c r="J936" t="str">
        <f>VLOOKUP(B936,orders!A:B,2,FALSE)</f>
        <v>CUST0028</v>
      </c>
      <c r="K936" t="str">
        <f>VLOOKUP(J936,customers!A:F,6,FALSE)</f>
        <v>Semarang</v>
      </c>
    </row>
    <row r="937" spans="1:11" x14ac:dyDescent="0.35">
      <c r="A937" s="4" t="s">
        <v>1978</v>
      </c>
      <c r="B937" s="4" t="s">
        <v>698</v>
      </c>
      <c r="C937" s="4" t="s">
        <v>1023</v>
      </c>
      <c r="D937" s="4">
        <v>1</v>
      </c>
      <c r="E937" s="6">
        <v>69000</v>
      </c>
      <c r="F937" t="str">
        <f>VLOOKUP(C937,products!A:C,2,FALSE)</f>
        <v>Lampu LED Hias 5m</v>
      </c>
      <c r="G937">
        <f t="shared" si="28"/>
        <v>69000</v>
      </c>
      <c r="H937">
        <f>VLOOKUP(C937,products!A:D,4,FALSE)</f>
        <v>30000</v>
      </c>
      <c r="I937">
        <f t="shared" si="29"/>
        <v>39000</v>
      </c>
      <c r="J937" t="str">
        <f>VLOOKUP(B937,orders!A:B,2,FALSE)</f>
        <v>CUST0095</v>
      </c>
      <c r="K937" t="str">
        <f>VLOOKUP(J937,customers!A:F,6,FALSE)</f>
        <v>Medan</v>
      </c>
    </row>
    <row r="938" spans="1:11" x14ac:dyDescent="0.35">
      <c r="A938" s="4" t="s">
        <v>1979</v>
      </c>
      <c r="B938" s="4" t="s">
        <v>407</v>
      </c>
      <c r="C938" s="4" t="s">
        <v>1029</v>
      </c>
      <c r="D938" s="4">
        <v>1</v>
      </c>
      <c r="E938" s="6">
        <v>39000</v>
      </c>
      <c r="F938" t="str">
        <f>VLOOKUP(C938,products!A:C,2,FALSE)</f>
        <v>Kabel Data USB-C</v>
      </c>
      <c r="G938">
        <f t="shared" si="28"/>
        <v>39000</v>
      </c>
      <c r="H938">
        <f>VLOOKUP(C938,products!A:D,4,FALSE)</f>
        <v>15000</v>
      </c>
      <c r="I938">
        <f t="shared" si="29"/>
        <v>24000</v>
      </c>
      <c r="J938" t="str">
        <f>VLOOKUP(B938,orders!A:B,2,FALSE)</f>
        <v>CUST0072</v>
      </c>
      <c r="K938" t="str">
        <f>VLOOKUP(J938,customers!A:F,6,FALSE)</f>
        <v>Medan</v>
      </c>
    </row>
    <row r="939" spans="1:11" x14ac:dyDescent="0.35">
      <c r="A939" s="4" t="s">
        <v>1980</v>
      </c>
      <c r="B939" s="4" t="s">
        <v>639</v>
      </c>
      <c r="C939" s="4" t="s">
        <v>1029</v>
      </c>
      <c r="D939" s="4">
        <v>1</v>
      </c>
      <c r="E939" s="6">
        <v>39000</v>
      </c>
      <c r="F939" t="str">
        <f>VLOOKUP(C939,products!A:C,2,FALSE)</f>
        <v>Kabel Data USB-C</v>
      </c>
      <c r="G939">
        <f t="shared" si="28"/>
        <v>39000</v>
      </c>
      <c r="H939">
        <f>VLOOKUP(C939,products!A:D,4,FALSE)</f>
        <v>15000</v>
      </c>
      <c r="I939">
        <f t="shared" si="29"/>
        <v>24000</v>
      </c>
      <c r="J939" t="str">
        <f>VLOOKUP(B939,orders!A:B,2,FALSE)</f>
        <v>CUST0110</v>
      </c>
      <c r="K939" t="str">
        <f>VLOOKUP(J939,customers!A:F,6,FALSE)</f>
        <v>Makassar</v>
      </c>
    </row>
    <row r="940" spans="1:11" x14ac:dyDescent="0.35">
      <c r="A940" s="4" t="s">
        <v>1981</v>
      </c>
      <c r="B940" s="4" t="s">
        <v>152</v>
      </c>
      <c r="C940" s="4" t="s">
        <v>1044</v>
      </c>
      <c r="D940" s="4">
        <v>1</v>
      </c>
      <c r="E940" s="6">
        <v>329000</v>
      </c>
      <c r="F940" t="str">
        <f>VLOOKUP(C940,products!A:C,2,FALSE)</f>
        <v>Rice Cooker Mini 1.5L</v>
      </c>
      <c r="G940">
        <f t="shared" si="28"/>
        <v>329000</v>
      </c>
      <c r="H940">
        <f>VLOOKUP(C940,products!A:D,4,FALSE)</f>
        <v>180000</v>
      </c>
      <c r="I940">
        <f t="shared" si="29"/>
        <v>149000</v>
      </c>
      <c r="J940" t="str">
        <f>VLOOKUP(B940,orders!A:B,2,FALSE)</f>
        <v>CUST0197</v>
      </c>
      <c r="K940" t="str">
        <f>VLOOKUP(J940,customers!A:F,6,FALSE)</f>
        <v>Bandung</v>
      </c>
    </row>
    <row r="941" spans="1:11" x14ac:dyDescent="0.35">
      <c r="A941" s="4" t="s">
        <v>1982</v>
      </c>
      <c r="B941" s="4" t="s">
        <v>152</v>
      </c>
      <c r="C941" s="4" t="s">
        <v>1033</v>
      </c>
      <c r="D941" s="4">
        <v>1</v>
      </c>
      <c r="E941" s="6">
        <v>55000</v>
      </c>
      <c r="F941" t="str">
        <f>VLOOKUP(C941,products!A:C,2,FALSE)</f>
        <v>Sapu + Pengki Set</v>
      </c>
      <c r="G941">
        <f t="shared" si="28"/>
        <v>55000</v>
      </c>
      <c r="H941">
        <f>VLOOKUP(C941,products!A:D,4,FALSE)</f>
        <v>25000</v>
      </c>
      <c r="I941">
        <f t="shared" si="29"/>
        <v>30000</v>
      </c>
      <c r="J941" t="str">
        <f>VLOOKUP(B941,orders!A:B,2,FALSE)</f>
        <v>CUST0197</v>
      </c>
      <c r="K941" t="str">
        <f>VLOOKUP(J941,customers!A:F,6,FALSE)</f>
        <v>Bandung</v>
      </c>
    </row>
    <row r="942" spans="1:11" x14ac:dyDescent="0.35">
      <c r="A942" s="4" t="s">
        <v>1983</v>
      </c>
      <c r="B942" s="4" t="s">
        <v>804</v>
      </c>
      <c r="C942" s="4" t="s">
        <v>1023</v>
      </c>
      <c r="D942" s="4">
        <v>2</v>
      </c>
      <c r="E942" s="6">
        <v>69000</v>
      </c>
      <c r="F942" t="str">
        <f>VLOOKUP(C942,products!A:C,2,FALSE)</f>
        <v>Lampu LED Hias 5m</v>
      </c>
      <c r="G942">
        <f t="shared" si="28"/>
        <v>138000</v>
      </c>
      <c r="H942">
        <f>VLOOKUP(C942,products!A:D,4,FALSE)</f>
        <v>30000</v>
      </c>
      <c r="I942">
        <f t="shared" si="29"/>
        <v>78000</v>
      </c>
      <c r="J942" t="str">
        <f>VLOOKUP(B942,orders!A:B,2,FALSE)</f>
        <v>CUST0165</v>
      </c>
      <c r="K942" t="str">
        <f>VLOOKUP(J942,customers!A:F,6,FALSE)</f>
        <v>Bandung</v>
      </c>
    </row>
    <row r="943" spans="1:11" x14ac:dyDescent="0.35">
      <c r="A943" s="4" t="s">
        <v>1984</v>
      </c>
      <c r="B943" s="4" t="s">
        <v>364</v>
      </c>
      <c r="C943" s="4" t="s">
        <v>1033</v>
      </c>
      <c r="D943" s="4">
        <v>2</v>
      </c>
      <c r="E943" s="6">
        <v>55000</v>
      </c>
      <c r="F943" t="str">
        <f>VLOOKUP(C943,products!A:C,2,FALSE)</f>
        <v>Sapu + Pengki Set</v>
      </c>
      <c r="G943">
        <f t="shared" si="28"/>
        <v>110000</v>
      </c>
      <c r="H943">
        <f>VLOOKUP(C943,products!A:D,4,FALSE)</f>
        <v>25000</v>
      </c>
      <c r="I943">
        <f t="shared" si="29"/>
        <v>60000</v>
      </c>
      <c r="J943" t="str">
        <f>VLOOKUP(B943,orders!A:B,2,FALSE)</f>
        <v>CUST0156</v>
      </c>
      <c r="K943" t="str">
        <f>VLOOKUP(J943,customers!A:F,6,FALSE)</f>
        <v>Bandung</v>
      </c>
    </row>
    <row r="944" spans="1:11" x14ac:dyDescent="0.35">
      <c r="A944" s="4" t="s">
        <v>1985</v>
      </c>
      <c r="B944" s="4" t="s">
        <v>594</v>
      </c>
      <c r="C944" s="4" t="s">
        <v>1025</v>
      </c>
      <c r="D944" s="4">
        <v>2</v>
      </c>
      <c r="E944" s="6">
        <v>179000</v>
      </c>
      <c r="F944" t="str">
        <f>VLOOKUP(C944,products!A:C,2,FALSE)</f>
        <v>Rak Penyimpanan Serbaguna</v>
      </c>
      <c r="G944">
        <f t="shared" si="28"/>
        <v>358000</v>
      </c>
      <c r="H944">
        <f>VLOOKUP(C944,products!A:D,4,FALSE)</f>
        <v>90000</v>
      </c>
      <c r="I944">
        <f t="shared" si="29"/>
        <v>178000</v>
      </c>
      <c r="J944" t="str">
        <f>VLOOKUP(B944,orders!A:B,2,FALSE)</f>
        <v>CUST0178</v>
      </c>
      <c r="K944" t="str">
        <f>VLOOKUP(J944,customers!A:F,6,FALSE)</f>
        <v>Jakarta</v>
      </c>
    </row>
    <row r="945" spans="1:11" x14ac:dyDescent="0.35">
      <c r="A945" s="4" t="s">
        <v>1986</v>
      </c>
      <c r="B945" s="4" t="s">
        <v>842</v>
      </c>
      <c r="C945" s="4" t="s">
        <v>1023</v>
      </c>
      <c r="D945" s="4">
        <v>2</v>
      </c>
      <c r="E945" s="6">
        <v>69000</v>
      </c>
      <c r="F945" t="str">
        <f>VLOOKUP(C945,products!A:C,2,FALSE)</f>
        <v>Lampu LED Hias 5m</v>
      </c>
      <c r="G945">
        <f t="shared" si="28"/>
        <v>138000</v>
      </c>
      <c r="H945">
        <f>VLOOKUP(C945,products!A:D,4,FALSE)</f>
        <v>30000</v>
      </c>
      <c r="I945">
        <f t="shared" si="29"/>
        <v>78000</v>
      </c>
      <c r="J945" t="str">
        <f>VLOOKUP(B945,orders!A:B,2,FALSE)</f>
        <v>CUST0070</v>
      </c>
      <c r="K945" t="str">
        <f>VLOOKUP(J945,customers!A:F,6,FALSE)</f>
        <v>Bandung</v>
      </c>
    </row>
    <row r="946" spans="1:11" x14ac:dyDescent="0.35">
      <c r="A946" s="4" t="s">
        <v>1987</v>
      </c>
      <c r="B946" s="4" t="s">
        <v>842</v>
      </c>
      <c r="C946" s="4" t="s">
        <v>1044</v>
      </c>
      <c r="D946" s="4">
        <v>3</v>
      </c>
      <c r="E946" s="6">
        <v>329000</v>
      </c>
      <c r="F946" t="str">
        <f>VLOOKUP(C946,products!A:C,2,FALSE)</f>
        <v>Rice Cooker Mini 1.5L</v>
      </c>
      <c r="G946">
        <f t="shared" si="28"/>
        <v>987000</v>
      </c>
      <c r="H946">
        <f>VLOOKUP(C946,products!A:D,4,FALSE)</f>
        <v>180000</v>
      </c>
      <c r="I946">
        <f t="shared" si="29"/>
        <v>447000</v>
      </c>
      <c r="J946" t="str">
        <f>VLOOKUP(B946,orders!A:B,2,FALSE)</f>
        <v>CUST0070</v>
      </c>
      <c r="K946" t="str">
        <f>VLOOKUP(J946,customers!A:F,6,FALSE)</f>
        <v>Bandung</v>
      </c>
    </row>
    <row r="947" spans="1:11" x14ac:dyDescent="0.35">
      <c r="A947" s="4" t="s">
        <v>1988</v>
      </c>
      <c r="B947" s="4" t="s">
        <v>842</v>
      </c>
      <c r="C947" s="4" t="s">
        <v>1031</v>
      </c>
      <c r="D947" s="4">
        <v>1</v>
      </c>
      <c r="E947" s="6">
        <v>79000</v>
      </c>
      <c r="F947" t="str">
        <f>VLOOKUP(C947,products!A:C,2,FALSE)</f>
        <v>Kaos Polos Cotton Combed</v>
      </c>
      <c r="G947">
        <f t="shared" si="28"/>
        <v>79000</v>
      </c>
      <c r="H947">
        <f>VLOOKUP(C947,products!A:D,4,FALSE)</f>
        <v>35000</v>
      </c>
      <c r="I947">
        <f t="shared" si="29"/>
        <v>44000</v>
      </c>
      <c r="J947" t="str">
        <f>VLOOKUP(B947,orders!A:B,2,FALSE)</f>
        <v>CUST0070</v>
      </c>
      <c r="K947" t="str">
        <f>VLOOKUP(J947,customers!A:F,6,FALSE)</f>
        <v>Bandung</v>
      </c>
    </row>
    <row r="948" spans="1:11" x14ac:dyDescent="0.35">
      <c r="A948" s="4" t="s">
        <v>1989</v>
      </c>
      <c r="B948" s="4" t="s">
        <v>842</v>
      </c>
      <c r="C948" s="4" t="s">
        <v>1076</v>
      </c>
      <c r="D948" s="4">
        <v>2</v>
      </c>
      <c r="E948" s="6">
        <v>499000</v>
      </c>
      <c r="F948" t="str">
        <f>VLOOKUP(C948,products!A:C,2,FALSE)</f>
        <v>Smartwatch Lite</v>
      </c>
      <c r="G948">
        <f t="shared" si="28"/>
        <v>998000</v>
      </c>
      <c r="H948">
        <f>VLOOKUP(C948,products!A:D,4,FALSE)</f>
        <v>250000</v>
      </c>
      <c r="I948">
        <f t="shared" si="29"/>
        <v>498000</v>
      </c>
      <c r="J948" t="str">
        <f>VLOOKUP(B948,orders!A:B,2,FALSE)</f>
        <v>CUST0070</v>
      </c>
      <c r="K948" t="str">
        <f>VLOOKUP(J948,customers!A:F,6,FALSE)</f>
        <v>Bandung</v>
      </c>
    </row>
    <row r="949" spans="1:11" x14ac:dyDescent="0.35">
      <c r="A949" s="4" t="s">
        <v>1990</v>
      </c>
      <c r="B949" s="4" t="s">
        <v>460</v>
      </c>
      <c r="C949" s="4" t="s">
        <v>1046</v>
      </c>
      <c r="D949" s="4">
        <v>1</v>
      </c>
      <c r="E949" s="6">
        <v>139000</v>
      </c>
      <c r="F949" t="str">
        <f>VLOOKUP(C949,products!A:C,2,FALSE)</f>
        <v>Wajan Anti Lengket 24cm</v>
      </c>
      <c r="G949">
        <f t="shared" si="28"/>
        <v>139000</v>
      </c>
      <c r="H949">
        <f>VLOOKUP(C949,products!A:D,4,FALSE)</f>
        <v>65000</v>
      </c>
      <c r="I949">
        <f t="shared" si="29"/>
        <v>74000</v>
      </c>
      <c r="J949" t="str">
        <f>VLOOKUP(B949,orders!A:B,2,FALSE)</f>
        <v>CUST0080</v>
      </c>
      <c r="K949" t="str">
        <f>VLOOKUP(J949,customers!A:F,6,FALSE)</f>
        <v>Surabaya</v>
      </c>
    </row>
    <row r="950" spans="1:11" x14ac:dyDescent="0.35">
      <c r="A950" s="4" t="s">
        <v>1991</v>
      </c>
      <c r="B950" s="4" t="s">
        <v>460</v>
      </c>
      <c r="C950" s="4" t="s">
        <v>1029</v>
      </c>
      <c r="D950" s="4">
        <v>1</v>
      </c>
      <c r="E950" s="6">
        <v>39000</v>
      </c>
      <c r="F950" t="str">
        <f>VLOOKUP(C950,products!A:C,2,FALSE)</f>
        <v>Kabel Data USB-C</v>
      </c>
      <c r="G950">
        <f t="shared" si="28"/>
        <v>39000</v>
      </c>
      <c r="H950">
        <f>VLOOKUP(C950,products!A:D,4,FALSE)</f>
        <v>15000</v>
      </c>
      <c r="I950">
        <f t="shared" si="29"/>
        <v>24000</v>
      </c>
      <c r="J950" t="str">
        <f>VLOOKUP(B950,orders!A:B,2,FALSE)</f>
        <v>CUST0080</v>
      </c>
      <c r="K950" t="str">
        <f>VLOOKUP(J950,customers!A:F,6,FALSE)</f>
        <v>Surabaya</v>
      </c>
    </row>
    <row r="951" spans="1:11" x14ac:dyDescent="0.35">
      <c r="A951" s="4" t="s">
        <v>1992</v>
      </c>
      <c r="B951" s="4" t="s">
        <v>460</v>
      </c>
      <c r="C951" s="4" t="s">
        <v>1031</v>
      </c>
      <c r="D951" s="4">
        <v>1</v>
      </c>
      <c r="E951" s="6">
        <v>79000</v>
      </c>
      <c r="F951" t="str">
        <f>VLOOKUP(C951,products!A:C,2,FALSE)</f>
        <v>Kaos Polos Cotton Combed</v>
      </c>
      <c r="G951">
        <f t="shared" si="28"/>
        <v>79000</v>
      </c>
      <c r="H951">
        <f>VLOOKUP(C951,products!A:D,4,FALSE)</f>
        <v>35000</v>
      </c>
      <c r="I951">
        <f t="shared" si="29"/>
        <v>44000</v>
      </c>
      <c r="J951" t="str">
        <f>VLOOKUP(B951,orders!A:B,2,FALSE)</f>
        <v>CUST0080</v>
      </c>
      <c r="K951" t="str">
        <f>VLOOKUP(J951,customers!A:F,6,FALSE)</f>
        <v>Surabaya</v>
      </c>
    </row>
    <row r="952" spans="1:11" x14ac:dyDescent="0.35">
      <c r="A952" s="4" t="s">
        <v>1993</v>
      </c>
      <c r="B952" s="4" t="s">
        <v>523</v>
      </c>
      <c r="C952" s="4" t="s">
        <v>1029</v>
      </c>
      <c r="D952" s="4">
        <v>1</v>
      </c>
      <c r="E952" s="6">
        <v>39000</v>
      </c>
      <c r="F952" t="str">
        <f>VLOOKUP(C952,products!A:C,2,FALSE)</f>
        <v>Kabel Data USB-C</v>
      </c>
      <c r="G952">
        <f t="shared" si="28"/>
        <v>39000</v>
      </c>
      <c r="H952">
        <f>VLOOKUP(C952,products!A:D,4,FALSE)</f>
        <v>15000</v>
      </c>
      <c r="I952">
        <f t="shared" si="29"/>
        <v>24000</v>
      </c>
      <c r="J952" t="str">
        <f>VLOOKUP(B952,orders!A:B,2,FALSE)</f>
        <v>CUST0002</v>
      </c>
      <c r="K952" t="str">
        <f>VLOOKUP(J952,customers!A:F,6,FALSE)</f>
        <v>Depok</v>
      </c>
    </row>
    <row r="953" spans="1:11" x14ac:dyDescent="0.35">
      <c r="A953" s="4" t="s">
        <v>1994</v>
      </c>
      <c r="B953" s="4" t="s">
        <v>523</v>
      </c>
      <c r="C953" s="4" t="s">
        <v>1082</v>
      </c>
      <c r="D953" s="4">
        <v>2</v>
      </c>
      <c r="E953" s="6">
        <v>399000</v>
      </c>
      <c r="F953" t="str">
        <f>VLOOKUP(C953,products!A:C,2,FALSE)</f>
        <v>Keyboard Mechanical Mini</v>
      </c>
      <c r="G953">
        <f t="shared" si="28"/>
        <v>798000</v>
      </c>
      <c r="H953">
        <f>VLOOKUP(C953,products!A:D,4,FALSE)</f>
        <v>200000</v>
      </c>
      <c r="I953">
        <f t="shared" si="29"/>
        <v>398000</v>
      </c>
      <c r="J953" t="str">
        <f>VLOOKUP(B953,orders!A:B,2,FALSE)</f>
        <v>CUST0002</v>
      </c>
      <c r="K953" t="str">
        <f>VLOOKUP(J953,customers!A:F,6,FALSE)</f>
        <v>Depok</v>
      </c>
    </row>
    <row r="954" spans="1:11" x14ac:dyDescent="0.35">
      <c r="A954" s="4" t="s">
        <v>1995</v>
      </c>
      <c r="B954" s="4" t="s">
        <v>1004</v>
      </c>
      <c r="C954" s="4" t="s">
        <v>1023</v>
      </c>
      <c r="D954" s="4">
        <v>2</v>
      </c>
      <c r="E954" s="6">
        <v>69000</v>
      </c>
      <c r="F954" t="str">
        <f>VLOOKUP(C954,products!A:C,2,FALSE)</f>
        <v>Lampu LED Hias 5m</v>
      </c>
      <c r="G954">
        <f t="shared" si="28"/>
        <v>138000</v>
      </c>
      <c r="H954">
        <f>VLOOKUP(C954,products!A:D,4,FALSE)</f>
        <v>30000</v>
      </c>
      <c r="I954">
        <f t="shared" si="29"/>
        <v>78000</v>
      </c>
      <c r="J954" t="str">
        <f>VLOOKUP(B954,orders!A:B,2,FALSE)</f>
        <v>CUST0037</v>
      </c>
      <c r="K954" t="str">
        <f>VLOOKUP(J954,customers!A:F,6,FALSE)</f>
        <v>Jakarta</v>
      </c>
    </row>
    <row r="955" spans="1:11" x14ac:dyDescent="0.35">
      <c r="A955" s="4" t="s">
        <v>1996</v>
      </c>
      <c r="B955" s="4" t="s">
        <v>302</v>
      </c>
      <c r="C955" s="4" t="s">
        <v>1023</v>
      </c>
      <c r="D955" s="4">
        <v>1</v>
      </c>
      <c r="E955" s="6">
        <v>69000</v>
      </c>
      <c r="F955" t="str">
        <f>VLOOKUP(C955,products!A:C,2,FALSE)</f>
        <v>Lampu LED Hias 5m</v>
      </c>
      <c r="G955">
        <f t="shared" si="28"/>
        <v>69000</v>
      </c>
      <c r="H955">
        <f>VLOOKUP(C955,products!A:D,4,FALSE)</f>
        <v>30000</v>
      </c>
      <c r="I955">
        <f t="shared" si="29"/>
        <v>39000</v>
      </c>
      <c r="J955" t="str">
        <f>VLOOKUP(B955,orders!A:B,2,FALSE)</f>
        <v>CUST0018</v>
      </c>
      <c r="K955" t="str">
        <f>VLOOKUP(J955,customers!A:F,6,FALSE)</f>
        <v>Denpasar</v>
      </c>
    </row>
    <row r="956" spans="1:11" x14ac:dyDescent="0.35">
      <c r="A956" s="4" t="s">
        <v>1997</v>
      </c>
      <c r="B956" s="4" t="s">
        <v>302</v>
      </c>
      <c r="C956" s="4" t="s">
        <v>1044</v>
      </c>
      <c r="D956" s="4">
        <v>1</v>
      </c>
      <c r="E956" s="6">
        <v>329000</v>
      </c>
      <c r="F956" t="str">
        <f>VLOOKUP(C956,products!A:C,2,FALSE)</f>
        <v>Rice Cooker Mini 1.5L</v>
      </c>
      <c r="G956">
        <f t="shared" si="28"/>
        <v>329000</v>
      </c>
      <c r="H956">
        <f>VLOOKUP(C956,products!A:D,4,FALSE)</f>
        <v>180000</v>
      </c>
      <c r="I956">
        <f t="shared" si="29"/>
        <v>149000</v>
      </c>
      <c r="J956" t="str">
        <f>VLOOKUP(B956,orders!A:B,2,FALSE)</f>
        <v>CUST0018</v>
      </c>
      <c r="K956" t="str">
        <f>VLOOKUP(J956,customers!A:F,6,FALSE)</f>
        <v>Denpasar</v>
      </c>
    </row>
    <row r="957" spans="1:11" x14ac:dyDescent="0.35">
      <c r="A957" s="4" t="s">
        <v>1998</v>
      </c>
      <c r="B957" s="4" t="s">
        <v>604</v>
      </c>
      <c r="C957" s="4" t="s">
        <v>1082</v>
      </c>
      <c r="D957" s="4">
        <v>3</v>
      </c>
      <c r="E957" s="6">
        <v>399000</v>
      </c>
      <c r="F957" t="str">
        <f>VLOOKUP(C957,products!A:C,2,FALSE)</f>
        <v>Keyboard Mechanical Mini</v>
      </c>
      <c r="G957">
        <f t="shared" si="28"/>
        <v>1197000</v>
      </c>
      <c r="H957">
        <f>VLOOKUP(C957,products!A:D,4,FALSE)</f>
        <v>200000</v>
      </c>
      <c r="I957">
        <f t="shared" si="29"/>
        <v>597000</v>
      </c>
      <c r="J957" t="str">
        <f>VLOOKUP(B957,orders!A:B,2,FALSE)</f>
        <v>CUST0163</v>
      </c>
      <c r="K957" t="str">
        <f>VLOOKUP(J957,customers!A:F,6,FALSE)</f>
        <v>Denpasar</v>
      </c>
    </row>
    <row r="958" spans="1:11" x14ac:dyDescent="0.35">
      <c r="A958" s="4" t="s">
        <v>1999</v>
      </c>
      <c r="B958" s="4" t="s">
        <v>277</v>
      </c>
      <c r="C958" s="4" t="s">
        <v>1023</v>
      </c>
      <c r="D958" s="4">
        <v>1</v>
      </c>
      <c r="E958" s="6">
        <v>69000</v>
      </c>
      <c r="F958" t="str">
        <f>VLOOKUP(C958,products!A:C,2,FALSE)</f>
        <v>Lampu LED Hias 5m</v>
      </c>
      <c r="G958">
        <f t="shared" si="28"/>
        <v>69000</v>
      </c>
      <c r="H958">
        <f>VLOOKUP(C958,products!A:D,4,FALSE)</f>
        <v>30000</v>
      </c>
      <c r="I958">
        <f t="shared" si="29"/>
        <v>39000</v>
      </c>
      <c r="J958" t="str">
        <f>VLOOKUP(B958,orders!A:B,2,FALSE)</f>
        <v>CUST0136</v>
      </c>
      <c r="K958" t="str">
        <f>VLOOKUP(J958,customers!A:F,6,FALSE)</f>
        <v>Yogyakarta</v>
      </c>
    </row>
    <row r="959" spans="1:11" x14ac:dyDescent="0.35">
      <c r="A959" s="4" t="s">
        <v>2000</v>
      </c>
      <c r="B959" s="4" t="s">
        <v>503</v>
      </c>
      <c r="C959" s="4" t="s">
        <v>1025</v>
      </c>
      <c r="D959" s="4">
        <v>2</v>
      </c>
      <c r="E959" s="6">
        <v>179000</v>
      </c>
      <c r="F959" t="str">
        <f>VLOOKUP(C959,products!A:C,2,FALSE)</f>
        <v>Rak Penyimpanan Serbaguna</v>
      </c>
      <c r="G959">
        <f t="shared" si="28"/>
        <v>358000</v>
      </c>
      <c r="H959">
        <f>VLOOKUP(C959,products!A:D,4,FALSE)</f>
        <v>90000</v>
      </c>
      <c r="I959">
        <f t="shared" si="29"/>
        <v>178000</v>
      </c>
      <c r="J959" t="str">
        <f>VLOOKUP(B959,orders!A:B,2,FALSE)</f>
        <v>CUST0117</v>
      </c>
      <c r="K959" t="str">
        <f>VLOOKUP(J959,customers!A:F,6,FALSE)</f>
        <v>Semarang</v>
      </c>
    </row>
    <row r="960" spans="1:11" x14ac:dyDescent="0.35">
      <c r="A960" s="4" t="s">
        <v>2001</v>
      </c>
      <c r="B960" s="4" t="s">
        <v>503</v>
      </c>
      <c r="C960" s="4" t="s">
        <v>1036</v>
      </c>
      <c r="D960" s="4">
        <v>1</v>
      </c>
      <c r="E960" s="6">
        <v>229000</v>
      </c>
      <c r="F960" t="str">
        <f>VLOOKUP(C960,products!A:C,2,FALSE)</f>
        <v>Celana Jeans Slimfit</v>
      </c>
      <c r="G960">
        <f t="shared" si="28"/>
        <v>229000</v>
      </c>
      <c r="H960">
        <f>VLOOKUP(C960,products!A:D,4,FALSE)</f>
        <v>110000</v>
      </c>
      <c r="I960">
        <f t="shared" si="29"/>
        <v>119000</v>
      </c>
      <c r="J960" t="str">
        <f>VLOOKUP(B960,orders!A:B,2,FALSE)</f>
        <v>CUST0117</v>
      </c>
      <c r="K960" t="str">
        <f>VLOOKUP(J960,customers!A:F,6,FALSE)</f>
        <v>Semarang</v>
      </c>
    </row>
    <row r="961" spans="1:11" x14ac:dyDescent="0.35">
      <c r="A961" s="4" t="s">
        <v>2002</v>
      </c>
      <c r="B961" s="4" t="s">
        <v>97</v>
      </c>
      <c r="C961" s="4" t="s">
        <v>1023</v>
      </c>
      <c r="D961" s="4">
        <v>1</v>
      </c>
      <c r="E961" s="6">
        <v>69000</v>
      </c>
      <c r="F961" t="str">
        <f>VLOOKUP(C961,products!A:C,2,FALSE)</f>
        <v>Lampu LED Hias 5m</v>
      </c>
      <c r="G961">
        <f t="shared" si="28"/>
        <v>69000</v>
      </c>
      <c r="H961">
        <f>VLOOKUP(C961,products!A:D,4,FALSE)</f>
        <v>30000</v>
      </c>
      <c r="I961">
        <f t="shared" si="29"/>
        <v>39000</v>
      </c>
      <c r="J961" t="str">
        <f>VLOOKUP(B961,orders!A:B,2,FALSE)</f>
        <v>CUST0080</v>
      </c>
      <c r="K961" t="str">
        <f>VLOOKUP(J961,customers!A:F,6,FALSE)</f>
        <v>Surabaya</v>
      </c>
    </row>
    <row r="962" spans="1:11" x14ac:dyDescent="0.35">
      <c r="A962" s="4" t="s">
        <v>2003</v>
      </c>
      <c r="B962" s="4" t="s">
        <v>823</v>
      </c>
      <c r="C962" s="4" t="s">
        <v>1023</v>
      </c>
      <c r="D962" s="4">
        <v>1</v>
      </c>
      <c r="E962" s="6">
        <v>69000</v>
      </c>
      <c r="F962" t="str">
        <f>VLOOKUP(C962,products!A:C,2,FALSE)</f>
        <v>Lampu LED Hias 5m</v>
      </c>
      <c r="G962">
        <f t="shared" si="28"/>
        <v>69000</v>
      </c>
      <c r="H962">
        <f>VLOOKUP(C962,products!A:D,4,FALSE)</f>
        <v>30000</v>
      </c>
      <c r="I962">
        <f t="shared" si="29"/>
        <v>39000</v>
      </c>
      <c r="J962" t="str">
        <f>VLOOKUP(B962,orders!A:B,2,FALSE)</f>
        <v>CUST0153</v>
      </c>
      <c r="K962" t="str">
        <f>VLOOKUP(J962,customers!A:F,6,FALSE)</f>
        <v>Depok</v>
      </c>
    </row>
    <row r="963" spans="1:11" x14ac:dyDescent="0.35">
      <c r="A963" s="4" t="s">
        <v>2004</v>
      </c>
      <c r="B963" s="4" t="s">
        <v>823</v>
      </c>
      <c r="C963" s="4" t="s">
        <v>1025</v>
      </c>
      <c r="D963" s="4">
        <v>1</v>
      </c>
      <c r="E963" s="6">
        <v>179000</v>
      </c>
      <c r="F963" t="str">
        <f>VLOOKUP(C963,products!A:C,2,FALSE)</f>
        <v>Rak Penyimpanan Serbaguna</v>
      </c>
      <c r="G963">
        <f t="shared" ref="G963:G1026" si="30">D963*E963</f>
        <v>179000</v>
      </c>
      <c r="H963">
        <f>VLOOKUP(C963,products!A:D,4,FALSE)</f>
        <v>90000</v>
      </c>
      <c r="I963">
        <f t="shared" ref="I963:I1026" si="31">(E963-H963)*D963</f>
        <v>89000</v>
      </c>
      <c r="J963" t="str">
        <f>VLOOKUP(B963,orders!A:B,2,FALSE)</f>
        <v>CUST0153</v>
      </c>
      <c r="K963" t="str">
        <f>VLOOKUP(J963,customers!A:F,6,FALSE)</f>
        <v>Depok</v>
      </c>
    </row>
    <row r="964" spans="1:11" x14ac:dyDescent="0.35">
      <c r="A964" s="4" t="s">
        <v>2005</v>
      </c>
      <c r="B964" s="4" t="s">
        <v>440</v>
      </c>
      <c r="C964" s="4" t="s">
        <v>1023</v>
      </c>
      <c r="D964" s="4">
        <v>1</v>
      </c>
      <c r="E964" s="6">
        <v>69000</v>
      </c>
      <c r="F964" t="str">
        <f>VLOOKUP(C964,products!A:C,2,FALSE)</f>
        <v>Lampu LED Hias 5m</v>
      </c>
      <c r="G964">
        <f t="shared" si="30"/>
        <v>69000</v>
      </c>
      <c r="H964">
        <f>VLOOKUP(C964,products!A:D,4,FALSE)</f>
        <v>30000</v>
      </c>
      <c r="I964">
        <f t="shared" si="31"/>
        <v>39000</v>
      </c>
      <c r="J964" t="str">
        <f>VLOOKUP(B964,orders!A:B,2,FALSE)</f>
        <v>CUST0014</v>
      </c>
      <c r="K964" t="str">
        <f>VLOOKUP(J964,customers!A:F,6,FALSE)</f>
        <v>Jakarta</v>
      </c>
    </row>
    <row r="965" spans="1:11" x14ac:dyDescent="0.35">
      <c r="A965" s="4" t="s">
        <v>2006</v>
      </c>
      <c r="B965" s="4" t="s">
        <v>729</v>
      </c>
      <c r="C965" s="4" t="s">
        <v>1029</v>
      </c>
      <c r="D965" s="4">
        <v>1</v>
      </c>
      <c r="E965" s="6">
        <v>39000</v>
      </c>
      <c r="F965" t="str">
        <f>VLOOKUP(C965,products!A:C,2,FALSE)</f>
        <v>Kabel Data USB-C</v>
      </c>
      <c r="G965">
        <f t="shared" si="30"/>
        <v>39000</v>
      </c>
      <c r="H965">
        <f>VLOOKUP(C965,products!A:D,4,FALSE)</f>
        <v>15000</v>
      </c>
      <c r="I965">
        <f t="shared" si="31"/>
        <v>24000</v>
      </c>
      <c r="J965" t="str">
        <f>VLOOKUP(B965,orders!A:B,2,FALSE)</f>
        <v>CUST0159</v>
      </c>
      <c r="K965" t="str">
        <f>VLOOKUP(J965,customers!A:F,6,FALSE)</f>
        <v>Bandung</v>
      </c>
    </row>
    <row r="966" spans="1:11" x14ac:dyDescent="0.35">
      <c r="A966" s="4" t="s">
        <v>2007</v>
      </c>
      <c r="B966" s="4" t="s">
        <v>304</v>
      </c>
      <c r="C966" s="4" t="s">
        <v>1023</v>
      </c>
      <c r="D966" s="4">
        <v>2</v>
      </c>
      <c r="E966" s="6">
        <v>69000</v>
      </c>
      <c r="F966" t="str">
        <f>VLOOKUP(C966,products!A:C,2,FALSE)</f>
        <v>Lampu LED Hias 5m</v>
      </c>
      <c r="G966">
        <f t="shared" si="30"/>
        <v>138000</v>
      </c>
      <c r="H966">
        <f>VLOOKUP(C966,products!A:D,4,FALSE)</f>
        <v>30000</v>
      </c>
      <c r="I966">
        <f t="shared" si="31"/>
        <v>78000</v>
      </c>
      <c r="J966" t="str">
        <f>VLOOKUP(B966,orders!A:B,2,FALSE)</f>
        <v>CUST0021</v>
      </c>
      <c r="K966" t="str">
        <f>VLOOKUP(J966,customers!A:F,6,FALSE)</f>
        <v>Jakarta</v>
      </c>
    </row>
    <row r="967" spans="1:11" x14ac:dyDescent="0.35">
      <c r="A967" s="4" t="s">
        <v>2008</v>
      </c>
      <c r="B967" s="4" t="s">
        <v>188</v>
      </c>
      <c r="C967" s="4" t="s">
        <v>1089</v>
      </c>
      <c r="D967" s="4">
        <v>1</v>
      </c>
      <c r="E967" s="6">
        <v>159000</v>
      </c>
      <c r="F967" t="str">
        <f>VLOOKUP(C967,products!A:C,2,FALSE)</f>
        <v>Power Bank 10000mAh</v>
      </c>
      <c r="G967">
        <f t="shared" si="30"/>
        <v>159000</v>
      </c>
      <c r="H967">
        <f>VLOOKUP(C967,products!A:D,4,FALSE)</f>
        <v>80000</v>
      </c>
      <c r="I967">
        <f t="shared" si="31"/>
        <v>79000</v>
      </c>
      <c r="J967" t="str">
        <f>VLOOKUP(B967,orders!A:B,2,FALSE)</f>
        <v>CUST0109</v>
      </c>
      <c r="K967" t="str">
        <f>VLOOKUP(J967,customers!A:F,6,FALSE)</f>
        <v>Surabaya</v>
      </c>
    </row>
    <row r="968" spans="1:11" x14ac:dyDescent="0.35">
      <c r="A968" s="4" t="s">
        <v>2009</v>
      </c>
      <c r="B968" s="4" t="s">
        <v>188</v>
      </c>
      <c r="C968" s="4" t="s">
        <v>1029</v>
      </c>
      <c r="D968" s="4">
        <v>1</v>
      </c>
      <c r="E968" s="6">
        <v>39000</v>
      </c>
      <c r="F968" t="str">
        <f>VLOOKUP(C968,products!A:C,2,FALSE)</f>
        <v>Kabel Data USB-C</v>
      </c>
      <c r="G968">
        <f t="shared" si="30"/>
        <v>39000</v>
      </c>
      <c r="H968">
        <f>VLOOKUP(C968,products!A:D,4,FALSE)</f>
        <v>15000</v>
      </c>
      <c r="I968">
        <f t="shared" si="31"/>
        <v>24000</v>
      </c>
      <c r="J968" t="str">
        <f>VLOOKUP(B968,orders!A:B,2,FALSE)</f>
        <v>CUST0109</v>
      </c>
      <c r="K968" t="str">
        <f>VLOOKUP(J968,customers!A:F,6,FALSE)</f>
        <v>Surabaya</v>
      </c>
    </row>
    <row r="969" spans="1:11" x14ac:dyDescent="0.35">
      <c r="A969" s="4" t="s">
        <v>2010</v>
      </c>
      <c r="B969" s="4" t="s">
        <v>188</v>
      </c>
      <c r="C969" s="4" t="s">
        <v>1023</v>
      </c>
      <c r="D969" s="4">
        <v>1</v>
      </c>
      <c r="E969" s="6">
        <v>69000</v>
      </c>
      <c r="F969" t="str">
        <f>VLOOKUP(C969,products!A:C,2,FALSE)</f>
        <v>Lampu LED Hias 5m</v>
      </c>
      <c r="G969">
        <f t="shared" si="30"/>
        <v>69000</v>
      </c>
      <c r="H969">
        <f>VLOOKUP(C969,products!A:D,4,FALSE)</f>
        <v>30000</v>
      </c>
      <c r="I969">
        <f t="shared" si="31"/>
        <v>39000</v>
      </c>
      <c r="J969" t="str">
        <f>VLOOKUP(B969,orders!A:B,2,FALSE)</f>
        <v>CUST0109</v>
      </c>
      <c r="K969" t="str">
        <f>VLOOKUP(J969,customers!A:F,6,FALSE)</f>
        <v>Surabaya</v>
      </c>
    </row>
    <row r="970" spans="1:11" x14ac:dyDescent="0.35">
      <c r="A970" s="4" t="s">
        <v>2011</v>
      </c>
      <c r="B970" s="4" t="s">
        <v>920</v>
      </c>
      <c r="C970" s="4" t="s">
        <v>1029</v>
      </c>
      <c r="D970" s="4">
        <v>1</v>
      </c>
      <c r="E970" s="6">
        <v>39000</v>
      </c>
      <c r="F970" t="str">
        <f>VLOOKUP(C970,products!A:C,2,FALSE)</f>
        <v>Kabel Data USB-C</v>
      </c>
      <c r="G970">
        <f t="shared" si="30"/>
        <v>39000</v>
      </c>
      <c r="H970">
        <f>VLOOKUP(C970,products!A:D,4,FALSE)</f>
        <v>15000</v>
      </c>
      <c r="I970">
        <f t="shared" si="31"/>
        <v>24000</v>
      </c>
      <c r="J970" t="str">
        <f>VLOOKUP(B970,orders!A:B,2,FALSE)</f>
        <v>CUST0114</v>
      </c>
      <c r="K970" t="str">
        <f>VLOOKUP(J970,customers!A:F,6,FALSE)</f>
        <v>Denpasar</v>
      </c>
    </row>
    <row r="971" spans="1:11" x14ac:dyDescent="0.35">
      <c r="A971" s="4" t="s">
        <v>2012</v>
      </c>
      <c r="B971" s="4" t="s">
        <v>920</v>
      </c>
      <c r="C971" s="4" t="s">
        <v>1023</v>
      </c>
      <c r="D971" s="4">
        <v>1</v>
      </c>
      <c r="E971" s="6">
        <v>69000</v>
      </c>
      <c r="F971" t="str">
        <f>VLOOKUP(C971,products!A:C,2,FALSE)</f>
        <v>Lampu LED Hias 5m</v>
      </c>
      <c r="G971">
        <f t="shared" si="30"/>
        <v>69000</v>
      </c>
      <c r="H971">
        <f>VLOOKUP(C971,products!A:D,4,FALSE)</f>
        <v>30000</v>
      </c>
      <c r="I971">
        <f t="shared" si="31"/>
        <v>39000</v>
      </c>
      <c r="J971" t="str">
        <f>VLOOKUP(B971,orders!A:B,2,FALSE)</f>
        <v>CUST0114</v>
      </c>
      <c r="K971" t="str">
        <f>VLOOKUP(J971,customers!A:F,6,FALSE)</f>
        <v>Denpasar</v>
      </c>
    </row>
    <row r="972" spans="1:11" x14ac:dyDescent="0.35">
      <c r="A972" s="4" t="s">
        <v>2013</v>
      </c>
      <c r="B972" s="4" t="s">
        <v>657</v>
      </c>
      <c r="C972" s="4" t="s">
        <v>1023</v>
      </c>
      <c r="D972" s="4">
        <v>1</v>
      </c>
      <c r="E972" s="6">
        <v>69000</v>
      </c>
      <c r="F972" t="str">
        <f>VLOOKUP(C972,products!A:C,2,FALSE)</f>
        <v>Lampu LED Hias 5m</v>
      </c>
      <c r="G972">
        <f t="shared" si="30"/>
        <v>69000</v>
      </c>
      <c r="H972">
        <f>VLOOKUP(C972,products!A:D,4,FALSE)</f>
        <v>30000</v>
      </c>
      <c r="I972">
        <f t="shared" si="31"/>
        <v>39000</v>
      </c>
      <c r="J972" t="str">
        <f>VLOOKUP(B972,orders!A:B,2,FALSE)</f>
        <v>CUST0056</v>
      </c>
      <c r="K972" t="str">
        <f>VLOOKUP(J972,customers!A:F,6,FALSE)</f>
        <v>Surabaya</v>
      </c>
    </row>
    <row r="973" spans="1:11" x14ac:dyDescent="0.35">
      <c r="A973" s="4" t="s">
        <v>2014</v>
      </c>
      <c r="B973" s="4" t="s">
        <v>254</v>
      </c>
      <c r="C973" s="4" t="s">
        <v>1082</v>
      </c>
      <c r="D973" s="4">
        <v>3</v>
      </c>
      <c r="E973" s="6">
        <v>399000</v>
      </c>
      <c r="F973" t="str">
        <f>VLOOKUP(C973,products!A:C,2,FALSE)</f>
        <v>Keyboard Mechanical Mini</v>
      </c>
      <c r="G973">
        <f t="shared" si="30"/>
        <v>1197000</v>
      </c>
      <c r="H973">
        <f>VLOOKUP(C973,products!A:D,4,FALSE)</f>
        <v>200000</v>
      </c>
      <c r="I973">
        <f t="shared" si="31"/>
        <v>597000</v>
      </c>
      <c r="J973" t="str">
        <f>VLOOKUP(B973,orders!A:B,2,FALSE)</f>
        <v>CUST0111</v>
      </c>
      <c r="K973" t="str">
        <f>VLOOKUP(J973,customers!A:F,6,FALSE)</f>
        <v>Makassar</v>
      </c>
    </row>
    <row r="974" spans="1:11" x14ac:dyDescent="0.35">
      <c r="A974" s="4" t="s">
        <v>2015</v>
      </c>
      <c r="B974" s="4" t="s">
        <v>254</v>
      </c>
      <c r="C974" s="4" t="s">
        <v>1049</v>
      </c>
      <c r="D974" s="4">
        <v>1</v>
      </c>
      <c r="E974" s="6">
        <v>349000</v>
      </c>
      <c r="F974" t="str">
        <f>VLOOKUP(C974,products!A:C,2,FALSE)</f>
        <v>Sepatu Sneakers Casual</v>
      </c>
      <c r="G974">
        <f t="shared" si="30"/>
        <v>349000</v>
      </c>
      <c r="H974">
        <f>VLOOKUP(C974,products!A:D,4,FALSE)</f>
        <v>180000</v>
      </c>
      <c r="I974">
        <f t="shared" si="31"/>
        <v>169000</v>
      </c>
      <c r="J974" t="str">
        <f>VLOOKUP(B974,orders!A:B,2,FALSE)</f>
        <v>CUST0111</v>
      </c>
      <c r="K974" t="str">
        <f>VLOOKUP(J974,customers!A:F,6,FALSE)</f>
        <v>Makassar</v>
      </c>
    </row>
    <row r="975" spans="1:11" x14ac:dyDescent="0.35">
      <c r="A975" s="4" t="s">
        <v>2016</v>
      </c>
      <c r="B975" s="4" t="s">
        <v>883</v>
      </c>
      <c r="C975" s="4" t="s">
        <v>1023</v>
      </c>
      <c r="D975" s="4">
        <v>1</v>
      </c>
      <c r="E975" s="6">
        <v>69000</v>
      </c>
      <c r="F975" t="str">
        <f>VLOOKUP(C975,products!A:C,2,FALSE)</f>
        <v>Lampu LED Hias 5m</v>
      </c>
      <c r="G975">
        <f t="shared" si="30"/>
        <v>69000</v>
      </c>
      <c r="H975">
        <f>VLOOKUP(C975,products!A:D,4,FALSE)</f>
        <v>30000</v>
      </c>
      <c r="I975">
        <f t="shared" si="31"/>
        <v>39000</v>
      </c>
      <c r="J975" t="str">
        <f>VLOOKUP(B975,orders!A:B,2,FALSE)</f>
        <v>CUST0174</v>
      </c>
      <c r="K975" t="str">
        <f>VLOOKUP(J975,customers!A:F,6,FALSE)</f>
        <v>Makassar</v>
      </c>
    </row>
    <row r="976" spans="1:11" x14ac:dyDescent="0.35">
      <c r="A976" s="4" t="s">
        <v>2017</v>
      </c>
      <c r="B976" s="4" t="s">
        <v>455</v>
      </c>
      <c r="C976" s="4" t="s">
        <v>1033</v>
      </c>
      <c r="D976" s="4">
        <v>1</v>
      </c>
      <c r="E976" s="6">
        <v>55000</v>
      </c>
      <c r="F976" t="str">
        <f>VLOOKUP(C976,products!A:C,2,FALSE)</f>
        <v>Sapu + Pengki Set</v>
      </c>
      <c r="G976">
        <f t="shared" si="30"/>
        <v>55000</v>
      </c>
      <c r="H976">
        <f>VLOOKUP(C976,products!A:D,4,FALSE)</f>
        <v>25000</v>
      </c>
      <c r="I976">
        <f t="shared" si="31"/>
        <v>30000</v>
      </c>
      <c r="J976" t="str">
        <f>VLOOKUP(B976,orders!A:B,2,FALSE)</f>
        <v>CUST0135</v>
      </c>
      <c r="K976" t="str">
        <f>VLOOKUP(J976,customers!A:F,6,FALSE)</f>
        <v>Bandung</v>
      </c>
    </row>
    <row r="977" spans="1:11" x14ac:dyDescent="0.35">
      <c r="A977" s="4" t="s">
        <v>2018</v>
      </c>
      <c r="B977" s="4" t="s">
        <v>613</v>
      </c>
      <c r="C977" s="4" t="s">
        <v>1049</v>
      </c>
      <c r="D977" s="4">
        <v>2</v>
      </c>
      <c r="E977" s="6">
        <v>349000</v>
      </c>
      <c r="F977" t="str">
        <f>VLOOKUP(C977,products!A:C,2,FALSE)</f>
        <v>Sepatu Sneakers Casual</v>
      </c>
      <c r="G977">
        <f t="shared" si="30"/>
        <v>698000</v>
      </c>
      <c r="H977">
        <f>VLOOKUP(C977,products!A:D,4,FALSE)</f>
        <v>180000</v>
      </c>
      <c r="I977">
        <f t="shared" si="31"/>
        <v>338000</v>
      </c>
      <c r="J977" t="str">
        <f>VLOOKUP(B977,orders!A:B,2,FALSE)</f>
        <v>CUST0057</v>
      </c>
      <c r="K977" t="str">
        <f>VLOOKUP(J977,customers!A:F,6,FALSE)</f>
        <v>Palembang</v>
      </c>
    </row>
    <row r="978" spans="1:11" x14ac:dyDescent="0.35">
      <c r="A978" s="4" t="s">
        <v>2019</v>
      </c>
      <c r="B978" s="4" t="s">
        <v>132</v>
      </c>
      <c r="C978" s="4" t="s">
        <v>1025</v>
      </c>
      <c r="D978" s="4">
        <v>2</v>
      </c>
      <c r="E978" s="6">
        <v>179000</v>
      </c>
      <c r="F978" t="str">
        <f>VLOOKUP(C978,products!A:C,2,FALSE)</f>
        <v>Rak Penyimpanan Serbaguna</v>
      </c>
      <c r="G978">
        <f t="shared" si="30"/>
        <v>358000</v>
      </c>
      <c r="H978">
        <f>VLOOKUP(C978,products!A:D,4,FALSE)</f>
        <v>90000</v>
      </c>
      <c r="I978">
        <f t="shared" si="31"/>
        <v>178000</v>
      </c>
      <c r="J978" t="str">
        <f>VLOOKUP(B978,orders!A:B,2,FALSE)</f>
        <v>CUST0015</v>
      </c>
      <c r="K978" t="str">
        <f>VLOOKUP(J978,customers!A:F,6,FALSE)</f>
        <v>Semarang</v>
      </c>
    </row>
    <row r="979" spans="1:11" x14ac:dyDescent="0.35">
      <c r="A979" s="4" t="s">
        <v>2020</v>
      </c>
      <c r="B979" s="4" t="s">
        <v>704</v>
      </c>
      <c r="C979" s="4" t="s">
        <v>1023</v>
      </c>
      <c r="D979" s="4">
        <v>1</v>
      </c>
      <c r="E979" s="6">
        <v>69000</v>
      </c>
      <c r="F979" t="str">
        <f>VLOOKUP(C979,products!A:C,2,FALSE)</f>
        <v>Lampu LED Hias 5m</v>
      </c>
      <c r="G979">
        <f t="shared" si="30"/>
        <v>69000</v>
      </c>
      <c r="H979">
        <f>VLOOKUP(C979,products!A:D,4,FALSE)</f>
        <v>30000</v>
      </c>
      <c r="I979">
        <f t="shared" si="31"/>
        <v>39000</v>
      </c>
      <c r="J979" t="str">
        <f>VLOOKUP(B979,orders!A:B,2,FALSE)</f>
        <v>CUST0078</v>
      </c>
      <c r="K979" t="str">
        <f>VLOOKUP(J979,customers!A:F,6,FALSE)</f>
        <v>Denpasar</v>
      </c>
    </row>
    <row r="980" spans="1:11" x14ac:dyDescent="0.35">
      <c r="A980" s="4" t="s">
        <v>2021</v>
      </c>
      <c r="B980" s="4" t="s">
        <v>508</v>
      </c>
      <c r="C980" s="4" t="s">
        <v>1029</v>
      </c>
      <c r="D980" s="4">
        <v>1</v>
      </c>
      <c r="E980" s="6">
        <v>39000</v>
      </c>
      <c r="F980" t="str">
        <f>VLOOKUP(C980,products!A:C,2,FALSE)</f>
        <v>Kabel Data USB-C</v>
      </c>
      <c r="G980">
        <f t="shared" si="30"/>
        <v>39000</v>
      </c>
      <c r="H980">
        <f>VLOOKUP(C980,products!A:D,4,FALSE)</f>
        <v>15000</v>
      </c>
      <c r="I980">
        <f t="shared" si="31"/>
        <v>24000</v>
      </c>
      <c r="J980" t="str">
        <f>VLOOKUP(B980,orders!A:B,2,FALSE)</f>
        <v>CUST0036</v>
      </c>
      <c r="K980" t="str">
        <f>VLOOKUP(J980,customers!A:F,6,FALSE)</f>
        <v>Yogyakarta</v>
      </c>
    </row>
    <row r="981" spans="1:11" x14ac:dyDescent="0.35">
      <c r="A981" s="4" t="s">
        <v>2022</v>
      </c>
      <c r="B981" s="4" t="s">
        <v>412</v>
      </c>
      <c r="C981" s="4" t="s">
        <v>1044</v>
      </c>
      <c r="D981" s="4">
        <v>2</v>
      </c>
      <c r="E981" s="6">
        <v>329000</v>
      </c>
      <c r="F981" t="str">
        <f>VLOOKUP(C981,products!A:C,2,FALSE)</f>
        <v>Rice Cooker Mini 1.5L</v>
      </c>
      <c r="G981">
        <f t="shared" si="30"/>
        <v>658000</v>
      </c>
      <c r="H981">
        <f>VLOOKUP(C981,products!A:D,4,FALSE)</f>
        <v>180000</v>
      </c>
      <c r="I981">
        <f t="shared" si="31"/>
        <v>298000</v>
      </c>
      <c r="J981" t="str">
        <f>VLOOKUP(B981,orders!A:B,2,FALSE)</f>
        <v>CUST0075</v>
      </c>
      <c r="K981" t="str">
        <f>VLOOKUP(J981,customers!A:F,6,FALSE)</f>
        <v>Jakarta</v>
      </c>
    </row>
    <row r="982" spans="1:11" x14ac:dyDescent="0.35">
      <c r="A982" s="4" t="s">
        <v>2023</v>
      </c>
      <c r="B982" s="4" t="s">
        <v>412</v>
      </c>
      <c r="C982" s="4" t="s">
        <v>1025</v>
      </c>
      <c r="D982" s="4">
        <v>2</v>
      </c>
      <c r="E982" s="6">
        <v>179000</v>
      </c>
      <c r="F982" t="str">
        <f>VLOOKUP(C982,products!A:C,2,FALSE)</f>
        <v>Rak Penyimpanan Serbaguna</v>
      </c>
      <c r="G982">
        <f t="shared" si="30"/>
        <v>358000</v>
      </c>
      <c r="H982">
        <f>VLOOKUP(C982,products!A:D,4,FALSE)</f>
        <v>90000</v>
      </c>
      <c r="I982">
        <f t="shared" si="31"/>
        <v>178000</v>
      </c>
      <c r="J982" t="str">
        <f>VLOOKUP(B982,orders!A:B,2,FALSE)</f>
        <v>CUST0075</v>
      </c>
      <c r="K982" t="str">
        <f>VLOOKUP(J982,customers!A:F,6,FALSE)</f>
        <v>Jakarta</v>
      </c>
    </row>
    <row r="983" spans="1:11" x14ac:dyDescent="0.35">
      <c r="A983" s="4" t="s">
        <v>2024</v>
      </c>
      <c r="B983" s="4" t="s">
        <v>116</v>
      </c>
      <c r="C983" s="4" t="s">
        <v>1033</v>
      </c>
      <c r="D983" s="4">
        <v>1</v>
      </c>
      <c r="E983" s="6">
        <v>55000</v>
      </c>
      <c r="F983" t="str">
        <f>VLOOKUP(C983,products!A:C,2,FALSE)</f>
        <v>Sapu + Pengki Set</v>
      </c>
      <c r="G983">
        <f t="shared" si="30"/>
        <v>55000</v>
      </c>
      <c r="H983">
        <f>VLOOKUP(C983,products!A:D,4,FALSE)</f>
        <v>25000</v>
      </c>
      <c r="I983">
        <f t="shared" si="31"/>
        <v>30000</v>
      </c>
      <c r="J983" t="str">
        <f>VLOOKUP(B983,orders!A:B,2,FALSE)</f>
        <v>CUST0128</v>
      </c>
      <c r="K983" t="str">
        <f>VLOOKUP(J983,customers!A:F,6,FALSE)</f>
        <v>Jakarta</v>
      </c>
    </row>
    <row r="984" spans="1:11" x14ac:dyDescent="0.35">
      <c r="A984" s="4" t="s">
        <v>2025</v>
      </c>
      <c r="B984" s="4" t="s">
        <v>116</v>
      </c>
      <c r="C984" s="4" t="s">
        <v>1023</v>
      </c>
      <c r="D984" s="4">
        <v>1</v>
      </c>
      <c r="E984" s="6">
        <v>69000</v>
      </c>
      <c r="F984" t="str">
        <f>VLOOKUP(C984,products!A:C,2,FALSE)</f>
        <v>Lampu LED Hias 5m</v>
      </c>
      <c r="G984">
        <f t="shared" si="30"/>
        <v>69000</v>
      </c>
      <c r="H984">
        <f>VLOOKUP(C984,products!A:D,4,FALSE)</f>
        <v>30000</v>
      </c>
      <c r="I984">
        <f t="shared" si="31"/>
        <v>39000</v>
      </c>
      <c r="J984" t="str">
        <f>VLOOKUP(B984,orders!A:B,2,FALSE)</f>
        <v>CUST0128</v>
      </c>
      <c r="K984" t="str">
        <f>VLOOKUP(J984,customers!A:F,6,FALSE)</f>
        <v>Jakarta</v>
      </c>
    </row>
    <row r="985" spans="1:11" x14ac:dyDescent="0.35">
      <c r="A985" s="4" t="s">
        <v>2026</v>
      </c>
      <c r="B985" s="4" t="s">
        <v>482</v>
      </c>
      <c r="C985" s="4" t="s">
        <v>1029</v>
      </c>
      <c r="D985" s="4">
        <v>1</v>
      </c>
      <c r="E985" s="6">
        <v>39000</v>
      </c>
      <c r="F985" t="str">
        <f>VLOOKUP(C985,products!A:C,2,FALSE)</f>
        <v>Kabel Data USB-C</v>
      </c>
      <c r="G985">
        <f t="shared" si="30"/>
        <v>39000</v>
      </c>
      <c r="H985">
        <f>VLOOKUP(C985,products!A:D,4,FALSE)</f>
        <v>15000</v>
      </c>
      <c r="I985">
        <f t="shared" si="31"/>
        <v>24000</v>
      </c>
      <c r="J985" t="str">
        <f>VLOOKUP(B985,orders!A:B,2,FALSE)</f>
        <v>CUST0045</v>
      </c>
      <c r="K985" t="str">
        <f>VLOOKUP(J985,customers!A:F,6,FALSE)</f>
        <v>Palembang</v>
      </c>
    </row>
    <row r="986" spans="1:11" x14ac:dyDescent="0.35">
      <c r="A986" s="4" t="s">
        <v>2027</v>
      </c>
      <c r="B986" s="4" t="s">
        <v>355</v>
      </c>
      <c r="C986" s="4" t="s">
        <v>1053</v>
      </c>
      <c r="D986" s="4">
        <v>1</v>
      </c>
      <c r="E986" s="6">
        <v>129000</v>
      </c>
      <c r="F986" t="str">
        <f>VLOOKUP(C986,products!A:C,2,FALSE)</f>
        <v>Charger Fast Charging 33W</v>
      </c>
      <c r="G986">
        <f t="shared" si="30"/>
        <v>129000</v>
      </c>
      <c r="H986">
        <f>VLOOKUP(C986,products!A:D,4,FALSE)</f>
        <v>60000</v>
      </c>
      <c r="I986">
        <f t="shared" si="31"/>
        <v>69000</v>
      </c>
      <c r="J986" t="str">
        <f>VLOOKUP(B986,orders!A:B,2,FALSE)</f>
        <v>CUST0181</v>
      </c>
      <c r="K986" t="str">
        <f>VLOOKUP(J986,customers!A:F,6,FALSE)</f>
        <v>Bandung</v>
      </c>
    </row>
    <row r="987" spans="1:11" x14ac:dyDescent="0.35">
      <c r="A987" s="4" t="s">
        <v>2028</v>
      </c>
      <c r="B987" s="4" t="s">
        <v>355</v>
      </c>
      <c r="C987" s="4" t="s">
        <v>1033</v>
      </c>
      <c r="D987" s="4">
        <v>2</v>
      </c>
      <c r="E987" s="6">
        <v>55000</v>
      </c>
      <c r="F987" t="str">
        <f>VLOOKUP(C987,products!A:C,2,FALSE)</f>
        <v>Sapu + Pengki Set</v>
      </c>
      <c r="G987">
        <f t="shared" si="30"/>
        <v>110000</v>
      </c>
      <c r="H987">
        <f>VLOOKUP(C987,products!A:D,4,FALSE)</f>
        <v>25000</v>
      </c>
      <c r="I987">
        <f t="shared" si="31"/>
        <v>60000</v>
      </c>
      <c r="J987" t="str">
        <f>VLOOKUP(B987,orders!A:B,2,FALSE)</f>
        <v>CUST0181</v>
      </c>
      <c r="K987" t="str">
        <f>VLOOKUP(J987,customers!A:F,6,FALSE)</f>
        <v>Bandung</v>
      </c>
    </row>
    <row r="988" spans="1:11" x14ac:dyDescent="0.35">
      <c r="A988" s="4" t="s">
        <v>2029</v>
      </c>
      <c r="B988" s="4" t="s">
        <v>734</v>
      </c>
      <c r="C988" s="4" t="s">
        <v>1023</v>
      </c>
      <c r="D988" s="4">
        <v>1</v>
      </c>
      <c r="E988" s="6">
        <v>69000</v>
      </c>
      <c r="F988" t="str">
        <f>VLOOKUP(C988,products!A:C,2,FALSE)</f>
        <v>Lampu LED Hias 5m</v>
      </c>
      <c r="G988">
        <f t="shared" si="30"/>
        <v>69000</v>
      </c>
      <c r="H988">
        <f>VLOOKUP(C988,products!A:D,4,FALSE)</f>
        <v>30000</v>
      </c>
      <c r="I988">
        <f t="shared" si="31"/>
        <v>39000</v>
      </c>
      <c r="J988" t="str">
        <f>VLOOKUP(B988,orders!A:B,2,FALSE)</f>
        <v>CUST0144</v>
      </c>
      <c r="K988" t="str">
        <f>VLOOKUP(J988,customers!A:F,6,FALSE)</f>
        <v>Bandung</v>
      </c>
    </row>
    <row r="989" spans="1:11" x14ac:dyDescent="0.35">
      <c r="A989" s="4" t="s">
        <v>2030</v>
      </c>
      <c r="B989" s="4" t="s">
        <v>734</v>
      </c>
      <c r="C989" s="4" t="s">
        <v>1029</v>
      </c>
      <c r="D989" s="4">
        <v>1</v>
      </c>
      <c r="E989" s="6">
        <v>39000</v>
      </c>
      <c r="F989" t="str">
        <f>VLOOKUP(C989,products!A:C,2,FALSE)</f>
        <v>Kabel Data USB-C</v>
      </c>
      <c r="G989">
        <f t="shared" si="30"/>
        <v>39000</v>
      </c>
      <c r="H989">
        <f>VLOOKUP(C989,products!A:D,4,FALSE)</f>
        <v>15000</v>
      </c>
      <c r="I989">
        <f t="shared" si="31"/>
        <v>24000</v>
      </c>
      <c r="J989" t="str">
        <f>VLOOKUP(B989,orders!A:B,2,FALSE)</f>
        <v>CUST0144</v>
      </c>
      <c r="K989" t="str">
        <f>VLOOKUP(J989,customers!A:F,6,FALSE)</f>
        <v>Bandung</v>
      </c>
    </row>
    <row r="990" spans="1:11" x14ac:dyDescent="0.35">
      <c r="A990" s="4" t="s">
        <v>2031</v>
      </c>
      <c r="B990" s="4" t="s">
        <v>692</v>
      </c>
      <c r="C990" s="4" t="s">
        <v>1029</v>
      </c>
      <c r="D990" s="4">
        <v>2</v>
      </c>
      <c r="E990" s="6">
        <v>39000</v>
      </c>
      <c r="F990" t="str">
        <f>VLOOKUP(C990,products!A:C,2,FALSE)</f>
        <v>Kabel Data USB-C</v>
      </c>
      <c r="G990">
        <f t="shared" si="30"/>
        <v>78000</v>
      </c>
      <c r="H990">
        <f>VLOOKUP(C990,products!A:D,4,FALSE)</f>
        <v>15000</v>
      </c>
      <c r="I990">
        <f t="shared" si="31"/>
        <v>48000</v>
      </c>
      <c r="J990" t="str">
        <f>VLOOKUP(B990,orders!A:B,2,FALSE)</f>
        <v>CUST0091</v>
      </c>
      <c r="K990" t="str">
        <f>VLOOKUP(J990,customers!A:F,6,FALSE)</f>
        <v>Surabaya</v>
      </c>
    </row>
    <row r="991" spans="1:11" x14ac:dyDescent="0.35">
      <c r="A991" s="4" t="s">
        <v>2032</v>
      </c>
      <c r="B991" s="4" t="s">
        <v>581</v>
      </c>
      <c r="C991" s="4" t="s">
        <v>1023</v>
      </c>
      <c r="D991" s="4">
        <v>1</v>
      </c>
      <c r="E991" s="6">
        <v>69000</v>
      </c>
      <c r="F991" t="str">
        <f>VLOOKUP(C991,products!A:C,2,FALSE)</f>
        <v>Lampu LED Hias 5m</v>
      </c>
      <c r="G991">
        <f t="shared" si="30"/>
        <v>69000</v>
      </c>
      <c r="H991">
        <f>VLOOKUP(C991,products!A:D,4,FALSE)</f>
        <v>30000</v>
      </c>
      <c r="I991">
        <f t="shared" si="31"/>
        <v>39000</v>
      </c>
      <c r="J991" t="str">
        <f>VLOOKUP(B991,orders!A:B,2,FALSE)</f>
        <v>CUST0190</v>
      </c>
      <c r="K991" t="str">
        <f>VLOOKUP(J991,customers!A:F,6,FALSE)</f>
        <v>Yogyakarta</v>
      </c>
    </row>
    <row r="992" spans="1:11" x14ac:dyDescent="0.35">
      <c r="A992" s="4" t="s">
        <v>2033</v>
      </c>
      <c r="B992" s="4" t="s">
        <v>346</v>
      </c>
      <c r="C992" s="4" t="s">
        <v>1033</v>
      </c>
      <c r="D992" s="4">
        <v>1</v>
      </c>
      <c r="E992" s="6">
        <v>55000</v>
      </c>
      <c r="F992" t="str">
        <f>VLOOKUP(C992,products!A:C,2,FALSE)</f>
        <v>Sapu + Pengki Set</v>
      </c>
      <c r="G992">
        <f t="shared" si="30"/>
        <v>55000</v>
      </c>
      <c r="H992">
        <f>VLOOKUP(C992,products!A:D,4,FALSE)</f>
        <v>25000</v>
      </c>
      <c r="I992">
        <f t="shared" si="31"/>
        <v>30000</v>
      </c>
      <c r="J992" t="str">
        <f>VLOOKUP(B992,orders!A:B,2,FALSE)</f>
        <v>CUST0005</v>
      </c>
      <c r="K992" t="str">
        <f>VLOOKUP(J992,customers!A:F,6,FALSE)</f>
        <v>Semarang</v>
      </c>
    </row>
    <row r="993" spans="1:11" x14ac:dyDescent="0.35">
      <c r="A993" s="4" t="s">
        <v>2034</v>
      </c>
      <c r="B993" s="4" t="s">
        <v>346</v>
      </c>
      <c r="C993" s="4" t="s">
        <v>1036</v>
      </c>
      <c r="D993" s="4">
        <v>1</v>
      </c>
      <c r="E993" s="6">
        <v>229000</v>
      </c>
      <c r="F993" t="str">
        <f>VLOOKUP(C993,products!A:C,2,FALSE)</f>
        <v>Celana Jeans Slimfit</v>
      </c>
      <c r="G993">
        <f t="shared" si="30"/>
        <v>229000</v>
      </c>
      <c r="H993">
        <f>VLOOKUP(C993,products!A:D,4,FALSE)</f>
        <v>110000</v>
      </c>
      <c r="I993">
        <f t="shared" si="31"/>
        <v>119000</v>
      </c>
      <c r="J993" t="str">
        <f>VLOOKUP(B993,orders!A:B,2,FALSE)</f>
        <v>CUST0005</v>
      </c>
      <c r="K993" t="str">
        <f>VLOOKUP(J993,customers!A:F,6,FALSE)</f>
        <v>Semarang</v>
      </c>
    </row>
    <row r="994" spans="1:11" x14ac:dyDescent="0.35">
      <c r="A994" s="4" t="s">
        <v>2035</v>
      </c>
      <c r="B994" s="4" t="s">
        <v>346</v>
      </c>
      <c r="C994" s="4" t="s">
        <v>1044</v>
      </c>
      <c r="D994" s="4">
        <v>1</v>
      </c>
      <c r="E994" s="6">
        <v>329000</v>
      </c>
      <c r="F994" t="str">
        <f>VLOOKUP(C994,products!A:C,2,FALSE)</f>
        <v>Rice Cooker Mini 1.5L</v>
      </c>
      <c r="G994">
        <f t="shared" si="30"/>
        <v>329000</v>
      </c>
      <c r="H994">
        <f>VLOOKUP(C994,products!A:D,4,FALSE)</f>
        <v>180000</v>
      </c>
      <c r="I994">
        <f t="shared" si="31"/>
        <v>149000</v>
      </c>
      <c r="J994" t="str">
        <f>VLOOKUP(B994,orders!A:B,2,FALSE)</f>
        <v>CUST0005</v>
      </c>
      <c r="K994" t="str">
        <f>VLOOKUP(J994,customers!A:F,6,FALSE)</f>
        <v>Semarang</v>
      </c>
    </row>
    <row r="995" spans="1:11" x14ac:dyDescent="0.35">
      <c r="A995" s="4" t="s">
        <v>2036</v>
      </c>
      <c r="B995" s="4" t="s">
        <v>346</v>
      </c>
      <c r="C995" s="4" t="s">
        <v>1023</v>
      </c>
      <c r="D995" s="4">
        <v>1</v>
      </c>
      <c r="E995" s="6">
        <v>69000</v>
      </c>
      <c r="F995" t="str">
        <f>VLOOKUP(C995,products!A:C,2,FALSE)</f>
        <v>Lampu LED Hias 5m</v>
      </c>
      <c r="G995">
        <f t="shared" si="30"/>
        <v>69000</v>
      </c>
      <c r="H995">
        <f>VLOOKUP(C995,products!A:D,4,FALSE)</f>
        <v>30000</v>
      </c>
      <c r="I995">
        <f t="shared" si="31"/>
        <v>39000</v>
      </c>
      <c r="J995" t="str">
        <f>VLOOKUP(B995,orders!A:B,2,FALSE)</f>
        <v>CUST0005</v>
      </c>
      <c r="K995" t="str">
        <f>VLOOKUP(J995,customers!A:F,6,FALSE)</f>
        <v>Semarang</v>
      </c>
    </row>
    <row r="996" spans="1:11" x14ac:dyDescent="0.35">
      <c r="A996" s="4" t="s">
        <v>2037</v>
      </c>
      <c r="B996" s="4" t="s">
        <v>829</v>
      </c>
      <c r="C996" s="4" t="s">
        <v>1033</v>
      </c>
      <c r="D996" s="4">
        <v>1</v>
      </c>
      <c r="E996" s="6">
        <v>55000</v>
      </c>
      <c r="F996" t="str">
        <f>VLOOKUP(C996,products!A:C,2,FALSE)</f>
        <v>Sapu + Pengki Set</v>
      </c>
      <c r="G996">
        <f t="shared" si="30"/>
        <v>55000</v>
      </c>
      <c r="H996">
        <f>VLOOKUP(C996,products!A:D,4,FALSE)</f>
        <v>25000</v>
      </c>
      <c r="I996">
        <f t="shared" si="31"/>
        <v>30000</v>
      </c>
      <c r="J996" t="str">
        <f>VLOOKUP(B996,orders!A:B,2,FALSE)</f>
        <v>CUST0081</v>
      </c>
      <c r="K996" t="str">
        <f>VLOOKUP(J996,customers!A:F,6,FALSE)</f>
        <v>Bandung</v>
      </c>
    </row>
    <row r="997" spans="1:11" x14ac:dyDescent="0.35">
      <c r="A997" s="4" t="s">
        <v>2038</v>
      </c>
      <c r="B997" s="4" t="s">
        <v>134</v>
      </c>
      <c r="C997" s="4" t="s">
        <v>1023</v>
      </c>
      <c r="D997" s="4">
        <v>1</v>
      </c>
      <c r="E997" s="6">
        <v>69000</v>
      </c>
      <c r="F997" t="str">
        <f>VLOOKUP(C997,products!A:C,2,FALSE)</f>
        <v>Lampu LED Hias 5m</v>
      </c>
      <c r="G997">
        <f t="shared" si="30"/>
        <v>69000</v>
      </c>
      <c r="H997">
        <f>VLOOKUP(C997,products!A:D,4,FALSE)</f>
        <v>30000</v>
      </c>
      <c r="I997">
        <f t="shared" si="31"/>
        <v>39000</v>
      </c>
      <c r="J997" t="str">
        <f>VLOOKUP(B997,orders!A:B,2,FALSE)</f>
        <v>CUST0104</v>
      </c>
      <c r="K997" t="str">
        <f>VLOOKUP(J997,customers!A:F,6,FALSE)</f>
        <v>Jakarta</v>
      </c>
    </row>
    <row r="998" spans="1:11" x14ac:dyDescent="0.35">
      <c r="A998" s="4" t="s">
        <v>2039</v>
      </c>
      <c r="B998" s="4" t="s">
        <v>134</v>
      </c>
      <c r="C998" s="4" t="s">
        <v>1029</v>
      </c>
      <c r="D998" s="4">
        <v>3</v>
      </c>
      <c r="E998" s="6">
        <v>39000</v>
      </c>
      <c r="F998" t="str">
        <f>VLOOKUP(C998,products!A:C,2,FALSE)</f>
        <v>Kabel Data USB-C</v>
      </c>
      <c r="G998">
        <f t="shared" si="30"/>
        <v>117000</v>
      </c>
      <c r="H998">
        <f>VLOOKUP(C998,products!A:D,4,FALSE)</f>
        <v>15000</v>
      </c>
      <c r="I998">
        <f t="shared" si="31"/>
        <v>72000</v>
      </c>
      <c r="J998" t="str">
        <f>VLOOKUP(B998,orders!A:B,2,FALSE)</f>
        <v>CUST0104</v>
      </c>
      <c r="K998" t="str">
        <f>VLOOKUP(J998,customers!A:F,6,FALSE)</f>
        <v>Jakarta</v>
      </c>
    </row>
    <row r="999" spans="1:11" x14ac:dyDescent="0.35">
      <c r="A999" s="4" t="s">
        <v>2040</v>
      </c>
      <c r="B999" s="4" t="s">
        <v>959</v>
      </c>
      <c r="C999" s="4" t="s">
        <v>1031</v>
      </c>
      <c r="D999" s="4">
        <v>1</v>
      </c>
      <c r="E999" s="6">
        <v>79000</v>
      </c>
      <c r="F999" t="str">
        <f>VLOOKUP(C999,products!A:C,2,FALSE)</f>
        <v>Kaos Polos Cotton Combed</v>
      </c>
      <c r="G999">
        <f t="shared" si="30"/>
        <v>79000</v>
      </c>
      <c r="H999">
        <f>VLOOKUP(C999,products!A:D,4,FALSE)</f>
        <v>35000</v>
      </c>
      <c r="I999">
        <f t="shared" si="31"/>
        <v>44000</v>
      </c>
      <c r="J999" t="str">
        <f>VLOOKUP(B999,orders!A:B,2,FALSE)</f>
        <v>CUST0107</v>
      </c>
      <c r="K999" t="str">
        <f>VLOOKUP(J999,customers!A:F,6,FALSE)</f>
        <v>Makassar</v>
      </c>
    </row>
    <row r="1000" spans="1:11" x14ac:dyDescent="0.35">
      <c r="A1000" s="4" t="s">
        <v>2041</v>
      </c>
      <c r="B1000" s="4" t="s">
        <v>959</v>
      </c>
      <c r="C1000" s="4" t="s">
        <v>1025</v>
      </c>
      <c r="D1000" s="4">
        <v>1</v>
      </c>
      <c r="E1000" s="6">
        <v>179000</v>
      </c>
      <c r="F1000" t="str">
        <f>VLOOKUP(C1000,products!A:C,2,FALSE)</f>
        <v>Rak Penyimpanan Serbaguna</v>
      </c>
      <c r="G1000">
        <f t="shared" si="30"/>
        <v>179000</v>
      </c>
      <c r="H1000">
        <f>VLOOKUP(C1000,products!A:D,4,FALSE)</f>
        <v>90000</v>
      </c>
      <c r="I1000">
        <f t="shared" si="31"/>
        <v>89000</v>
      </c>
      <c r="J1000" t="str">
        <f>VLOOKUP(B1000,orders!A:B,2,FALSE)</f>
        <v>CUST0107</v>
      </c>
      <c r="K1000" t="str">
        <f>VLOOKUP(J1000,customers!A:F,6,FALSE)</f>
        <v>Makassar</v>
      </c>
    </row>
    <row r="1001" spans="1:11" x14ac:dyDescent="0.35">
      <c r="A1001" s="4" t="s">
        <v>2042</v>
      </c>
      <c r="B1001" s="4" t="s">
        <v>959</v>
      </c>
      <c r="C1001" s="4" t="s">
        <v>1044</v>
      </c>
      <c r="D1001" s="4">
        <v>3</v>
      </c>
      <c r="E1001" s="6">
        <v>329000</v>
      </c>
      <c r="F1001" t="str">
        <f>VLOOKUP(C1001,products!A:C,2,FALSE)</f>
        <v>Rice Cooker Mini 1.5L</v>
      </c>
      <c r="G1001">
        <f t="shared" si="30"/>
        <v>987000</v>
      </c>
      <c r="H1001">
        <f>VLOOKUP(C1001,products!A:D,4,FALSE)</f>
        <v>180000</v>
      </c>
      <c r="I1001">
        <f t="shared" si="31"/>
        <v>447000</v>
      </c>
      <c r="J1001" t="str">
        <f>VLOOKUP(B1001,orders!A:B,2,FALSE)</f>
        <v>CUST0107</v>
      </c>
      <c r="K1001" t="str">
        <f>VLOOKUP(J1001,customers!A:F,6,FALSE)</f>
        <v>Makassar</v>
      </c>
    </row>
    <row r="1002" spans="1:11" x14ac:dyDescent="0.35">
      <c r="A1002" s="4" t="s">
        <v>2043</v>
      </c>
      <c r="B1002" s="4" t="s">
        <v>959</v>
      </c>
      <c r="C1002" s="4" t="s">
        <v>1023</v>
      </c>
      <c r="D1002" s="4">
        <v>1</v>
      </c>
      <c r="E1002" s="6">
        <v>69000</v>
      </c>
      <c r="F1002" t="str">
        <f>VLOOKUP(C1002,products!A:C,2,FALSE)</f>
        <v>Lampu LED Hias 5m</v>
      </c>
      <c r="G1002">
        <f t="shared" si="30"/>
        <v>69000</v>
      </c>
      <c r="H1002">
        <f>VLOOKUP(C1002,products!A:D,4,FALSE)</f>
        <v>30000</v>
      </c>
      <c r="I1002">
        <f t="shared" si="31"/>
        <v>39000</v>
      </c>
      <c r="J1002" t="str">
        <f>VLOOKUP(B1002,orders!A:B,2,FALSE)</f>
        <v>CUST0107</v>
      </c>
      <c r="K1002" t="str">
        <f>VLOOKUP(J1002,customers!A:F,6,FALSE)</f>
        <v>Makassar</v>
      </c>
    </row>
    <row r="1003" spans="1:11" x14ac:dyDescent="0.35">
      <c r="A1003" s="4" t="s">
        <v>2044</v>
      </c>
      <c r="B1003" s="4" t="s">
        <v>91</v>
      </c>
      <c r="C1003" s="4" t="s">
        <v>1025</v>
      </c>
      <c r="D1003" s="4">
        <v>2</v>
      </c>
      <c r="E1003" s="6">
        <v>179000</v>
      </c>
      <c r="F1003" t="str">
        <f>VLOOKUP(C1003,products!A:C,2,FALSE)</f>
        <v>Rak Penyimpanan Serbaguna</v>
      </c>
      <c r="G1003">
        <f t="shared" si="30"/>
        <v>358000</v>
      </c>
      <c r="H1003">
        <f>VLOOKUP(C1003,products!A:D,4,FALSE)</f>
        <v>90000</v>
      </c>
      <c r="I1003">
        <f t="shared" si="31"/>
        <v>178000</v>
      </c>
      <c r="J1003" t="str">
        <f>VLOOKUP(B1003,orders!A:B,2,FALSE)</f>
        <v>CUST0104</v>
      </c>
      <c r="K1003" t="str">
        <f>VLOOKUP(J1003,customers!A:F,6,FALSE)</f>
        <v>Jakarta</v>
      </c>
    </row>
    <row r="1004" spans="1:11" x14ac:dyDescent="0.35">
      <c r="A1004" s="4" t="s">
        <v>2045</v>
      </c>
      <c r="B1004" s="4" t="s">
        <v>91</v>
      </c>
      <c r="C1004" s="4" t="s">
        <v>1044</v>
      </c>
      <c r="D1004" s="4">
        <v>2</v>
      </c>
      <c r="E1004" s="6">
        <v>329000</v>
      </c>
      <c r="F1004" t="str">
        <f>VLOOKUP(C1004,products!A:C,2,FALSE)</f>
        <v>Rice Cooker Mini 1.5L</v>
      </c>
      <c r="G1004">
        <f t="shared" si="30"/>
        <v>658000</v>
      </c>
      <c r="H1004">
        <f>VLOOKUP(C1004,products!A:D,4,FALSE)</f>
        <v>180000</v>
      </c>
      <c r="I1004">
        <f t="shared" si="31"/>
        <v>298000</v>
      </c>
      <c r="J1004" t="str">
        <f>VLOOKUP(B1004,orders!A:B,2,FALSE)</f>
        <v>CUST0104</v>
      </c>
      <c r="K1004" t="str">
        <f>VLOOKUP(J1004,customers!A:F,6,FALSE)</f>
        <v>Jakarta</v>
      </c>
    </row>
    <row r="1005" spans="1:11" x14ac:dyDescent="0.35">
      <c r="A1005" s="4" t="s">
        <v>2046</v>
      </c>
      <c r="B1005" s="4" t="s">
        <v>91</v>
      </c>
      <c r="C1005" s="4" t="s">
        <v>1049</v>
      </c>
      <c r="D1005" s="4">
        <v>1</v>
      </c>
      <c r="E1005" s="6">
        <v>349000</v>
      </c>
      <c r="F1005" t="str">
        <f>VLOOKUP(C1005,products!A:C,2,FALSE)</f>
        <v>Sepatu Sneakers Casual</v>
      </c>
      <c r="G1005">
        <f t="shared" si="30"/>
        <v>349000</v>
      </c>
      <c r="H1005">
        <f>VLOOKUP(C1005,products!A:D,4,FALSE)</f>
        <v>180000</v>
      </c>
      <c r="I1005">
        <f t="shared" si="31"/>
        <v>169000</v>
      </c>
      <c r="J1005" t="str">
        <f>VLOOKUP(B1005,orders!A:B,2,FALSE)</f>
        <v>CUST0104</v>
      </c>
      <c r="K1005" t="str">
        <f>VLOOKUP(J1005,customers!A:F,6,FALSE)</f>
        <v>Jakarta</v>
      </c>
    </row>
    <row r="1006" spans="1:11" x14ac:dyDescent="0.35">
      <c r="A1006" s="4" t="s">
        <v>2047</v>
      </c>
      <c r="B1006" s="4" t="s">
        <v>63</v>
      </c>
      <c r="C1006" s="4" t="s">
        <v>1033</v>
      </c>
      <c r="D1006" s="4">
        <v>2</v>
      </c>
      <c r="E1006" s="6">
        <v>55000</v>
      </c>
      <c r="F1006" t="str">
        <f>VLOOKUP(C1006,products!A:C,2,FALSE)</f>
        <v>Sapu + Pengki Set</v>
      </c>
      <c r="G1006">
        <f t="shared" si="30"/>
        <v>110000</v>
      </c>
      <c r="H1006">
        <f>VLOOKUP(C1006,products!A:D,4,FALSE)</f>
        <v>25000</v>
      </c>
      <c r="I1006">
        <f t="shared" si="31"/>
        <v>60000</v>
      </c>
      <c r="J1006" t="str">
        <f>VLOOKUP(B1006,orders!A:B,2,FALSE)</f>
        <v>CUST0159</v>
      </c>
      <c r="K1006" t="str">
        <f>VLOOKUP(J1006,customers!A:F,6,FALSE)</f>
        <v>Bandung</v>
      </c>
    </row>
    <row r="1007" spans="1:11" x14ac:dyDescent="0.35">
      <c r="A1007" s="4" t="s">
        <v>2048</v>
      </c>
      <c r="B1007" s="4" t="s">
        <v>762</v>
      </c>
      <c r="C1007" s="4" t="s">
        <v>1033</v>
      </c>
      <c r="D1007" s="4">
        <v>1</v>
      </c>
      <c r="E1007" s="6">
        <v>55000</v>
      </c>
      <c r="F1007" t="str">
        <f>VLOOKUP(C1007,products!A:C,2,FALSE)</f>
        <v>Sapu + Pengki Set</v>
      </c>
      <c r="G1007">
        <f t="shared" si="30"/>
        <v>55000</v>
      </c>
      <c r="H1007">
        <f>VLOOKUP(C1007,products!A:D,4,FALSE)</f>
        <v>25000</v>
      </c>
      <c r="I1007">
        <f t="shared" si="31"/>
        <v>30000</v>
      </c>
      <c r="J1007" t="str">
        <f>VLOOKUP(B1007,orders!A:B,2,FALSE)</f>
        <v>CUST0177</v>
      </c>
      <c r="K1007" t="str">
        <f>VLOOKUP(J1007,customers!A:F,6,FALSE)</f>
        <v>Makassar</v>
      </c>
    </row>
    <row r="1008" spans="1:11" x14ac:dyDescent="0.35">
      <c r="A1008" s="4" t="s">
        <v>2049</v>
      </c>
      <c r="B1008" s="4" t="s">
        <v>574</v>
      </c>
      <c r="C1008" s="4" t="s">
        <v>1029</v>
      </c>
      <c r="D1008" s="4">
        <v>2</v>
      </c>
      <c r="E1008" s="6">
        <v>39000</v>
      </c>
      <c r="F1008" t="str">
        <f>VLOOKUP(C1008,products!A:C,2,FALSE)</f>
        <v>Kabel Data USB-C</v>
      </c>
      <c r="G1008">
        <f t="shared" si="30"/>
        <v>78000</v>
      </c>
      <c r="H1008">
        <f>VLOOKUP(C1008,products!A:D,4,FALSE)</f>
        <v>15000</v>
      </c>
      <c r="I1008">
        <f t="shared" si="31"/>
        <v>48000</v>
      </c>
      <c r="J1008" t="str">
        <f>VLOOKUP(B1008,orders!A:B,2,FALSE)</f>
        <v>CUST0028</v>
      </c>
      <c r="K1008" t="str">
        <f>VLOOKUP(J1008,customers!A:F,6,FALSE)</f>
        <v>Semarang</v>
      </c>
    </row>
    <row r="1009" spans="1:11" x14ac:dyDescent="0.35">
      <c r="A1009" s="4" t="s">
        <v>2050</v>
      </c>
      <c r="B1009" s="4" t="s">
        <v>574</v>
      </c>
      <c r="C1009" s="4" t="s">
        <v>1025</v>
      </c>
      <c r="D1009" s="4">
        <v>2</v>
      </c>
      <c r="E1009" s="6">
        <v>179000</v>
      </c>
      <c r="F1009" t="str">
        <f>VLOOKUP(C1009,products!A:C,2,FALSE)</f>
        <v>Rak Penyimpanan Serbaguna</v>
      </c>
      <c r="G1009">
        <f t="shared" si="30"/>
        <v>358000</v>
      </c>
      <c r="H1009">
        <f>VLOOKUP(C1009,products!A:D,4,FALSE)</f>
        <v>90000</v>
      </c>
      <c r="I1009">
        <f t="shared" si="31"/>
        <v>178000</v>
      </c>
      <c r="J1009" t="str">
        <f>VLOOKUP(B1009,orders!A:B,2,FALSE)</f>
        <v>CUST0028</v>
      </c>
      <c r="K1009" t="str">
        <f>VLOOKUP(J1009,customers!A:F,6,FALSE)</f>
        <v>Semarang</v>
      </c>
    </row>
    <row r="1010" spans="1:11" x14ac:dyDescent="0.35">
      <c r="A1010" s="4" t="s">
        <v>2051</v>
      </c>
      <c r="B1010" s="4" t="s">
        <v>574</v>
      </c>
      <c r="C1010" s="4" t="s">
        <v>1036</v>
      </c>
      <c r="D1010" s="4">
        <v>2</v>
      </c>
      <c r="E1010" s="6">
        <v>229000</v>
      </c>
      <c r="F1010" t="str">
        <f>VLOOKUP(C1010,products!A:C,2,FALSE)</f>
        <v>Celana Jeans Slimfit</v>
      </c>
      <c r="G1010">
        <f t="shared" si="30"/>
        <v>458000</v>
      </c>
      <c r="H1010">
        <f>VLOOKUP(C1010,products!A:D,4,FALSE)</f>
        <v>110000</v>
      </c>
      <c r="I1010">
        <f t="shared" si="31"/>
        <v>238000</v>
      </c>
      <c r="J1010" t="str">
        <f>VLOOKUP(B1010,orders!A:B,2,FALSE)</f>
        <v>CUST0028</v>
      </c>
      <c r="K1010" t="str">
        <f>VLOOKUP(J1010,customers!A:F,6,FALSE)</f>
        <v>Semarang</v>
      </c>
    </row>
    <row r="1011" spans="1:11" x14ac:dyDescent="0.35">
      <c r="A1011" s="4" t="s">
        <v>2052</v>
      </c>
      <c r="B1011" s="4" t="s">
        <v>623</v>
      </c>
      <c r="C1011" s="4" t="s">
        <v>1082</v>
      </c>
      <c r="D1011" s="4">
        <v>2</v>
      </c>
      <c r="E1011" s="6">
        <v>399000</v>
      </c>
      <c r="F1011" t="str">
        <f>VLOOKUP(C1011,products!A:C,2,FALSE)</f>
        <v>Keyboard Mechanical Mini</v>
      </c>
      <c r="G1011">
        <f t="shared" si="30"/>
        <v>798000</v>
      </c>
      <c r="H1011">
        <f>VLOOKUP(C1011,products!A:D,4,FALSE)</f>
        <v>200000</v>
      </c>
      <c r="I1011">
        <f t="shared" si="31"/>
        <v>398000</v>
      </c>
      <c r="J1011" t="str">
        <f>VLOOKUP(B1011,orders!A:B,2,FALSE)</f>
        <v>CUST0103</v>
      </c>
      <c r="K1011" t="str">
        <f>VLOOKUP(J1011,customers!A:F,6,FALSE)</f>
        <v>Semarang</v>
      </c>
    </row>
    <row r="1012" spans="1:11" x14ac:dyDescent="0.35">
      <c r="A1012" s="4" t="s">
        <v>2053</v>
      </c>
      <c r="B1012" s="4" t="s">
        <v>623</v>
      </c>
      <c r="C1012" s="4" t="s">
        <v>1053</v>
      </c>
      <c r="D1012" s="4">
        <v>2</v>
      </c>
      <c r="E1012" s="6">
        <v>129000</v>
      </c>
      <c r="F1012" t="str">
        <f>VLOOKUP(C1012,products!A:C,2,FALSE)</f>
        <v>Charger Fast Charging 33W</v>
      </c>
      <c r="G1012">
        <f t="shared" si="30"/>
        <v>258000</v>
      </c>
      <c r="H1012">
        <f>VLOOKUP(C1012,products!A:D,4,FALSE)</f>
        <v>60000</v>
      </c>
      <c r="I1012">
        <f t="shared" si="31"/>
        <v>138000</v>
      </c>
      <c r="J1012" t="str">
        <f>VLOOKUP(B1012,orders!A:B,2,FALSE)</f>
        <v>CUST0103</v>
      </c>
      <c r="K1012" t="str">
        <f>VLOOKUP(J1012,customers!A:F,6,FALSE)</f>
        <v>Semarang</v>
      </c>
    </row>
    <row r="1013" spans="1:11" x14ac:dyDescent="0.35">
      <c r="A1013" s="4" t="s">
        <v>2054</v>
      </c>
      <c r="B1013" s="4" t="s">
        <v>671</v>
      </c>
      <c r="C1013" s="4" t="s">
        <v>1029</v>
      </c>
      <c r="D1013" s="4">
        <v>1</v>
      </c>
      <c r="E1013" s="6">
        <v>39000</v>
      </c>
      <c r="F1013" t="str">
        <f>VLOOKUP(C1013,products!A:C,2,FALSE)</f>
        <v>Kabel Data USB-C</v>
      </c>
      <c r="G1013">
        <f t="shared" si="30"/>
        <v>39000</v>
      </c>
      <c r="H1013">
        <f>VLOOKUP(C1013,products!A:D,4,FALSE)</f>
        <v>15000</v>
      </c>
      <c r="I1013">
        <f t="shared" si="31"/>
        <v>24000</v>
      </c>
      <c r="J1013" t="str">
        <f>VLOOKUP(B1013,orders!A:B,2,FALSE)</f>
        <v>CUST0102</v>
      </c>
      <c r="K1013" t="str">
        <f>VLOOKUP(J1013,customers!A:F,6,FALSE)</f>
        <v>Jakarta</v>
      </c>
    </row>
    <row r="1014" spans="1:11" x14ac:dyDescent="0.35">
      <c r="A1014" s="4" t="s">
        <v>2055</v>
      </c>
      <c r="B1014" s="4" t="s">
        <v>671</v>
      </c>
      <c r="C1014" s="4" t="s">
        <v>1023</v>
      </c>
      <c r="D1014" s="4">
        <v>1</v>
      </c>
      <c r="E1014" s="6">
        <v>69000</v>
      </c>
      <c r="F1014" t="str">
        <f>VLOOKUP(C1014,products!A:C,2,FALSE)</f>
        <v>Lampu LED Hias 5m</v>
      </c>
      <c r="G1014">
        <f t="shared" si="30"/>
        <v>69000</v>
      </c>
      <c r="H1014">
        <f>VLOOKUP(C1014,products!A:D,4,FALSE)</f>
        <v>30000</v>
      </c>
      <c r="I1014">
        <f t="shared" si="31"/>
        <v>39000</v>
      </c>
      <c r="J1014" t="str">
        <f>VLOOKUP(B1014,orders!A:B,2,FALSE)</f>
        <v>CUST0102</v>
      </c>
      <c r="K1014" t="str">
        <f>VLOOKUP(J1014,customers!A:F,6,FALSE)</f>
        <v>Jakarta</v>
      </c>
    </row>
    <row r="1015" spans="1:11" x14ac:dyDescent="0.35">
      <c r="A1015" s="4" t="s">
        <v>2056</v>
      </c>
      <c r="B1015" s="4" t="s">
        <v>671</v>
      </c>
      <c r="C1015" s="4" t="s">
        <v>1031</v>
      </c>
      <c r="D1015" s="4">
        <v>2</v>
      </c>
      <c r="E1015" s="6">
        <v>79000</v>
      </c>
      <c r="F1015" t="str">
        <f>VLOOKUP(C1015,products!A:C,2,FALSE)</f>
        <v>Kaos Polos Cotton Combed</v>
      </c>
      <c r="G1015">
        <f t="shared" si="30"/>
        <v>158000</v>
      </c>
      <c r="H1015">
        <f>VLOOKUP(C1015,products!A:D,4,FALSE)</f>
        <v>35000</v>
      </c>
      <c r="I1015">
        <f t="shared" si="31"/>
        <v>88000</v>
      </c>
      <c r="J1015" t="str">
        <f>VLOOKUP(B1015,orders!A:B,2,FALSE)</f>
        <v>CUST0102</v>
      </c>
      <c r="K1015" t="str">
        <f>VLOOKUP(J1015,customers!A:F,6,FALSE)</f>
        <v>Jakarta</v>
      </c>
    </row>
    <row r="1016" spans="1:11" x14ac:dyDescent="0.35">
      <c r="A1016" s="4" t="s">
        <v>2057</v>
      </c>
      <c r="B1016" s="4" t="s">
        <v>673</v>
      </c>
      <c r="C1016" s="4" t="s">
        <v>1023</v>
      </c>
      <c r="D1016" s="4">
        <v>1</v>
      </c>
      <c r="E1016" s="6">
        <v>69000</v>
      </c>
      <c r="F1016" t="str">
        <f>VLOOKUP(C1016,products!A:C,2,FALSE)</f>
        <v>Lampu LED Hias 5m</v>
      </c>
      <c r="G1016">
        <f t="shared" si="30"/>
        <v>69000</v>
      </c>
      <c r="H1016">
        <f>VLOOKUP(C1016,products!A:D,4,FALSE)</f>
        <v>30000</v>
      </c>
      <c r="I1016">
        <f t="shared" si="31"/>
        <v>39000</v>
      </c>
      <c r="J1016" t="str">
        <f>VLOOKUP(B1016,orders!A:B,2,FALSE)</f>
        <v>CUST0057</v>
      </c>
      <c r="K1016" t="str">
        <f>VLOOKUP(J1016,customers!A:F,6,FALSE)</f>
        <v>Palembang</v>
      </c>
    </row>
    <row r="1017" spans="1:11" x14ac:dyDescent="0.35">
      <c r="A1017" s="4" t="s">
        <v>2058</v>
      </c>
      <c r="B1017" s="4" t="s">
        <v>673</v>
      </c>
      <c r="C1017" s="4" t="s">
        <v>1089</v>
      </c>
      <c r="D1017" s="4">
        <v>3</v>
      </c>
      <c r="E1017" s="6">
        <v>159000</v>
      </c>
      <c r="F1017" t="str">
        <f>VLOOKUP(C1017,products!A:C,2,FALSE)</f>
        <v>Power Bank 10000mAh</v>
      </c>
      <c r="G1017">
        <f t="shared" si="30"/>
        <v>477000</v>
      </c>
      <c r="H1017">
        <f>VLOOKUP(C1017,products!A:D,4,FALSE)</f>
        <v>80000</v>
      </c>
      <c r="I1017">
        <f t="shared" si="31"/>
        <v>237000</v>
      </c>
      <c r="J1017" t="str">
        <f>VLOOKUP(B1017,orders!A:B,2,FALSE)</f>
        <v>CUST0057</v>
      </c>
      <c r="K1017" t="str">
        <f>VLOOKUP(J1017,customers!A:F,6,FALSE)</f>
        <v>Palembang</v>
      </c>
    </row>
    <row r="1018" spans="1:11" x14ac:dyDescent="0.35">
      <c r="A1018" s="4" t="s">
        <v>2059</v>
      </c>
      <c r="B1018" s="4" t="s">
        <v>686</v>
      </c>
      <c r="C1018" s="4" t="s">
        <v>1082</v>
      </c>
      <c r="D1018" s="4">
        <v>1</v>
      </c>
      <c r="E1018" s="6">
        <v>399000</v>
      </c>
      <c r="F1018" t="str">
        <f>VLOOKUP(C1018,products!A:C,2,FALSE)</f>
        <v>Keyboard Mechanical Mini</v>
      </c>
      <c r="G1018">
        <f t="shared" si="30"/>
        <v>399000</v>
      </c>
      <c r="H1018">
        <f>VLOOKUP(C1018,products!A:D,4,FALSE)</f>
        <v>200000</v>
      </c>
      <c r="I1018">
        <f t="shared" si="31"/>
        <v>199000</v>
      </c>
      <c r="J1018" t="str">
        <f>VLOOKUP(B1018,orders!A:B,2,FALSE)</f>
        <v>CUST0044</v>
      </c>
      <c r="K1018" t="str">
        <f>VLOOKUP(J1018,customers!A:F,6,FALSE)</f>
        <v>Depok</v>
      </c>
    </row>
    <row r="1019" spans="1:11" x14ac:dyDescent="0.35">
      <c r="A1019" s="4" t="s">
        <v>2060</v>
      </c>
      <c r="B1019" s="4" t="s">
        <v>686</v>
      </c>
      <c r="C1019" s="4" t="s">
        <v>1023</v>
      </c>
      <c r="D1019" s="4">
        <v>2</v>
      </c>
      <c r="E1019" s="6">
        <v>69000</v>
      </c>
      <c r="F1019" t="str">
        <f>VLOOKUP(C1019,products!A:C,2,FALSE)</f>
        <v>Lampu LED Hias 5m</v>
      </c>
      <c r="G1019">
        <f t="shared" si="30"/>
        <v>138000</v>
      </c>
      <c r="H1019">
        <f>VLOOKUP(C1019,products!A:D,4,FALSE)</f>
        <v>30000</v>
      </c>
      <c r="I1019">
        <f t="shared" si="31"/>
        <v>78000</v>
      </c>
      <c r="J1019" t="str">
        <f>VLOOKUP(B1019,orders!A:B,2,FALSE)</f>
        <v>CUST0044</v>
      </c>
      <c r="K1019" t="str">
        <f>VLOOKUP(J1019,customers!A:F,6,FALSE)</f>
        <v>Depok</v>
      </c>
    </row>
    <row r="1020" spans="1:11" x14ac:dyDescent="0.35">
      <c r="A1020" s="4" t="s">
        <v>2061</v>
      </c>
      <c r="B1020" s="4" t="s">
        <v>138</v>
      </c>
      <c r="C1020" s="4" t="s">
        <v>1089</v>
      </c>
      <c r="D1020" s="4">
        <v>1</v>
      </c>
      <c r="E1020" s="6">
        <v>159000</v>
      </c>
      <c r="F1020" t="str">
        <f>VLOOKUP(C1020,products!A:C,2,FALSE)</f>
        <v>Power Bank 10000mAh</v>
      </c>
      <c r="G1020">
        <f t="shared" si="30"/>
        <v>159000</v>
      </c>
      <c r="H1020">
        <f>VLOOKUP(C1020,products!A:D,4,FALSE)</f>
        <v>80000</v>
      </c>
      <c r="I1020">
        <f t="shared" si="31"/>
        <v>79000</v>
      </c>
      <c r="J1020" t="str">
        <f>VLOOKUP(B1020,orders!A:B,2,FALSE)</f>
        <v>CUST0030</v>
      </c>
      <c r="K1020" t="str">
        <f>VLOOKUP(J1020,customers!A:F,6,FALSE)</f>
        <v>Jakarta</v>
      </c>
    </row>
    <row r="1021" spans="1:11" x14ac:dyDescent="0.35">
      <c r="A1021" s="4" t="s">
        <v>2062</v>
      </c>
      <c r="B1021" s="4" t="s">
        <v>780</v>
      </c>
      <c r="C1021" s="4" t="s">
        <v>1578</v>
      </c>
      <c r="D1021" s="4">
        <v>1</v>
      </c>
      <c r="E1021" s="6">
        <v>299000</v>
      </c>
      <c r="F1021" t="str">
        <f>VLOOKUP(C1021,products!A:C,2,FALSE)</f>
        <v>Wireless Earbuds X1</v>
      </c>
      <c r="G1021">
        <f t="shared" si="30"/>
        <v>299000</v>
      </c>
      <c r="H1021">
        <f>VLOOKUP(C1021,products!A:D,4,FALSE)</f>
        <v>150000</v>
      </c>
      <c r="I1021">
        <f t="shared" si="31"/>
        <v>149000</v>
      </c>
      <c r="J1021" t="str">
        <f>VLOOKUP(B1021,orders!A:B,2,FALSE)</f>
        <v>CUST0050</v>
      </c>
      <c r="K1021" t="str">
        <f>VLOOKUP(J1021,customers!A:F,6,FALSE)</f>
        <v>Jakarta</v>
      </c>
    </row>
    <row r="1022" spans="1:11" x14ac:dyDescent="0.35">
      <c r="A1022" s="4" t="s">
        <v>2063</v>
      </c>
      <c r="B1022" s="4" t="s">
        <v>780</v>
      </c>
      <c r="C1022" s="4" t="s">
        <v>1082</v>
      </c>
      <c r="D1022" s="4">
        <v>1</v>
      </c>
      <c r="E1022" s="6">
        <v>399000</v>
      </c>
      <c r="F1022" t="str">
        <f>VLOOKUP(C1022,products!A:C,2,FALSE)</f>
        <v>Keyboard Mechanical Mini</v>
      </c>
      <c r="G1022">
        <f t="shared" si="30"/>
        <v>399000</v>
      </c>
      <c r="H1022">
        <f>VLOOKUP(C1022,products!A:D,4,FALSE)</f>
        <v>200000</v>
      </c>
      <c r="I1022">
        <f t="shared" si="31"/>
        <v>199000</v>
      </c>
      <c r="J1022" t="str">
        <f>VLOOKUP(B1022,orders!A:B,2,FALSE)</f>
        <v>CUST0050</v>
      </c>
      <c r="K1022" t="str">
        <f>VLOOKUP(J1022,customers!A:F,6,FALSE)</f>
        <v>Jakarta</v>
      </c>
    </row>
    <row r="1023" spans="1:11" x14ac:dyDescent="0.35">
      <c r="A1023" s="4" t="s">
        <v>2064</v>
      </c>
      <c r="B1023" s="4" t="s">
        <v>780</v>
      </c>
      <c r="C1023" s="4" t="s">
        <v>1053</v>
      </c>
      <c r="D1023" s="4">
        <v>1</v>
      </c>
      <c r="E1023" s="6">
        <v>129000</v>
      </c>
      <c r="F1023" t="str">
        <f>VLOOKUP(C1023,products!A:C,2,FALSE)</f>
        <v>Charger Fast Charging 33W</v>
      </c>
      <c r="G1023">
        <f t="shared" si="30"/>
        <v>129000</v>
      </c>
      <c r="H1023">
        <f>VLOOKUP(C1023,products!A:D,4,FALSE)</f>
        <v>60000</v>
      </c>
      <c r="I1023">
        <f t="shared" si="31"/>
        <v>69000</v>
      </c>
      <c r="J1023" t="str">
        <f>VLOOKUP(B1023,orders!A:B,2,FALSE)</f>
        <v>CUST0050</v>
      </c>
      <c r="K1023" t="str">
        <f>VLOOKUP(J1023,customers!A:F,6,FALSE)</f>
        <v>Jakarta</v>
      </c>
    </row>
    <row r="1024" spans="1:11" x14ac:dyDescent="0.35">
      <c r="A1024" s="4" t="s">
        <v>2065</v>
      </c>
      <c r="B1024" s="4" t="s">
        <v>213</v>
      </c>
      <c r="C1024" s="4" t="s">
        <v>1049</v>
      </c>
      <c r="D1024" s="4">
        <v>2</v>
      </c>
      <c r="E1024" s="6">
        <v>349000</v>
      </c>
      <c r="F1024" t="str">
        <f>VLOOKUP(C1024,products!A:C,2,FALSE)</f>
        <v>Sepatu Sneakers Casual</v>
      </c>
      <c r="G1024">
        <f t="shared" si="30"/>
        <v>698000</v>
      </c>
      <c r="H1024">
        <f>VLOOKUP(C1024,products!A:D,4,FALSE)</f>
        <v>180000</v>
      </c>
      <c r="I1024">
        <f t="shared" si="31"/>
        <v>338000</v>
      </c>
      <c r="J1024" t="str">
        <f>VLOOKUP(B1024,orders!A:B,2,FALSE)</f>
        <v>CUST0090</v>
      </c>
      <c r="K1024" t="str">
        <f>VLOOKUP(J1024,customers!A:F,6,FALSE)</f>
        <v>Denpasar</v>
      </c>
    </row>
    <row r="1025" spans="1:11" x14ac:dyDescent="0.35">
      <c r="A1025" s="4" t="s">
        <v>2066</v>
      </c>
      <c r="B1025" s="4" t="s">
        <v>821</v>
      </c>
      <c r="C1025" s="4" t="s">
        <v>1033</v>
      </c>
      <c r="D1025" s="4">
        <v>1</v>
      </c>
      <c r="E1025" s="6">
        <v>55000</v>
      </c>
      <c r="F1025" t="str">
        <f>VLOOKUP(C1025,products!A:C,2,FALSE)</f>
        <v>Sapu + Pengki Set</v>
      </c>
      <c r="G1025">
        <f t="shared" si="30"/>
        <v>55000</v>
      </c>
      <c r="H1025">
        <f>VLOOKUP(C1025,products!A:D,4,FALSE)</f>
        <v>25000</v>
      </c>
      <c r="I1025">
        <f t="shared" si="31"/>
        <v>30000</v>
      </c>
      <c r="J1025" t="str">
        <f>VLOOKUP(B1025,orders!A:B,2,FALSE)</f>
        <v>CUST0166</v>
      </c>
      <c r="K1025" t="str">
        <f>VLOOKUP(J1025,customers!A:F,6,FALSE)</f>
        <v>Bandung</v>
      </c>
    </row>
    <row r="1026" spans="1:11" x14ac:dyDescent="0.35">
      <c r="A1026" s="4" t="s">
        <v>2067</v>
      </c>
      <c r="B1026" s="4" t="s">
        <v>221</v>
      </c>
      <c r="C1026" s="4" t="s">
        <v>1023</v>
      </c>
      <c r="D1026" s="4">
        <v>1</v>
      </c>
      <c r="E1026" s="6">
        <v>69000</v>
      </c>
      <c r="F1026" t="str">
        <f>VLOOKUP(C1026,products!A:C,2,FALSE)</f>
        <v>Lampu LED Hias 5m</v>
      </c>
      <c r="G1026">
        <f t="shared" si="30"/>
        <v>69000</v>
      </c>
      <c r="H1026">
        <f>VLOOKUP(C1026,products!A:D,4,FALSE)</f>
        <v>30000</v>
      </c>
      <c r="I1026">
        <f t="shared" si="31"/>
        <v>39000</v>
      </c>
      <c r="J1026" t="str">
        <f>VLOOKUP(B1026,orders!A:B,2,FALSE)</f>
        <v>CUST0061</v>
      </c>
      <c r="K1026" t="str">
        <f>VLOOKUP(J1026,customers!A:F,6,FALSE)</f>
        <v>Yogyakarta</v>
      </c>
    </row>
    <row r="1027" spans="1:11" x14ac:dyDescent="0.35">
      <c r="A1027" s="4" t="s">
        <v>2068</v>
      </c>
      <c r="B1027" s="4" t="s">
        <v>221</v>
      </c>
      <c r="C1027" s="4" t="s">
        <v>1044</v>
      </c>
      <c r="D1027" s="4">
        <v>1</v>
      </c>
      <c r="E1027" s="6">
        <v>329000</v>
      </c>
      <c r="F1027" t="str">
        <f>VLOOKUP(C1027,products!A:C,2,FALSE)</f>
        <v>Rice Cooker Mini 1.5L</v>
      </c>
      <c r="G1027">
        <f t="shared" ref="G1027:G1090" si="32">D1027*E1027</f>
        <v>329000</v>
      </c>
      <c r="H1027">
        <f>VLOOKUP(C1027,products!A:D,4,FALSE)</f>
        <v>180000</v>
      </c>
      <c r="I1027">
        <f t="shared" ref="I1027:I1090" si="33">(E1027-H1027)*D1027</f>
        <v>149000</v>
      </c>
      <c r="J1027" t="str">
        <f>VLOOKUP(B1027,orders!A:B,2,FALSE)</f>
        <v>CUST0061</v>
      </c>
      <c r="K1027" t="str">
        <f>VLOOKUP(J1027,customers!A:F,6,FALSE)</f>
        <v>Yogyakarta</v>
      </c>
    </row>
    <row r="1028" spans="1:11" x14ac:dyDescent="0.35">
      <c r="A1028" s="4" t="s">
        <v>2069</v>
      </c>
      <c r="B1028" s="4" t="s">
        <v>719</v>
      </c>
      <c r="C1028" s="4" t="s">
        <v>1025</v>
      </c>
      <c r="D1028" s="4">
        <v>2</v>
      </c>
      <c r="E1028" s="6">
        <v>179000</v>
      </c>
      <c r="F1028" t="str">
        <f>VLOOKUP(C1028,products!A:C,2,FALSE)</f>
        <v>Rak Penyimpanan Serbaguna</v>
      </c>
      <c r="G1028">
        <f t="shared" si="32"/>
        <v>358000</v>
      </c>
      <c r="H1028">
        <f>VLOOKUP(C1028,products!A:D,4,FALSE)</f>
        <v>90000</v>
      </c>
      <c r="I1028">
        <f t="shared" si="33"/>
        <v>178000</v>
      </c>
      <c r="J1028" t="str">
        <f>VLOOKUP(B1028,orders!A:B,2,FALSE)</f>
        <v>CUST0066</v>
      </c>
      <c r="K1028" t="str">
        <f>VLOOKUP(J1028,customers!A:F,6,FALSE)</f>
        <v>Bandung</v>
      </c>
    </row>
    <row r="1029" spans="1:11" x14ac:dyDescent="0.35">
      <c r="A1029" s="4" t="s">
        <v>2070</v>
      </c>
      <c r="B1029" s="4" t="s">
        <v>719</v>
      </c>
      <c r="C1029" s="4" t="s">
        <v>1029</v>
      </c>
      <c r="D1029" s="4">
        <v>1</v>
      </c>
      <c r="E1029" s="6">
        <v>39000</v>
      </c>
      <c r="F1029" t="str">
        <f>VLOOKUP(C1029,products!A:C,2,FALSE)</f>
        <v>Kabel Data USB-C</v>
      </c>
      <c r="G1029">
        <f t="shared" si="32"/>
        <v>39000</v>
      </c>
      <c r="H1029">
        <f>VLOOKUP(C1029,products!A:D,4,FALSE)</f>
        <v>15000</v>
      </c>
      <c r="I1029">
        <f t="shared" si="33"/>
        <v>24000</v>
      </c>
      <c r="J1029" t="str">
        <f>VLOOKUP(B1029,orders!A:B,2,FALSE)</f>
        <v>CUST0066</v>
      </c>
      <c r="K1029" t="str">
        <f>VLOOKUP(J1029,customers!A:F,6,FALSE)</f>
        <v>Bandung</v>
      </c>
    </row>
    <row r="1030" spans="1:11" x14ac:dyDescent="0.35">
      <c r="A1030" s="4" t="s">
        <v>2071</v>
      </c>
      <c r="B1030" s="4" t="s">
        <v>719</v>
      </c>
      <c r="C1030" s="4" t="s">
        <v>1033</v>
      </c>
      <c r="D1030" s="4">
        <v>2</v>
      </c>
      <c r="E1030" s="6">
        <v>55000</v>
      </c>
      <c r="F1030" t="str">
        <f>VLOOKUP(C1030,products!A:C,2,FALSE)</f>
        <v>Sapu + Pengki Set</v>
      </c>
      <c r="G1030">
        <f t="shared" si="32"/>
        <v>110000</v>
      </c>
      <c r="H1030">
        <f>VLOOKUP(C1030,products!A:D,4,FALSE)</f>
        <v>25000</v>
      </c>
      <c r="I1030">
        <f t="shared" si="33"/>
        <v>60000</v>
      </c>
      <c r="J1030" t="str">
        <f>VLOOKUP(B1030,orders!A:B,2,FALSE)</f>
        <v>CUST0066</v>
      </c>
      <c r="K1030" t="str">
        <f>VLOOKUP(J1030,customers!A:F,6,FALSE)</f>
        <v>Bandung</v>
      </c>
    </row>
    <row r="1031" spans="1:11" x14ac:dyDescent="0.35">
      <c r="A1031" s="4" t="s">
        <v>2072</v>
      </c>
      <c r="B1031" s="4" t="s">
        <v>125</v>
      </c>
      <c r="C1031" s="4" t="s">
        <v>1033</v>
      </c>
      <c r="D1031" s="4">
        <v>2</v>
      </c>
      <c r="E1031" s="6">
        <v>55000</v>
      </c>
      <c r="F1031" t="str">
        <f>VLOOKUP(C1031,products!A:C,2,FALSE)</f>
        <v>Sapu + Pengki Set</v>
      </c>
      <c r="G1031">
        <f t="shared" si="32"/>
        <v>110000</v>
      </c>
      <c r="H1031">
        <f>VLOOKUP(C1031,products!A:D,4,FALSE)</f>
        <v>25000</v>
      </c>
      <c r="I1031">
        <f t="shared" si="33"/>
        <v>60000</v>
      </c>
      <c r="J1031" t="str">
        <f>VLOOKUP(B1031,orders!A:B,2,FALSE)</f>
        <v>CUST0155</v>
      </c>
      <c r="K1031" t="str">
        <f>VLOOKUP(J1031,customers!A:F,6,FALSE)</f>
        <v>Yogyakarta</v>
      </c>
    </row>
    <row r="1032" spans="1:11" x14ac:dyDescent="0.35">
      <c r="A1032" s="4" t="s">
        <v>2073</v>
      </c>
      <c r="B1032" s="4" t="s">
        <v>125</v>
      </c>
      <c r="C1032" s="4" t="s">
        <v>1023</v>
      </c>
      <c r="D1032" s="4">
        <v>1</v>
      </c>
      <c r="E1032" s="6">
        <v>69000</v>
      </c>
      <c r="F1032" t="str">
        <f>VLOOKUP(C1032,products!A:C,2,FALSE)</f>
        <v>Lampu LED Hias 5m</v>
      </c>
      <c r="G1032">
        <f t="shared" si="32"/>
        <v>69000</v>
      </c>
      <c r="H1032">
        <f>VLOOKUP(C1032,products!A:D,4,FALSE)</f>
        <v>30000</v>
      </c>
      <c r="I1032">
        <f t="shared" si="33"/>
        <v>39000</v>
      </c>
      <c r="J1032" t="str">
        <f>VLOOKUP(B1032,orders!A:B,2,FALSE)</f>
        <v>CUST0155</v>
      </c>
      <c r="K1032" t="str">
        <f>VLOOKUP(J1032,customers!A:F,6,FALSE)</f>
        <v>Yogyakarta</v>
      </c>
    </row>
    <row r="1033" spans="1:11" x14ac:dyDescent="0.35">
      <c r="A1033" s="4" t="s">
        <v>2074</v>
      </c>
      <c r="B1033" s="4" t="s">
        <v>150</v>
      </c>
      <c r="C1033" s="4" t="s">
        <v>1036</v>
      </c>
      <c r="D1033" s="4">
        <v>1</v>
      </c>
      <c r="E1033" s="6">
        <v>229000</v>
      </c>
      <c r="F1033" t="str">
        <f>VLOOKUP(C1033,products!A:C,2,FALSE)</f>
        <v>Celana Jeans Slimfit</v>
      </c>
      <c r="G1033">
        <f t="shared" si="32"/>
        <v>229000</v>
      </c>
      <c r="H1033">
        <f>VLOOKUP(C1033,products!A:D,4,FALSE)</f>
        <v>110000</v>
      </c>
      <c r="I1033">
        <f t="shared" si="33"/>
        <v>119000</v>
      </c>
      <c r="J1033" t="str">
        <f>VLOOKUP(B1033,orders!A:B,2,FALSE)</f>
        <v>CUST0168</v>
      </c>
      <c r="K1033" t="str">
        <f>VLOOKUP(J1033,customers!A:F,6,FALSE)</f>
        <v>Jakarta</v>
      </c>
    </row>
    <row r="1034" spans="1:11" x14ac:dyDescent="0.35">
      <c r="A1034" s="4" t="s">
        <v>2075</v>
      </c>
      <c r="B1034" s="4" t="s">
        <v>579</v>
      </c>
      <c r="C1034" s="4" t="s">
        <v>1044</v>
      </c>
      <c r="D1034" s="4">
        <v>1</v>
      </c>
      <c r="E1034" s="6">
        <v>329000</v>
      </c>
      <c r="F1034" t="str">
        <f>VLOOKUP(C1034,products!A:C,2,FALSE)</f>
        <v>Rice Cooker Mini 1.5L</v>
      </c>
      <c r="G1034">
        <f t="shared" si="32"/>
        <v>329000</v>
      </c>
      <c r="H1034">
        <f>VLOOKUP(C1034,products!A:D,4,FALSE)</f>
        <v>180000</v>
      </c>
      <c r="I1034">
        <f t="shared" si="33"/>
        <v>149000</v>
      </c>
      <c r="J1034" t="str">
        <f>VLOOKUP(B1034,orders!A:B,2,FALSE)</f>
        <v>CUST0198</v>
      </c>
      <c r="K1034" t="str">
        <f>VLOOKUP(J1034,customers!A:F,6,FALSE)</f>
        <v>Surabaya</v>
      </c>
    </row>
    <row r="1035" spans="1:11" x14ac:dyDescent="0.35">
      <c r="A1035" s="4" t="s">
        <v>2076</v>
      </c>
      <c r="B1035" s="4" t="s">
        <v>929</v>
      </c>
      <c r="C1035" s="4" t="s">
        <v>1025</v>
      </c>
      <c r="D1035" s="4">
        <v>1</v>
      </c>
      <c r="E1035" s="6">
        <v>179000</v>
      </c>
      <c r="F1035" t="str">
        <f>VLOOKUP(C1035,products!A:C,2,FALSE)</f>
        <v>Rak Penyimpanan Serbaguna</v>
      </c>
      <c r="G1035">
        <f t="shared" si="32"/>
        <v>179000</v>
      </c>
      <c r="H1035">
        <f>VLOOKUP(C1035,products!A:D,4,FALSE)</f>
        <v>90000</v>
      </c>
      <c r="I1035">
        <f t="shared" si="33"/>
        <v>89000</v>
      </c>
      <c r="J1035" t="str">
        <f>VLOOKUP(B1035,orders!A:B,2,FALSE)</f>
        <v>CUST0119</v>
      </c>
      <c r="K1035" t="str">
        <f>VLOOKUP(J1035,customers!A:F,6,FALSE)</f>
        <v>Surabaya</v>
      </c>
    </row>
    <row r="1036" spans="1:11" x14ac:dyDescent="0.35">
      <c r="A1036" s="4" t="s">
        <v>2077</v>
      </c>
      <c r="B1036" s="4" t="s">
        <v>902</v>
      </c>
      <c r="C1036" s="4" t="s">
        <v>1053</v>
      </c>
      <c r="D1036" s="4">
        <v>2</v>
      </c>
      <c r="E1036" s="6">
        <v>129000</v>
      </c>
      <c r="F1036" t="str">
        <f>VLOOKUP(C1036,products!A:C,2,FALSE)</f>
        <v>Charger Fast Charging 33W</v>
      </c>
      <c r="G1036">
        <f t="shared" si="32"/>
        <v>258000</v>
      </c>
      <c r="H1036">
        <f>VLOOKUP(C1036,products!A:D,4,FALSE)</f>
        <v>60000</v>
      </c>
      <c r="I1036">
        <f t="shared" si="33"/>
        <v>138000</v>
      </c>
      <c r="J1036" t="str">
        <f>VLOOKUP(B1036,orders!A:B,2,FALSE)</f>
        <v>CUST0115</v>
      </c>
      <c r="K1036" t="str">
        <f>VLOOKUP(J1036,customers!A:F,6,FALSE)</f>
        <v>Palembang</v>
      </c>
    </row>
    <row r="1037" spans="1:11" x14ac:dyDescent="0.35">
      <c r="A1037" s="4" t="s">
        <v>2078</v>
      </c>
      <c r="B1037" s="4" t="s">
        <v>642</v>
      </c>
      <c r="C1037" s="4" t="s">
        <v>1029</v>
      </c>
      <c r="D1037" s="4">
        <v>2</v>
      </c>
      <c r="E1037" s="6">
        <v>39000</v>
      </c>
      <c r="F1037" t="str">
        <f>VLOOKUP(C1037,products!A:C,2,FALSE)</f>
        <v>Kabel Data USB-C</v>
      </c>
      <c r="G1037">
        <f t="shared" si="32"/>
        <v>78000</v>
      </c>
      <c r="H1037">
        <f>VLOOKUP(C1037,products!A:D,4,FALSE)</f>
        <v>15000</v>
      </c>
      <c r="I1037">
        <f t="shared" si="33"/>
        <v>48000</v>
      </c>
      <c r="J1037" t="str">
        <f>VLOOKUP(B1037,orders!A:B,2,FALSE)</f>
        <v>CUST0163</v>
      </c>
      <c r="K1037" t="str">
        <f>VLOOKUP(J1037,customers!A:F,6,FALSE)</f>
        <v>Denpasar</v>
      </c>
    </row>
    <row r="1038" spans="1:11" x14ac:dyDescent="0.35">
      <c r="A1038" s="4" t="s">
        <v>2079</v>
      </c>
      <c r="B1038" s="4" t="s">
        <v>642</v>
      </c>
      <c r="C1038" s="4" t="s">
        <v>1023</v>
      </c>
      <c r="D1038" s="4">
        <v>1</v>
      </c>
      <c r="E1038" s="6">
        <v>69000</v>
      </c>
      <c r="F1038" t="str">
        <f>VLOOKUP(C1038,products!A:C,2,FALSE)</f>
        <v>Lampu LED Hias 5m</v>
      </c>
      <c r="G1038">
        <f t="shared" si="32"/>
        <v>69000</v>
      </c>
      <c r="H1038">
        <f>VLOOKUP(C1038,products!A:D,4,FALSE)</f>
        <v>30000</v>
      </c>
      <c r="I1038">
        <f t="shared" si="33"/>
        <v>39000</v>
      </c>
      <c r="J1038" t="str">
        <f>VLOOKUP(B1038,orders!A:B,2,FALSE)</f>
        <v>CUST0163</v>
      </c>
      <c r="K1038" t="str">
        <f>VLOOKUP(J1038,customers!A:F,6,FALSE)</f>
        <v>Denpasar</v>
      </c>
    </row>
    <row r="1039" spans="1:11" x14ac:dyDescent="0.35">
      <c r="A1039" s="4" t="s">
        <v>2080</v>
      </c>
      <c r="B1039" s="4" t="s">
        <v>642</v>
      </c>
      <c r="C1039" s="4" t="s">
        <v>1046</v>
      </c>
      <c r="D1039" s="4">
        <v>1</v>
      </c>
      <c r="E1039" s="6">
        <v>139000</v>
      </c>
      <c r="F1039" t="str">
        <f>VLOOKUP(C1039,products!A:C,2,FALSE)</f>
        <v>Wajan Anti Lengket 24cm</v>
      </c>
      <c r="G1039">
        <f t="shared" si="32"/>
        <v>139000</v>
      </c>
      <c r="H1039">
        <f>VLOOKUP(C1039,products!A:D,4,FALSE)</f>
        <v>65000</v>
      </c>
      <c r="I1039">
        <f t="shared" si="33"/>
        <v>74000</v>
      </c>
      <c r="J1039" t="str">
        <f>VLOOKUP(B1039,orders!A:B,2,FALSE)</f>
        <v>CUST0163</v>
      </c>
      <c r="K1039" t="str">
        <f>VLOOKUP(J1039,customers!A:F,6,FALSE)</f>
        <v>Denpasar</v>
      </c>
    </row>
    <row r="1040" spans="1:11" x14ac:dyDescent="0.35">
      <c r="A1040" s="4" t="s">
        <v>2081</v>
      </c>
      <c r="B1040" s="4" t="s">
        <v>112</v>
      </c>
      <c r="C1040" s="4" t="s">
        <v>1025</v>
      </c>
      <c r="D1040" s="4">
        <v>2</v>
      </c>
      <c r="E1040" s="6">
        <v>179000</v>
      </c>
      <c r="F1040" t="str">
        <f>VLOOKUP(C1040,products!A:C,2,FALSE)</f>
        <v>Rak Penyimpanan Serbaguna</v>
      </c>
      <c r="G1040">
        <f t="shared" si="32"/>
        <v>358000</v>
      </c>
      <c r="H1040">
        <f>VLOOKUP(C1040,products!A:D,4,FALSE)</f>
        <v>90000</v>
      </c>
      <c r="I1040">
        <f t="shared" si="33"/>
        <v>178000</v>
      </c>
      <c r="J1040" t="str">
        <f>VLOOKUP(B1040,orders!A:B,2,FALSE)</f>
        <v>CUST0161</v>
      </c>
      <c r="K1040" t="str">
        <f>VLOOKUP(J1040,customers!A:F,6,FALSE)</f>
        <v>Medan</v>
      </c>
    </row>
    <row r="1041" spans="1:11" x14ac:dyDescent="0.35">
      <c r="A1041" s="4" t="s">
        <v>2082</v>
      </c>
      <c r="B1041" s="4" t="s">
        <v>592</v>
      </c>
      <c r="C1041" s="4" t="s">
        <v>1031</v>
      </c>
      <c r="D1041" s="4">
        <v>1</v>
      </c>
      <c r="E1041" s="6">
        <v>79000</v>
      </c>
      <c r="F1041" t="str">
        <f>VLOOKUP(C1041,products!A:C,2,FALSE)</f>
        <v>Kaos Polos Cotton Combed</v>
      </c>
      <c r="G1041">
        <f t="shared" si="32"/>
        <v>79000</v>
      </c>
      <c r="H1041">
        <f>VLOOKUP(C1041,products!A:D,4,FALSE)</f>
        <v>35000</v>
      </c>
      <c r="I1041">
        <f t="shared" si="33"/>
        <v>44000</v>
      </c>
      <c r="J1041" t="str">
        <f>VLOOKUP(B1041,orders!A:B,2,FALSE)</f>
        <v>CUST0018</v>
      </c>
      <c r="K1041" t="str">
        <f>VLOOKUP(J1041,customers!A:F,6,FALSE)</f>
        <v>Denpasar</v>
      </c>
    </row>
    <row r="1042" spans="1:11" x14ac:dyDescent="0.35">
      <c r="A1042" s="4" t="s">
        <v>2083</v>
      </c>
      <c r="B1042" s="4" t="s">
        <v>394</v>
      </c>
      <c r="C1042" s="4" t="s">
        <v>1023</v>
      </c>
      <c r="D1042" s="4">
        <v>1</v>
      </c>
      <c r="E1042" s="6">
        <v>69000</v>
      </c>
      <c r="F1042" t="str">
        <f>VLOOKUP(C1042,products!A:C,2,FALSE)</f>
        <v>Lampu LED Hias 5m</v>
      </c>
      <c r="G1042">
        <f t="shared" si="32"/>
        <v>69000</v>
      </c>
      <c r="H1042">
        <f>VLOOKUP(C1042,products!A:D,4,FALSE)</f>
        <v>30000</v>
      </c>
      <c r="I1042">
        <f t="shared" si="33"/>
        <v>39000</v>
      </c>
      <c r="J1042" t="str">
        <f>VLOOKUP(B1042,orders!A:B,2,FALSE)</f>
        <v>CUST0162</v>
      </c>
      <c r="K1042" t="str">
        <f>VLOOKUP(J1042,customers!A:F,6,FALSE)</f>
        <v>Makassar</v>
      </c>
    </row>
    <row r="1043" spans="1:11" x14ac:dyDescent="0.35">
      <c r="A1043" s="4" t="s">
        <v>2084</v>
      </c>
      <c r="B1043" s="4" t="s">
        <v>394</v>
      </c>
      <c r="C1043" s="4" t="s">
        <v>1031</v>
      </c>
      <c r="D1043" s="4">
        <v>1</v>
      </c>
      <c r="E1043" s="6">
        <v>79000</v>
      </c>
      <c r="F1043" t="str">
        <f>VLOOKUP(C1043,products!A:C,2,FALSE)</f>
        <v>Kaos Polos Cotton Combed</v>
      </c>
      <c r="G1043">
        <f t="shared" si="32"/>
        <v>79000</v>
      </c>
      <c r="H1043">
        <f>VLOOKUP(C1043,products!A:D,4,FALSE)</f>
        <v>35000</v>
      </c>
      <c r="I1043">
        <f t="shared" si="33"/>
        <v>44000</v>
      </c>
      <c r="J1043" t="str">
        <f>VLOOKUP(B1043,orders!A:B,2,FALSE)</f>
        <v>CUST0162</v>
      </c>
      <c r="K1043" t="str">
        <f>VLOOKUP(J1043,customers!A:F,6,FALSE)</f>
        <v>Makassar</v>
      </c>
    </row>
    <row r="1044" spans="1:11" x14ac:dyDescent="0.35">
      <c r="A1044" s="4" t="s">
        <v>2085</v>
      </c>
      <c r="B1044" s="4" t="s">
        <v>952</v>
      </c>
      <c r="C1044" s="4" t="s">
        <v>1023</v>
      </c>
      <c r="D1044" s="4">
        <v>1</v>
      </c>
      <c r="E1044" s="6">
        <v>69000</v>
      </c>
      <c r="F1044" t="str">
        <f>VLOOKUP(C1044,products!A:C,2,FALSE)</f>
        <v>Lampu LED Hias 5m</v>
      </c>
      <c r="G1044">
        <f t="shared" si="32"/>
        <v>69000</v>
      </c>
      <c r="H1044">
        <f>VLOOKUP(C1044,products!A:D,4,FALSE)</f>
        <v>30000</v>
      </c>
      <c r="I1044">
        <f t="shared" si="33"/>
        <v>39000</v>
      </c>
      <c r="J1044" t="str">
        <f>VLOOKUP(B1044,orders!A:B,2,FALSE)</f>
        <v>CUST0152</v>
      </c>
      <c r="K1044" t="str">
        <f>VLOOKUP(J1044,customers!A:F,6,FALSE)</f>
        <v>Medan</v>
      </c>
    </row>
    <row r="1045" spans="1:11" x14ac:dyDescent="0.35">
      <c r="A1045" s="4" t="s">
        <v>2086</v>
      </c>
      <c r="B1045" s="4" t="s">
        <v>952</v>
      </c>
      <c r="C1045" s="4" t="s">
        <v>1031</v>
      </c>
      <c r="D1045" s="4">
        <v>1</v>
      </c>
      <c r="E1045" s="6">
        <v>79000</v>
      </c>
      <c r="F1045" t="str">
        <f>VLOOKUP(C1045,products!A:C,2,FALSE)</f>
        <v>Kaos Polos Cotton Combed</v>
      </c>
      <c r="G1045">
        <f t="shared" si="32"/>
        <v>79000</v>
      </c>
      <c r="H1045">
        <f>VLOOKUP(C1045,products!A:D,4,FALSE)</f>
        <v>35000</v>
      </c>
      <c r="I1045">
        <f t="shared" si="33"/>
        <v>44000</v>
      </c>
      <c r="J1045" t="str">
        <f>VLOOKUP(B1045,orders!A:B,2,FALSE)</f>
        <v>CUST0152</v>
      </c>
      <c r="K1045" t="str">
        <f>VLOOKUP(J1045,customers!A:F,6,FALSE)</f>
        <v>Medan</v>
      </c>
    </row>
    <row r="1046" spans="1:11" x14ac:dyDescent="0.35">
      <c r="A1046" s="4" t="s">
        <v>2087</v>
      </c>
      <c r="B1046" s="4" t="s">
        <v>758</v>
      </c>
      <c r="C1046" s="4" t="s">
        <v>1025</v>
      </c>
      <c r="D1046" s="4">
        <v>1</v>
      </c>
      <c r="E1046" s="6">
        <v>179000</v>
      </c>
      <c r="F1046" t="str">
        <f>VLOOKUP(C1046,products!A:C,2,FALSE)</f>
        <v>Rak Penyimpanan Serbaguna</v>
      </c>
      <c r="G1046">
        <f t="shared" si="32"/>
        <v>179000</v>
      </c>
      <c r="H1046">
        <f>VLOOKUP(C1046,products!A:D,4,FALSE)</f>
        <v>90000</v>
      </c>
      <c r="I1046">
        <f t="shared" si="33"/>
        <v>89000</v>
      </c>
      <c r="J1046" t="str">
        <f>VLOOKUP(B1046,orders!A:B,2,FALSE)</f>
        <v>CUST0019</v>
      </c>
      <c r="K1046" t="str">
        <f>VLOOKUP(J1046,customers!A:F,6,FALSE)</f>
        <v>Surabaya</v>
      </c>
    </row>
    <row r="1047" spans="1:11" x14ac:dyDescent="0.35">
      <c r="A1047" s="4" t="s">
        <v>2088</v>
      </c>
      <c r="B1047" s="4" t="s">
        <v>543</v>
      </c>
      <c r="C1047" s="4" t="s">
        <v>1029</v>
      </c>
      <c r="D1047" s="4">
        <v>1</v>
      </c>
      <c r="E1047" s="6">
        <v>39000</v>
      </c>
      <c r="F1047" t="str">
        <f>VLOOKUP(C1047,products!A:C,2,FALSE)</f>
        <v>Kabel Data USB-C</v>
      </c>
      <c r="G1047">
        <f t="shared" si="32"/>
        <v>39000</v>
      </c>
      <c r="H1047">
        <f>VLOOKUP(C1047,products!A:D,4,FALSE)</f>
        <v>15000</v>
      </c>
      <c r="I1047">
        <f t="shared" si="33"/>
        <v>24000</v>
      </c>
      <c r="J1047" t="str">
        <f>VLOOKUP(B1047,orders!A:B,2,FALSE)</f>
        <v>CUST0116</v>
      </c>
      <c r="K1047" t="str">
        <f>VLOOKUP(J1047,customers!A:F,6,FALSE)</f>
        <v>Yogyakarta</v>
      </c>
    </row>
    <row r="1048" spans="1:11" x14ac:dyDescent="0.35">
      <c r="A1048" s="4" t="s">
        <v>2089</v>
      </c>
      <c r="B1048" s="4" t="s">
        <v>230</v>
      </c>
      <c r="C1048" s="4" t="s">
        <v>1029</v>
      </c>
      <c r="D1048" s="4">
        <v>2</v>
      </c>
      <c r="E1048" s="6">
        <v>39000</v>
      </c>
      <c r="F1048" t="str">
        <f>VLOOKUP(C1048,products!A:C,2,FALSE)</f>
        <v>Kabel Data USB-C</v>
      </c>
      <c r="G1048">
        <f t="shared" si="32"/>
        <v>78000</v>
      </c>
      <c r="H1048">
        <f>VLOOKUP(C1048,products!A:D,4,FALSE)</f>
        <v>15000</v>
      </c>
      <c r="I1048">
        <f t="shared" si="33"/>
        <v>48000</v>
      </c>
      <c r="J1048" t="str">
        <f>VLOOKUP(B1048,orders!A:B,2,FALSE)</f>
        <v>CUST0074</v>
      </c>
      <c r="K1048" t="str">
        <f>VLOOKUP(J1048,customers!A:F,6,FALSE)</f>
        <v>Semarang</v>
      </c>
    </row>
    <row r="1049" spans="1:11" x14ac:dyDescent="0.35">
      <c r="A1049" s="4" t="s">
        <v>2090</v>
      </c>
      <c r="B1049" s="4" t="s">
        <v>230</v>
      </c>
      <c r="C1049" s="4" t="s">
        <v>1025</v>
      </c>
      <c r="D1049" s="4">
        <v>1</v>
      </c>
      <c r="E1049" s="6">
        <v>179000</v>
      </c>
      <c r="F1049" t="str">
        <f>VLOOKUP(C1049,products!A:C,2,FALSE)</f>
        <v>Rak Penyimpanan Serbaguna</v>
      </c>
      <c r="G1049">
        <f t="shared" si="32"/>
        <v>179000</v>
      </c>
      <c r="H1049">
        <f>VLOOKUP(C1049,products!A:D,4,FALSE)</f>
        <v>90000</v>
      </c>
      <c r="I1049">
        <f t="shared" si="33"/>
        <v>89000</v>
      </c>
      <c r="J1049" t="str">
        <f>VLOOKUP(B1049,orders!A:B,2,FALSE)</f>
        <v>CUST0074</v>
      </c>
      <c r="K1049" t="str">
        <f>VLOOKUP(J1049,customers!A:F,6,FALSE)</f>
        <v>Semarang</v>
      </c>
    </row>
    <row r="1050" spans="1:11" x14ac:dyDescent="0.35">
      <c r="A1050" s="4" t="s">
        <v>2091</v>
      </c>
      <c r="B1050" s="4" t="s">
        <v>241</v>
      </c>
      <c r="C1050" s="4" t="s">
        <v>1029</v>
      </c>
      <c r="D1050" s="4">
        <v>1</v>
      </c>
      <c r="E1050" s="6">
        <v>39000</v>
      </c>
      <c r="F1050" t="str">
        <f>VLOOKUP(C1050,products!A:C,2,FALSE)</f>
        <v>Kabel Data USB-C</v>
      </c>
      <c r="G1050">
        <f t="shared" si="32"/>
        <v>39000</v>
      </c>
      <c r="H1050">
        <f>VLOOKUP(C1050,products!A:D,4,FALSE)</f>
        <v>15000</v>
      </c>
      <c r="I1050">
        <f t="shared" si="33"/>
        <v>24000</v>
      </c>
      <c r="J1050" t="str">
        <f>VLOOKUP(B1050,orders!A:B,2,FALSE)</f>
        <v>CUST0024</v>
      </c>
      <c r="K1050" t="str">
        <f>VLOOKUP(J1050,customers!A:F,6,FALSE)</f>
        <v>Surabaya</v>
      </c>
    </row>
    <row r="1051" spans="1:11" x14ac:dyDescent="0.35">
      <c r="A1051" s="4" t="s">
        <v>2092</v>
      </c>
      <c r="B1051" s="4" t="s">
        <v>882</v>
      </c>
      <c r="C1051" s="4" t="s">
        <v>1023</v>
      </c>
      <c r="D1051" s="4">
        <v>1</v>
      </c>
      <c r="E1051" s="6">
        <v>69000</v>
      </c>
      <c r="F1051" t="str">
        <f>VLOOKUP(C1051,products!A:C,2,FALSE)</f>
        <v>Lampu LED Hias 5m</v>
      </c>
      <c r="G1051">
        <f t="shared" si="32"/>
        <v>69000</v>
      </c>
      <c r="H1051">
        <f>VLOOKUP(C1051,products!A:D,4,FALSE)</f>
        <v>30000</v>
      </c>
      <c r="I1051">
        <f t="shared" si="33"/>
        <v>39000</v>
      </c>
      <c r="J1051" t="str">
        <f>VLOOKUP(B1051,orders!A:B,2,FALSE)</f>
        <v>CUST0099</v>
      </c>
      <c r="K1051" t="str">
        <f>VLOOKUP(J1051,customers!A:F,6,FALSE)</f>
        <v>Depok</v>
      </c>
    </row>
    <row r="1052" spans="1:11" x14ac:dyDescent="0.35">
      <c r="A1052" s="4" t="s">
        <v>2093</v>
      </c>
      <c r="B1052" s="4" t="s">
        <v>882</v>
      </c>
      <c r="C1052" s="4" t="s">
        <v>1025</v>
      </c>
      <c r="D1052" s="4">
        <v>1</v>
      </c>
      <c r="E1052" s="6">
        <v>179000</v>
      </c>
      <c r="F1052" t="str">
        <f>VLOOKUP(C1052,products!A:C,2,FALSE)</f>
        <v>Rak Penyimpanan Serbaguna</v>
      </c>
      <c r="G1052">
        <f t="shared" si="32"/>
        <v>179000</v>
      </c>
      <c r="H1052">
        <f>VLOOKUP(C1052,products!A:D,4,FALSE)</f>
        <v>90000</v>
      </c>
      <c r="I1052">
        <f t="shared" si="33"/>
        <v>89000</v>
      </c>
      <c r="J1052" t="str">
        <f>VLOOKUP(B1052,orders!A:B,2,FALSE)</f>
        <v>CUST0099</v>
      </c>
      <c r="K1052" t="str">
        <f>VLOOKUP(J1052,customers!A:F,6,FALSE)</f>
        <v>Depok</v>
      </c>
    </row>
    <row r="1053" spans="1:11" x14ac:dyDescent="0.35">
      <c r="A1053" s="4" t="s">
        <v>2094</v>
      </c>
      <c r="B1053" s="4" t="s">
        <v>936</v>
      </c>
      <c r="C1053" s="4" t="s">
        <v>1023</v>
      </c>
      <c r="D1053" s="4">
        <v>1</v>
      </c>
      <c r="E1053" s="6">
        <v>69000</v>
      </c>
      <c r="F1053" t="str">
        <f>VLOOKUP(C1053,products!A:C,2,FALSE)</f>
        <v>Lampu LED Hias 5m</v>
      </c>
      <c r="G1053">
        <f t="shared" si="32"/>
        <v>69000</v>
      </c>
      <c r="H1053">
        <f>VLOOKUP(C1053,products!A:D,4,FALSE)</f>
        <v>30000</v>
      </c>
      <c r="I1053">
        <f t="shared" si="33"/>
        <v>39000</v>
      </c>
      <c r="J1053" t="str">
        <f>VLOOKUP(B1053,orders!A:B,2,FALSE)</f>
        <v>CUST0190</v>
      </c>
      <c r="K1053" t="str">
        <f>VLOOKUP(J1053,customers!A:F,6,FALSE)</f>
        <v>Yogyakarta</v>
      </c>
    </row>
    <row r="1054" spans="1:11" x14ac:dyDescent="0.35">
      <c r="A1054" s="4" t="s">
        <v>2095</v>
      </c>
      <c r="B1054" s="4" t="s">
        <v>324</v>
      </c>
      <c r="C1054" s="4" t="s">
        <v>1082</v>
      </c>
      <c r="D1054" s="4">
        <v>1</v>
      </c>
      <c r="E1054" s="6">
        <v>399000</v>
      </c>
      <c r="F1054" t="str">
        <f>VLOOKUP(C1054,products!A:C,2,FALSE)</f>
        <v>Keyboard Mechanical Mini</v>
      </c>
      <c r="G1054">
        <f t="shared" si="32"/>
        <v>399000</v>
      </c>
      <c r="H1054">
        <f>VLOOKUP(C1054,products!A:D,4,FALSE)</f>
        <v>200000</v>
      </c>
      <c r="I1054">
        <f t="shared" si="33"/>
        <v>199000</v>
      </c>
      <c r="J1054" t="str">
        <f>VLOOKUP(B1054,orders!A:B,2,FALSE)</f>
        <v>CUST0147</v>
      </c>
      <c r="K1054" t="str">
        <f>VLOOKUP(J1054,customers!A:F,6,FALSE)</f>
        <v>Yogyakarta</v>
      </c>
    </row>
    <row r="1055" spans="1:11" x14ac:dyDescent="0.35">
      <c r="A1055" s="4" t="s">
        <v>2096</v>
      </c>
      <c r="B1055" s="4" t="s">
        <v>1014</v>
      </c>
      <c r="C1055" s="4" t="s">
        <v>1049</v>
      </c>
      <c r="D1055" s="4">
        <v>1</v>
      </c>
      <c r="E1055" s="6">
        <v>349000</v>
      </c>
      <c r="F1055" t="str">
        <f>VLOOKUP(C1055,products!A:C,2,FALSE)</f>
        <v>Sepatu Sneakers Casual</v>
      </c>
      <c r="G1055">
        <f t="shared" si="32"/>
        <v>349000</v>
      </c>
      <c r="H1055">
        <f>VLOOKUP(C1055,products!A:D,4,FALSE)</f>
        <v>180000</v>
      </c>
      <c r="I1055">
        <f t="shared" si="33"/>
        <v>169000</v>
      </c>
      <c r="J1055" t="str">
        <f>VLOOKUP(B1055,orders!A:B,2,FALSE)</f>
        <v>CUST0083</v>
      </c>
      <c r="K1055" t="str">
        <f>VLOOKUP(J1055,customers!A:F,6,FALSE)</f>
        <v>Jakarta</v>
      </c>
    </row>
    <row r="1056" spans="1:11" x14ac:dyDescent="0.35">
      <c r="A1056" s="4" t="s">
        <v>2097</v>
      </c>
      <c r="B1056" s="4" t="s">
        <v>1014</v>
      </c>
      <c r="C1056" s="4" t="s">
        <v>1031</v>
      </c>
      <c r="D1056" s="4">
        <v>1</v>
      </c>
      <c r="E1056" s="6">
        <v>79000</v>
      </c>
      <c r="F1056" t="str">
        <f>VLOOKUP(C1056,products!A:C,2,FALSE)</f>
        <v>Kaos Polos Cotton Combed</v>
      </c>
      <c r="G1056">
        <f t="shared" si="32"/>
        <v>79000</v>
      </c>
      <c r="H1056">
        <f>VLOOKUP(C1056,products!A:D,4,FALSE)</f>
        <v>35000</v>
      </c>
      <c r="I1056">
        <f t="shared" si="33"/>
        <v>44000</v>
      </c>
      <c r="J1056" t="str">
        <f>VLOOKUP(B1056,orders!A:B,2,FALSE)</f>
        <v>CUST0083</v>
      </c>
      <c r="K1056" t="str">
        <f>VLOOKUP(J1056,customers!A:F,6,FALSE)</f>
        <v>Jakarta</v>
      </c>
    </row>
    <row r="1057" spans="1:11" x14ac:dyDescent="0.35">
      <c r="A1057" s="4" t="s">
        <v>2098</v>
      </c>
      <c r="B1057" s="4" t="s">
        <v>1014</v>
      </c>
      <c r="C1057" s="4" t="s">
        <v>1033</v>
      </c>
      <c r="D1057" s="4">
        <v>3</v>
      </c>
      <c r="E1057" s="6">
        <v>55000</v>
      </c>
      <c r="F1057" t="str">
        <f>VLOOKUP(C1057,products!A:C,2,FALSE)</f>
        <v>Sapu + Pengki Set</v>
      </c>
      <c r="G1057">
        <f t="shared" si="32"/>
        <v>165000</v>
      </c>
      <c r="H1057">
        <f>VLOOKUP(C1057,products!A:D,4,FALSE)</f>
        <v>25000</v>
      </c>
      <c r="I1057">
        <f t="shared" si="33"/>
        <v>90000</v>
      </c>
      <c r="J1057" t="str">
        <f>VLOOKUP(B1057,orders!A:B,2,FALSE)</f>
        <v>CUST0083</v>
      </c>
      <c r="K1057" t="str">
        <f>VLOOKUP(J1057,customers!A:F,6,FALSE)</f>
        <v>Jakarta</v>
      </c>
    </row>
    <row r="1058" spans="1:11" x14ac:dyDescent="0.35">
      <c r="A1058" s="4" t="s">
        <v>2099</v>
      </c>
      <c r="B1058" s="4" t="s">
        <v>437</v>
      </c>
      <c r="C1058" s="4" t="s">
        <v>1082</v>
      </c>
      <c r="D1058" s="4">
        <v>2</v>
      </c>
      <c r="E1058" s="6">
        <v>399000</v>
      </c>
      <c r="F1058" t="str">
        <f>VLOOKUP(C1058,products!A:C,2,FALSE)</f>
        <v>Keyboard Mechanical Mini</v>
      </c>
      <c r="G1058">
        <f t="shared" si="32"/>
        <v>798000</v>
      </c>
      <c r="H1058">
        <f>VLOOKUP(C1058,products!A:D,4,FALSE)</f>
        <v>200000</v>
      </c>
      <c r="I1058">
        <f t="shared" si="33"/>
        <v>398000</v>
      </c>
      <c r="J1058" t="str">
        <f>VLOOKUP(B1058,orders!A:B,2,FALSE)</f>
        <v>CUST0039</v>
      </c>
      <c r="K1058" t="str">
        <f>VLOOKUP(J1058,customers!A:F,6,FALSE)</f>
        <v>Yogyakarta</v>
      </c>
    </row>
    <row r="1059" spans="1:11" x14ac:dyDescent="0.35">
      <c r="A1059" s="4" t="s">
        <v>2100</v>
      </c>
      <c r="B1059" s="4" t="s">
        <v>707</v>
      </c>
      <c r="C1059" s="4" t="s">
        <v>1023</v>
      </c>
      <c r="D1059" s="4">
        <v>1</v>
      </c>
      <c r="E1059" s="6">
        <v>69000</v>
      </c>
      <c r="F1059" t="str">
        <f>VLOOKUP(C1059,products!A:C,2,FALSE)</f>
        <v>Lampu LED Hias 5m</v>
      </c>
      <c r="G1059">
        <f t="shared" si="32"/>
        <v>69000</v>
      </c>
      <c r="H1059">
        <f>VLOOKUP(C1059,products!A:D,4,FALSE)</f>
        <v>30000</v>
      </c>
      <c r="I1059">
        <f t="shared" si="33"/>
        <v>39000</v>
      </c>
      <c r="J1059" t="str">
        <f>VLOOKUP(B1059,orders!A:B,2,FALSE)</f>
        <v>CUST0027</v>
      </c>
      <c r="K1059" t="str">
        <f>VLOOKUP(J1059,customers!A:F,6,FALSE)</f>
        <v>Denpasar</v>
      </c>
    </row>
    <row r="1060" spans="1:11" x14ac:dyDescent="0.35">
      <c r="A1060" s="4" t="s">
        <v>2101</v>
      </c>
      <c r="B1060" s="4" t="s">
        <v>707</v>
      </c>
      <c r="C1060" s="4" t="s">
        <v>1031</v>
      </c>
      <c r="D1060" s="4">
        <v>2</v>
      </c>
      <c r="E1060" s="6">
        <v>79000</v>
      </c>
      <c r="F1060" t="str">
        <f>VLOOKUP(C1060,products!A:C,2,FALSE)</f>
        <v>Kaos Polos Cotton Combed</v>
      </c>
      <c r="G1060">
        <f t="shared" si="32"/>
        <v>158000</v>
      </c>
      <c r="H1060">
        <f>VLOOKUP(C1060,products!A:D,4,FALSE)</f>
        <v>35000</v>
      </c>
      <c r="I1060">
        <f t="shared" si="33"/>
        <v>88000</v>
      </c>
      <c r="J1060" t="str">
        <f>VLOOKUP(B1060,orders!A:B,2,FALSE)</f>
        <v>CUST0027</v>
      </c>
      <c r="K1060" t="str">
        <f>VLOOKUP(J1060,customers!A:F,6,FALSE)</f>
        <v>Denpasar</v>
      </c>
    </row>
    <row r="1061" spans="1:11" x14ac:dyDescent="0.35">
      <c r="A1061" s="4" t="s">
        <v>2102</v>
      </c>
      <c r="B1061" s="4" t="s">
        <v>739</v>
      </c>
      <c r="C1061" s="4" t="s">
        <v>1023</v>
      </c>
      <c r="D1061" s="4">
        <v>2</v>
      </c>
      <c r="E1061" s="6">
        <v>69000</v>
      </c>
      <c r="F1061" t="str">
        <f>VLOOKUP(C1061,products!A:C,2,FALSE)</f>
        <v>Lampu LED Hias 5m</v>
      </c>
      <c r="G1061">
        <f t="shared" si="32"/>
        <v>138000</v>
      </c>
      <c r="H1061">
        <f>VLOOKUP(C1061,products!A:D,4,FALSE)</f>
        <v>30000</v>
      </c>
      <c r="I1061">
        <f t="shared" si="33"/>
        <v>78000</v>
      </c>
      <c r="J1061" t="str">
        <f>VLOOKUP(B1061,orders!A:B,2,FALSE)</f>
        <v>CUST0088</v>
      </c>
      <c r="K1061" t="str">
        <f>VLOOKUP(J1061,customers!A:F,6,FALSE)</f>
        <v>Makassar</v>
      </c>
    </row>
    <row r="1062" spans="1:11" x14ac:dyDescent="0.35">
      <c r="A1062" s="4" t="s">
        <v>2103</v>
      </c>
      <c r="B1062" s="4" t="s">
        <v>476</v>
      </c>
      <c r="C1062" s="4" t="s">
        <v>1023</v>
      </c>
      <c r="D1062" s="4">
        <v>1</v>
      </c>
      <c r="E1062" s="6">
        <v>69000</v>
      </c>
      <c r="F1062" t="str">
        <f>VLOOKUP(C1062,products!A:C,2,FALSE)</f>
        <v>Lampu LED Hias 5m</v>
      </c>
      <c r="G1062">
        <f t="shared" si="32"/>
        <v>69000</v>
      </c>
      <c r="H1062">
        <f>VLOOKUP(C1062,products!A:D,4,FALSE)</f>
        <v>30000</v>
      </c>
      <c r="I1062">
        <f t="shared" si="33"/>
        <v>39000</v>
      </c>
      <c r="J1062" t="str">
        <f>VLOOKUP(B1062,orders!A:B,2,FALSE)</f>
        <v>CUST0045</v>
      </c>
      <c r="K1062" t="str">
        <f>VLOOKUP(J1062,customers!A:F,6,FALSE)</f>
        <v>Palembang</v>
      </c>
    </row>
    <row r="1063" spans="1:11" x14ac:dyDescent="0.35">
      <c r="A1063" s="4" t="s">
        <v>2104</v>
      </c>
      <c r="B1063" s="4" t="s">
        <v>167</v>
      </c>
      <c r="C1063" s="4" t="s">
        <v>1031</v>
      </c>
      <c r="D1063" s="4">
        <v>1</v>
      </c>
      <c r="E1063" s="6">
        <v>79000</v>
      </c>
      <c r="F1063" t="str">
        <f>VLOOKUP(C1063,products!A:C,2,FALSE)</f>
        <v>Kaos Polos Cotton Combed</v>
      </c>
      <c r="G1063">
        <f t="shared" si="32"/>
        <v>79000</v>
      </c>
      <c r="H1063">
        <f>VLOOKUP(C1063,products!A:D,4,FALSE)</f>
        <v>35000</v>
      </c>
      <c r="I1063">
        <f t="shared" si="33"/>
        <v>44000</v>
      </c>
      <c r="J1063" t="str">
        <f>VLOOKUP(B1063,orders!A:B,2,FALSE)</f>
        <v>CUST0113</v>
      </c>
      <c r="K1063" t="str">
        <f>VLOOKUP(J1063,customers!A:F,6,FALSE)</f>
        <v>Surabaya</v>
      </c>
    </row>
    <row r="1064" spans="1:11" x14ac:dyDescent="0.35">
      <c r="A1064" s="4" t="s">
        <v>2105</v>
      </c>
      <c r="B1064" s="4" t="s">
        <v>514</v>
      </c>
      <c r="C1064" s="4" t="s">
        <v>1044</v>
      </c>
      <c r="D1064" s="4">
        <v>1</v>
      </c>
      <c r="E1064" s="6">
        <v>329000</v>
      </c>
      <c r="F1064" t="str">
        <f>VLOOKUP(C1064,products!A:C,2,FALSE)</f>
        <v>Rice Cooker Mini 1.5L</v>
      </c>
      <c r="G1064">
        <f t="shared" si="32"/>
        <v>329000</v>
      </c>
      <c r="H1064">
        <f>VLOOKUP(C1064,products!A:D,4,FALSE)</f>
        <v>180000</v>
      </c>
      <c r="I1064">
        <f t="shared" si="33"/>
        <v>149000</v>
      </c>
      <c r="J1064" t="str">
        <f>VLOOKUP(B1064,orders!A:B,2,FALSE)</f>
        <v>CUST0134</v>
      </c>
      <c r="K1064" t="str">
        <f>VLOOKUP(J1064,customers!A:F,6,FALSE)</f>
        <v>Makassar</v>
      </c>
    </row>
    <row r="1065" spans="1:11" x14ac:dyDescent="0.35">
      <c r="A1065" s="4" t="s">
        <v>2106</v>
      </c>
      <c r="B1065" s="4" t="s">
        <v>834</v>
      </c>
      <c r="C1065" s="4" t="s">
        <v>1029</v>
      </c>
      <c r="D1065" s="4">
        <v>1</v>
      </c>
      <c r="E1065" s="6">
        <v>39000</v>
      </c>
      <c r="F1065" t="str">
        <f>VLOOKUP(C1065,products!A:C,2,FALSE)</f>
        <v>Kabel Data USB-C</v>
      </c>
      <c r="G1065">
        <f t="shared" si="32"/>
        <v>39000</v>
      </c>
      <c r="H1065">
        <f>VLOOKUP(C1065,products!A:D,4,FALSE)</f>
        <v>15000</v>
      </c>
      <c r="I1065">
        <f t="shared" si="33"/>
        <v>24000</v>
      </c>
      <c r="J1065" t="str">
        <f>VLOOKUP(B1065,orders!A:B,2,FALSE)</f>
        <v>CUST0096</v>
      </c>
      <c r="K1065" t="str">
        <f>VLOOKUP(J1065,customers!A:F,6,FALSE)</f>
        <v>Jakarta</v>
      </c>
    </row>
    <row r="1066" spans="1:11" x14ac:dyDescent="0.35">
      <c r="A1066" s="4" t="s">
        <v>2107</v>
      </c>
      <c r="B1066" s="4" t="s">
        <v>309</v>
      </c>
      <c r="C1066" s="4" t="s">
        <v>1031</v>
      </c>
      <c r="D1066" s="4">
        <v>1</v>
      </c>
      <c r="E1066" s="6">
        <v>79000</v>
      </c>
      <c r="F1066" t="str">
        <f>VLOOKUP(C1066,products!A:C,2,FALSE)</f>
        <v>Kaos Polos Cotton Combed</v>
      </c>
      <c r="G1066">
        <f t="shared" si="32"/>
        <v>79000</v>
      </c>
      <c r="H1066">
        <f>VLOOKUP(C1066,products!A:D,4,FALSE)</f>
        <v>35000</v>
      </c>
      <c r="I1066">
        <f t="shared" si="33"/>
        <v>44000</v>
      </c>
      <c r="J1066" t="str">
        <f>VLOOKUP(B1066,orders!A:B,2,FALSE)</f>
        <v>CUST0199</v>
      </c>
      <c r="K1066" t="str">
        <f>VLOOKUP(J1066,customers!A:F,6,FALSE)</f>
        <v>Palembang</v>
      </c>
    </row>
    <row r="1067" spans="1:11" x14ac:dyDescent="0.35">
      <c r="A1067" s="4" t="s">
        <v>2108</v>
      </c>
      <c r="B1067" s="4" t="s">
        <v>809</v>
      </c>
      <c r="C1067" s="4" t="s">
        <v>1023</v>
      </c>
      <c r="D1067" s="4">
        <v>1</v>
      </c>
      <c r="E1067" s="6">
        <v>69000</v>
      </c>
      <c r="F1067" t="str">
        <f>VLOOKUP(C1067,products!A:C,2,FALSE)</f>
        <v>Lampu LED Hias 5m</v>
      </c>
      <c r="G1067">
        <f t="shared" si="32"/>
        <v>69000</v>
      </c>
      <c r="H1067">
        <f>VLOOKUP(C1067,products!A:D,4,FALSE)</f>
        <v>30000</v>
      </c>
      <c r="I1067">
        <f t="shared" si="33"/>
        <v>39000</v>
      </c>
      <c r="J1067" t="str">
        <f>VLOOKUP(B1067,orders!A:B,2,FALSE)</f>
        <v>CUST0014</v>
      </c>
      <c r="K1067" t="str">
        <f>VLOOKUP(J1067,customers!A:F,6,FALSE)</f>
        <v>Jakarta</v>
      </c>
    </row>
    <row r="1068" spans="1:11" x14ac:dyDescent="0.35">
      <c r="A1068" s="4" t="s">
        <v>2109</v>
      </c>
      <c r="B1068" s="4" t="s">
        <v>809</v>
      </c>
      <c r="C1068" s="4" t="s">
        <v>1025</v>
      </c>
      <c r="D1068" s="4">
        <v>1</v>
      </c>
      <c r="E1068" s="6">
        <v>179000</v>
      </c>
      <c r="F1068" t="str">
        <f>VLOOKUP(C1068,products!A:C,2,FALSE)</f>
        <v>Rak Penyimpanan Serbaguna</v>
      </c>
      <c r="G1068">
        <f t="shared" si="32"/>
        <v>179000</v>
      </c>
      <c r="H1068">
        <f>VLOOKUP(C1068,products!A:D,4,FALSE)</f>
        <v>90000</v>
      </c>
      <c r="I1068">
        <f t="shared" si="33"/>
        <v>89000</v>
      </c>
      <c r="J1068" t="str">
        <f>VLOOKUP(B1068,orders!A:B,2,FALSE)</f>
        <v>CUST0014</v>
      </c>
      <c r="K1068" t="str">
        <f>VLOOKUP(J1068,customers!A:F,6,FALSE)</f>
        <v>Jakarta</v>
      </c>
    </row>
    <row r="1069" spans="1:11" x14ac:dyDescent="0.35">
      <c r="A1069" s="4" t="s">
        <v>2110</v>
      </c>
      <c r="B1069" s="4" t="s">
        <v>562</v>
      </c>
      <c r="C1069" s="4" t="s">
        <v>1029</v>
      </c>
      <c r="D1069" s="4">
        <v>2</v>
      </c>
      <c r="E1069" s="6">
        <v>39000</v>
      </c>
      <c r="F1069" t="str">
        <f>VLOOKUP(C1069,products!A:C,2,FALSE)</f>
        <v>Kabel Data USB-C</v>
      </c>
      <c r="G1069">
        <f t="shared" si="32"/>
        <v>78000</v>
      </c>
      <c r="H1069">
        <f>VLOOKUP(C1069,products!A:D,4,FALSE)</f>
        <v>15000</v>
      </c>
      <c r="I1069">
        <f t="shared" si="33"/>
        <v>48000</v>
      </c>
      <c r="J1069" t="str">
        <f>VLOOKUP(B1069,orders!A:B,2,FALSE)</f>
        <v>CUST0166</v>
      </c>
      <c r="K1069" t="str">
        <f>VLOOKUP(J1069,customers!A:F,6,FALSE)</f>
        <v>Bandung</v>
      </c>
    </row>
    <row r="1070" spans="1:11" x14ac:dyDescent="0.35">
      <c r="A1070" s="4" t="s">
        <v>2111</v>
      </c>
      <c r="B1070" s="4" t="s">
        <v>520</v>
      </c>
      <c r="C1070" s="4" t="s">
        <v>1044</v>
      </c>
      <c r="D1070" s="4">
        <v>1</v>
      </c>
      <c r="E1070" s="6">
        <v>329000</v>
      </c>
      <c r="F1070" t="str">
        <f>VLOOKUP(C1070,products!A:C,2,FALSE)</f>
        <v>Rice Cooker Mini 1.5L</v>
      </c>
      <c r="G1070">
        <f t="shared" si="32"/>
        <v>329000</v>
      </c>
      <c r="H1070">
        <f>VLOOKUP(C1070,products!A:D,4,FALSE)</f>
        <v>180000</v>
      </c>
      <c r="I1070">
        <f t="shared" si="33"/>
        <v>149000</v>
      </c>
      <c r="J1070" t="str">
        <f>VLOOKUP(B1070,orders!A:B,2,FALSE)</f>
        <v>CUST0085</v>
      </c>
      <c r="K1070" t="str">
        <f>VLOOKUP(J1070,customers!A:F,6,FALSE)</f>
        <v>Jakarta</v>
      </c>
    </row>
    <row r="1071" spans="1:11" x14ac:dyDescent="0.35">
      <c r="A1071" s="4" t="s">
        <v>2112</v>
      </c>
      <c r="B1071" s="4" t="s">
        <v>858</v>
      </c>
      <c r="C1071" s="4" t="s">
        <v>1031</v>
      </c>
      <c r="D1071" s="4">
        <v>1</v>
      </c>
      <c r="E1071" s="6">
        <v>79000</v>
      </c>
      <c r="F1071" t="str">
        <f>VLOOKUP(C1071,products!A:C,2,FALSE)</f>
        <v>Kaos Polos Cotton Combed</v>
      </c>
      <c r="G1071">
        <f t="shared" si="32"/>
        <v>79000</v>
      </c>
      <c r="H1071">
        <f>VLOOKUP(C1071,products!A:D,4,FALSE)</f>
        <v>35000</v>
      </c>
      <c r="I1071">
        <f t="shared" si="33"/>
        <v>44000</v>
      </c>
      <c r="J1071" t="str">
        <f>VLOOKUP(B1071,orders!A:B,2,FALSE)</f>
        <v>CUST0174</v>
      </c>
      <c r="K1071" t="str">
        <f>VLOOKUP(J1071,customers!A:F,6,FALSE)</f>
        <v>Makassar</v>
      </c>
    </row>
    <row r="1072" spans="1:11" x14ac:dyDescent="0.35">
      <c r="A1072" s="4" t="s">
        <v>2113</v>
      </c>
      <c r="B1072" s="4" t="s">
        <v>765</v>
      </c>
      <c r="C1072" s="4" t="s">
        <v>1025</v>
      </c>
      <c r="D1072" s="4">
        <v>1</v>
      </c>
      <c r="E1072" s="6">
        <v>179000</v>
      </c>
      <c r="F1072" t="str">
        <f>VLOOKUP(C1072,products!A:C,2,FALSE)</f>
        <v>Rak Penyimpanan Serbaguna</v>
      </c>
      <c r="G1072">
        <f t="shared" si="32"/>
        <v>179000</v>
      </c>
      <c r="H1072">
        <f>VLOOKUP(C1072,products!A:D,4,FALSE)</f>
        <v>90000</v>
      </c>
      <c r="I1072">
        <f t="shared" si="33"/>
        <v>89000</v>
      </c>
      <c r="J1072" t="str">
        <f>VLOOKUP(B1072,orders!A:B,2,FALSE)</f>
        <v>CUST0065</v>
      </c>
      <c r="K1072" t="str">
        <f>VLOOKUP(J1072,customers!A:F,6,FALSE)</f>
        <v>Jakarta</v>
      </c>
    </row>
    <row r="1073" spans="1:11" x14ac:dyDescent="0.35">
      <c r="A1073" s="4" t="s">
        <v>2114</v>
      </c>
      <c r="B1073" s="4" t="s">
        <v>765</v>
      </c>
      <c r="C1073" s="4" t="s">
        <v>1023</v>
      </c>
      <c r="D1073" s="4">
        <v>1</v>
      </c>
      <c r="E1073" s="6">
        <v>69000</v>
      </c>
      <c r="F1073" t="str">
        <f>VLOOKUP(C1073,products!A:C,2,FALSE)</f>
        <v>Lampu LED Hias 5m</v>
      </c>
      <c r="G1073">
        <f t="shared" si="32"/>
        <v>69000</v>
      </c>
      <c r="H1073">
        <f>VLOOKUP(C1073,products!A:D,4,FALSE)</f>
        <v>30000</v>
      </c>
      <c r="I1073">
        <f t="shared" si="33"/>
        <v>39000</v>
      </c>
      <c r="J1073" t="str">
        <f>VLOOKUP(B1073,orders!A:B,2,FALSE)</f>
        <v>CUST0065</v>
      </c>
      <c r="K1073" t="str">
        <f>VLOOKUP(J1073,customers!A:F,6,FALSE)</f>
        <v>Jakarta</v>
      </c>
    </row>
    <row r="1074" spans="1:11" x14ac:dyDescent="0.35">
      <c r="A1074" s="4" t="s">
        <v>2115</v>
      </c>
      <c r="B1074" s="4" t="s">
        <v>688</v>
      </c>
      <c r="C1074" s="4" t="s">
        <v>1033</v>
      </c>
      <c r="D1074" s="4">
        <v>1</v>
      </c>
      <c r="E1074" s="6">
        <v>55000</v>
      </c>
      <c r="F1074" t="str">
        <f>VLOOKUP(C1074,products!A:C,2,FALSE)</f>
        <v>Sapu + Pengki Set</v>
      </c>
      <c r="G1074">
        <f t="shared" si="32"/>
        <v>55000</v>
      </c>
      <c r="H1074">
        <f>VLOOKUP(C1074,products!A:D,4,FALSE)</f>
        <v>25000</v>
      </c>
      <c r="I1074">
        <f t="shared" si="33"/>
        <v>30000</v>
      </c>
      <c r="J1074" t="str">
        <f>VLOOKUP(B1074,orders!A:B,2,FALSE)</f>
        <v>CUST0169</v>
      </c>
      <c r="K1074" t="str">
        <f>VLOOKUP(J1074,customers!A:F,6,FALSE)</f>
        <v>Palembang</v>
      </c>
    </row>
    <row r="1075" spans="1:11" x14ac:dyDescent="0.35">
      <c r="A1075" s="4" t="s">
        <v>2116</v>
      </c>
      <c r="B1075" s="4" t="s">
        <v>688</v>
      </c>
      <c r="C1075" s="4" t="s">
        <v>1023</v>
      </c>
      <c r="D1075" s="4">
        <v>1</v>
      </c>
      <c r="E1075" s="6">
        <v>69000</v>
      </c>
      <c r="F1075" t="str">
        <f>VLOOKUP(C1075,products!A:C,2,FALSE)</f>
        <v>Lampu LED Hias 5m</v>
      </c>
      <c r="G1075">
        <f t="shared" si="32"/>
        <v>69000</v>
      </c>
      <c r="H1075">
        <f>VLOOKUP(C1075,products!A:D,4,FALSE)</f>
        <v>30000</v>
      </c>
      <c r="I1075">
        <f t="shared" si="33"/>
        <v>39000</v>
      </c>
      <c r="J1075" t="str">
        <f>VLOOKUP(B1075,orders!A:B,2,FALSE)</f>
        <v>CUST0169</v>
      </c>
      <c r="K1075" t="str">
        <f>VLOOKUP(J1075,customers!A:F,6,FALSE)</f>
        <v>Palembang</v>
      </c>
    </row>
    <row r="1076" spans="1:11" x14ac:dyDescent="0.35">
      <c r="A1076" s="4" t="s">
        <v>2117</v>
      </c>
      <c r="B1076" s="4" t="s">
        <v>106</v>
      </c>
      <c r="C1076" s="4" t="s">
        <v>1023</v>
      </c>
      <c r="D1076" s="4">
        <v>2</v>
      </c>
      <c r="E1076" s="6">
        <v>69000</v>
      </c>
      <c r="F1076" t="str">
        <f>VLOOKUP(C1076,products!A:C,2,FALSE)</f>
        <v>Lampu LED Hias 5m</v>
      </c>
      <c r="G1076">
        <f t="shared" si="32"/>
        <v>138000</v>
      </c>
      <c r="H1076">
        <f>VLOOKUP(C1076,products!A:D,4,FALSE)</f>
        <v>30000</v>
      </c>
      <c r="I1076">
        <f t="shared" si="33"/>
        <v>78000</v>
      </c>
      <c r="J1076" t="str">
        <f>VLOOKUP(B1076,orders!A:B,2,FALSE)</f>
        <v>CUST0086</v>
      </c>
      <c r="K1076" t="str">
        <f>VLOOKUP(J1076,customers!A:F,6,FALSE)</f>
        <v>Makassar</v>
      </c>
    </row>
    <row r="1077" spans="1:11" x14ac:dyDescent="0.35">
      <c r="A1077" s="4" t="s">
        <v>2118</v>
      </c>
      <c r="B1077" s="4" t="s">
        <v>106</v>
      </c>
      <c r="C1077" s="4" t="s">
        <v>1029</v>
      </c>
      <c r="D1077" s="4">
        <v>1</v>
      </c>
      <c r="E1077" s="6">
        <v>39000</v>
      </c>
      <c r="F1077" t="str">
        <f>VLOOKUP(C1077,products!A:C,2,FALSE)</f>
        <v>Kabel Data USB-C</v>
      </c>
      <c r="G1077">
        <f t="shared" si="32"/>
        <v>39000</v>
      </c>
      <c r="H1077">
        <f>VLOOKUP(C1077,products!A:D,4,FALSE)</f>
        <v>15000</v>
      </c>
      <c r="I1077">
        <f t="shared" si="33"/>
        <v>24000</v>
      </c>
      <c r="J1077" t="str">
        <f>VLOOKUP(B1077,orders!A:B,2,FALSE)</f>
        <v>CUST0086</v>
      </c>
      <c r="K1077" t="str">
        <f>VLOOKUP(J1077,customers!A:F,6,FALSE)</f>
        <v>Makassar</v>
      </c>
    </row>
    <row r="1078" spans="1:11" x14ac:dyDescent="0.35">
      <c r="A1078" s="4" t="s">
        <v>2119</v>
      </c>
      <c r="B1078" s="4" t="s">
        <v>248</v>
      </c>
      <c r="C1078" s="4" t="s">
        <v>1031</v>
      </c>
      <c r="D1078" s="4">
        <v>3</v>
      </c>
      <c r="E1078" s="6">
        <v>79000</v>
      </c>
      <c r="F1078" t="str">
        <f>VLOOKUP(C1078,products!A:C,2,FALSE)</f>
        <v>Kaos Polos Cotton Combed</v>
      </c>
      <c r="G1078">
        <f t="shared" si="32"/>
        <v>237000</v>
      </c>
      <c r="H1078">
        <f>VLOOKUP(C1078,products!A:D,4,FALSE)</f>
        <v>35000</v>
      </c>
      <c r="I1078">
        <f t="shared" si="33"/>
        <v>132000</v>
      </c>
      <c r="J1078" t="str">
        <f>VLOOKUP(B1078,orders!A:B,2,FALSE)</f>
        <v>CUST0170</v>
      </c>
      <c r="K1078" t="str">
        <f>VLOOKUP(J1078,customers!A:F,6,FALSE)</f>
        <v>Medan</v>
      </c>
    </row>
    <row r="1079" spans="1:11" x14ac:dyDescent="0.35">
      <c r="A1079" s="4" t="s">
        <v>2120</v>
      </c>
      <c r="B1079" s="4" t="s">
        <v>618</v>
      </c>
      <c r="C1079" s="4" t="s">
        <v>1023</v>
      </c>
      <c r="D1079" s="4">
        <v>1</v>
      </c>
      <c r="E1079" s="6">
        <v>69000</v>
      </c>
      <c r="F1079" t="str">
        <f>VLOOKUP(C1079,products!A:C,2,FALSE)</f>
        <v>Lampu LED Hias 5m</v>
      </c>
      <c r="G1079">
        <f t="shared" si="32"/>
        <v>69000</v>
      </c>
      <c r="H1079">
        <f>VLOOKUP(C1079,products!A:D,4,FALSE)</f>
        <v>30000</v>
      </c>
      <c r="I1079">
        <f t="shared" si="33"/>
        <v>39000</v>
      </c>
      <c r="J1079" t="str">
        <f>VLOOKUP(B1079,orders!A:B,2,FALSE)</f>
        <v>CUST0168</v>
      </c>
      <c r="K1079" t="str">
        <f>VLOOKUP(J1079,customers!A:F,6,FALSE)</f>
        <v>Jakarta</v>
      </c>
    </row>
    <row r="1080" spans="1:11" x14ac:dyDescent="0.35">
      <c r="A1080" s="4" t="s">
        <v>2121</v>
      </c>
      <c r="B1080" s="4" t="s">
        <v>378</v>
      </c>
      <c r="C1080" s="4" t="s">
        <v>1044</v>
      </c>
      <c r="D1080" s="4">
        <v>1</v>
      </c>
      <c r="E1080" s="6">
        <v>329000</v>
      </c>
      <c r="F1080" t="str">
        <f>VLOOKUP(C1080,products!A:C,2,FALSE)</f>
        <v>Rice Cooker Mini 1.5L</v>
      </c>
      <c r="G1080">
        <f t="shared" si="32"/>
        <v>329000</v>
      </c>
      <c r="H1080">
        <f>VLOOKUP(C1080,products!A:D,4,FALSE)</f>
        <v>180000</v>
      </c>
      <c r="I1080">
        <f t="shared" si="33"/>
        <v>149000</v>
      </c>
      <c r="J1080" t="str">
        <f>VLOOKUP(B1080,orders!A:B,2,FALSE)</f>
        <v>CUST0101</v>
      </c>
      <c r="K1080" t="str">
        <f>VLOOKUP(J1080,customers!A:F,6,FALSE)</f>
        <v>Makassar</v>
      </c>
    </row>
    <row r="1081" spans="1:11" x14ac:dyDescent="0.35">
      <c r="A1081" s="4" t="s">
        <v>2122</v>
      </c>
      <c r="B1081" s="4" t="s">
        <v>378</v>
      </c>
      <c r="C1081" s="4" t="s">
        <v>1025</v>
      </c>
      <c r="D1081" s="4">
        <v>1</v>
      </c>
      <c r="E1081" s="6">
        <v>179000</v>
      </c>
      <c r="F1081" t="str">
        <f>VLOOKUP(C1081,products!A:C,2,FALSE)</f>
        <v>Rak Penyimpanan Serbaguna</v>
      </c>
      <c r="G1081">
        <f t="shared" si="32"/>
        <v>179000</v>
      </c>
      <c r="H1081">
        <f>VLOOKUP(C1081,products!A:D,4,FALSE)</f>
        <v>90000</v>
      </c>
      <c r="I1081">
        <f t="shared" si="33"/>
        <v>89000</v>
      </c>
      <c r="J1081" t="str">
        <f>VLOOKUP(B1081,orders!A:B,2,FALSE)</f>
        <v>CUST0101</v>
      </c>
      <c r="K1081" t="str">
        <f>VLOOKUP(J1081,customers!A:F,6,FALSE)</f>
        <v>Makassar</v>
      </c>
    </row>
    <row r="1082" spans="1:11" x14ac:dyDescent="0.35">
      <c r="A1082" s="4" t="s">
        <v>2123</v>
      </c>
      <c r="B1082" s="4" t="s">
        <v>723</v>
      </c>
      <c r="C1082" s="4" t="s">
        <v>1049</v>
      </c>
      <c r="D1082" s="4">
        <v>1</v>
      </c>
      <c r="E1082" s="6">
        <v>349000</v>
      </c>
      <c r="F1082" t="str">
        <f>VLOOKUP(C1082,products!A:C,2,FALSE)</f>
        <v>Sepatu Sneakers Casual</v>
      </c>
      <c r="G1082">
        <f t="shared" si="32"/>
        <v>349000</v>
      </c>
      <c r="H1082">
        <f>VLOOKUP(C1082,products!A:D,4,FALSE)</f>
        <v>180000</v>
      </c>
      <c r="I1082">
        <f t="shared" si="33"/>
        <v>169000</v>
      </c>
      <c r="J1082" t="str">
        <f>VLOOKUP(B1082,orders!A:B,2,FALSE)</f>
        <v>CUST0182</v>
      </c>
      <c r="K1082" t="str">
        <f>VLOOKUP(J1082,customers!A:F,6,FALSE)</f>
        <v>Bandung</v>
      </c>
    </row>
    <row r="1083" spans="1:11" x14ac:dyDescent="0.35">
      <c r="A1083" s="4" t="s">
        <v>2124</v>
      </c>
      <c r="B1083" s="4" t="s">
        <v>115</v>
      </c>
      <c r="C1083" s="4" t="s">
        <v>1029</v>
      </c>
      <c r="D1083" s="4">
        <v>1</v>
      </c>
      <c r="E1083" s="6">
        <v>39000</v>
      </c>
      <c r="F1083" t="str">
        <f>VLOOKUP(C1083,products!A:C,2,FALSE)</f>
        <v>Kabel Data USB-C</v>
      </c>
      <c r="G1083">
        <f t="shared" si="32"/>
        <v>39000</v>
      </c>
      <c r="H1083">
        <f>VLOOKUP(C1083,products!A:D,4,FALSE)</f>
        <v>15000</v>
      </c>
      <c r="I1083">
        <f t="shared" si="33"/>
        <v>24000</v>
      </c>
      <c r="J1083" t="str">
        <f>VLOOKUP(B1083,orders!A:B,2,FALSE)</f>
        <v>CUST0144</v>
      </c>
      <c r="K1083" t="str">
        <f>VLOOKUP(J1083,customers!A:F,6,FALSE)</f>
        <v>Bandung</v>
      </c>
    </row>
    <row r="1084" spans="1:11" x14ac:dyDescent="0.35">
      <c r="A1084" s="4" t="s">
        <v>2125</v>
      </c>
      <c r="B1084" s="4" t="s">
        <v>179</v>
      </c>
      <c r="C1084" s="4" t="s">
        <v>1325</v>
      </c>
      <c r="D1084" s="4">
        <v>3</v>
      </c>
      <c r="E1084" s="6">
        <v>199000</v>
      </c>
      <c r="F1084" t="str">
        <f>VLOOKUP(C1084,products!A:C,2,FALSE)</f>
        <v>Speaker Bluetooth Mini</v>
      </c>
      <c r="G1084">
        <f t="shared" si="32"/>
        <v>597000</v>
      </c>
      <c r="H1084">
        <f>VLOOKUP(C1084,products!A:D,4,FALSE)</f>
        <v>100000</v>
      </c>
      <c r="I1084">
        <f t="shared" si="33"/>
        <v>297000</v>
      </c>
      <c r="J1084" t="str">
        <f>VLOOKUP(B1084,orders!A:B,2,FALSE)</f>
        <v>CUST0085</v>
      </c>
      <c r="K1084" t="str">
        <f>VLOOKUP(J1084,customers!A:F,6,FALSE)</f>
        <v>Jakarta</v>
      </c>
    </row>
    <row r="1085" spans="1:11" x14ac:dyDescent="0.35">
      <c r="A1085" s="4" t="s">
        <v>2126</v>
      </c>
      <c r="B1085" s="4" t="s">
        <v>179</v>
      </c>
      <c r="C1085" s="4" t="s">
        <v>1044</v>
      </c>
      <c r="D1085" s="4">
        <v>1</v>
      </c>
      <c r="E1085" s="6">
        <v>329000</v>
      </c>
      <c r="F1085" t="str">
        <f>VLOOKUP(C1085,products!A:C,2,FALSE)</f>
        <v>Rice Cooker Mini 1.5L</v>
      </c>
      <c r="G1085">
        <f t="shared" si="32"/>
        <v>329000</v>
      </c>
      <c r="H1085">
        <f>VLOOKUP(C1085,products!A:D,4,FALSE)</f>
        <v>180000</v>
      </c>
      <c r="I1085">
        <f t="shared" si="33"/>
        <v>149000</v>
      </c>
      <c r="J1085" t="str">
        <f>VLOOKUP(B1085,orders!A:B,2,FALSE)</f>
        <v>CUST0085</v>
      </c>
      <c r="K1085" t="str">
        <f>VLOOKUP(J1085,customers!A:F,6,FALSE)</f>
        <v>Jakarta</v>
      </c>
    </row>
    <row r="1086" spans="1:11" x14ac:dyDescent="0.35">
      <c r="A1086" s="4" t="s">
        <v>2127</v>
      </c>
      <c r="B1086" s="4" t="s">
        <v>725</v>
      </c>
      <c r="C1086" s="4" t="s">
        <v>1031</v>
      </c>
      <c r="D1086" s="4">
        <v>1</v>
      </c>
      <c r="E1086" s="6">
        <v>79000</v>
      </c>
      <c r="F1086" t="str">
        <f>VLOOKUP(C1086,products!A:C,2,FALSE)</f>
        <v>Kaos Polos Cotton Combed</v>
      </c>
      <c r="G1086">
        <f t="shared" si="32"/>
        <v>79000</v>
      </c>
      <c r="H1086">
        <f>VLOOKUP(C1086,products!A:D,4,FALSE)</f>
        <v>35000</v>
      </c>
      <c r="I1086">
        <f t="shared" si="33"/>
        <v>44000</v>
      </c>
      <c r="J1086" t="str">
        <f>VLOOKUP(B1086,orders!A:B,2,FALSE)</f>
        <v>CUST0172</v>
      </c>
      <c r="K1086" t="str">
        <f>VLOOKUP(J1086,customers!A:F,6,FALSE)</f>
        <v>Jakarta</v>
      </c>
    </row>
    <row r="1087" spans="1:11" x14ac:dyDescent="0.35">
      <c r="A1087" s="4" t="s">
        <v>2128</v>
      </c>
      <c r="B1087" s="4" t="s">
        <v>419</v>
      </c>
      <c r="C1087" s="4" t="s">
        <v>1044</v>
      </c>
      <c r="D1087" s="4">
        <v>1</v>
      </c>
      <c r="E1087" s="6">
        <v>329000</v>
      </c>
      <c r="F1087" t="str">
        <f>VLOOKUP(C1087,products!A:C,2,FALSE)</f>
        <v>Rice Cooker Mini 1.5L</v>
      </c>
      <c r="G1087">
        <f t="shared" si="32"/>
        <v>329000</v>
      </c>
      <c r="H1087">
        <f>VLOOKUP(C1087,products!A:D,4,FALSE)</f>
        <v>180000</v>
      </c>
      <c r="I1087">
        <f t="shared" si="33"/>
        <v>149000</v>
      </c>
      <c r="J1087" t="str">
        <f>VLOOKUP(B1087,orders!A:B,2,FALSE)</f>
        <v>CUST0166</v>
      </c>
      <c r="K1087" t="str">
        <f>VLOOKUP(J1087,customers!A:F,6,FALSE)</f>
        <v>Bandung</v>
      </c>
    </row>
    <row r="1088" spans="1:11" x14ac:dyDescent="0.35">
      <c r="A1088" s="4" t="s">
        <v>2129</v>
      </c>
      <c r="B1088" s="4" t="s">
        <v>35</v>
      </c>
      <c r="C1088" s="4" t="s">
        <v>1029</v>
      </c>
      <c r="D1088" s="4">
        <v>2</v>
      </c>
      <c r="E1088" s="6">
        <v>39000</v>
      </c>
      <c r="F1088" t="str">
        <f>VLOOKUP(C1088,products!A:C,2,FALSE)</f>
        <v>Kabel Data USB-C</v>
      </c>
      <c r="G1088">
        <f t="shared" si="32"/>
        <v>78000</v>
      </c>
      <c r="H1088">
        <f>VLOOKUP(C1088,products!A:D,4,FALSE)</f>
        <v>15000</v>
      </c>
      <c r="I1088">
        <f t="shared" si="33"/>
        <v>48000</v>
      </c>
      <c r="J1088" t="str">
        <f>VLOOKUP(B1088,orders!A:B,2,FALSE)</f>
        <v>CUST0093</v>
      </c>
      <c r="K1088" t="str">
        <f>VLOOKUP(J1088,customers!A:F,6,FALSE)</f>
        <v>Surabaya</v>
      </c>
    </row>
    <row r="1089" spans="1:11" x14ac:dyDescent="0.35">
      <c r="A1089" s="4" t="s">
        <v>2130</v>
      </c>
      <c r="B1089" s="4" t="s">
        <v>82</v>
      </c>
      <c r="C1089" s="4" t="s">
        <v>1023</v>
      </c>
      <c r="D1089" s="4">
        <v>1</v>
      </c>
      <c r="E1089" s="6">
        <v>69000</v>
      </c>
      <c r="F1089" t="str">
        <f>VLOOKUP(C1089,products!A:C,2,FALSE)</f>
        <v>Lampu LED Hias 5m</v>
      </c>
      <c r="G1089">
        <f t="shared" si="32"/>
        <v>69000</v>
      </c>
      <c r="H1089">
        <f>VLOOKUP(C1089,products!A:D,4,FALSE)</f>
        <v>30000</v>
      </c>
      <c r="I1089">
        <f t="shared" si="33"/>
        <v>39000</v>
      </c>
      <c r="J1089" t="str">
        <f>VLOOKUP(B1089,orders!A:B,2,FALSE)</f>
        <v>CUST0080</v>
      </c>
      <c r="K1089" t="str">
        <f>VLOOKUP(J1089,customers!A:F,6,FALSE)</f>
        <v>Surabaya</v>
      </c>
    </row>
    <row r="1090" spans="1:11" x14ac:dyDescent="0.35">
      <c r="A1090" s="4" t="s">
        <v>2131</v>
      </c>
      <c r="B1090" s="4" t="s">
        <v>247</v>
      </c>
      <c r="C1090" s="4" t="s">
        <v>1053</v>
      </c>
      <c r="D1090" s="4">
        <v>1</v>
      </c>
      <c r="E1090" s="6">
        <v>129000</v>
      </c>
      <c r="F1090" t="str">
        <f>VLOOKUP(C1090,products!A:C,2,FALSE)</f>
        <v>Charger Fast Charging 33W</v>
      </c>
      <c r="G1090">
        <f t="shared" si="32"/>
        <v>129000</v>
      </c>
      <c r="H1090">
        <f>VLOOKUP(C1090,products!A:D,4,FALSE)</f>
        <v>60000</v>
      </c>
      <c r="I1090">
        <f t="shared" si="33"/>
        <v>69000</v>
      </c>
      <c r="J1090" t="str">
        <f>VLOOKUP(B1090,orders!A:B,2,FALSE)</f>
        <v>CUST0197</v>
      </c>
      <c r="K1090" t="str">
        <f>VLOOKUP(J1090,customers!A:F,6,FALSE)</f>
        <v>Bandung</v>
      </c>
    </row>
    <row r="1091" spans="1:11" x14ac:dyDescent="0.35">
      <c r="A1091" s="4" t="s">
        <v>2132</v>
      </c>
      <c r="B1091" s="4" t="s">
        <v>247</v>
      </c>
      <c r="C1091" s="4" t="s">
        <v>1049</v>
      </c>
      <c r="D1091" s="4">
        <v>1</v>
      </c>
      <c r="E1091" s="6">
        <v>349000</v>
      </c>
      <c r="F1091" t="str">
        <f>VLOOKUP(C1091,products!A:C,2,FALSE)</f>
        <v>Sepatu Sneakers Casual</v>
      </c>
      <c r="G1091">
        <f t="shared" ref="G1091:G1154" si="34">D1091*E1091</f>
        <v>349000</v>
      </c>
      <c r="H1091">
        <f>VLOOKUP(C1091,products!A:D,4,FALSE)</f>
        <v>180000</v>
      </c>
      <c r="I1091">
        <f t="shared" ref="I1091:I1154" si="35">(E1091-H1091)*D1091</f>
        <v>169000</v>
      </c>
      <c r="J1091" t="str">
        <f>VLOOKUP(B1091,orders!A:B,2,FALSE)</f>
        <v>CUST0197</v>
      </c>
      <c r="K1091" t="str">
        <f>VLOOKUP(J1091,customers!A:F,6,FALSE)</f>
        <v>Bandung</v>
      </c>
    </row>
    <row r="1092" spans="1:11" x14ac:dyDescent="0.35">
      <c r="A1092" s="4" t="s">
        <v>2133</v>
      </c>
      <c r="B1092" s="4" t="s">
        <v>247</v>
      </c>
      <c r="C1092" s="4" t="s">
        <v>1325</v>
      </c>
      <c r="D1092" s="4">
        <v>1</v>
      </c>
      <c r="E1092" s="6">
        <v>199000</v>
      </c>
      <c r="F1092" t="str">
        <f>VLOOKUP(C1092,products!A:C,2,FALSE)</f>
        <v>Speaker Bluetooth Mini</v>
      </c>
      <c r="G1092">
        <f t="shared" si="34"/>
        <v>199000</v>
      </c>
      <c r="H1092">
        <f>VLOOKUP(C1092,products!A:D,4,FALSE)</f>
        <v>100000</v>
      </c>
      <c r="I1092">
        <f t="shared" si="35"/>
        <v>99000</v>
      </c>
      <c r="J1092" t="str">
        <f>VLOOKUP(B1092,orders!A:B,2,FALSE)</f>
        <v>CUST0197</v>
      </c>
      <c r="K1092" t="str">
        <f>VLOOKUP(J1092,customers!A:F,6,FALSE)</f>
        <v>Bandung</v>
      </c>
    </row>
    <row r="1093" spans="1:11" x14ac:dyDescent="0.35">
      <c r="A1093" s="4" t="s">
        <v>2134</v>
      </c>
      <c r="B1093" s="4" t="s">
        <v>299</v>
      </c>
      <c r="C1093" s="4" t="s">
        <v>1029</v>
      </c>
      <c r="D1093" s="4">
        <v>1</v>
      </c>
      <c r="E1093" s="6">
        <v>39000</v>
      </c>
      <c r="F1093" t="str">
        <f>VLOOKUP(C1093,products!A:C,2,FALSE)</f>
        <v>Kabel Data USB-C</v>
      </c>
      <c r="G1093">
        <f t="shared" si="34"/>
        <v>39000</v>
      </c>
      <c r="H1093">
        <f>VLOOKUP(C1093,products!A:D,4,FALSE)</f>
        <v>15000</v>
      </c>
      <c r="I1093">
        <f t="shared" si="35"/>
        <v>24000</v>
      </c>
      <c r="J1093" t="str">
        <f>VLOOKUP(B1093,orders!A:B,2,FALSE)</f>
        <v>CUST0058</v>
      </c>
      <c r="K1093" t="str">
        <f>VLOOKUP(J1093,customers!A:F,6,FALSE)</f>
        <v>Makassar</v>
      </c>
    </row>
    <row r="1094" spans="1:11" x14ac:dyDescent="0.35">
      <c r="A1094" s="4" t="s">
        <v>2135</v>
      </c>
      <c r="B1094" s="4" t="s">
        <v>299</v>
      </c>
      <c r="C1094" s="4" t="s">
        <v>1036</v>
      </c>
      <c r="D1094" s="4">
        <v>1</v>
      </c>
      <c r="E1094" s="6">
        <v>229000</v>
      </c>
      <c r="F1094" t="str">
        <f>VLOOKUP(C1094,products!A:C,2,FALSE)</f>
        <v>Celana Jeans Slimfit</v>
      </c>
      <c r="G1094">
        <f t="shared" si="34"/>
        <v>229000</v>
      </c>
      <c r="H1094">
        <f>VLOOKUP(C1094,products!A:D,4,FALSE)</f>
        <v>110000</v>
      </c>
      <c r="I1094">
        <f t="shared" si="35"/>
        <v>119000</v>
      </c>
      <c r="J1094" t="str">
        <f>VLOOKUP(B1094,orders!A:B,2,FALSE)</f>
        <v>CUST0058</v>
      </c>
      <c r="K1094" t="str">
        <f>VLOOKUP(J1094,customers!A:F,6,FALSE)</f>
        <v>Makassar</v>
      </c>
    </row>
    <row r="1095" spans="1:11" x14ac:dyDescent="0.35">
      <c r="A1095" s="4" t="s">
        <v>2136</v>
      </c>
      <c r="B1095" s="4" t="s">
        <v>299</v>
      </c>
      <c r="C1095" s="4" t="s">
        <v>1046</v>
      </c>
      <c r="D1095" s="4">
        <v>1</v>
      </c>
      <c r="E1095" s="6">
        <v>139000</v>
      </c>
      <c r="F1095" t="str">
        <f>VLOOKUP(C1095,products!A:C,2,FALSE)</f>
        <v>Wajan Anti Lengket 24cm</v>
      </c>
      <c r="G1095">
        <f t="shared" si="34"/>
        <v>139000</v>
      </c>
      <c r="H1095">
        <f>VLOOKUP(C1095,products!A:D,4,FALSE)</f>
        <v>65000</v>
      </c>
      <c r="I1095">
        <f t="shared" si="35"/>
        <v>74000</v>
      </c>
      <c r="J1095" t="str">
        <f>VLOOKUP(B1095,orders!A:B,2,FALSE)</f>
        <v>CUST0058</v>
      </c>
      <c r="K1095" t="str">
        <f>VLOOKUP(J1095,customers!A:F,6,FALSE)</f>
        <v>Makassar</v>
      </c>
    </row>
    <row r="1096" spans="1:11" x14ac:dyDescent="0.35">
      <c r="A1096" s="4" t="s">
        <v>2137</v>
      </c>
      <c r="B1096" s="4" t="s">
        <v>334</v>
      </c>
      <c r="C1096" s="4" t="s">
        <v>1044</v>
      </c>
      <c r="D1096" s="4">
        <v>1</v>
      </c>
      <c r="E1096" s="6">
        <v>329000</v>
      </c>
      <c r="F1096" t="str">
        <f>VLOOKUP(C1096,products!A:C,2,FALSE)</f>
        <v>Rice Cooker Mini 1.5L</v>
      </c>
      <c r="G1096">
        <f t="shared" si="34"/>
        <v>329000</v>
      </c>
      <c r="H1096">
        <f>VLOOKUP(C1096,products!A:D,4,FALSE)</f>
        <v>180000</v>
      </c>
      <c r="I1096">
        <f t="shared" si="35"/>
        <v>149000</v>
      </c>
      <c r="J1096" t="str">
        <f>VLOOKUP(B1096,orders!A:B,2,FALSE)</f>
        <v>CUST0076</v>
      </c>
      <c r="K1096" t="str">
        <f>VLOOKUP(J1096,customers!A:F,6,FALSE)</f>
        <v>Palembang</v>
      </c>
    </row>
    <row r="1097" spans="1:11" x14ac:dyDescent="0.35">
      <c r="A1097" s="4" t="s">
        <v>2138</v>
      </c>
      <c r="B1097" s="4" t="s">
        <v>334</v>
      </c>
      <c r="C1097" s="4" t="s">
        <v>1023</v>
      </c>
      <c r="D1097" s="4">
        <v>3</v>
      </c>
      <c r="E1097" s="6">
        <v>69000</v>
      </c>
      <c r="F1097" t="str">
        <f>VLOOKUP(C1097,products!A:C,2,FALSE)</f>
        <v>Lampu LED Hias 5m</v>
      </c>
      <c r="G1097">
        <f t="shared" si="34"/>
        <v>207000</v>
      </c>
      <c r="H1097">
        <f>VLOOKUP(C1097,products!A:D,4,FALSE)</f>
        <v>30000</v>
      </c>
      <c r="I1097">
        <f t="shared" si="35"/>
        <v>117000</v>
      </c>
      <c r="J1097" t="str">
        <f>VLOOKUP(B1097,orders!A:B,2,FALSE)</f>
        <v>CUST0076</v>
      </c>
      <c r="K1097" t="str">
        <f>VLOOKUP(J1097,customers!A:F,6,FALSE)</f>
        <v>Palembang</v>
      </c>
    </row>
    <row r="1098" spans="1:11" x14ac:dyDescent="0.35">
      <c r="A1098" s="4" t="s">
        <v>2139</v>
      </c>
      <c r="B1098" s="4" t="s">
        <v>345</v>
      </c>
      <c r="C1098" s="4" t="s">
        <v>1023</v>
      </c>
      <c r="D1098" s="4">
        <v>2</v>
      </c>
      <c r="E1098" s="6">
        <v>69000</v>
      </c>
      <c r="F1098" t="str">
        <f>VLOOKUP(C1098,products!A:C,2,FALSE)</f>
        <v>Lampu LED Hias 5m</v>
      </c>
      <c r="G1098">
        <f t="shared" si="34"/>
        <v>138000</v>
      </c>
      <c r="H1098">
        <f>VLOOKUP(C1098,products!A:D,4,FALSE)</f>
        <v>30000</v>
      </c>
      <c r="I1098">
        <f t="shared" si="35"/>
        <v>78000</v>
      </c>
      <c r="J1098" t="str">
        <f>VLOOKUP(B1098,orders!A:B,2,FALSE)</f>
        <v>CUST0026</v>
      </c>
      <c r="K1098" t="str">
        <f>VLOOKUP(J1098,customers!A:F,6,FALSE)</f>
        <v>Denpasar</v>
      </c>
    </row>
    <row r="1099" spans="1:11" x14ac:dyDescent="0.35">
      <c r="A1099" s="4" t="s">
        <v>2140</v>
      </c>
      <c r="B1099" s="4" t="s">
        <v>345</v>
      </c>
      <c r="C1099" s="4" t="s">
        <v>1025</v>
      </c>
      <c r="D1099" s="4">
        <v>1</v>
      </c>
      <c r="E1099" s="6">
        <v>179000</v>
      </c>
      <c r="F1099" t="str">
        <f>VLOOKUP(C1099,products!A:C,2,FALSE)</f>
        <v>Rak Penyimpanan Serbaguna</v>
      </c>
      <c r="G1099">
        <f t="shared" si="34"/>
        <v>179000</v>
      </c>
      <c r="H1099">
        <f>VLOOKUP(C1099,products!A:D,4,FALSE)</f>
        <v>90000</v>
      </c>
      <c r="I1099">
        <f t="shared" si="35"/>
        <v>89000</v>
      </c>
      <c r="J1099" t="str">
        <f>VLOOKUP(B1099,orders!A:B,2,FALSE)</f>
        <v>CUST0026</v>
      </c>
      <c r="K1099" t="str">
        <f>VLOOKUP(J1099,customers!A:F,6,FALSE)</f>
        <v>Denpasar</v>
      </c>
    </row>
    <row r="1100" spans="1:11" x14ac:dyDescent="0.35">
      <c r="A1100" s="4" t="s">
        <v>2141</v>
      </c>
      <c r="B1100" s="4" t="s">
        <v>345</v>
      </c>
      <c r="C1100" s="4" t="s">
        <v>1053</v>
      </c>
      <c r="D1100" s="4">
        <v>1</v>
      </c>
      <c r="E1100" s="6">
        <v>129000</v>
      </c>
      <c r="F1100" t="str">
        <f>VLOOKUP(C1100,products!A:C,2,FALSE)</f>
        <v>Charger Fast Charging 33W</v>
      </c>
      <c r="G1100">
        <f t="shared" si="34"/>
        <v>129000</v>
      </c>
      <c r="H1100">
        <f>VLOOKUP(C1100,products!A:D,4,FALSE)</f>
        <v>60000</v>
      </c>
      <c r="I1100">
        <f t="shared" si="35"/>
        <v>69000</v>
      </c>
      <c r="J1100" t="str">
        <f>VLOOKUP(B1100,orders!A:B,2,FALSE)</f>
        <v>CUST0026</v>
      </c>
      <c r="K1100" t="str">
        <f>VLOOKUP(J1100,customers!A:F,6,FALSE)</f>
        <v>Denpasar</v>
      </c>
    </row>
    <row r="1101" spans="1:11" x14ac:dyDescent="0.35">
      <c r="A1101" s="4" t="s">
        <v>2142</v>
      </c>
      <c r="B1101" s="4" t="s">
        <v>114</v>
      </c>
      <c r="C1101" s="4" t="s">
        <v>1025</v>
      </c>
      <c r="D1101" s="4">
        <v>1</v>
      </c>
      <c r="E1101" s="6">
        <v>179000</v>
      </c>
      <c r="F1101" t="str">
        <f>VLOOKUP(C1101,products!A:C,2,FALSE)</f>
        <v>Rak Penyimpanan Serbaguna</v>
      </c>
      <c r="G1101">
        <f t="shared" si="34"/>
        <v>179000</v>
      </c>
      <c r="H1101">
        <f>VLOOKUP(C1101,products!A:D,4,FALSE)</f>
        <v>90000</v>
      </c>
      <c r="I1101">
        <f t="shared" si="35"/>
        <v>89000</v>
      </c>
      <c r="J1101" t="str">
        <f>VLOOKUP(B1101,orders!A:B,2,FALSE)</f>
        <v>CUST0190</v>
      </c>
      <c r="K1101" t="str">
        <f>VLOOKUP(J1101,customers!A:F,6,FALSE)</f>
        <v>Yogyakarta</v>
      </c>
    </row>
    <row r="1102" spans="1:11" x14ac:dyDescent="0.35">
      <c r="A1102" s="4" t="s">
        <v>2143</v>
      </c>
      <c r="B1102" s="4" t="s">
        <v>114</v>
      </c>
      <c r="C1102" s="4" t="s">
        <v>1023</v>
      </c>
      <c r="D1102" s="4">
        <v>1</v>
      </c>
      <c r="E1102" s="6">
        <v>69000</v>
      </c>
      <c r="F1102" t="str">
        <f>VLOOKUP(C1102,products!A:C,2,FALSE)</f>
        <v>Lampu LED Hias 5m</v>
      </c>
      <c r="G1102">
        <f t="shared" si="34"/>
        <v>69000</v>
      </c>
      <c r="H1102">
        <f>VLOOKUP(C1102,products!A:D,4,FALSE)</f>
        <v>30000</v>
      </c>
      <c r="I1102">
        <f t="shared" si="35"/>
        <v>39000</v>
      </c>
      <c r="J1102" t="str">
        <f>VLOOKUP(B1102,orders!A:B,2,FALSE)</f>
        <v>CUST0190</v>
      </c>
      <c r="K1102" t="str">
        <f>VLOOKUP(J1102,customers!A:F,6,FALSE)</f>
        <v>Yogyakarta</v>
      </c>
    </row>
    <row r="1103" spans="1:11" x14ac:dyDescent="0.35">
      <c r="A1103" s="4" t="s">
        <v>2144</v>
      </c>
      <c r="B1103" s="4" t="s">
        <v>709</v>
      </c>
      <c r="C1103" s="4" t="s">
        <v>1025</v>
      </c>
      <c r="D1103" s="4">
        <v>1</v>
      </c>
      <c r="E1103" s="6">
        <v>179000</v>
      </c>
      <c r="F1103" t="str">
        <f>VLOOKUP(C1103,products!A:C,2,FALSE)</f>
        <v>Rak Penyimpanan Serbaguna</v>
      </c>
      <c r="G1103">
        <f t="shared" si="34"/>
        <v>179000</v>
      </c>
      <c r="H1103">
        <f>VLOOKUP(C1103,products!A:D,4,FALSE)</f>
        <v>90000</v>
      </c>
      <c r="I1103">
        <f t="shared" si="35"/>
        <v>89000</v>
      </c>
      <c r="J1103" t="str">
        <f>VLOOKUP(B1103,orders!A:B,2,FALSE)</f>
        <v>CUST0087</v>
      </c>
      <c r="K1103" t="str">
        <f>VLOOKUP(J1103,customers!A:F,6,FALSE)</f>
        <v>Medan</v>
      </c>
    </row>
    <row r="1104" spans="1:11" x14ac:dyDescent="0.35">
      <c r="A1104" s="4" t="s">
        <v>2145</v>
      </c>
      <c r="B1104" s="4" t="s">
        <v>973</v>
      </c>
      <c r="C1104" s="4" t="s">
        <v>1023</v>
      </c>
      <c r="D1104" s="4">
        <v>1</v>
      </c>
      <c r="E1104" s="6">
        <v>69000</v>
      </c>
      <c r="F1104" t="str">
        <f>VLOOKUP(C1104,products!A:C,2,FALSE)</f>
        <v>Lampu LED Hias 5m</v>
      </c>
      <c r="G1104">
        <f t="shared" si="34"/>
        <v>69000</v>
      </c>
      <c r="H1104">
        <f>VLOOKUP(C1104,products!A:D,4,FALSE)</f>
        <v>30000</v>
      </c>
      <c r="I1104">
        <f t="shared" si="35"/>
        <v>39000</v>
      </c>
      <c r="J1104" t="str">
        <f>VLOOKUP(B1104,orders!A:B,2,FALSE)</f>
        <v>CUST0034</v>
      </c>
      <c r="K1104" t="str">
        <f>VLOOKUP(J1104,customers!A:F,6,FALSE)</f>
        <v>Jakarta</v>
      </c>
    </row>
    <row r="1105" spans="1:11" x14ac:dyDescent="0.35">
      <c r="A1105" s="4" t="s">
        <v>2146</v>
      </c>
      <c r="B1105" s="4" t="s">
        <v>853</v>
      </c>
      <c r="C1105" s="4" t="s">
        <v>1082</v>
      </c>
      <c r="D1105" s="4">
        <v>1</v>
      </c>
      <c r="E1105" s="6">
        <v>399000</v>
      </c>
      <c r="F1105" t="str">
        <f>VLOOKUP(C1105,products!A:C,2,FALSE)</f>
        <v>Keyboard Mechanical Mini</v>
      </c>
      <c r="G1105">
        <f t="shared" si="34"/>
        <v>399000</v>
      </c>
      <c r="H1105">
        <f>VLOOKUP(C1105,products!A:D,4,FALSE)</f>
        <v>200000</v>
      </c>
      <c r="I1105">
        <f t="shared" si="35"/>
        <v>199000</v>
      </c>
      <c r="J1105" t="str">
        <f>VLOOKUP(B1105,orders!A:B,2,FALSE)</f>
        <v>CUST0040</v>
      </c>
      <c r="K1105" t="str">
        <f>VLOOKUP(J1105,customers!A:F,6,FALSE)</f>
        <v>Bandung</v>
      </c>
    </row>
    <row r="1106" spans="1:11" x14ac:dyDescent="0.35">
      <c r="A1106" s="4" t="s">
        <v>2147</v>
      </c>
      <c r="B1106" s="4" t="s">
        <v>853</v>
      </c>
      <c r="C1106" s="4" t="s">
        <v>1029</v>
      </c>
      <c r="D1106" s="4">
        <v>1</v>
      </c>
      <c r="E1106" s="6">
        <v>39000</v>
      </c>
      <c r="F1106" t="str">
        <f>VLOOKUP(C1106,products!A:C,2,FALSE)</f>
        <v>Kabel Data USB-C</v>
      </c>
      <c r="G1106">
        <f t="shared" si="34"/>
        <v>39000</v>
      </c>
      <c r="H1106">
        <f>VLOOKUP(C1106,products!A:D,4,FALSE)</f>
        <v>15000</v>
      </c>
      <c r="I1106">
        <f t="shared" si="35"/>
        <v>24000</v>
      </c>
      <c r="J1106" t="str">
        <f>VLOOKUP(B1106,orders!A:B,2,FALSE)</f>
        <v>CUST0040</v>
      </c>
      <c r="K1106" t="str">
        <f>VLOOKUP(J1106,customers!A:F,6,FALSE)</f>
        <v>Bandung</v>
      </c>
    </row>
    <row r="1107" spans="1:11" x14ac:dyDescent="0.35">
      <c r="A1107" s="4" t="s">
        <v>2148</v>
      </c>
      <c r="B1107" s="4" t="s">
        <v>614</v>
      </c>
      <c r="C1107" s="4" t="s">
        <v>1044</v>
      </c>
      <c r="D1107" s="4">
        <v>3</v>
      </c>
      <c r="E1107" s="6">
        <v>329000</v>
      </c>
      <c r="F1107" t="str">
        <f>VLOOKUP(C1107,products!A:C,2,FALSE)</f>
        <v>Rice Cooker Mini 1.5L</v>
      </c>
      <c r="G1107">
        <f t="shared" si="34"/>
        <v>987000</v>
      </c>
      <c r="H1107">
        <f>VLOOKUP(C1107,products!A:D,4,FALSE)</f>
        <v>180000</v>
      </c>
      <c r="I1107">
        <f t="shared" si="35"/>
        <v>447000</v>
      </c>
      <c r="J1107" t="str">
        <f>VLOOKUP(B1107,orders!A:B,2,FALSE)</f>
        <v>CUST0178</v>
      </c>
      <c r="K1107" t="str">
        <f>VLOOKUP(J1107,customers!A:F,6,FALSE)</f>
        <v>Jakarta</v>
      </c>
    </row>
    <row r="1108" spans="1:11" x14ac:dyDescent="0.35">
      <c r="A1108" s="4" t="s">
        <v>2149</v>
      </c>
      <c r="B1108" s="4" t="s">
        <v>614</v>
      </c>
      <c r="C1108" s="4" t="s">
        <v>1053</v>
      </c>
      <c r="D1108" s="4">
        <v>1</v>
      </c>
      <c r="E1108" s="6">
        <v>129000</v>
      </c>
      <c r="F1108" t="str">
        <f>VLOOKUP(C1108,products!A:C,2,FALSE)</f>
        <v>Charger Fast Charging 33W</v>
      </c>
      <c r="G1108">
        <f t="shared" si="34"/>
        <v>129000</v>
      </c>
      <c r="H1108">
        <f>VLOOKUP(C1108,products!A:D,4,FALSE)</f>
        <v>60000</v>
      </c>
      <c r="I1108">
        <f t="shared" si="35"/>
        <v>69000</v>
      </c>
      <c r="J1108" t="str">
        <f>VLOOKUP(B1108,orders!A:B,2,FALSE)</f>
        <v>CUST0178</v>
      </c>
      <c r="K1108" t="str">
        <f>VLOOKUP(J1108,customers!A:F,6,FALSE)</f>
        <v>Jakarta</v>
      </c>
    </row>
    <row r="1109" spans="1:11" x14ac:dyDescent="0.35">
      <c r="A1109" s="4" t="s">
        <v>2150</v>
      </c>
      <c r="B1109" s="4" t="s">
        <v>614</v>
      </c>
      <c r="C1109" s="4" t="s">
        <v>1049</v>
      </c>
      <c r="D1109" s="4">
        <v>3</v>
      </c>
      <c r="E1109" s="6">
        <v>349000</v>
      </c>
      <c r="F1109" t="str">
        <f>VLOOKUP(C1109,products!A:C,2,FALSE)</f>
        <v>Sepatu Sneakers Casual</v>
      </c>
      <c r="G1109">
        <f t="shared" si="34"/>
        <v>1047000</v>
      </c>
      <c r="H1109">
        <f>VLOOKUP(C1109,products!A:D,4,FALSE)</f>
        <v>180000</v>
      </c>
      <c r="I1109">
        <f t="shared" si="35"/>
        <v>507000</v>
      </c>
      <c r="J1109" t="str">
        <f>VLOOKUP(B1109,orders!A:B,2,FALSE)</f>
        <v>CUST0178</v>
      </c>
      <c r="K1109" t="str">
        <f>VLOOKUP(J1109,customers!A:F,6,FALSE)</f>
        <v>Jakarta</v>
      </c>
    </row>
    <row r="1110" spans="1:11" x14ac:dyDescent="0.35">
      <c r="A1110" s="4" t="s">
        <v>2151</v>
      </c>
      <c r="B1110" s="4" t="s">
        <v>614</v>
      </c>
      <c r="C1110" s="4" t="s">
        <v>1023</v>
      </c>
      <c r="D1110" s="4">
        <v>2</v>
      </c>
      <c r="E1110" s="6">
        <v>69000</v>
      </c>
      <c r="F1110" t="str">
        <f>VLOOKUP(C1110,products!A:C,2,FALSE)</f>
        <v>Lampu LED Hias 5m</v>
      </c>
      <c r="G1110">
        <f t="shared" si="34"/>
        <v>138000</v>
      </c>
      <c r="H1110">
        <f>VLOOKUP(C1110,products!A:D,4,FALSE)</f>
        <v>30000</v>
      </c>
      <c r="I1110">
        <f t="shared" si="35"/>
        <v>78000</v>
      </c>
      <c r="J1110" t="str">
        <f>VLOOKUP(B1110,orders!A:B,2,FALSE)</f>
        <v>CUST0178</v>
      </c>
      <c r="K1110" t="str">
        <f>VLOOKUP(J1110,customers!A:F,6,FALSE)</f>
        <v>Jakarta</v>
      </c>
    </row>
    <row r="1111" spans="1:11" x14ac:dyDescent="0.35">
      <c r="A1111" s="4" t="s">
        <v>2152</v>
      </c>
      <c r="B1111" s="4" t="s">
        <v>932</v>
      </c>
      <c r="C1111" s="4" t="s">
        <v>1044</v>
      </c>
      <c r="D1111" s="4">
        <v>2</v>
      </c>
      <c r="E1111" s="6">
        <v>329000</v>
      </c>
      <c r="F1111" t="str">
        <f>VLOOKUP(C1111,products!A:C,2,FALSE)</f>
        <v>Rice Cooker Mini 1.5L</v>
      </c>
      <c r="G1111">
        <f t="shared" si="34"/>
        <v>658000</v>
      </c>
      <c r="H1111">
        <f>VLOOKUP(C1111,products!A:D,4,FALSE)</f>
        <v>180000</v>
      </c>
      <c r="I1111">
        <f t="shared" si="35"/>
        <v>298000</v>
      </c>
      <c r="J1111" t="str">
        <f>VLOOKUP(B1111,orders!A:B,2,FALSE)</f>
        <v>CUST0043</v>
      </c>
      <c r="K1111" t="str">
        <f>VLOOKUP(J1111,customers!A:F,6,FALSE)</f>
        <v>Surabaya</v>
      </c>
    </row>
    <row r="1112" spans="1:11" x14ac:dyDescent="0.35">
      <c r="A1112" s="4" t="s">
        <v>2153</v>
      </c>
      <c r="B1112" s="4" t="s">
        <v>745</v>
      </c>
      <c r="C1112" s="4" t="s">
        <v>1023</v>
      </c>
      <c r="D1112" s="4">
        <v>1</v>
      </c>
      <c r="E1112" s="6">
        <v>69000</v>
      </c>
      <c r="F1112" t="str">
        <f>VLOOKUP(C1112,products!A:C,2,FALSE)</f>
        <v>Lampu LED Hias 5m</v>
      </c>
      <c r="G1112">
        <f t="shared" si="34"/>
        <v>69000</v>
      </c>
      <c r="H1112">
        <f>VLOOKUP(C1112,products!A:D,4,FALSE)</f>
        <v>30000</v>
      </c>
      <c r="I1112">
        <f t="shared" si="35"/>
        <v>39000</v>
      </c>
      <c r="J1112" t="str">
        <f>VLOOKUP(B1112,orders!A:B,2,FALSE)</f>
        <v>CUST0094</v>
      </c>
      <c r="K1112" t="str">
        <f>VLOOKUP(J1112,customers!A:F,6,FALSE)</f>
        <v>Yogyakarta</v>
      </c>
    </row>
    <row r="1113" spans="1:11" x14ac:dyDescent="0.35">
      <c r="A1113" s="4" t="s">
        <v>2154</v>
      </c>
      <c r="B1113" s="4" t="s">
        <v>961</v>
      </c>
      <c r="C1113" s="4" t="s">
        <v>1033</v>
      </c>
      <c r="D1113" s="4">
        <v>3</v>
      </c>
      <c r="E1113" s="6">
        <v>55000</v>
      </c>
      <c r="F1113" t="str">
        <f>VLOOKUP(C1113,products!A:C,2,FALSE)</f>
        <v>Sapu + Pengki Set</v>
      </c>
      <c r="G1113">
        <f t="shared" si="34"/>
        <v>165000</v>
      </c>
      <c r="H1113">
        <f>VLOOKUP(C1113,products!A:D,4,FALSE)</f>
        <v>25000</v>
      </c>
      <c r="I1113">
        <f t="shared" si="35"/>
        <v>90000</v>
      </c>
      <c r="J1113" t="str">
        <f>VLOOKUP(B1113,orders!A:B,2,FALSE)</f>
        <v>CUST0114</v>
      </c>
      <c r="K1113" t="str">
        <f>VLOOKUP(J1113,customers!A:F,6,FALSE)</f>
        <v>Denpasar</v>
      </c>
    </row>
    <row r="1114" spans="1:11" x14ac:dyDescent="0.35">
      <c r="A1114" s="4" t="s">
        <v>2155</v>
      </c>
      <c r="B1114" s="4" t="s">
        <v>961</v>
      </c>
      <c r="C1114" s="4" t="s">
        <v>1023</v>
      </c>
      <c r="D1114" s="4">
        <v>1</v>
      </c>
      <c r="E1114" s="6">
        <v>69000</v>
      </c>
      <c r="F1114" t="str">
        <f>VLOOKUP(C1114,products!A:C,2,FALSE)</f>
        <v>Lampu LED Hias 5m</v>
      </c>
      <c r="G1114">
        <f t="shared" si="34"/>
        <v>69000</v>
      </c>
      <c r="H1114">
        <f>VLOOKUP(C1114,products!A:D,4,FALSE)</f>
        <v>30000</v>
      </c>
      <c r="I1114">
        <f t="shared" si="35"/>
        <v>39000</v>
      </c>
      <c r="J1114" t="str">
        <f>VLOOKUP(B1114,orders!A:B,2,FALSE)</f>
        <v>CUST0114</v>
      </c>
      <c r="K1114" t="str">
        <f>VLOOKUP(J1114,customers!A:F,6,FALSE)</f>
        <v>Denpasar</v>
      </c>
    </row>
    <row r="1115" spans="1:11" x14ac:dyDescent="0.35">
      <c r="A1115" s="4" t="s">
        <v>2156</v>
      </c>
      <c r="B1115" s="4" t="s">
        <v>1001</v>
      </c>
      <c r="C1115" s="4" t="s">
        <v>1033</v>
      </c>
      <c r="D1115" s="4">
        <v>2</v>
      </c>
      <c r="E1115" s="6">
        <v>55000</v>
      </c>
      <c r="F1115" t="str">
        <f>VLOOKUP(C1115,products!A:C,2,FALSE)</f>
        <v>Sapu + Pengki Set</v>
      </c>
      <c r="G1115">
        <f t="shared" si="34"/>
        <v>110000</v>
      </c>
      <c r="H1115">
        <f>VLOOKUP(C1115,products!A:D,4,FALSE)</f>
        <v>25000</v>
      </c>
      <c r="I1115">
        <f t="shared" si="35"/>
        <v>60000</v>
      </c>
      <c r="J1115" t="str">
        <f>VLOOKUP(B1115,orders!A:B,2,FALSE)</f>
        <v>CUST0193</v>
      </c>
      <c r="K1115" t="str">
        <f>VLOOKUP(J1115,customers!A:F,6,FALSE)</f>
        <v>Depok</v>
      </c>
    </row>
    <row r="1116" spans="1:11" x14ac:dyDescent="0.35">
      <c r="A1116" s="4" t="s">
        <v>2157</v>
      </c>
      <c r="B1116" s="4" t="s">
        <v>1001</v>
      </c>
      <c r="C1116" s="4" t="s">
        <v>1029</v>
      </c>
      <c r="D1116" s="4">
        <v>1</v>
      </c>
      <c r="E1116" s="6">
        <v>39000</v>
      </c>
      <c r="F1116" t="str">
        <f>VLOOKUP(C1116,products!A:C,2,FALSE)</f>
        <v>Kabel Data USB-C</v>
      </c>
      <c r="G1116">
        <f t="shared" si="34"/>
        <v>39000</v>
      </c>
      <c r="H1116">
        <f>VLOOKUP(C1116,products!A:D,4,FALSE)</f>
        <v>15000</v>
      </c>
      <c r="I1116">
        <f t="shared" si="35"/>
        <v>24000</v>
      </c>
      <c r="J1116" t="str">
        <f>VLOOKUP(B1116,orders!A:B,2,FALSE)</f>
        <v>CUST0193</v>
      </c>
      <c r="K1116" t="str">
        <f>VLOOKUP(J1116,customers!A:F,6,FALSE)</f>
        <v>Depok</v>
      </c>
    </row>
    <row r="1117" spans="1:11" x14ac:dyDescent="0.35">
      <c r="A1117" s="4" t="s">
        <v>2158</v>
      </c>
      <c r="B1117" s="4" t="s">
        <v>275</v>
      </c>
      <c r="C1117" s="4" t="s">
        <v>1033</v>
      </c>
      <c r="D1117" s="4">
        <v>1</v>
      </c>
      <c r="E1117" s="6">
        <v>55000</v>
      </c>
      <c r="F1117" t="str">
        <f>VLOOKUP(C1117,products!A:C,2,FALSE)</f>
        <v>Sapu + Pengki Set</v>
      </c>
      <c r="G1117">
        <f t="shared" si="34"/>
        <v>55000</v>
      </c>
      <c r="H1117">
        <f>VLOOKUP(C1117,products!A:D,4,FALSE)</f>
        <v>25000</v>
      </c>
      <c r="I1117">
        <f t="shared" si="35"/>
        <v>30000</v>
      </c>
      <c r="J1117" t="str">
        <f>VLOOKUP(B1117,orders!A:B,2,FALSE)</f>
        <v>CUST0062</v>
      </c>
      <c r="K1117" t="str">
        <f>VLOOKUP(J1117,customers!A:F,6,FALSE)</f>
        <v>Surabaya</v>
      </c>
    </row>
    <row r="1118" spans="1:11" x14ac:dyDescent="0.35">
      <c r="A1118" s="4" t="s">
        <v>2159</v>
      </c>
      <c r="B1118" s="4" t="s">
        <v>217</v>
      </c>
      <c r="C1118" s="4" t="s">
        <v>1023</v>
      </c>
      <c r="D1118" s="4">
        <v>2</v>
      </c>
      <c r="E1118" s="6">
        <v>69000</v>
      </c>
      <c r="F1118" t="str">
        <f>VLOOKUP(C1118,products!A:C,2,FALSE)</f>
        <v>Lampu LED Hias 5m</v>
      </c>
      <c r="G1118">
        <f t="shared" si="34"/>
        <v>138000</v>
      </c>
      <c r="H1118">
        <f>VLOOKUP(C1118,products!A:D,4,FALSE)</f>
        <v>30000</v>
      </c>
      <c r="I1118">
        <f t="shared" si="35"/>
        <v>78000</v>
      </c>
      <c r="J1118" t="str">
        <f>VLOOKUP(B1118,orders!A:B,2,FALSE)</f>
        <v>CUST0121</v>
      </c>
      <c r="K1118" t="str">
        <f>VLOOKUP(J1118,customers!A:F,6,FALSE)</f>
        <v>Denpasar</v>
      </c>
    </row>
    <row r="1119" spans="1:11" x14ac:dyDescent="0.35">
      <c r="A1119" s="4" t="s">
        <v>2160</v>
      </c>
      <c r="B1119" s="4" t="s">
        <v>830</v>
      </c>
      <c r="C1119" s="4" t="s">
        <v>1031</v>
      </c>
      <c r="D1119" s="4">
        <v>1</v>
      </c>
      <c r="E1119" s="6">
        <v>79000</v>
      </c>
      <c r="F1119" t="str">
        <f>VLOOKUP(C1119,products!A:C,2,FALSE)</f>
        <v>Kaos Polos Cotton Combed</v>
      </c>
      <c r="G1119">
        <f t="shared" si="34"/>
        <v>79000</v>
      </c>
      <c r="H1119">
        <f>VLOOKUP(C1119,products!A:D,4,FALSE)</f>
        <v>35000</v>
      </c>
      <c r="I1119">
        <f t="shared" si="35"/>
        <v>44000</v>
      </c>
      <c r="J1119" t="str">
        <f>VLOOKUP(B1119,orders!A:B,2,FALSE)</f>
        <v>CUST0095</v>
      </c>
      <c r="K1119" t="str">
        <f>VLOOKUP(J1119,customers!A:F,6,FALSE)</f>
        <v>Medan</v>
      </c>
    </row>
    <row r="1120" spans="1:11" x14ac:dyDescent="0.35">
      <c r="A1120" s="4" t="s">
        <v>2161</v>
      </c>
      <c r="B1120" s="4" t="s">
        <v>552</v>
      </c>
      <c r="C1120" s="4" t="s">
        <v>1082</v>
      </c>
      <c r="D1120" s="4">
        <v>1</v>
      </c>
      <c r="E1120" s="6">
        <v>399000</v>
      </c>
      <c r="F1120" t="str">
        <f>VLOOKUP(C1120,products!A:C,2,FALSE)</f>
        <v>Keyboard Mechanical Mini</v>
      </c>
      <c r="G1120">
        <f t="shared" si="34"/>
        <v>399000</v>
      </c>
      <c r="H1120">
        <f>VLOOKUP(C1120,products!A:D,4,FALSE)</f>
        <v>200000</v>
      </c>
      <c r="I1120">
        <f t="shared" si="35"/>
        <v>199000</v>
      </c>
      <c r="J1120" t="str">
        <f>VLOOKUP(B1120,orders!A:B,2,FALSE)</f>
        <v>CUST0113</v>
      </c>
      <c r="K1120" t="str">
        <f>VLOOKUP(J1120,customers!A:F,6,FALSE)</f>
        <v>Surabaya</v>
      </c>
    </row>
    <row r="1121" spans="1:11" x14ac:dyDescent="0.35">
      <c r="A1121" s="4" t="s">
        <v>2162</v>
      </c>
      <c r="B1121" s="4" t="s">
        <v>232</v>
      </c>
      <c r="C1121" s="4" t="s">
        <v>1031</v>
      </c>
      <c r="D1121" s="4">
        <v>1</v>
      </c>
      <c r="E1121" s="6">
        <v>79000</v>
      </c>
      <c r="F1121" t="str">
        <f>VLOOKUP(C1121,products!A:C,2,FALSE)</f>
        <v>Kaos Polos Cotton Combed</v>
      </c>
      <c r="G1121">
        <f t="shared" si="34"/>
        <v>79000</v>
      </c>
      <c r="H1121">
        <f>VLOOKUP(C1121,products!A:D,4,FALSE)</f>
        <v>35000</v>
      </c>
      <c r="I1121">
        <f t="shared" si="35"/>
        <v>44000</v>
      </c>
      <c r="J1121" t="str">
        <f>VLOOKUP(B1121,orders!A:B,2,FALSE)</f>
        <v>CUST0073</v>
      </c>
      <c r="K1121" t="str">
        <f>VLOOKUP(J1121,customers!A:F,6,FALSE)</f>
        <v>Surabaya</v>
      </c>
    </row>
    <row r="1122" spans="1:11" x14ac:dyDescent="0.35">
      <c r="A1122" s="4" t="s">
        <v>2163</v>
      </c>
      <c r="B1122" s="4" t="s">
        <v>442</v>
      </c>
      <c r="C1122" s="4" t="s">
        <v>1089</v>
      </c>
      <c r="D1122" s="4">
        <v>1</v>
      </c>
      <c r="E1122" s="6">
        <v>159000</v>
      </c>
      <c r="F1122" t="str">
        <f>VLOOKUP(C1122,products!A:C,2,FALSE)</f>
        <v>Power Bank 10000mAh</v>
      </c>
      <c r="G1122">
        <f t="shared" si="34"/>
        <v>159000</v>
      </c>
      <c r="H1122">
        <f>VLOOKUP(C1122,products!A:D,4,FALSE)</f>
        <v>80000</v>
      </c>
      <c r="I1122">
        <f t="shared" si="35"/>
        <v>79000</v>
      </c>
      <c r="J1122" t="str">
        <f>VLOOKUP(B1122,orders!A:B,2,FALSE)</f>
        <v>CUST0108</v>
      </c>
      <c r="K1122" t="str">
        <f>VLOOKUP(J1122,customers!A:F,6,FALSE)</f>
        <v>Depok</v>
      </c>
    </row>
    <row r="1123" spans="1:11" x14ac:dyDescent="0.35">
      <c r="A1123" s="4" t="s">
        <v>2164</v>
      </c>
      <c r="B1123" s="4" t="s">
        <v>442</v>
      </c>
      <c r="C1123" s="4" t="s">
        <v>1031</v>
      </c>
      <c r="D1123" s="4">
        <v>1</v>
      </c>
      <c r="E1123" s="6">
        <v>79000</v>
      </c>
      <c r="F1123" t="str">
        <f>VLOOKUP(C1123,products!A:C,2,FALSE)</f>
        <v>Kaos Polos Cotton Combed</v>
      </c>
      <c r="G1123">
        <f t="shared" si="34"/>
        <v>79000</v>
      </c>
      <c r="H1123">
        <f>VLOOKUP(C1123,products!A:D,4,FALSE)</f>
        <v>35000</v>
      </c>
      <c r="I1123">
        <f t="shared" si="35"/>
        <v>44000</v>
      </c>
      <c r="J1123" t="str">
        <f>VLOOKUP(B1123,orders!A:B,2,FALSE)</f>
        <v>CUST0108</v>
      </c>
      <c r="K1123" t="str">
        <f>VLOOKUP(J1123,customers!A:F,6,FALSE)</f>
        <v>Depok</v>
      </c>
    </row>
    <row r="1124" spans="1:11" x14ac:dyDescent="0.35">
      <c r="A1124" s="4" t="s">
        <v>2165</v>
      </c>
      <c r="B1124" s="4" t="s">
        <v>414</v>
      </c>
      <c r="C1124" s="4" t="s">
        <v>1029</v>
      </c>
      <c r="D1124" s="4">
        <v>1</v>
      </c>
      <c r="E1124" s="6">
        <v>39000</v>
      </c>
      <c r="F1124" t="str">
        <f>VLOOKUP(C1124,products!A:C,2,FALSE)</f>
        <v>Kabel Data USB-C</v>
      </c>
      <c r="G1124">
        <f t="shared" si="34"/>
        <v>39000</v>
      </c>
      <c r="H1124">
        <f>VLOOKUP(C1124,products!A:D,4,FALSE)</f>
        <v>15000</v>
      </c>
      <c r="I1124">
        <f t="shared" si="35"/>
        <v>24000</v>
      </c>
      <c r="J1124" t="str">
        <f>VLOOKUP(B1124,orders!A:B,2,FALSE)</f>
        <v>CUST0052</v>
      </c>
      <c r="K1124" t="str">
        <f>VLOOKUP(J1124,customers!A:F,6,FALSE)</f>
        <v>Surabaya</v>
      </c>
    </row>
    <row r="1125" spans="1:11" x14ac:dyDescent="0.35">
      <c r="A1125" s="4" t="s">
        <v>2166</v>
      </c>
      <c r="B1125" s="4" t="s">
        <v>414</v>
      </c>
      <c r="C1125" s="4" t="s">
        <v>1023</v>
      </c>
      <c r="D1125" s="4">
        <v>1</v>
      </c>
      <c r="E1125" s="6">
        <v>69000</v>
      </c>
      <c r="F1125" t="str">
        <f>VLOOKUP(C1125,products!A:C,2,FALSE)</f>
        <v>Lampu LED Hias 5m</v>
      </c>
      <c r="G1125">
        <f t="shared" si="34"/>
        <v>69000</v>
      </c>
      <c r="H1125">
        <f>VLOOKUP(C1125,products!A:D,4,FALSE)</f>
        <v>30000</v>
      </c>
      <c r="I1125">
        <f t="shared" si="35"/>
        <v>39000</v>
      </c>
      <c r="J1125" t="str">
        <f>VLOOKUP(B1125,orders!A:B,2,FALSE)</f>
        <v>CUST0052</v>
      </c>
      <c r="K1125" t="str">
        <f>VLOOKUP(J1125,customers!A:F,6,FALSE)</f>
        <v>Surabaya</v>
      </c>
    </row>
    <row r="1126" spans="1:11" x14ac:dyDescent="0.35">
      <c r="A1126" s="4" t="s">
        <v>2167</v>
      </c>
      <c r="B1126" s="4" t="s">
        <v>414</v>
      </c>
      <c r="C1126" s="4" t="s">
        <v>1025</v>
      </c>
      <c r="D1126" s="4">
        <v>2</v>
      </c>
      <c r="E1126" s="6">
        <v>179000</v>
      </c>
      <c r="F1126" t="str">
        <f>VLOOKUP(C1126,products!A:C,2,FALSE)</f>
        <v>Rak Penyimpanan Serbaguna</v>
      </c>
      <c r="G1126">
        <f t="shared" si="34"/>
        <v>358000</v>
      </c>
      <c r="H1126">
        <f>VLOOKUP(C1126,products!A:D,4,FALSE)</f>
        <v>90000</v>
      </c>
      <c r="I1126">
        <f t="shared" si="35"/>
        <v>178000</v>
      </c>
      <c r="J1126" t="str">
        <f>VLOOKUP(B1126,orders!A:B,2,FALSE)</f>
        <v>CUST0052</v>
      </c>
      <c r="K1126" t="str">
        <f>VLOOKUP(J1126,customers!A:F,6,FALSE)</f>
        <v>Surabaya</v>
      </c>
    </row>
    <row r="1127" spans="1:11" x14ac:dyDescent="0.35">
      <c r="A1127" s="4" t="s">
        <v>2168</v>
      </c>
      <c r="B1127" s="4" t="s">
        <v>386</v>
      </c>
      <c r="C1127" s="4" t="s">
        <v>1023</v>
      </c>
      <c r="D1127" s="4">
        <v>1</v>
      </c>
      <c r="E1127" s="6">
        <v>69000</v>
      </c>
      <c r="F1127" t="str">
        <f>VLOOKUP(C1127,products!A:C,2,FALSE)</f>
        <v>Lampu LED Hias 5m</v>
      </c>
      <c r="G1127">
        <f t="shared" si="34"/>
        <v>69000</v>
      </c>
      <c r="H1127">
        <f>VLOOKUP(C1127,products!A:D,4,FALSE)</f>
        <v>30000</v>
      </c>
      <c r="I1127">
        <f t="shared" si="35"/>
        <v>39000</v>
      </c>
      <c r="J1127" t="str">
        <f>VLOOKUP(B1127,orders!A:B,2,FALSE)</f>
        <v>CUST0036</v>
      </c>
      <c r="K1127" t="str">
        <f>VLOOKUP(J1127,customers!A:F,6,FALSE)</f>
        <v>Yogyakarta</v>
      </c>
    </row>
    <row r="1128" spans="1:11" x14ac:dyDescent="0.35">
      <c r="A1128" s="4" t="s">
        <v>2169</v>
      </c>
      <c r="B1128" s="4" t="s">
        <v>386</v>
      </c>
      <c r="C1128" s="4" t="s">
        <v>1082</v>
      </c>
      <c r="D1128" s="4">
        <v>3</v>
      </c>
      <c r="E1128" s="6">
        <v>399000</v>
      </c>
      <c r="F1128" t="str">
        <f>VLOOKUP(C1128,products!A:C,2,FALSE)</f>
        <v>Keyboard Mechanical Mini</v>
      </c>
      <c r="G1128">
        <f t="shared" si="34"/>
        <v>1197000</v>
      </c>
      <c r="H1128">
        <f>VLOOKUP(C1128,products!A:D,4,FALSE)</f>
        <v>200000</v>
      </c>
      <c r="I1128">
        <f t="shared" si="35"/>
        <v>597000</v>
      </c>
      <c r="J1128" t="str">
        <f>VLOOKUP(B1128,orders!A:B,2,FALSE)</f>
        <v>CUST0036</v>
      </c>
      <c r="K1128" t="str">
        <f>VLOOKUP(J1128,customers!A:F,6,FALSE)</f>
        <v>Yogyakarta</v>
      </c>
    </row>
    <row r="1129" spans="1:11" x14ac:dyDescent="0.35">
      <c r="A1129" s="4" t="s">
        <v>2170</v>
      </c>
      <c r="B1129" s="4" t="s">
        <v>694</v>
      </c>
      <c r="C1129" s="4" t="s">
        <v>1046</v>
      </c>
      <c r="D1129" s="4">
        <v>2</v>
      </c>
      <c r="E1129" s="6">
        <v>139000</v>
      </c>
      <c r="F1129" t="str">
        <f>VLOOKUP(C1129,products!A:C,2,FALSE)</f>
        <v>Wajan Anti Lengket 24cm</v>
      </c>
      <c r="G1129">
        <f t="shared" si="34"/>
        <v>278000</v>
      </c>
      <c r="H1129">
        <f>VLOOKUP(C1129,products!A:D,4,FALSE)</f>
        <v>65000</v>
      </c>
      <c r="I1129">
        <f t="shared" si="35"/>
        <v>148000</v>
      </c>
      <c r="J1129" t="str">
        <f>VLOOKUP(B1129,orders!A:B,2,FALSE)</f>
        <v>CUST0014</v>
      </c>
      <c r="K1129" t="str">
        <f>VLOOKUP(J1129,customers!A:F,6,FALSE)</f>
        <v>Jakarta</v>
      </c>
    </row>
    <row r="1130" spans="1:11" x14ac:dyDescent="0.35">
      <c r="A1130" s="4" t="s">
        <v>2171</v>
      </c>
      <c r="B1130" s="4" t="s">
        <v>694</v>
      </c>
      <c r="C1130" s="4" t="s">
        <v>1049</v>
      </c>
      <c r="D1130" s="4">
        <v>2</v>
      </c>
      <c r="E1130" s="6">
        <v>349000</v>
      </c>
      <c r="F1130" t="str">
        <f>VLOOKUP(C1130,products!A:C,2,FALSE)</f>
        <v>Sepatu Sneakers Casual</v>
      </c>
      <c r="G1130">
        <f t="shared" si="34"/>
        <v>698000</v>
      </c>
      <c r="H1130">
        <f>VLOOKUP(C1130,products!A:D,4,FALSE)</f>
        <v>180000</v>
      </c>
      <c r="I1130">
        <f t="shared" si="35"/>
        <v>338000</v>
      </c>
      <c r="J1130" t="str">
        <f>VLOOKUP(B1130,orders!A:B,2,FALSE)</f>
        <v>CUST0014</v>
      </c>
      <c r="K1130" t="str">
        <f>VLOOKUP(J1130,customers!A:F,6,FALSE)</f>
        <v>Jakarta</v>
      </c>
    </row>
    <row r="1131" spans="1:11" x14ac:dyDescent="0.35">
      <c r="A1131" s="4" t="s">
        <v>2172</v>
      </c>
      <c r="B1131" s="4" t="s">
        <v>694</v>
      </c>
      <c r="C1131" s="4" t="s">
        <v>1029</v>
      </c>
      <c r="D1131" s="4">
        <v>1</v>
      </c>
      <c r="E1131" s="6">
        <v>39000</v>
      </c>
      <c r="F1131" t="str">
        <f>VLOOKUP(C1131,products!A:C,2,FALSE)</f>
        <v>Kabel Data USB-C</v>
      </c>
      <c r="G1131">
        <f t="shared" si="34"/>
        <v>39000</v>
      </c>
      <c r="H1131">
        <f>VLOOKUP(C1131,products!A:D,4,FALSE)</f>
        <v>15000</v>
      </c>
      <c r="I1131">
        <f t="shared" si="35"/>
        <v>24000</v>
      </c>
      <c r="J1131" t="str">
        <f>VLOOKUP(B1131,orders!A:B,2,FALSE)</f>
        <v>CUST0014</v>
      </c>
      <c r="K1131" t="str">
        <f>VLOOKUP(J1131,customers!A:F,6,FALSE)</f>
        <v>Jakarta</v>
      </c>
    </row>
    <row r="1132" spans="1:11" x14ac:dyDescent="0.35">
      <c r="A1132" s="4" t="s">
        <v>2173</v>
      </c>
      <c r="B1132" s="4" t="s">
        <v>846</v>
      </c>
      <c r="C1132" s="4" t="s">
        <v>1033</v>
      </c>
      <c r="D1132" s="4">
        <v>1</v>
      </c>
      <c r="E1132" s="6">
        <v>55000</v>
      </c>
      <c r="F1132" t="str">
        <f>VLOOKUP(C1132,products!A:C,2,FALSE)</f>
        <v>Sapu + Pengki Set</v>
      </c>
      <c r="G1132">
        <f t="shared" si="34"/>
        <v>55000</v>
      </c>
      <c r="H1132">
        <f>VLOOKUP(C1132,products!A:D,4,FALSE)</f>
        <v>25000</v>
      </c>
      <c r="I1132">
        <f t="shared" si="35"/>
        <v>30000</v>
      </c>
      <c r="J1132" t="str">
        <f>VLOOKUP(B1132,orders!A:B,2,FALSE)</f>
        <v>CUST0096</v>
      </c>
      <c r="K1132" t="str">
        <f>VLOOKUP(J1132,customers!A:F,6,FALSE)</f>
        <v>Jakarta</v>
      </c>
    </row>
    <row r="1133" spans="1:11" x14ac:dyDescent="0.35">
      <c r="A1133" s="4" t="s">
        <v>2174</v>
      </c>
      <c r="B1133" s="4" t="s">
        <v>380</v>
      </c>
      <c r="C1133" s="4" t="s">
        <v>1023</v>
      </c>
      <c r="D1133" s="4">
        <v>2</v>
      </c>
      <c r="E1133" s="6">
        <v>69000</v>
      </c>
      <c r="F1133" t="str">
        <f>VLOOKUP(C1133,products!A:C,2,FALSE)</f>
        <v>Lampu LED Hias 5m</v>
      </c>
      <c r="G1133">
        <f t="shared" si="34"/>
        <v>138000</v>
      </c>
      <c r="H1133">
        <f>VLOOKUP(C1133,products!A:D,4,FALSE)</f>
        <v>30000</v>
      </c>
      <c r="I1133">
        <f t="shared" si="35"/>
        <v>78000</v>
      </c>
      <c r="J1133" t="str">
        <f>VLOOKUP(B1133,orders!A:B,2,FALSE)</f>
        <v>CUST0133</v>
      </c>
      <c r="K1133" t="str">
        <f>VLOOKUP(J1133,customers!A:F,6,FALSE)</f>
        <v>Palembang</v>
      </c>
    </row>
    <row r="1134" spans="1:11" x14ac:dyDescent="0.35">
      <c r="A1134" s="4" t="s">
        <v>2175</v>
      </c>
      <c r="B1134" s="4" t="s">
        <v>380</v>
      </c>
      <c r="C1134" s="4" t="s">
        <v>1029</v>
      </c>
      <c r="D1134" s="4">
        <v>3</v>
      </c>
      <c r="E1134" s="6">
        <v>39000</v>
      </c>
      <c r="F1134" t="str">
        <f>VLOOKUP(C1134,products!A:C,2,FALSE)</f>
        <v>Kabel Data USB-C</v>
      </c>
      <c r="G1134">
        <f t="shared" si="34"/>
        <v>117000</v>
      </c>
      <c r="H1134">
        <f>VLOOKUP(C1134,products!A:D,4,FALSE)</f>
        <v>15000</v>
      </c>
      <c r="I1134">
        <f t="shared" si="35"/>
        <v>72000</v>
      </c>
      <c r="J1134" t="str">
        <f>VLOOKUP(B1134,orders!A:B,2,FALSE)</f>
        <v>CUST0133</v>
      </c>
      <c r="K1134" t="str">
        <f>VLOOKUP(J1134,customers!A:F,6,FALSE)</f>
        <v>Palembang</v>
      </c>
    </row>
    <row r="1135" spans="1:11" x14ac:dyDescent="0.35">
      <c r="A1135" s="4" t="s">
        <v>2176</v>
      </c>
      <c r="B1135" s="4" t="s">
        <v>61</v>
      </c>
      <c r="C1135" s="4" t="s">
        <v>1031</v>
      </c>
      <c r="D1135" s="4">
        <v>1</v>
      </c>
      <c r="E1135" s="6">
        <v>79000</v>
      </c>
      <c r="F1135" t="str">
        <f>VLOOKUP(C1135,products!A:C,2,FALSE)</f>
        <v>Kaos Polos Cotton Combed</v>
      </c>
      <c r="G1135">
        <f t="shared" si="34"/>
        <v>79000</v>
      </c>
      <c r="H1135">
        <f>VLOOKUP(C1135,products!A:D,4,FALSE)</f>
        <v>35000</v>
      </c>
      <c r="I1135">
        <f t="shared" si="35"/>
        <v>44000</v>
      </c>
      <c r="J1135" t="str">
        <f>VLOOKUP(B1135,orders!A:B,2,FALSE)</f>
        <v>CUST0196</v>
      </c>
      <c r="K1135" t="str">
        <f>VLOOKUP(J1135,customers!A:F,6,FALSE)</f>
        <v>Denpasar</v>
      </c>
    </row>
    <row r="1136" spans="1:11" x14ac:dyDescent="0.35">
      <c r="A1136" s="4" t="s">
        <v>2177</v>
      </c>
      <c r="B1136" s="4" t="s">
        <v>868</v>
      </c>
      <c r="C1136" s="4" t="s">
        <v>1029</v>
      </c>
      <c r="D1136" s="4">
        <v>1</v>
      </c>
      <c r="E1136" s="6">
        <v>39000</v>
      </c>
      <c r="F1136" t="str">
        <f>VLOOKUP(C1136,products!A:C,2,FALSE)</f>
        <v>Kabel Data USB-C</v>
      </c>
      <c r="G1136">
        <f t="shared" si="34"/>
        <v>39000</v>
      </c>
      <c r="H1136">
        <f>VLOOKUP(C1136,products!A:D,4,FALSE)</f>
        <v>15000</v>
      </c>
      <c r="I1136">
        <f t="shared" si="35"/>
        <v>24000</v>
      </c>
      <c r="J1136" t="str">
        <f>VLOOKUP(B1136,orders!A:B,2,FALSE)</f>
        <v>CUST0116</v>
      </c>
      <c r="K1136" t="str">
        <f>VLOOKUP(J1136,customers!A:F,6,FALSE)</f>
        <v>Yogyakarta</v>
      </c>
    </row>
    <row r="1137" spans="1:11" x14ac:dyDescent="0.35">
      <c r="A1137" s="4" t="s">
        <v>2178</v>
      </c>
      <c r="B1137" s="4" t="s">
        <v>190</v>
      </c>
      <c r="C1137" s="4" t="s">
        <v>1029</v>
      </c>
      <c r="D1137" s="4">
        <v>2</v>
      </c>
      <c r="E1137" s="6">
        <v>39000</v>
      </c>
      <c r="F1137" t="str">
        <f>VLOOKUP(C1137,products!A:C,2,FALSE)</f>
        <v>Kabel Data USB-C</v>
      </c>
      <c r="G1137">
        <f t="shared" si="34"/>
        <v>78000</v>
      </c>
      <c r="H1137">
        <f>VLOOKUP(C1137,products!A:D,4,FALSE)</f>
        <v>15000</v>
      </c>
      <c r="I1137">
        <f t="shared" si="35"/>
        <v>48000</v>
      </c>
      <c r="J1137" t="str">
        <f>VLOOKUP(B1137,orders!A:B,2,FALSE)</f>
        <v>CUST0112</v>
      </c>
      <c r="K1137" t="str">
        <f>VLOOKUP(J1137,customers!A:F,6,FALSE)</f>
        <v>Jakarta</v>
      </c>
    </row>
    <row r="1138" spans="1:11" x14ac:dyDescent="0.35">
      <c r="A1138" s="4" t="s">
        <v>2179</v>
      </c>
      <c r="B1138" s="4" t="s">
        <v>190</v>
      </c>
      <c r="C1138" s="4" t="s">
        <v>1033</v>
      </c>
      <c r="D1138" s="4">
        <v>1</v>
      </c>
      <c r="E1138" s="6">
        <v>55000</v>
      </c>
      <c r="F1138" t="str">
        <f>VLOOKUP(C1138,products!A:C,2,FALSE)</f>
        <v>Sapu + Pengki Set</v>
      </c>
      <c r="G1138">
        <f t="shared" si="34"/>
        <v>55000</v>
      </c>
      <c r="H1138">
        <f>VLOOKUP(C1138,products!A:D,4,FALSE)</f>
        <v>25000</v>
      </c>
      <c r="I1138">
        <f t="shared" si="35"/>
        <v>30000</v>
      </c>
      <c r="J1138" t="str">
        <f>VLOOKUP(B1138,orders!A:B,2,FALSE)</f>
        <v>CUST0112</v>
      </c>
      <c r="K1138" t="str">
        <f>VLOOKUP(J1138,customers!A:F,6,FALSE)</f>
        <v>Jakarta</v>
      </c>
    </row>
    <row r="1139" spans="1:11" x14ac:dyDescent="0.35">
      <c r="A1139" s="4" t="s">
        <v>2180</v>
      </c>
      <c r="B1139" s="4" t="s">
        <v>501</v>
      </c>
      <c r="C1139" s="4" t="s">
        <v>1044</v>
      </c>
      <c r="D1139" s="4">
        <v>1</v>
      </c>
      <c r="E1139" s="6">
        <v>329000</v>
      </c>
      <c r="F1139" t="str">
        <f>VLOOKUP(C1139,products!A:C,2,FALSE)</f>
        <v>Rice Cooker Mini 1.5L</v>
      </c>
      <c r="G1139">
        <f t="shared" si="34"/>
        <v>329000</v>
      </c>
      <c r="H1139">
        <f>VLOOKUP(C1139,products!A:D,4,FALSE)</f>
        <v>180000</v>
      </c>
      <c r="I1139">
        <f t="shared" si="35"/>
        <v>149000</v>
      </c>
      <c r="J1139" t="str">
        <f>VLOOKUP(B1139,orders!A:B,2,FALSE)</f>
        <v>CUST0057</v>
      </c>
      <c r="K1139" t="str">
        <f>VLOOKUP(J1139,customers!A:F,6,FALSE)</f>
        <v>Palembang</v>
      </c>
    </row>
    <row r="1140" spans="1:11" x14ac:dyDescent="0.35">
      <c r="A1140" s="4" t="s">
        <v>2181</v>
      </c>
      <c r="B1140" s="4" t="s">
        <v>293</v>
      </c>
      <c r="C1140" s="4" t="s">
        <v>1029</v>
      </c>
      <c r="D1140" s="4">
        <v>2</v>
      </c>
      <c r="E1140" s="6">
        <v>39000</v>
      </c>
      <c r="F1140" t="str">
        <f>VLOOKUP(C1140,products!A:C,2,FALSE)</f>
        <v>Kabel Data USB-C</v>
      </c>
      <c r="G1140">
        <f t="shared" si="34"/>
        <v>78000</v>
      </c>
      <c r="H1140">
        <f>VLOOKUP(C1140,products!A:D,4,FALSE)</f>
        <v>15000</v>
      </c>
      <c r="I1140">
        <f t="shared" si="35"/>
        <v>48000</v>
      </c>
      <c r="J1140" t="str">
        <f>VLOOKUP(B1140,orders!A:B,2,FALSE)</f>
        <v>CUST0007</v>
      </c>
      <c r="K1140" t="str">
        <f>VLOOKUP(J1140,customers!A:F,6,FALSE)</f>
        <v>Yogyakarta</v>
      </c>
    </row>
    <row r="1141" spans="1:11" x14ac:dyDescent="0.35">
      <c r="A1141" s="4" t="s">
        <v>2182</v>
      </c>
      <c r="B1141" s="4" t="s">
        <v>293</v>
      </c>
      <c r="C1141" s="4" t="s">
        <v>1023</v>
      </c>
      <c r="D1141" s="4">
        <v>3</v>
      </c>
      <c r="E1141" s="6">
        <v>69000</v>
      </c>
      <c r="F1141" t="str">
        <f>VLOOKUP(C1141,products!A:C,2,FALSE)</f>
        <v>Lampu LED Hias 5m</v>
      </c>
      <c r="G1141">
        <f t="shared" si="34"/>
        <v>207000</v>
      </c>
      <c r="H1141">
        <f>VLOOKUP(C1141,products!A:D,4,FALSE)</f>
        <v>30000</v>
      </c>
      <c r="I1141">
        <f t="shared" si="35"/>
        <v>117000</v>
      </c>
      <c r="J1141" t="str">
        <f>VLOOKUP(B1141,orders!A:B,2,FALSE)</f>
        <v>CUST0007</v>
      </c>
      <c r="K1141" t="str">
        <f>VLOOKUP(J1141,customers!A:F,6,FALSE)</f>
        <v>Yogyakarta</v>
      </c>
    </row>
    <row r="1142" spans="1:11" x14ac:dyDescent="0.35">
      <c r="A1142" s="4" t="s">
        <v>2183</v>
      </c>
      <c r="B1142" s="4" t="s">
        <v>294</v>
      </c>
      <c r="C1142" s="4" t="s">
        <v>1023</v>
      </c>
      <c r="D1142" s="4">
        <v>3</v>
      </c>
      <c r="E1142" s="6">
        <v>69000</v>
      </c>
      <c r="F1142" t="str">
        <f>VLOOKUP(C1142,products!A:C,2,FALSE)</f>
        <v>Lampu LED Hias 5m</v>
      </c>
      <c r="G1142">
        <f t="shared" si="34"/>
        <v>207000</v>
      </c>
      <c r="H1142">
        <f>VLOOKUP(C1142,products!A:D,4,FALSE)</f>
        <v>30000</v>
      </c>
      <c r="I1142">
        <f t="shared" si="35"/>
        <v>117000</v>
      </c>
      <c r="J1142" t="str">
        <f>VLOOKUP(B1142,orders!A:B,2,FALSE)</f>
        <v>CUST0129</v>
      </c>
      <c r="K1142" t="str">
        <f>VLOOKUP(J1142,customers!A:F,6,FALSE)</f>
        <v>Denpasar</v>
      </c>
    </row>
    <row r="1143" spans="1:11" x14ac:dyDescent="0.35">
      <c r="A1143" s="4" t="s">
        <v>2184</v>
      </c>
      <c r="B1143" s="4" t="s">
        <v>294</v>
      </c>
      <c r="C1143" s="4" t="s">
        <v>1044</v>
      </c>
      <c r="D1143" s="4">
        <v>1</v>
      </c>
      <c r="E1143" s="6">
        <v>329000</v>
      </c>
      <c r="F1143" t="str">
        <f>VLOOKUP(C1143,products!A:C,2,FALSE)</f>
        <v>Rice Cooker Mini 1.5L</v>
      </c>
      <c r="G1143">
        <f t="shared" si="34"/>
        <v>329000</v>
      </c>
      <c r="H1143">
        <f>VLOOKUP(C1143,products!A:D,4,FALSE)</f>
        <v>180000</v>
      </c>
      <c r="I1143">
        <f t="shared" si="35"/>
        <v>149000</v>
      </c>
      <c r="J1143" t="str">
        <f>VLOOKUP(B1143,orders!A:B,2,FALSE)</f>
        <v>CUST0129</v>
      </c>
      <c r="K1143" t="str">
        <f>VLOOKUP(J1143,customers!A:F,6,FALSE)</f>
        <v>Denpasar</v>
      </c>
    </row>
    <row r="1144" spans="1:11" x14ac:dyDescent="0.35">
      <c r="A1144" s="4" t="s">
        <v>2185</v>
      </c>
      <c r="B1144" s="4" t="s">
        <v>294</v>
      </c>
      <c r="C1144" s="4" t="s">
        <v>1033</v>
      </c>
      <c r="D1144" s="4">
        <v>1</v>
      </c>
      <c r="E1144" s="6">
        <v>55000</v>
      </c>
      <c r="F1144" t="str">
        <f>VLOOKUP(C1144,products!A:C,2,FALSE)</f>
        <v>Sapu + Pengki Set</v>
      </c>
      <c r="G1144">
        <f t="shared" si="34"/>
        <v>55000</v>
      </c>
      <c r="H1144">
        <f>VLOOKUP(C1144,products!A:D,4,FALSE)</f>
        <v>25000</v>
      </c>
      <c r="I1144">
        <f t="shared" si="35"/>
        <v>30000</v>
      </c>
      <c r="J1144" t="str">
        <f>VLOOKUP(B1144,orders!A:B,2,FALSE)</f>
        <v>CUST0129</v>
      </c>
      <c r="K1144" t="str">
        <f>VLOOKUP(J1144,customers!A:F,6,FALSE)</f>
        <v>Denpasar</v>
      </c>
    </row>
    <row r="1145" spans="1:11" x14ac:dyDescent="0.35">
      <c r="A1145" s="4" t="s">
        <v>2186</v>
      </c>
      <c r="B1145" s="4" t="s">
        <v>874</v>
      </c>
      <c r="C1145" s="4" t="s">
        <v>1025</v>
      </c>
      <c r="D1145" s="4">
        <v>1</v>
      </c>
      <c r="E1145" s="6">
        <v>179000</v>
      </c>
      <c r="F1145" t="str">
        <f>VLOOKUP(C1145,products!A:C,2,FALSE)</f>
        <v>Rak Penyimpanan Serbaguna</v>
      </c>
      <c r="G1145">
        <f t="shared" si="34"/>
        <v>179000</v>
      </c>
      <c r="H1145">
        <f>VLOOKUP(C1145,products!A:D,4,FALSE)</f>
        <v>90000</v>
      </c>
      <c r="I1145">
        <f t="shared" si="35"/>
        <v>89000</v>
      </c>
      <c r="J1145" t="str">
        <f>VLOOKUP(B1145,orders!A:B,2,FALSE)</f>
        <v>CUST0021</v>
      </c>
      <c r="K1145" t="str">
        <f>VLOOKUP(J1145,customers!A:F,6,FALSE)</f>
        <v>Jakarta</v>
      </c>
    </row>
    <row r="1146" spans="1:11" x14ac:dyDescent="0.35">
      <c r="A1146" s="4" t="s">
        <v>2187</v>
      </c>
      <c r="B1146" s="4" t="s">
        <v>610</v>
      </c>
      <c r="C1146" s="4" t="s">
        <v>1023</v>
      </c>
      <c r="D1146" s="4">
        <v>2</v>
      </c>
      <c r="E1146" s="6">
        <v>69000</v>
      </c>
      <c r="F1146" t="str">
        <f>VLOOKUP(C1146,products!A:C,2,FALSE)</f>
        <v>Lampu LED Hias 5m</v>
      </c>
      <c r="G1146">
        <f t="shared" si="34"/>
        <v>138000</v>
      </c>
      <c r="H1146">
        <f>VLOOKUP(C1146,products!A:D,4,FALSE)</f>
        <v>30000</v>
      </c>
      <c r="I1146">
        <f t="shared" si="35"/>
        <v>78000</v>
      </c>
      <c r="J1146" t="str">
        <f>VLOOKUP(B1146,orders!A:B,2,FALSE)</f>
        <v>CUST0008</v>
      </c>
      <c r="K1146" t="str">
        <f>VLOOKUP(J1146,customers!A:F,6,FALSE)</f>
        <v>Jakarta</v>
      </c>
    </row>
    <row r="1147" spans="1:11" x14ac:dyDescent="0.35">
      <c r="A1147" s="4" t="s">
        <v>2188</v>
      </c>
      <c r="B1147" s="4" t="s">
        <v>610</v>
      </c>
      <c r="C1147" s="4" t="s">
        <v>1036</v>
      </c>
      <c r="D1147" s="4">
        <v>1</v>
      </c>
      <c r="E1147" s="6">
        <v>229000</v>
      </c>
      <c r="F1147" t="str">
        <f>VLOOKUP(C1147,products!A:C,2,FALSE)</f>
        <v>Celana Jeans Slimfit</v>
      </c>
      <c r="G1147">
        <f t="shared" si="34"/>
        <v>229000</v>
      </c>
      <c r="H1147">
        <f>VLOOKUP(C1147,products!A:D,4,FALSE)</f>
        <v>110000</v>
      </c>
      <c r="I1147">
        <f t="shared" si="35"/>
        <v>119000</v>
      </c>
      <c r="J1147" t="str">
        <f>VLOOKUP(B1147,orders!A:B,2,FALSE)</f>
        <v>CUST0008</v>
      </c>
      <c r="K1147" t="str">
        <f>VLOOKUP(J1147,customers!A:F,6,FALSE)</f>
        <v>Jakarta</v>
      </c>
    </row>
    <row r="1148" spans="1:11" x14ac:dyDescent="0.35">
      <c r="A1148" s="4" t="s">
        <v>2189</v>
      </c>
      <c r="B1148" s="4" t="s">
        <v>570</v>
      </c>
      <c r="C1148" s="4" t="s">
        <v>1029</v>
      </c>
      <c r="D1148" s="4">
        <v>3</v>
      </c>
      <c r="E1148" s="6">
        <v>39000</v>
      </c>
      <c r="F1148" t="str">
        <f>VLOOKUP(C1148,products!A:C,2,FALSE)</f>
        <v>Kabel Data USB-C</v>
      </c>
      <c r="G1148">
        <f t="shared" si="34"/>
        <v>117000</v>
      </c>
      <c r="H1148">
        <f>VLOOKUP(C1148,products!A:D,4,FALSE)</f>
        <v>15000</v>
      </c>
      <c r="I1148">
        <f t="shared" si="35"/>
        <v>72000</v>
      </c>
      <c r="J1148" t="str">
        <f>VLOOKUP(B1148,orders!A:B,2,FALSE)</f>
        <v>CUST0183</v>
      </c>
      <c r="K1148" t="str">
        <f>VLOOKUP(J1148,customers!A:F,6,FALSE)</f>
        <v>Denpasar</v>
      </c>
    </row>
    <row r="1149" spans="1:11" x14ac:dyDescent="0.35">
      <c r="A1149" s="4" t="s">
        <v>2190</v>
      </c>
      <c r="B1149" s="4" t="s">
        <v>896</v>
      </c>
      <c r="C1149" s="4" t="s">
        <v>1031</v>
      </c>
      <c r="D1149" s="4">
        <v>1</v>
      </c>
      <c r="E1149" s="6">
        <v>79000</v>
      </c>
      <c r="F1149" t="str">
        <f>VLOOKUP(C1149,products!A:C,2,FALSE)</f>
        <v>Kaos Polos Cotton Combed</v>
      </c>
      <c r="G1149">
        <f t="shared" si="34"/>
        <v>79000</v>
      </c>
      <c r="H1149">
        <f>VLOOKUP(C1149,products!A:D,4,FALSE)</f>
        <v>35000</v>
      </c>
      <c r="I1149">
        <f t="shared" si="35"/>
        <v>44000</v>
      </c>
      <c r="J1149" t="str">
        <f>VLOOKUP(B1149,orders!A:B,2,FALSE)</f>
        <v>CUST0038</v>
      </c>
      <c r="K1149" t="str">
        <f>VLOOKUP(J1149,customers!A:F,6,FALSE)</f>
        <v>Depok</v>
      </c>
    </row>
    <row r="1150" spans="1:11" x14ac:dyDescent="0.35">
      <c r="A1150" s="4" t="s">
        <v>2191</v>
      </c>
      <c r="B1150" s="4" t="s">
        <v>862</v>
      </c>
      <c r="C1150" s="4" t="s">
        <v>1033</v>
      </c>
      <c r="D1150" s="4">
        <v>1</v>
      </c>
      <c r="E1150" s="6">
        <v>55000</v>
      </c>
      <c r="F1150" t="str">
        <f>VLOOKUP(C1150,products!A:C,2,FALSE)</f>
        <v>Sapu + Pengki Set</v>
      </c>
      <c r="G1150">
        <f t="shared" si="34"/>
        <v>55000</v>
      </c>
      <c r="H1150">
        <f>VLOOKUP(C1150,products!A:D,4,FALSE)</f>
        <v>25000</v>
      </c>
      <c r="I1150">
        <f t="shared" si="35"/>
        <v>30000</v>
      </c>
      <c r="J1150" t="str">
        <f>VLOOKUP(B1150,orders!A:B,2,FALSE)</f>
        <v>CUST0074</v>
      </c>
      <c r="K1150" t="str">
        <f>VLOOKUP(J1150,customers!A:F,6,FALSE)</f>
        <v>Semarang</v>
      </c>
    </row>
    <row r="1151" spans="1:11" x14ac:dyDescent="0.35">
      <c r="A1151" s="4" t="s">
        <v>2192</v>
      </c>
      <c r="B1151" s="4" t="s">
        <v>159</v>
      </c>
      <c r="C1151" s="4" t="s">
        <v>1023</v>
      </c>
      <c r="D1151" s="4">
        <v>1</v>
      </c>
      <c r="E1151" s="6">
        <v>69000</v>
      </c>
      <c r="F1151" t="str">
        <f>VLOOKUP(C1151,products!A:C,2,FALSE)</f>
        <v>Lampu LED Hias 5m</v>
      </c>
      <c r="G1151">
        <f t="shared" si="34"/>
        <v>69000</v>
      </c>
      <c r="H1151">
        <f>VLOOKUP(C1151,products!A:D,4,FALSE)</f>
        <v>30000</v>
      </c>
      <c r="I1151">
        <f t="shared" si="35"/>
        <v>39000</v>
      </c>
      <c r="J1151" t="str">
        <f>VLOOKUP(B1151,orders!A:B,2,FALSE)</f>
        <v>CUST0179</v>
      </c>
      <c r="K1151" t="str">
        <f>VLOOKUP(J1151,customers!A:F,6,FALSE)</f>
        <v>Jakarta</v>
      </c>
    </row>
    <row r="1152" spans="1:11" x14ac:dyDescent="0.35">
      <c r="A1152" s="4" t="s">
        <v>2193</v>
      </c>
      <c r="B1152" s="4" t="s">
        <v>159</v>
      </c>
      <c r="C1152" s="4" t="s">
        <v>1046</v>
      </c>
      <c r="D1152" s="4">
        <v>1</v>
      </c>
      <c r="E1152" s="6">
        <v>139000</v>
      </c>
      <c r="F1152" t="str">
        <f>VLOOKUP(C1152,products!A:C,2,FALSE)</f>
        <v>Wajan Anti Lengket 24cm</v>
      </c>
      <c r="G1152">
        <f t="shared" si="34"/>
        <v>139000</v>
      </c>
      <c r="H1152">
        <f>VLOOKUP(C1152,products!A:D,4,FALSE)</f>
        <v>65000</v>
      </c>
      <c r="I1152">
        <f t="shared" si="35"/>
        <v>74000</v>
      </c>
      <c r="J1152" t="str">
        <f>VLOOKUP(B1152,orders!A:B,2,FALSE)</f>
        <v>CUST0179</v>
      </c>
      <c r="K1152" t="str">
        <f>VLOOKUP(J1152,customers!A:F,6,FALSE)</f>
        <v>Jakarta</v>
      </c>
    </row>
    <row r="1153" spans="1:11" x14ac:dyDescent="0.35">
      <c r="A1153" s="4" t="s">
        <v>2194</v>
      </c>
      <c r="B1153" s="4" t="s">
        <v>311</v>
      </c>
      <c r="C1153" s="4" t="s">
        <v>1029</v>
      </c>
      <c r="D1153" s="4">
        <v>2</v>
      </c>
      <c r="E1153" s="6">
        <v>39000</v>
      </c>
      <c r="F1153" t="str">
        <f>VLOOKUP(C1153,products!A:C,2,FALSE)</f>
        <v>Kabel Data USB-C</v>
      </c>
      <c r="G1153">
        <f t="shared" si="34"/>
        <v>78000</v>
      </c>
      <c r="H1153">
        <f>VLOOKUP(C1153,products!A:D,4,FALSE)</f>
        <v>15000</v>
      </c>
      <c r="I1153">
        <f t="shared" si="35"/>
        <v>48000</v>
      </c>
      <c r="J1153" t="str">
        <f>VLOOKUP(B1153,orders!A:B,2,FALSE)</f>
        <v>CUST0121</v>
      </c>
      <c r="K1153" t="str">
        <f>VLOOKUP(J1153,customers!A:F,6,FALSE)</f>
        <v>Denpasar</v>
      </c>
    </row>
    <row r="1154" spans="1:11" x14ac:dyDescent="0.35">
      <c r="A1154" s="4" t="s">
        <v>2195</v>
      </c>
      <c r="B1154" s="4" t="s">
        <v>110</v>
      </c>
      <c r="C1154" s="4" t="s">
        <v>1023</v>
      </c>
      <c r="D1154" s="4">
        <v>1</v>
      </c>
      <c r="E1154" s="6">
        <v>69000</v>
      </c>
      <c r="F1154" t="str">
        <f>VLOOKUP(C1154,products!A:C,2,FALSE)</f>
        <v>Lampu LED Hias 5m</v>
      </c>
      <c r="G1154">
        <f t="shared" si="34"/>
        <v>69000</v>
      </c>
      <c r="H1154">
        <f>VLOOKUP(C1154,products!A:D,4,FALSE)</f>
        <v>30000</v>
      </c>
      <c r="I1154">
        <f t="shared" si="35"/>
        <v>39000</v>
      </c>
      <c r="J1154" t="str">
        <f>VLOOKUP(B1154,orders!A:B,2,FALSE)</f>
        <v>CUST0002</v>
      </c>
      <c r="K1154" t="str">
        <f>VLOOKUP(J1154,customers!A:F,6,FALSE)</f>
        <v>Depok</v>
      </c>
    </row>
    <row r="1155" spans="1:11" x14ac:dyDescent="0.35">
      <c r="A1155" s="4" t="s">
        <v>2196</v>
      </c>
      <c r="B1155" s="4" t="s">
        <v>110</v>
      </c>
      <c r="C1155" s="4" t="s">
        <v>1025</v>
      </c>
      <c r="D1155" s="4">
        <v>1</v>
      </c>
      <c r="E1155" s="6">
        <v>179000</v>
      </c>
      <c r="F1155" t="str">
        <f>VLOOKUP(C1155,products!A:C,2,FALSE)</f>
        <v>Rak Penyimpanan Serbaguna</v>
      </c>
      <c r="G1155">
        <f t="shared" ref="G1155:G1218" si="36">D1155*E1155</f>
        <v>179000</v>
      </c>
      <c r="H1155">
        <f>VLOOKUP(C1155,products!A:D,4,FALSE)</f>
        <v>90000</v>
      </c>
      <c r="I1155">
        <f t="shared" ref="I1155:I1218" si="37">(E1155-H1155)*D1155</f>
        <v>89000</v>
      </c>
      <c r="J1155" t="str">
        <f>VLOOKUP(B1155,orders!A:B,2,FALSE)</f>
        <v>CUST0002</v>
      </c>
      <c r="K1155" t="str">
        <f>VLOOKUP(J1155,customers!A:F,6,FALSE)</f>
        <v>Depok</v>
      </c>
    </row>
    <row r="1156" spans="1:11" x14ac:dyDescent="0.35">
      <c r="A1156" s="4" t="s">
        <v>2197</v>
      </c>
      <c r="B1156" s="4" t="s">
        <v>705</v>
      </c>
      <c r="C1156" s="4" t="s">
        <v>1023</v>
      </c>
      <c r="D1156" s="4">
        <v>1</v>
      </c>
      <c r="E1156" s="6">
        <v>69000</v>
      </c>
      <c r="F1156" t="str">
        <f>VLOOKUP(C1156,products!A:C,2,FALSE)</f>
        <v>Lampu LED Hias 5m</v>
      </c>
      <c r="G1156">
        <f t="shared" si="36"/>
        <v>69000</v>
      </c>
      <c r="H1156">
        <f>VLOOKUP(C1156,products!A:D,4,FALSE)</f>
        <v>30000</v>
      </c>
      <c r="I1156">
        <f t="shared" si="37"/>
        <v>39000</v>
      </c>
      <c r="J1156" t="str">
        <f>VLOOKUP(B1156,orders!A:B,2,FALSE)</f>
        <v>CUST0056</v>
      </c>
      <c r="K1156" t="str">
        <f>VLOOKUP(J1156,customers!A:F,6,FALSE)</f>
        <v>Surabaya</v>
      </c>
    </row>
    <row r="1157" spans="1:11" x14ac:dyDescent="0.35">
      <c r="A1157" s="4" t="s">
        <v>2198</v>
      </c>
      <c r="B1157" s="4" t="s">
        <v>24</v>
      </c>
      <c r="C1157" s="4" t="s">
        <v>1025</v>
      </c>
      <c r="D1157" s="4">
        <v>1</v>
      </c>
      <c r="E1157" s="6">
        <v>179000</v>
      </c>
      <c r="F1157" t="str">
        <f>VLOOKUP(C1157,products!A:C,2,FALSE)</f>
        <v>Rak Penyimpanan Serbaguna</v>
      </c>
      <c r="G1157">
        <f t="shared" si="36"/>
        <v>179000</v>
      </c>
      <c r="H1157">
        <f>VLOOKUP(C1157,products!A:D,4,FALSE)</f>
        <v>90000</v>
      </c>
      <c r="I1157">
        <f t="shared" si="37"/>
        <v>89000</v>
      </c>
      <c r="J1157" t="str">
        <f>VLOOKUP(B1157,orders!A:B,2,FALSE)</f>
        <v>CUST0141</v>
      </c>
      <c r="K1157" t="str">
        <f>VLOOKUP(J1157,customers!A:F,6,FALSE)</f>
        <v>Palembang</v>
      </c>
    </row>
    <row r="1158" spans="1:11" x14ac:dyDescent="0.35">
      <c r="A1158" s="4" t="s">
        <v>2199</v>
      </c>
      <c r="B1158" s="4" t="s">
        <v>24</v>
      </c>
      <c r="C1158" s="4" t="s">
        <v>1031</v>
      </c>
      <c r="D1158" s="4">
        <v>1</v>
      </c>
      <c r="E1158" s="6">
        <v>79000</v>
      </c>
      <c r="F1158" t="str">
        <f>VLOOKUP(C1158,products!A:C,2,FALSE)</f>
        <v>Kaos Polos Cotton Combed</v>
      </c>
      <c r="G1158">
        <f t="shared" si="36"/>
        <v>79000</v>
      </c>
      <c r="H1158">
        <f>VLOOKUP(C1158,products!A:D,4,FALSE)</f>
        <v>35000</v>
      </c>
      <c r="I1158">
        <f t="shared" si="37"/>
        <v>44000</v>
      </c>
      <c r="J1158" t="str">
        <f>VLOOKUP(B1158,orders!A:B,2,FALSE)</f>
        <v>CUST0141</v>
      </c>
      <c r="K1158" t="str">
        <f>VLOOKUP(J1158,customers!A:F,6,FALSE)</f>
        <v>Palembang</v>
      </c>
    </row>
    <row r="1159" spans="1:11" x14ac:dyDescent="0.35">
      <c r="A1159" s="4" t="s">
        <v>2200</v>
      </c>
      <c r="B1159" s="4" t="s">
        <v>362</v>
      </c>
      <c r="C1159" s="4" t="s">
        <v>1023</v>
      </c>
      <c r="D1159" s="4">
        <v>1</v>
      </c>
      <c r="E1159" s="6">
        <v>69000</v>
      </c>
      <c r="F1159" t="str">
        <f>VLOOKUP(C1159,products!A:C,2,FALSE)</f>
        <v>Lampu LED Hias 5m</v>
      </c>
      <c r="G1159">
        <f t="shared" si="36"/>
        <v>69000</v>
      </c>
      <c r="H1159">
        <f>VLOOKUP(C1159,products!A:D,4,FALSE)</f>
        <v>30000</v>
      </c>
      <c r="I1159">
        <f t="shared" si="37"/>
        <v>39000</v>
      </c>
      <c r="J1159" t="str">
        <f>VLOOKUP(B1159,orders!A:B,2,FALSE)</f>
        <v>CUST0029</v>
      </c>
      <c r="K1159" t="str">
        <f>VLOOKUP(J1159,customers!A:F,6,FALSE)</f>
        <v>Jakarta</v>
      </c>
    </row>
    <row r="1160" spans="1:11" x14ac:dyDescent="0.35">
      <c r="A1160" s="4" t="s">
        <v>2201</v>
      </c>
      <c r="B1160" s="4" t="s">
        <v>966</v>
      </c>
      <c r="C1160" s="4" t="s">
        <v>1023</v>
      </c>
      <c r="D1160" s="4">
        <v>3</v>
      </c>
      <c r="E1160" s="6">
        <v>69000</v>
      </c>
      <c r="F1160" t="str">
        <f>VLOOKUP(C1160,products!A:C,2,FALSE)</f>
        <v>Lampu LED Hias 5m</v>
      </c>
      <c r="G1160">
        <f t="shared" si="36"/>
        <v>207000</v>
      </c>
      <c r="H1160">
        <f>VLOOKUP(C1160,products!A:D,4,FALSE)</f>
        <v>30000</v>
      </c>
      <c r="I1160">
        <f t="shared" si="37"/>
        <v>117000</v>
      </c>
      <c r="J1160" t="str">
        <f>VLOOKUP(B1160,orders!A:B,2,FALSE)</f>
        <v>CUST0061</v>
      </c>
      <c r="K1160" t="str">
        <f>VLOOKUP(J1160,customers!A:F,6,FALSE)</f>
        <v>Yogyakarta</v>
      </c>
    </row>
    <row r="1161" spans="1:11" x14ac:dyDescent="0.35">
      <c r="A1161" s="4" t="s">
        <v>2202</v>
      </c>
      <c r="B1161" s="4" t="s">
        <v>966</v>
      </c>
      <c r="C1161" s="4" t="s">
        <v>1029</v>
      </c>
      <c r="D1161" s="4">
        <v>1</v>
      </c>
      <c r="E1161" s="6">
        <v>39000</v>
      </c>
      <c r="F1161" t="str">
        <f>VLOOKUP(C1161,products!A:C,2,FALSE)</f>
        <v>Kabel Data USB-C</v>
      </c>
      <c r="G1161">
        <f t="shared" si="36"/>
        <v>39000</v>
      </c>
      <c r="H1161">
        <f>VLOOKUP(C1161,products!A:D,4,FALSE)</f>
        <v>15000</v>
      </c>
      <c r="I1161">
        <f t="shared" si="37"/>
        <v>24000</v>
      </c>
      <c r="J1161" t="str">
        <f>VLOOKUP(B1161,orders!A:B,2,FALSE)</f>
        <v>CUST0061</v>
      </c>
      <c r="K1161" t="str">
        <f>VLOOKUP(J1161,customers!A:F,6,FALSE)</f>
        <v>Yogyakarta</v>
      </c>
    </row>
    <row r="1162" spans="1:11" x14ac:dyDescent="0.35">
      <c r="A1162" s="4" t="s">
        <v>2203</v>
      </c>
      <c r="B1162" s="4" t="s">
        <v>259</v>
      </c>
      <c r="C1162" s="4" t="s">
        <v>1036</v>
      </c>
      <c r="D1162" s="4">
        <v>1</v>
      </c>
      <c r="E1162" s="6">
        <v>229000</v>
      </c>
      <c r="F1162" t="str">
        <f>VLOOKUP(C1162,products!A:C,2,FALSE)</f>
        <v>Celana Jeans Slimfit</v>
      </c>
      <c r="G1162">
        <f t="shared" si="36"/>
        <v>229000</v>
      </c>
      <c r="H1162">
        <f>VLOOKUP(C1162,products!A:D,4,FALSE)</f>
        <v>110000</v>
      </c>
      <c r="I1162">
        <f t="shared" si="37"/>
        <v>119000</v>
      </c>
      <c r="J1162" t="str">
        <f>VLOOKUP(B1162,orders!A:B,2,FALSE)</f>
        <v>CUST0013</v>
      </c>
      <c r="K1162" t="str">
        <f>VLOOKUP(J1162,customers!A:F,6,FALSE)</f>
        <v>Bandung</v>
      </c>
    </row>
    <row r="1163" spans="1:11" x14ac:dyDescent="0.35">
      <c r="A1163" s="4" t="s">
        <v>2204</v>
      </c>
      <c r="B1163" s="4" t="s">
        <v>983</v>
      </c>
      <c r="C1163" s="4" t="s">
        <v>1025</v>
      </c>
      <c r="D1163" s="4">
        <v>1</v>
      </c>
      <c r="E1163" s="6">
        <v>179000</v>
      </c>
      <c r="F1163" t="str">
        <f>VLOOKUP(C1163,products!A:C,2,FALSE)</f>
        <v>Rak Penyimpanan Serbaguna</v>
      </c>
      <c r="G1163">
        <f t="shared" si="36"/>
        <v>179000</v>
      </c>
      <c r="H1163">
        <f>VLOOKUP(C1163,products!A:D,4,FALSE)</f>
        <v>90000</v>
      </c>
      <c r="I1163">
        <f t="shared" si="37"/>
        <v>89000</v>
      </c>
      <c r="J1163" t="str">
        <f>VLOOKUP(B1163,orders!A:B,2,FALSE)</f>
        <v>CUST0164</v>
      </c>
      <c r="K1163" t="str">
        <f>VLOOKUP(J1163,customers!A:F,6,FALSE)</f>
        <v>Semarang</v>
      </c>
    </row>
    <row r="1164" spans="1:11" x14ac:dyDescent="0.35">
      <c r="A1164" s="4" t="s">
        <v>2205</v>
      </c>
      <c r="B1164" s="4" t="s">
        <v>983</v>
      </c>
      <c r="C1164" s="4" t="s">
        <v>1023</v>
      </c>
      <c r="D1164" s="4">
        <v>2</v>
      </c>
      <c r="E1164" s="6">
        <v>69000</v>
      </c>
      <c r="F1164" t="str">
        <f>VLOOKUP(C1164,products!A:C,2,FALSE)</f>
        <v>Lampu LED Hias 5m</v>
      </c>
      <c r="G1164">
        <f t="shared" si="36"/>
        <v>138000</v>
      </c>
      <c r="H1164">
        <f>VLOOKUP(C1164,products!A:D,4,FALSE)</f>
        <v>30000</v>
      </c>
      <c r="I1164">
        <f t="shared" si="37"/>
        <v>78000</v>
      </c>
      <c r="J1164" t="str">
        <f>VLOOKUP(B1164,orders!A:B,2,FALSE)</f>
        <v>CUST0164</v>
      </c>
      <c r="K1164" t="str">
        <f>VLOOKUP(J1164,customers!A:F,6,FALSE)</f>
        <v>Semarang</v>
      </c>
    </row>
    <row r="1165" spans="1:11" x14ac:dyDescent="0.35">
      <c r="A1165" s="4" t="s">
        <v>2206</v>
      </c>
      <c r="B1165" s="4" t="s">
        <v>202</v>
      </c>
      <c r="C1165" s="4" t="s">
        <v>1040</v>
      </c>
      <c r="D1165" s="4">
        <v>1</v>
      </c>
      <c r="E1165" s="6">
        <v>99000</v>
      </c>
      <c r="F1165" t="str">
        <f>VLOOKUP(C1165,products!A:C,2,FALSE)</f>
        <v>Mouse Wireless</v>
      </c>
      <c r="G1165">
        <f t="shared" si="36"/>
        <v>99000</v>
      </c>
      <c r="H1165">
        <f>VLOOKUP(C1165,products!A:D,4,FALSE)</f>
        <v>45000</v>
      </c>
      <c r="I1165">
        <f t="shared" si="37"/>
        <v>54000</v>
      </c>
      <c r="J1165" t="str">
        <f>VLOOKUP(B1165,orders!A:B,2,FALSE)</f>
        <v>CUST0029</v>
      </c>
      <c r="K1165" t="str">
        <f>VLOOKUP(J1165,customers!A:F,6,FALSE)</f>
        <v>Jakarta</v>
      </c>
    </row>
    <row r="1166" spans="1:11" x14ac:dyDescent="0.35">
      <c r="A1166" s="4" t="s">
        <v>2207</v>
      </c>
      <c r="B1166" s="4" t="s">
        <v>202</v>
      </c>
      <c r="C1166" s="4" t="s">
        <v>1023</v>
      </c>
      <c r="D1166" s="4">
        <v>1</v>
      </c>
      <c r="E1166" s="6">
        <v>69000</v>
      </c>
      <c r="F1166" t="str">
        <f>VLOOKUP(C1166,products!A:C,2,FALSE)</f>
        <v>Lampu LED Hias 5m</v>
      </c>
      <c r="G1166">
        <f t="shared" si="36"/>
        <v>69000</v>
      </c>
      <c r="H1166">
        <f>VLOOKUP(C1166,products!A:D,4,FALSE)</f>
        <v>30000</v>
      </c>
      <c r="I1166">
        <f t="shared" si="37"/>
        <v>39000</v>
      </c>
      <c r="J1166" t="str">
        <f>VLOOKUP(B1166,orders!A:B,2,FALSE)</f>
        <v>CUST0029</v>
      </c>
      <c r="K1166" t="str">
        <f>VLOOKUP(J1166,customers!A:F,6,FALSE)</f>
        <v>Jakarta</v>
      </c>
    </row>
    <row r="1167" spans="1:11" x14ac:dyDescent="0.35">
      <c r="A1167" s="4" t="s">
        <v>2208</v>
      </c>
      <c r="B1167" s="4" t="s">
        <v>356</v>
      </c>
      <c r="C1167" s="4" t="s">
        <v>1033</v>
      </c>
      <c r="D1167" s="4">
        <v>1</v>
      </c>
      <c r="E1167" s="6">
        <v>55000</v>
      </c>
      <c r="F1167" t="str">
        <f>VLOOKUP(C1167,products!A:C,2,FALSE)</f>
        <v>Sapu + Pengki Set</v>
      </c>
      <c r="G1167">
        <f t="shared" si="36"/>
        <v>55000</v>
      </c>
      <c r="H1167">
        <f>VLOOKUP(C1167,products!A:D,4,FALSE)</f>
        <v>25000</v>
      </c>
      <c r="I1167">
        <f t="shared" si="37"/>
        <v>30000</v>
      </c>
      <c r="J1167" t="str">
        <f>VLOOKUP(B1167,orders!A:B,2,FALSE)</f>
        <v>CUST0005</v>
      </c>
      <c r="K1167" t="str">
        <f>VLOOKUP(J1167,customers!A:F,6,FALSE)</f>
        <v>Semarang</v>
      </c>
    </row>
    <row r="1168" spans="1:11" x14ac:dyDescent="0.35">
      <c r="A1168" s="4" t="s">
        <v>2209</v>
      </c>
      <c r="B1168" s="4" t="s">
        <v>782</v>
      </c>
      <c r="C1168" s="4" t="s">
        <v>1025</v>
      </c>
      <c r="D1168" s="4">
        <v>1</v>
      </c>
      <c r="E1168" s="6">
        <v>179000</v>
      </c>
      <c r="F1168" t="str">
        <f>VLOOKUP(C1168,products!A:C,2,FALSE)</f>
        <v>Rak Penyimpanan Serbaguna</v>
      </c>
      <c r="G1168">
        <f t="shared" si="36"/>
        <v>179000</v>
      </c>
      <c r="H1168">
        <f>VLOOKUP(C1168,products!A:D,4,FALSE)</f>
        <v>90000</v>
      </c>
      <c r="I1168">
        <f t="shared" si="37"/>
        <v>89000</v>
      </c>
      <c r="J1168" t="str">
        <f>VLOOKUP(B1168,orders!A:B,2,FALSE)</f>
        <v>CUST0062</v>
      </c>
      <c r="K1168" t="str">
        <f>VLOOKUP(J1168,customers!A:F,6,FALSE)</f>
        <v>Surabaya</v>
      </c>
    </row>
    <row r="1169" spans="1:11" x14ac:dyDescent="0.35">
      <c r="A1169" s="4" t="s">
        <v>2210</v>
      </c>
      <c r="B1169" s="4" t="s">
        <v>782</v>
      </c>
      <c r="C1169" s="4" t="s">
        <v>1023</v>
      </c>
      <c r="D1169" s="4">
        <v>1</v>
      </c>
      <c r="E1169" s="6">
        <v>69000</v>
      </c>
      <c r="F1169" t="str">
        <f>VLOOKUP(C1169,products!A:C,2,FALSE)</f>
        <v>Lampu LED Hias 5m</v>
      </c>
      <c r="G1169">
        <f t="shared" si="36"/>
        <v>69000</v>
      </c>
      <c r="H1169">
        <f>VLOOKUP(C1169,products!A:D,4,FALSE)</f>
        <v>30000</v>
      </c>
      <c r="I1169">
        <f t="shared" si="37"/>
        <v>39000</v>
      </c>
      <c r="J1169" t="str">
        <f>VLOOKUP(B1169,orders!A:B,2,FALSE)</f>
        <v>CUST0062</v>
      </c>
      <c r="K1169" t="str">
        <f>VLOOKUP(J1169,customers!A:F,6,FALSE)</f>
        <v>Surabaya</v>
      </c>
    </row>
    <row r="1170" spans="1:11" x14ac:dyDescent="0.35">
      <c r="A1170" s="4" t="s">
        <v>2211</v>
      </c>
      <c r="B1170" s="4" t="s">
        <v>813</v>
      </c>
      <c r="C1170" s="4" t="s">
        <v>1023</v>
      </c>
      <c r="D1170" s="4">
        <v>1</v>
      </c>
      <c r="E1170" s="6">
        <v>69000</v>
      </c>
      <c r="F1170" t="str">
        <f>VLOOKUP(C1170,products!A:C,2,FALSE)</f>
        <v>Lampu LED Hias 5m</v>
      </c>
      <c r="G1170">
        <f t="shared" si="36"/>
        <v>69000</v>
      </c>
      <c r="H1170">
        <f>VLOOKUP(C1170,products!A:D,4,FALSE)</f>
        <v>30000</v>
      </c>
      <c r="I1170">
        <f t="shared" si="37"/>
        <v>39000</v>
      </c>
      <c r="J1170" t="str">
        <f>VLOOKUP(B1170,orders!A:B,2,FALSE)</f>
        <v>CUST0075</v>
      </c>
      <c r="K1170" t="str">
        <f>VLOOKUP(J1170,customers!A:F,6,FALSE)</f>
        <v>Jakarta</v>
      </c>
    </row>
    <row r="1171" spans="1:11" x14ac:dyDescent="0.35">
      <c r="A1171" s="4" t="s">
        <v>2212</v>
      </c>
      <c r="B1171" s="4" t="s">
        <v>768</v>
      </c>
      <c r="C1171" s="4" t="s">
        <v>1023</v>
      </c>
      <c r="D1171" s="4">
        <v>1</v>
      </c>
      <c r="E1171" s="6">
        <v>69000</v>
      </c>
      <c r="F1171" t="str">
        <f>VLOOKUP(C1171,products!A:C,2,FALSE)</f>
        <v>Lampu LED Hias 5m</v>
      </c>
      <c r="G1171">
        <f t="shared" si="36"/>
        <v>69000</v>
      </c>
      <c r="H1171">
        <f>VLOOKUP(C1171,products!A:D,4,FALSE)</f>
        <v>30000</v>
      </c>
      <c r="I1171">
        <f t="shared" si="37"/>
        <v>39000</v>
      </c>
      <c r="J1171" t="str">
        <f>VLOOKUP(B1171,orders!A:B,2,FALSE)</f>
        <v>CUST0158</v>
      </c>
      <c r="K1171" t="str">
        <f>VLOOKUP(J1171,customers!A:F,6,FALSE)</f>
        <v>Yogyakarta</v>
      </c>
    </row>
    <row r="1172" spans="1:11" x14ac:dyDescent="0.35">
      <c r="A1172" s="4" t="s">
        <v>2213</v>
      </c>
      <c r="B1172" s="4" t="s">
        <v>177</v>
      </c>
      <c r="C1172" s="4" t="s">
        <v>1033</v>
      </c>
      <c r="D1172" s="4">
        <v>1</v>
      </c>
      <c r="E1172" s="6">
        <v>55000</v>
      </c>
      <c r="F1172" t="str">
        <f>VLOOKUP(C1172,products!A:C,2,FALSE)</f>
        <v>Sapu + Pengki Set</v>
      </c>
      <c r="G1172">
        <f t="shared" si="36"/>
        <v>55000</v>
      </c>
      <c r="H1172">
        <f>VLOOKUP(C1172,products!A:D,4,FALSE)</f>
        <v>25000</v>
      </c>
      <c r="I1172">
        <f t="shared" si="37"/>
        <v>30000</v>
      </c>
      <c r="J1172" t="str">
        <f>VLOOKUP(B1172,orders!A:B,2,FALSE)</f>
        <v>CUST0147</v>
      </c>
      <c r="K1172" t="str">
        <f>VLOOKUP(J1172,customers!A:F,6,FALSE)</f>
        <v>Yogyakarta</v>
      </c>
    </row>
    <row r="1173" spans="1:11" x14ac:dyDescent="0.35">
      <c r="A1173" s="4" t="s">
        <v>2214</v>
      </c>
      <c r="B1173" s="4" t="s">
        <v>493</v>
      </c>
      <c r="C1173" s="4" t="s">
        <v>1029</v>
      </c>
      <c r="D1173" s="4">
        <v>1</v>
      </c>
      <c r="E1173" s="6">
        <v>39000</v>
      </c>
      <c r="F1173" t="str">
        <f>VLOOKUP(C1173,products!A:C,2,FALSE)</f>
        <v>Kabel Data USB-C</v>
      </c>
      <c r="G1173">
        <f t="shared" si="36"/>
        <v>39000</v>
      </c>
      <c r="H1173">
        <f>VLOOKUP(C1173,products!A:D,4,FALSE)</f>
        <v>15000</v>
      </c>
      <c r="I1173">
        <f t="shared" si="37"/>
        <v>24000</v>
      </c>
      <c r="J1173" t="str">
        <f>VLOOKUP(B1173,orders!A:B,2,FALSE)</f>
        <v>CUST0171</v>
      </c>
      <c r="K1173" t="str">
        <f>VLOOKUP(J1173,customers!A:F,6,FALSE)</f>
        <v>Medan</v>
      </c>
    </row>
    <row r="1174" spans="1:11" x14ac:dyDescent="0.35">
      <c r="A1174" s="4" t="s">
        <v>2215</v>
      </c>
      <c r="B1174" s="4" t="s">
        <v>493</v>
      </c>
      <c r="C1174" s="4" t="s">
        <v>1082</v>
      </c>
      <c r="D1174" s="4">
        <v>1</v>
      </c>
      <c r="E1174" s="6">
        <v>399000</v>
      </c>
      <c r="F1174" t="str">
        <f>VLOOKUP(C1174,products!A:C,2,FALSE)</f>
        <v>Keyboard Mechanical Mini</v>
      </c>
      <c r="G1174">
        <f t="shared" si="36"/>
        <v>399000</v>
      </c>
      <c r="H1174">
        <f>VLOOKUP(C1174,products!A:D,4,FALSE)</f>
        <v>200000</v>
      </c>
      <c r="I1174">
        <f t="shared" si="37"/>
        <v>199000</v>
      </c>
      <c r="J1174" t="str">
        <f>VLOOKUP(B1174,orders!A:B,2,FALSE)</f>
        <v>CUST0171</v>
      </c>
      <c r="K1174" t="str">
        <f>VLOOKUP(J1174,customers!A:F,6,FALSE)</f>
        <v>Medan</v>
      </c>
    </row>
    <row r="1175" spans="1:11" x14ac:dyDescent="0.35">
      <c r="A1175" s="4" t="s">
        <v>2216</v>
      </c>
      <c r="B1175" s="4" t="s">
        <v>582</v>
      </c>
      <c r="C1175" s="4" t="s">
        <v>1029</v>
      </c>
      <c r="D1175" s="4">
        <v>1</v>
      </c>
      <c r="E1175" s="6">
        <v>39000</v>
      </c>
      <c r="F1175" t="str">
        <f>VLOOKUP(C1175,products!A:C,2,FALSE)</f>
        <v>Kabel Data USB-C</v>
      </c>
      <c r="G1175">
        <f t="shared" si="36"/>
        <v>39000</v>
      </c>
      <c r="H1175">
        <f>VLOOKUP(C1175,products!A:D,4,FALSE)</f>
        <v>15000</v>
      </c>
      <c r="I1175">
        <f t="shared" si="37"/>
        <v>24000</v>
      </c>
      <c r="J1175" t="str">
        <f>VLOOKUP(B1175,orders!A:B,2,FALSE)</f>
        <v>CUST0093</v>
      </c>
      <c r="K1175" t="str">
        <f>VLOOKUP(J1175,customers!A:F,6,FALSE)</f>
        <v>Surabaya</v>
      </c>
    </row>
    <row r="1176" spans="1:11" x14ac:dyDescent="0.35">
      <c r="A1176" s="4" t="s">
        <v>2217</v>
      </c>
      <c r="B1176" s="4" t="s">
        <v>582</v>
      </c>
      <c r="C1176" s="4" t="s">
        <v>1023</v>
      </c>
      <c r="D1176" s="4">
        <v>1</v>
      </c>
      <c r="E1176" s="6">
        <v>69000</v>
      </c>
      <c r="F1176" t="str">
        <f>VLOOKUP(C1176,products!A:C,2,FALSE)</f>
        <v>Lampu LED Hias 5m</v>
      </c>
      <c r="G1176">
        <f t="shared" si="36"/>
        <v>69000</v>
      </c>
      <c r="H1176">
        <f>VLOOKUP(C1176,products!A:D,4,FALSE)</f>
        <v>30000</v>
      </c>
      <c r="I1176">
        <f t="shared" si="37"/>
        <v>39000</v>
      </c>
      <c r="J1176" t="str">
        <f>VLOOKUP(B1176,orders!A:B,2,FALSE)</f>
        <v>CUST0093</v>
      </c>
      <c r="K1176" t="str">
        <f>VLOOKUP(J1176,customers!A:F,6,FALSE)</f>
        <v>Surabaya</v>
      </c>
    </row>
    <row r="1177" spans="1:11" x14ac:dyDescent="0.35">
      <c r="A1177" s="4" t="s">
        <v>2218</v>
      </c>
      <c r="B1177" s="4" t="s">
        <v>155</v>
      </c>
      <c r="C1177" s="4" t="s">
        <v>1053</v>
      </c>
      <c r="D1177" s="4">
        <v>1</v>
      </c>
      <c r="E1177" s="6">
        <v>129000</v>
      </c>
      <c r="F1177" t="str">
        <f>VLOOKUP(C1177,products!A:C,2,FALSE)</f>
        <v>Charger Fast Charging 33W</v>
      </c>
      <c r="G1177">
        <f t="shared" si="36"/>
        <v>129000</v>
      </c>
      <c r="H1177">
        <f>VLOOKUP(C1177,products!A:D,4,FALSE)</f>
        <v>60000</v>
      </c>
      <c r="I1177">
        <f t="shared" si="37"/>
        <v>69000</v>
      </c>
      <c r="J1177" t="str">
        <f>VLOOKUP(B1177,orders!A:B,2,FALSE)</f>
        <v>CUST0140</v>
      </c>
      <c r="K1177" t="str">
        <f>VLOOKUP(J1177,customers!A:F,6,FALSE)</f>
        <v>Depok</v>
      </c>
    </row>
    <row r="1178" spans="1:11" x14ac:dyDescent="0.35">
      <c r="A1178" s="4" t="s">
        <v>2219</v>
      </c>
      <c r="B1178" s="4" t="s">
        <v>785</v>
      </c>
      <c r="C1178" s="4" t="s">
        <v>1023</v>
      </c>
      <c r="D1178" s="4">
        <v>1</v>
      </c>
      <c r="E1178" s="6">
        <v>69000</v>
      </c>
      <c r="F1178" t="str">
        <f>VLOOKUP(C1178,products!A:C,2,FALSE)</f>
        <v>Lampu LED Hias 5m</v>
      </c>
      <c r="G1178">
        <f t="shared" si="36"/>
        <v>69000</v>
      </c>
      <c r="H1178">
        <f>VLOOKUP(C1178,products!A:D,4,FALSE)</f>
        <v>30000</v>
      </c>
      <c r="I1178">
        <f t="shared" si="37"/>
        <v>39000</v>
      </c>
      <c r="J1178" t="str">
        <f>VLOOKUP(B1178,orders!A:B,2,FALSE)</f>
        <v>CUST0130</v>
      </c>
      <c r="K1178" t="str">
        <f>VLOOKUP(J1178,customers!A:F,6,FALSE)</f>
        <v>Semarang</v>
      </c>
    </row>
    <row r="1179" spans="1:11" x14ac:dyDescent="0.35">
      <c r="A1179" s="4" t="s">
        <v>2220</v>
      </c>
      <c r="B1179" s="4" t="s">
        <v>999</v>
      </c>
      <c r="C1179" s="4" t="s">
        <v>1029</v>
      </c>
      <c r="D1179" s="4">
        <v>1</v>
      </c>
      <c r="E1179" s="6">
        <v>39000</v>
      </c>
      <c r="F1179" t="str">
        <f>VLOOKUP(C1179,products!A:C,2,FALSE)</f>
        <v>Kabel Data USB-C</v>
      </c>
      <c r="G1179">
        <f t="shared" si="36"/>
        <v>39000</v>
      </c>
      <c r="H1179">
        <f>VLOOKUP(C1179,products!A:D,4,FALSE)</f>
        <v>15000</v>
      </c>
      <c r="I1179">
        <f t="shared" si="37"/>
        <v>24000</v>
      </c>
      <c r="J1179" t="str">
        <f>VLOOKUP(B1179,orders!A:B,2,FALSE)</f>
        <v>CUST0100</v>
      </c>
      <c r="K1179" t="str">
        <f>VLOOKUP(J1179,customers!A:F,6,FALSE)</f>
        <v>Palembang</v>
      </c>
    </row>
    <row r="1180" spans="1:11" x14ac:dyDescent="0.35">
      <c r="A1180" s="4" t="s">
        <v>2221</v>
      </c>
      <c r="B1180" s="4" t="s">
        <v>999</v>
      </c>
      <c r="C1180" s="4" t="s">
        <v>1023</v>
      </c>
      <c r="D1180" s="4">
        <v>2</v>
      </c>
      <c r="E1180" s="6">
        <v>69000</v>
      </c>
      <c r="F1180" t="str">
        <f>VLOOKUP(C1180,products!A:C,2,FALSE)</f>
        <v>Lampu LED Hias 5m</v>
      </c>
      <c r="G1180">
        <f t="shared" si="36"/>
        <v>138000</v>
      </c>
      <c r="H1180">
        <f>VLOOKUP(C1180,products!A:D,4,FALSE)</f>
        <v>30000</v>
      </c>
      <c r="I1180">
        <f t="shared" si="37"/>
        <v>78000</v>
      </c>
      <c r="J1180" t="str">
        <f>VLOOKUP(B1180,orders!A:B,2,FALSE)</f>
        <v>CUST0100</v>
      </c>
      <c r="K1180" t="str">
        <f>VLOOKUP(J1180,customers!A:F,6,FALSE)</f>
        <v>Palembang</v>
      </c>
    </row>
    <row r="1181" spans="1:11" x14ac:dyDescent="0.35">
      <c r="A1181" s="4" t="s">
        <v>2222</v>
      </c>
      <c r="B1181" s="4" t="s">
        <v>987</v>
      </c>
      <c r="C1181" s="4" t="s">
        <v>1023</v>
      </c>
      <c r="D1181" s="4">
        <v>1</v>
      </c>
      <c r="E1181" s="6">
        <v>69000</v>
      </c>
      <c r="F1181" t="str">
        <f>VLOOKUP(C1181,products!A:C,2,FALSE)</f>
        <v>Lampu LED Hias 5m</v>
      </c>
      <c r="G1181">
        <f t="shared" si="36"/>
        <v>69000</v>
      </c>
      <c r="H1181">
        <f>VLOOKUP(C1181,products!A:D,4,FALSE)</f>
        <v>30000</v>
      </c>
      <c r="I1181">
        <f t="shared" si="37"/>
        <v>39000</v>
      </c>
      <c r="J1181" t="str">
        <f>VLOOKUP(B1181,orders!A:B,2,FALSE)</f>
        <v>CUST0100</v>
      </c>
      <c r="K1181" t="str">
        <f>VLOOKUP(J1181,customers!A:F,6,FALSE)</f>
        <v>Palembang</v>
      </c>
    </row>
    <row r="1182" spans="1:11" x14ac:dyDescent="0.35">
      <c r="A1182" s="4" t="s">
        <v>2223</v>
      </c>
      <c r="B1182" s="4" t="s">
        <v>987</v>
      </c>
      <c r="C1182" s="4" t="s">
        <v>1046</v>
      </c>
      <c r="D1182" s="4">
        <v>1</v>
      </c>
      <c r="E1182" s="6">
        <v>139000</v>
      </c>
      <c r="F1182" t="str">
        <f>VLOOKUP(C1182,products!A:C,2,FALSE)</f>
        <v>Wajan Anti Lengket 24cm</v>
      </c>
      <c r="G1182">
        <f t="shared" si="36"/>
        <v>139000</v>
      </c>
      <c r="H1182">
        <f>VLOOKUP(C1182,products!A:D,4,FALSE)</f>
        <v>65000</v>
      </c>
      <c r="I1182">
        <f t="shared" si="37"/>
        <v>74000</v>
      </c>
      <c r="J1182" t="str">
        <f>VLOOKUP(B1182,orders!A:B,2,FALSE)</f>
        <v>CUST0100</v>
      </c>
      <c r="K1182" t="str">
        <f>VLOOKUP(J1182,customers!A:F,6,FALSE)</f>
        <v>Palembang</v>
      </c>
    </row>
    <row r="1183" spans="1:11" x14ac:dyDescent="0.35">
      <c r="A1183" s="4" t="s">
        <v>2224</v>
      </c>
      <c r="B1183" s="4" t="s">
        <v>881</v>
      </c>
      <c r="C1183" s="4" t="s">
        <v>1049</v>
      </c>
      <c r="D1183" s="4">
        <v>1</v>
      </c>
      <c r="E1183" s="6">
        <v>349000</v>
      </c>
      <c r="F1183" t="str">
        <f>VLOOKUP(C1183,products!A:C,2,FALSE)</f>
        <v>Sepatu Sneakers Casual</v>
      </c>
      <c r="G1183">
        <f t="shared" si="36"/>
        <v>349000</v>
      </c>
      <c r="H1183">
        <f>VLOOKUP(C1183,products!A:D,4,FALSE)</f>
        <v>180000</v>
      </c>
      <c r="I1183">
        <f t="shared" si="37"/>
        <v>169000</v>
      </c>
      <c r="J1183" t="str">
        <f>VLOOKUP(B1183,orders!A:B,2,FALSE)</f>
        <v>CUST0005</v>
      </c>
      <c r="K1183" t="str">
        <f>VLOOKUP(J1183,customers!A:F,6,FALSE)</f>
        <v>Semarang</v>
      </c>
    </row>
    <row r="1184" spans="1:11" x14ac:dyDescent="0.35">
      <c r="A1184" s="4" t="s">
        <v>2225</v>
      </c>
      <c r="B1184" s="4" t="s">
        <v>209</v>
      </c>
      <c r="C1184" s="4" t="s">
        <v>1023</v>
      </c>
      <c r="D1184" s="4">
        <v>1</v>
      </c>
      <c r="E1184" s="6">
        <v>69000</v>
      </c>
      <c r="F1184" t="str">
        <f>VLOOKUP(C1184,products!A:C,2,FALSE)</f>
        <v>Lampu LED Hias 5m</v>
      </c>
      <c r="G1184">
        <f t="shared" si="36"/>
        <v>69000</v>
      </c>
      <c r="H1184">
        <f>VLOOKUP(C1184,products!A:D,4,FALSE)</f>
        <v>30000</v>
      </c>
      <c r="I1184">
        <f t="shared" si="37"/>
        <v>39000</v>
      </c>
      <c r="J1184" t="str">
        <f>VLOOKUP(B1184,orders!A:B,2,FALSE)</f>
        <v>CUST0018</v>
      </c>
      <c r="K1184" t="str">
        <f>VLOOKUP(J1184,customers!A:F,6,FALSE)</f>
        <v>Denpasar</v>
      </c>
    </row>
    <row r="1185" spans="1:11" x14ac:dyDescent="0.35">
      <c r="A1185" s="4" t="s">
        <v>2226</v>
      </c>
      <c r="B1185" s="4" t="s">
        <v>209</v>
      </c>
      <c r="C1185" s="4" t="s">
        <v>1025</v>
      </c>
      <c r="D1185" s="4">
        <v>1</v>
      </c>
      <c r="E1185" s="6">
        <v>179000</v>
      </c>
      <c r="F1185" t="str">
        <f>VLOOKUP(C1185,products!A:C,2,FALSE)</f>
        <v>Rak Penyimpanan Serbaguna</v>
      </c>
      <c r="G1185">
        <f t="shared" si="36"/>
        <v>179000</v>
      </c>
      <c r="H1185">
        <f>VLOOKUP(C1185,products!A:D,4,FALSE)</f>
        <v>90000</v>
      </c>
      <c r="I1185">
        <f t="shared" si="37"/>
        <v>89000</v>
      </c>
      <c r="J1185" t="str">
        <f>VLOOKUP(B1185,orders!A:B,2,FALSE)</f>
        <v>CUST0018</v>
      </c>
      <c r="K1185" t="str">
        <f>VLOOKUP(J1185,customers!A:F,6,FALSE)</f>
        <v>Denpasar</v>
      </c>
    </row>
    <row r="1186" spans="1:11" x14ac:dyDescent="0.35">
      <c r="A1186" s="4" t="s">
        <v>2227</v>
      </c>
      <c r="B1186" s="4" t="s">
        <v>693</v>
      </c>
      <c r="C1186" s="4" t="s">
        <v>1029</v>
      </c>
      <c r="D1186" s="4">
        <v>1</v>
      </c>
      <c r="E1186" s="6">
        <v>39000</v>
      </c>
      <c r="F1186" t="str">
        <f>VLOOKUP(C1186,products!A:C,2,FALSE)</f>
        <v>Kabel Data USB-C</v>
      </c>
      <c r="G1186">
        <f t="shared" si="36"/>
        <v>39000</v>
      </c>
      <c r="H1186">
        <f>VLOOKUP(C1186,products!A:D,4,FALSE)</f>
        <v>15000</v>
      </c>
      <c r="I1186">
        <f t="shared" si="37"/>
        <v>24000</v>
      </c>
      <c r="J1186" t="str">
        <f>VLOOKUP(B1186,orders!A:B,2,FALSE)</f>
        <v>CUST0169</v>
      </c>
      <c r="K1186" t="str">
        <f>VLOOKUP(J1186,customers!A:F,6,FALSE)</f>
        <v>Palembang</v>
      </c>
    </row>
    <row r="1187" spans="1:11" x14ac:dyDescent="0.35">
      <c r="A1187" s="4" t="s">
        <v>2228</v>
      </c>
      <c r="B1187" s="4" t="s">
        <v>326</v>
      </c>
      <c r="C1187" s="4" t="s">
        <v>1082</v>
      </c>
      <c r="D1187" s="4">
        <v>1</v>
      </c>
      <c r="E1187" s="6">
        <v>399000</v>
      </c>
      <c r="F1187" t="str">
        <f>VLOOKUP(C1187,products!A:C,2,FALSE)</f>
        <v>Keyboard Mechanical Mini</v>
      </c>
      <c r="G1187">
        <f t="shared" si="36"/>
        <v>399000</v>
      </c>
      <c r="H1187">
        <f>VLOOKUP(C1187,products!A:D,4,FALSE)</f>
        <v>200000</v>
      </c>
      <c r="I1187">
        <f t="shared" si="37"/>
        <v>199000</v>
      </c>
      <c r="J1187" t="str">
        <f>VLOOKUP(B1187,orders!A:B,2,FALSE)</f>
        <v>CUST0149</v>
      </c>
      <c r="K1187" t="str">
        <f>VLOOKUP(J1187,customers!A:F,6,FALSE)</f>
        <v>Depok</v>
      </c>
    </row>
    <row r="1188" spans="1:11" x14ac:dyDescent="0.35">
      <c r="A1188" s="4" t="s">
        <v>2229</v>
      </c>
      <c r="B1188" s="4" t="s">
        <v>326</v>
      </c>
      <c r="C1188" s="4" t="s">
        <v>1044</v>
      </c>
      <c r="D1188" s="4">
        <v>1</v>
      </c>
      <c r="E1188" s="6">
        <v>329000</v>
      </c>
      <c r="F1188" t="str">
        <f>VLOOKUP(C1188,products!A:C,2,FALSE)</f>
        <v>Rice Cooker Mini 1.5L</v>
      </c>
      <c r="G1188">
        <f t="shared" si="36"/>
        <v>329000</v>
      </c>
      <c r="H1188">
        <f>VLOOKUP(C1188,products!A:D,4,FALSE)</f>
        <v>180000</v>
      </c>
      <c r="I1188">
        <f t="shared" si="37"/>
        <v>149000</v>
      </c>
      <c r="J1188" t="str">
        <f>VLOOKUP(B1188,orders!A:B,2,FALSE)</f>
        <v>CUST0149</v>
      </c>
      <c r="K1188" t="str">
        <f>VLOOKUP(J1188,customers!A:F,6,FALSE)</f>
        <v>Depok</v>
      </c>
    </row>
    <row r="1189" spans="1:11" x14ac:dyDescent="0.35">
      <c r="A1189" s="4" t="s">
        <v>2230</v>
      </c>
      <c r="B1189" s="4" t="s">
        <v>467</v>
      </c>
      <c r="C1189" s="4" t="s">
        <v>1049</v>
      </c>
      <c r="D1189" s="4">
        <v>2</v>
      </c>
      <c r="E1189" s="6">
        <v>349000</v>
      </c>
      <c r="F1189" t="str">
        <f>VLOOKUP(C1189,products!A:C,2,FALSE)</f>
        <v>Sepatu Sneakers Casual</v>
      </c>
      <c r="G1189">
        <f t="shared" si="36"/>
        <v>698000</v>
      </c>
      <c r="H1189">
        <f>VLOOKUP(C1189,products!A:D,4,FALSE)</f>
        <v>180000</v>
      </c>
      <c r="I1189">
        <f t="shared" si="37"/>
        <v>338000</v>
      </c>
      <c r="J1189" t="str">
        <f>VLOOKUP(B1189,orders!A:B,2,FALSE)</f>
        <v>CUST0091</v>
      </c>
      <c r="K1189" t="str">
        <f>VLOOKUP(J1189,customers!A:F,6,FALSE)</f>
        <v>Surabaya</v>
      </c>
    </row>
    <row r="1190" spans="1:11" x14ac:dyDescent="0.35">
      <c r="A1190" s="4" t="s">
        <v>2231</v>
      </c>
      <c r="B1190" s="4" t="s">
        <v>467</v>
      </c>
      <c r="C1190" s="4" t="s">
        <v>1325</v>
      </c>
      <c r="D1190" s="4">
        <v>1</v>
      </c>
      <c r="E1190" s="6">
        <v>199000</v>
      </c>
      <c r="F1190" t="str">
        <f>VLOOKUP(C1190,products!A:C,2,FALSE)</f>
        <v>Speaker Bluetooth Mini</v>
      </c>
      <c r="G1190">
        <f t="shared" si="36"/>
        <v>199000</v>
      </c>
      <c r="H1190">
        <f>VLOOKUP(C1190,products!A:D,4,FALSE)</f>
        <v>100000</v>
      </c>
      <c r="I1190">
        <f t="shared" si="37"/>
        <v>99000</v>
      </c>
      <c r="J1190" t="str">
        <f>VLOOKUP(B1190,orders!A:B,2,FALSE)</f>
        <v>CUST0091</v>
      </c>
      <c r="K1190" t="str">
        <f>VLOOKUP(J1190,customers!A:F,6,FALSE)</f>
        <v>Surabaya</v>
      </c>
    </row>
    <row r="1191" spans="1:11" x14ac:dyDescent="0.35">
      <c r="A1191" s="4" t="s">
        <v>2232</v>
      </c>
      <c r="B1191" s="4" t="s">
        <v>755</v>
      </c>
      <c r="C1191" s="4" t="s">
        <v>1023</v>
      </c>
      <c r="D1191" s="4">
        <v>1</v>
      </c>
      <c r="E1191" s="6">
        <v>69000</v>
      </c>
      <c r="F1191" t="str">
        <f>VLOOKUP(C1191,products!A:C,2,FALSE)</f>
        <v>Lampu LED Hias 5m</v>
      </c>
      <c r="G1191">
        <f t="shared" si="36"/>
        <v>69000</v>
      </c>
      <c r="H1191">
        <f>VLOOKUP(C1191,products!A:D,4,FALSE)</f>
        <v>30000</v>
      </c>
      <c r="I1191">
        <f t="shared" si="37"/>
        <v>39000</v>
      </c>
      <c r="J1191" t="str">
        <f>VLOOKUP(B1191,orders!A:B,2,FALSE)</f>
        <v>CUST0165</v>
      </c>
      <c r="K1191" t="str">
        <f>VLOOKUP(J1191,customers!A:F,6,FALSE)</f>
        <v>Bandung</v>
      </c>
    </row>
    <row r="1192" spans="1:11" x14ac:dyDescent="0.35">
      <c r="A1192" s="4" t="s">
        <v>2233</v>
      </c>
      <c r="B1192" s="4" t="s">
        <v>996</v>
      </c>
      <c r="C1192" s="4" t="s">
        <v>1049</v>
      </c>
      <c r="D1192" s="4">
        <v>1</v>
      </c>
      <c r="E1192" s="6">
        <v>349000</v>
      </c>
      <c r="F1192" t="str">
        <f>VLOOKUP(C1192,products!A:C,2,FALSE)</f>
        <v>Sepatu Sneakers Casual</v>
      </c>
      <c r="G1192">
        <f t="shared" si="36"/>
        <v>349000</v>
      </c>
      <c r="H1192">
        <f>VLOOKUP(C1192,products!A:D,4,FALSE)</f>
        <v>180000</v>
      </c>
      <c r="I1192">
        <f t="shared" si="37"/>
        <v>169000</v>
      </c>
      <c r="J1192" t="str">
        <f>VLOOKUP(B1192,orders!A:B,2,FALSE)</f>
        <v>CUST0200</v>
      </c>
      <c r="K1192" t="str">
        <f>VLOOKUP(J1192,customers!A:F,6,FALSE)</f>
        <v>Depok</v>
      </c>
    </row>
    <row r="1193" spans="1:11" x14ac:dyDescent="0.35">
      <c r="A1193" s="4" t="s">
        <v>2234</v>
      </c>
      <c r="B1193" s="4" t="s">
        <v>297</v>
      </c>
      <c r="C1193" s="4" t="s">
        <v>1023</v>
      </c>
      <c r="D1193" s="4">
        <v>1</v>
      </c>
      <c r="E1193" s="6">
        <v>69000</v>
      </c>
      <c r="F1193" t="str">
        <f>VLOOKUP(C1193,products!A:C,2,FALSE)</f>
        <v>Lampu LED Hias 5m</v>
      </c>
      <c r="G1193">
        <f t="shared" si="36"/>
        <v>69000</v>
      </c>
      <c r="H1193">
        <f>VLOOKUP(C1193,products!A:D,4,FALSE)</f>
        <v>30000</v>
      </c>
      <c r="I1193">
        <f t="shared" si="37"/>
        <v>39000</v>
      </c>
      <c r="J1193" t="str">
        <f>VLOOKUP(B1193,orders!A:B,2,FALSE)</f>
        <v>CUST0123</v>
      </c>
      <c r="K1193" t="str">
        <f>VLOOKUP(J1193,customers!A:F,6,FALSE)</f>
        <v>Jakarta</v>
      </c>
    </row>
    <row r="1194" spans="1:11" x14ac:dyDescent="0.35">
      <c r="A1194" s="4" t="s">
        <v>2235</v>
      </c>
      <c r="B1194" s="4" t="s">
        <v>577</v>
      </c>
      <c r="C1194" s="4" t="s">
        <v>1023</v>
      </c>
      <c r="D1194" s="4">
        <v>1</v>
      </c>
      <c r="E1194" s="6">
        <v>69000</v>
      </c>
      <c r="F1194" t="str">
        <f>VLOOKUP(C1194,products!A:C,2,FALSE)</f>
        <v>Lampu LED Hias 5m</v>
      </c>
      <c r="G1194">
        <f t="shared" si="36"/>
        <v>69000</v>
      </c>
      <c r="H1194">
        <f>VLOOKUP(C1194,products!A:D,4,FALSE)</f>
        <v>30000</v>
      </c>
      <c r="I1194">
        <f t="shared" si="37"/>
        <v>39000</v>
      </c>
      <c r="J1194" t="str">
        <f>VLOOKUP(B1194,orders!A:B,2,FALSE)</f>
        <v>CUST0035</v>
      </c>
      <c r="K1194" t="str">
        <f>VLOOKUP(J1194,customers!A:F,6,FALSE)</f>
        <v>Jakarta</v>
      </c>
    </row>
    <row r="1195" spans="1:11" x14ac:dyDescent="0.35">
      <c r="A1195" s="4" t="s">
        <v>2236</v>
      </c>
      <c r="B1195" s="4" t="s">
        <v>577</v>
      </c>
      <c r="C1195" s="4" t="s">
        <v>1029</v>
      </c>
      <c r="D1195" s="4">
        <v>1</v>
      </c>
      <c r="E1195" s="6">
        <v>39000</v>
      </c>
      <c r="F1195" t="str">
        <f>VLOOKUP(C1195,products!A:C,2,FALSE)</f>
        <v>Kabel Data USB-C</v>
      </c>
      <c r="G1195">
        <f t="shared" si="36"/>
        <v>39000</v>
      </c>
      <c r="H1195">
        <f>VLOOKUP(C1195,products!A:D,4,FALSE)</f>
        <v>15000</v>
      </c>
      <c r="I1195">
        <f t="shared" si="37"/>
        <v>24000</v>
      </c>
      <c r="J1195" t="str">
        <f>VLOOKUP(B1195,orders!A:B,2,FALSE)</f>
        <v>CUST0035</v>
      </c>
      <c r="K1195" t="str">
        <f>VLOOKUP(J1195,customers!A:F,6,FALSE)</f>
        <v>Jakarta</v>
      </c>
    </row>
    <row r="1196" spans="1:11" x14ac:dyDescent="0.35">
      <c r="A1196" s="4" t="s">
        <v>2237</v>
      </c>
      <c r="B1196" s="4" t="s">
        <v>577</v>
      </c>
      <c r="C1196" s="4" t="s">
        <v>1053</v>
      </c>
      <c r="D1196" s="4">
        <v>1</v>
      </c>
      <c r="E1196" s="6">
        <v>129000</v>
      </c>
      <c r="F1196" t="str">
        <f>VLOOKUP(C1196,products!A:C,2,FALSE)</f>
        <v>Charger Fast Charging 33W</v>
      </c>
      <c r="G1196">
        <f t="shared" si="36"/>
        <v>129000</v>
      </c>
      <c r="H1196">
        <f>VLOOKUP(C1196,products!A:D,4,FALSE)</f>
        <v>60000</v>
      </c>
      <c r="I1196">
        <f t="shared" si="37"/>
        <v>69000</v>
      </c>
      <c r="J1196" t="str">
        <f>VLOOKUP(B1196,orders!A:B,2,FALSE)</f>
        <v>CUST0035</v>
      </c>
      <c r="K1196" t="str">
        <f>VLOOKUP(J1196,customers!A:F,6,FALSE)</f>
        <v>Jakarta</v>
      </c>
    </row>
    <row r="1197" spans="1:11" x14ac:dyDescent="0.35">
      <c r="A1197" s="4" t="s">
        <v>2238</v>
      </c>
      <c r="B1197" s="4" t="s">
        <v>373</v>
      </c>
      <c r="C1197" s="4" t="s">
        <v>1023</v>
      </c>
      <c r="D1197" s="4">
        <v>1</v>
      </c>
      <c r="E1197" s="6">
        <v>69000</v>
      </c>
      <c r="F1197" t="str">
        <f>VLOOKUP(C1197,products!A:C,2,FALSE)</f>
        <v>Lampu LED Hias 5m</v>
      </c>
      <c r="G1197">
        <f t="shared" si="36"/>
        <v>69000</v>
      </c>
      <c r="H1197">
        <f>VLOOKUP(C1197,products!A:D,4,FALSE)</f>
        <v>30000</v>
      </c>
      <c r="I1197">
        <f t="shared" si="37"/>
        <v>39000</v>
      </c>
      <c r="J1197" t="str">
        <f>VLOOKUP(B1197,orders!A:B,2,FALSE)</f>
        <v>CUST0118</v>
      </c>
      <c r="K1197" t="str">
        <f>VLOOKUP(J1197,customers!A:F,6,FALSE)</f>
        <v>Jakarta</v>
      </c>
    </row>
    <row r="1198" spans="1:11" x14ac:dyDescent="0.35">
      <c r="A1198" s="4" t="s">
        <v>2239</v>
      </c>
      <c r="B1198" s="4" t="s">
        <v>373</v>
      </c>
      <c r="C1198" s="4" t="s">
        <v>1029</v>
      </c>
      <c r="D1198" s="4">
        <v>1</v>
      </c>
      <c r="E1198" s="6">
        <v>39000</v>
      </c>
      <c r="F1198" t="str">
        <f>VLOOKUP(C1198,products!A:C,2,FALSE)</f>
        <v>Kabel Data USB-C</v>
      </c>
      <c r="G1198">
        <f t="shared" si="36"/>
        <v>39000</v>
      </c>
      <c r="H1198">
        <f>VLOOKUP(C1198,products!A:D,4,FALSE)</f>
        <v>15000</v>
      </c>
      <c r="I1198">
        <f t="shared" si="37"/>
        <v>24000</v>
      </c>
      <c r="J1198" t="str">
        <f>VLOOKUP(B1198,orders!A:B,2,FALSE)</f>
        <v>CUST0118</v>
      </c>
      <c r="K1198" t="str">
        <f>VLOOKUP(J1198,customers!A:F,6,FALSE)</f>
        <v>Jakarta</v>
      </c>
    </row>
    <row r="1199" spans="1:11" x14ac:dyDescent="0.35">
      <c r="A1199" s="4" t="s">
        <v>2240</v>
      </c>
      <c r="B1199" s="4" t="s">
        <v>561</v>
      </c>
      <c r="C1199" s="4" t="s">
        <v>1023</v>
      </c>
      <c r="D1199" s="4">
        <v>1</v>
      </c>
      <c r="E1199" s="6">
        <v>69000</v>
      </c>
      <c r="F1199" t="str">
        <f>VLOOKUP(C1199,products!A:C,2,FALSE)</f>
        <v>Lampu LED Hias 5m</v>
      </c>
      <c r="G1199">
        <f t="shared" si="36"/>
        <v>69000</v>
      </c>
      <c r="H1199">
        <f>VLOOKUP(C1199,products!A:D,4,FALSE)</f>
        <v>30000</v>
      </c>
      <c r="I1199">
        <f t="shared" si="37"/>
        <v>39000</v>
      </c>
      <c r="J1199" t="str">
        <f>VLOOKUP(B1199,orders!A:B,2,FALSE)</f>
        <v>CUST0012</v>
      </c>
      <c r="K1199" t="str">
        <f>VLOOKUP(J1199,customers!A:F,6,FALSE)</f>
        <v>Surabaya</v>
      </c>
    </row>
    <row r="1200" spans="1:11" x14ac:dyDescent="0.35">
      <c r="A1200" s="4" t="s">
        <v>2241</v>
      </c>
      <c r="B1200" s="4" t="s">
        <v>845</v>
      </c>
      <c r="C1200" s="4" t="s">
        <v>1023</v>
      </c>
      <c r="D1200" s="4">
        <v>1</v>
      </c>
      <c r="E1200" s="6">
        <v>69000</v>
      </c>
      <c r="F1200" t="str">
        <f>VLOOKUP(C1200,products!A:C,2,FALSE)</f>
        <v>Lampu LED Hias 5m</v>
      </c>
      <c r="G1200">
        <f t="shared" si="36"/>
        <v>69000</v>
      </c>
      <c r="H1200">
        <f>VLOOKUP(C1200,products!A:D,4,FALSE)</f>
        <v>30000</v>
      </c>
      <c r="I1200">
        <f t="shared" si="37"/>
        <v>39000</v>
      </c>
      <c r="J1200" t="str">
        <f>VLOOKUP(B1200,orders!A:B,2,FALSE)</f>
        <v>CUST0080</v>
      </c>
      <c r="K1200" t="str">
        <f>VLOOKUP(J1200,customers!A:F,6,FALSE)</f>
        <v>Surabaya</v>
      </c>
    </row>
    <row r="1201" spans="1:11" x14ac:dyDescent="0.35">
      <c r="A1201" s="4" t="s">
        <v>2242</v>
      </c>
      <c r="B1201" s="4" t="s">
        <v>845</v>
      </c>
      <c r="C1201" s="4" t="s">
        <v>1033</v>
      </c>
      <c r="D1201" s="4">
        <v>2</v>
      </c>
      <c r="E1201" s="6">
        <v>55000</v>
      </c>
      <c r="F1201" t="str">
        <f>VLOOKUP(C1201,products!A:C,2,FALSE)</f>
        <v>Sapu + Pengki Set</v>
      </c>
      <c r="G1201">
        <f t="shared" si="36"/>
        <v>110000</v>
      </c>
      <c r="H1201">
        <f>VLOOKUP(C1201,products!A:D,4,FALSE)</f>
        <v>25000</v>
      </c>
      <c r="I1201">
        <f t="shared" si="37"/>
        <v>60000</v>
      </c>
      <c r="J1201" t="str">
        <f>VLOOKUP(B1201,orders!A:B,2,FALSE)</f>
        <v>CUST0080</v>
      </c>
      <c r="K1201" t="str">
        <f>VLOOKUP(J1201,customers!A:F,6,FALSE)</f>
        <v>Surabaya</v>
      </c>
    </row>
    <row r="1202" spans="1:11" x14ac:dyDescent="0.35">
      <c r="A1202" s="4" t="s">
        <v>2243</v>
      </c>
      <c r="B1202" s="4" t="s">
        <v>537</v>
      </c>
      <c r="C1202" s="4" t="s">
        <v>1025</v>
      </c>
      <c r="D1202" s="4">
        <v>2</v>
      </c>
      <c r="E1202" s="6">
        <v>179000</v>
      </c>
      <c r="F1202" t="str">
        <f>VLOOKUP(C1202,products!A:C,2,FALSE)</f>
        <v>Rak Penyimpanan Serbaguna</v>
      </c>
      <c r="G1202">
        <f t="shared" si="36"/>
        <v>358000</v>
      </c>
      <c r="H1202">
        <f>VLOOKUP(C1202,products!A:D,4,FALSE)</f>
        <v>90000</v>
      </c>
      <c r="I1202">
        <f t="shared" si="37"/>
        <v>178000</v>
      </c>
      <c r="J1202" t="str">
        <f>VLOOKUP(B1202,orders!A:B,2,FALSE)</f>
        <v>CUST0140</v>
      </c>
      <c r="K1202" t="str">
        <f>VLOOKUP(J1202,customers!A:F,6,FALSE)</f>
        <v>Depok</v>
      </c>
    </row>
    <row r="1203" spans="1:11" x14ac:dyDescent="0.35">
      <c r="A1203" s="4" t="s">
        <v>2244</v>
      </c>
      <c r="B1203" s="4" t="s">
        <v>537</v>
      </c>
      <c r="C1203" s="4" t="s">
        <v>1053</v>
      </c>
      <c r="D1203" s="4">
        <v>1</v>
      </c>
      <c r="E1203" s="6">
        <v>129000</v>
      </c>
      <c r="F1203" t="str">
        <f>VLOOKUP(C1203,products!A:C,2,FALSE)</f>
        <v>Charger Fast Charging 33W</v>
      </c>
      <c r="G1203">
        <f t="shared" si="36"/>
        <v>129000</v>
      </c>
      <c r="H1203">
        <f>VLOOKUP(C1203,products!A:D,4,FALSE)</f>
        <v>60000</v>
      </c>
      <c r="I1203">
        <f t="shared" si="37"/>
        <v>69000</v>
      </c>
      <c r="J1203" t="str">
        <f>VLOOKUP(B1203,orders!A:B,2,FALSE)</f>
        <v>CUST0140</v>
      </c>
      <c r="K1203" t="str">
        <f>VLOOKUP(J1203,customers!A:F,6,FALSE)</f>
        <v>Depok</v>
      </c>
    </row>
    <row r="1204" spans="1:11" x14ac:dyDescent="0.35">
      <c r="A1204" s="4" t="s">
        <v>2245</v>
      </c>
      <c r="B1204" s="4" t="s">
        <v>70</v>
      </c>
      <c r="C1204" s="4" t="s">
        <v>1023</v>
      </c>
      <c r="D1204" s="4">
        <v>1</v>
      </c>
      <c r="E1204" s="6">
        <v>69000</v>
      </c>
      <c r="F1204" t="str">
        <f>VLOOKUP(C1204,products!A:C,2,FALSE)</f>
        <v>Lampu LED Hias 5m</v>
      </c>
      <c r="G1204">
        <f t="shared" si="36"/>
        <v>69000</v>
      </c>
      <c r="H1204">
        <f>VLOOKUP(C1204,products!A:D,4,FALSE)</f>
        <v>30000</v>
      </c>
      <c r="I1204">
        <f t="shared" si="37"/>
        <v>39000</v>
      </c>
      <c r="J1204" t="str">
        <f>VLOOKUP(B1204,orders!A:B,2,FALSE)</f>
        <v>CUST0010</v>
      </c>
      <c r="K1204" t="str">
        <f>VLOOKUP(J1204,customers!A:F,6,FALSE)</f>
        <v>Bandung</v>
      </c>
    </row>
    <row r="1205" spans="1:11" x14ac:dyDescent="0.35">
      <c r="A1205" s="4" t="s">
        <v>2246</v>
      </c>
      <c r="B1205" s="4" t="s">
        <v>70</v>
      </c>
      <c r="C1205" s="4" t="s">
        <v>1044</v>
      </c>
      <c r="D1205" s="4">
        <v>3</v>
      </c>
      <c r="E1205" s="6">
        <v>329000</v>
      </c>
      <c r="F1205" t="str">
        <f>VLOOKUP(C1205,products!A:C,2,FALSE)</f>
        <v>Rice Cooker Mini 1.5L</v>
      </c>
      <c r="G1205">
        <f t="shared" si="36"/>
        <v>987000</v>
      </c>
      <c r="H1205">
        <f>VLOOKUP(C1205,products!A:D,4,FALSE)</f>
        <v>180000</v>
      </c>
      <c r="I1205">
        <f t="shared" si="37"/>
        <v>447000</v>
      </c>
      <c r="J1205" t="str">
        <f>VLOOKUP(B1205,orders!A:B,2,FALSE)</f>
        <v>CUST0010</v>
      </c>
      <c r="K1205" t="str">
        <f>VLOOKUP(J1205,customers!A:F,6,FALSE)</f>
        <v>Bandung</v>
      </c>
    </row>
    <row r="1206" spans="1:11" x14ac:dyDescent="0.35">
      <c r="A1206" s="4" t="s">
        <v>2247</v>
      </c>
      <c r="B1206" s="4" t="s">
        <v>70</v>
      </c>
      <c r="C1206" s="4" t="s">
        <v>1029</v>
      </c>
      <c r="D1206" s="4">
        <v>1</v>
      </c>
      <c r="E1206" s="6">
        <v>39000</v>
      </c>
      <c r="F1206" t="str">
        <f>VLOOKUP(C1206,products!A:C,2,FALSE)</f>
        <v>Kabel Data USB-C</v>
      </c>
      <c r="G1206">
        <f t="shared" si="36"/>
        <v>39000</v>
      </c>
      <c r="H1206">
        <f>VLOOKUP(C1206,products!A:D,4,FALSE)</f>
        <v>15000</v>
      </c>
      <c r="I1206">
        <f t="shared" si="37"/>
        <v>24000</v>
      </c>
      <c r="J1206" t="str">
        <f>VLOOKUP(B1206,orders!A:B,2,FALSE)</f>
        <v>CUST0010</v>
      </c>
      <c r="K1206" t="str">
        <f>VLOOKUP(J1206,customers!A:F,6,FALSE)</f>
        <v>Bandung</v>
      </c>
    </row>
    <row r="1207" spans="1:11" x14ac:dyDescent="0.35">
      <c r="A1207" s="4" t="s">
        <v>2248</v>
      </c>
      <c r="B1207" s="4" t="s">
        <v>288</v>
      </c>
      <c r="C1207" s="4" t="s">
        <v>1031</v>
      </c>
      <c r="D1207" s="4">
        <v>2</v>
      </c>
      <c r="E1207" s="6">
        <v>79000</v>
      </c>
      <c r="F1207" t="str">
        <f>VLOOKUP(C1207,products!A:C,2,FALSE)</f>
        <v>Kaos Polos Cotton Combed</v>
      </c>
      <c r="G1207">
        <f t="shared" si="36"/>
        <v>158000</v>
      </c>
      <c r="H1207">
        <f>VLOOKUP(C1207,products!A:D,4,FALSE)</f>
        <v>35000</v>
      </c>
      <c r="I1207">
        <f t="shared" si="37"/>
        <v>88000</v>
      </c>
      <c r="J1207" t="str">
        <f>VLOOKUP(B1207,orders!A:B,2,FALSE)</f>
        <v>CUST0049</v>
      </c>
      <c r="K1207" t="str">
        <f>VLOOKUP(J1207,customers!A:F,6,FALSE)</f>
        <v>Medan</v>
      </c>
    </row>
    <row r="1208" spans="1:11" x14ac:dyDescent="0.35">
      <c r="A1208" s="4" t="s">
        <v>2249</v>
      </c>
      <c r="B1208" s="4" t="s">
        <v>288</v>
      </c>
      <c r="C1208" s="4" t="s">
        <v>1023</v>
      </c>
      <c r="D1208" s="4">
        <v>2</v>
      </c>
      <c r="E1208" s="6">
        <v>69000</v>
      </c>
      <c r="F1208" t="str">
        <f>VLOOKUP(C1208,products!A:C,2,FALSE)</f>
        <v>Lampu LED Hias 5m</v>
      </c>
      <c r="G1208">
        <f t="shared" si="36"/>
        <v>138000</v>
      </c>
      <c r="H1208">
        <f>VLOOKUP(C1208,products!A:D,4,FALSE)</f>
        <v>30000</v>
      </c>
      <c r="I1208">
        <f t="shared" si="37"/>
        <v>78000</v>
      </c>
      <c r="J1208" t="str">
        <f>VLOOKUP(B1208,orders!A:B,2,FALSE)</f>
        <v>CUST0049</v>
      </c>
      <c r="K1208" t="str">
        <f>VLOOKUP(J1208,customers!A:F,6,FALSE)</f>
        <v>Medan</v>
      </c>
    </row>
    <row r="1209" spans="1:11" x14ac:dyDescent="0.35">
      <c r="A1209" s="4" t="s">
        <v>2250</v>
      </c>
      <c r="B1209" s="4" t="s">
        <v>288</v>
      </c>
      <c r="C1209" s="4" t="s">
        <v>1033</v>
      </c>
      <c r="D1209" s="4">
        <v>1</v>
      </c>
      <c r="E1209" s="6">
        <v>55000</v>
      </c>
      <c r="F1209" t="str">
        <f>VLOOKUP(C1209,products!A:C,2,FALSE)</f>
        <v>Sapu + Pengki Set</v>
      </c>
      <c r="G1209">
        <f t="shared" si="36"/>
        <v>55000</v>
      </c>
      <c r="H1209">
        <f>VLOOKUP(C1209,products!A:D,4,FALSE)</f>
        <v>25000</v>
      </c>
      <c r="I1209">
        <f t="shared" si="37"/>
        <v>30000</v>
      </c>
      <c r="J1209" t="str">
        <f>VLOOKUP(B1209,orders!A:B,2,FALSE)</f>
        <v>CUST0049</v>
      </c>
      <c r="K1209" t="str">
        <f>VLOOKUP(J1209,customers!A:F,6,FALSE)</f>
        <v>Medan</v>
      </c>
    </row>
    <row r="1210" spans="1:11" x14ac:dyDescent="0.35">
      <c r="A1210" s="4" t="s">
        <v>2251</v>
      </c>
      <c r="B1210" s="4" t="s">
        <v>930</v>
      </c>
      <c r="C1210" s="4" t="s">
        <v>1029</v>
      </c>
      <c r="D1210" s="4">
        <v>1</v>
      </c>
      <c r="E1210" s="6">
        <v>39000</v>
      </c>
      <c r="F1210" t="str">
        <f>VLOOKUP(C1210,products!A:C,2,FALSE)</f>
        <v>Kabel Data USB-C</v>
      </c>
      <c r="G1210">
        <f t="shared" si="36"/>
        <v>39000</v>
      </c>
      <c r="H1210">
        <f>VLOOKUP(C1210,products!A:D,4,FALSE)</f>
        <v>15000</v>
      </c>
      <c r="I1210">
        <f t="shared" si="37"/>
        <v>24000</v>
      </c>
      <c r="J1210" t="str">
        <f>VLOOKUP(B1210,orders!A:B,2,FALSE)</f>
        <v>CUST0200</v>
      </c>
      <c r="K1210" t="str">
        <f>VLOOKUP(J1210,customers!A:F,6,FALSE)</f>
        <v>Depok</v>
      </c>
    </row>
    <row r="1211" spans="1:11" x14ac:dyDescent="0.35">
      <c r="A1211" s="4" t="s">
        <v>2252</v>
      </c>
      <c r="B1211" s="4" t="s">
        <v>566</v>
      </c>
      <c r="C1211" s="4" t="s">
        <v>1033</v>
      </c>
      <c r="D1211" s="4">
        <v>2</v>
      </c>
      <c r="E1211" s="6">
        <v>55000</v>
      </c>
      <c r="F1211" t="str">
        <f>VLOOKUP(C1211,products!A:C,2,FALSE)</f>
        <v>Sapu + Pengki Set</v>
      </c>
      <c r="G1211">
        <f t="shared" si="36"/>
        <v>110000</v>
      </c>
      <c r="H1211">
        <f>VLOOKUP(C1211,products!A:D,4,FALSE)</f>
        <v>25000</v>
      </c>
      <c r="I1211">
        <f t="shared" si="37"/>
        <v>60000</v>
      </c>
      <c r="J1211" t="str">
        <f>VLOOKUP(B1211,orders!A:B,2,FALSE)</f>
        <v>CUST0085</v>
      </c>
      <c r="K1211" t="str">
        <f>VLOOKUP(J1211,customers!A:F,6,FALSE)</f>
        <v>Jakarta</v>
      </c>
    </row>
    <row r="1212" spans="1:11" x14ac:dyDescent="0.35">
      <c r="A1212" s="4" t="s">
        <v>2253</v>
      </c>
      <c r="B1212" s="4" t="s">
        <v>566</v>
      </c>
      <c r="C1212" s="4" t="s">
        <v>1046</v>
      </c>
      <c r="D1212" s="4">
        <v>2</v>
      </c>
      <c r="E1212" s="6">
        <v>139000</v>
      </c>
      <c r="F1212" t="str">
        <f>VLOOKUP(C1212,products!A:C,2,FALSE)</f>
        <v>Wajan Anti Lengket 24cm</v>
      </c>
      <c r="G1212">
        <f t="shared" si="36"/>
        <v>278000</v>
      </c>
      <c r="H1212">
        <f>VLOOKUP(C1212,products!A:D,4,FALSE)</f>
        <v>65000</v>
      </c>
      <c r="I1212">
        <f t="shared" si="37"/>
        <v>148000</v>
      </c>
      <c r="J1212" t="str">
        <f>VLOOKUP(B1212,orders!A:B,2,FALSE)</f>
        <v>CUST0085</v>
      </c>
      <c r="K1212" t="str">
        <f>VLOOKUP(J1212,customers!A:F,6,FALSE)</f>
        <v>Jakarta</v>
      </c>
    </row>
    <row r="1213" spans="1:11" x14ac:dyDescent="0.35">
      <c r="A1213" s="4" t="s">
        <v>2254</v>
      </c>
      <c r="B1213" s="4" t="s">
        <v>341</v>
      </c>
      <c r="C1213" s="4" t="s">
        <v>1023</v>
      </c>
      <c r="D1213" s="4">
        <v>1</v>
      </c>
      <c r="E1213" s="6">
        <v>69000</v>
      </c>
      <c r="F1213" t="str">
        <f>VLOOKUP(C1213,products!A:C,2,FALSE)</f>
        <v>Lampu LED Hias 5m</v>
      </c>
      <c r="G1213">
        <f t="shared" si="36"/>
        <v>69000</v>
      </c>
      <c r="H1213">
        <f>VLOOKUP(C1213,products!A:D,4,FALSE)</f>
        <v>30000</v>
      </c>
      <c r="I1213">
        <f t="shared" si="37"/>
        <v>39000</v>
      </c>
      <c r="J1213" t="str">
        <f>VLOOKUP(B1213,orders!A:B,2,FALSE)</f>
        <v>CUST0095</v>
      </c>
      <c r="K1213" t="str">
        <f>VLOOKUP(J1213,customers!A:F,6,FALSE)</f>
        <v>Medan</v>
      </c>
    </row>
    <row r="1214" spans="1:11" x14ac:dyDescent="0.35">
      <c r="A1214" s="4" t="s">
        <v>2255</v>
      </c>
      <c r="B1214" s="4" t="s">
        <v>435</v>
      </c>
      <c r="C1214" s="4" t="s">
        <v>1023</v>
      </c>
      <c r="D1214" s="4">
        <v>2</v>
      </c>
      <c r="E1214" s="6">
        <v>69000</v>
      </c>
      <c r="F1214" t="str">
        <f>VLOOKUP(C1214,products!A:C,2,FALSE)</f>
        <v>Lampu LED Hias 5m</v>
      </c>
      <c r="G1214">
        <f t="shared" si="36"/>
        <v>138000</v>
      </c>
      <c r="H1214">
        <f>VLOOKUP(C1214,products!A:D,4,FALSE)</f>
        <v>30000</v>
      </c>
      <c r="I1214">
        <f t="shared" si="37"/>
        <v>78000</v>
      </c>
      <c r="J1214" t="str">
        <f>VLOOKUP(B1214,orders!A:B,2,FALSE)</f>
        <v>CUST0103</v>
      </c>
      <c r="K1214" t="str">
        <f>VLOOKUP(J1214,customers!A:F,6,FALSE)</f>
        <v>Semarang</v>
      </c>
    </row>
    <row r="1215" spans="1:11" x14ac:dyDescent="0.35">
      <c r="A1215" s="4" t="s">
        <v>2256</v>
      </c>
      <c r="B1215" s="4" t="s">
        <v>875</v>
      </c>
      <c r="C1215" s="4" t="s">
        <v>1023</v>
      </c>
      <c r="D1215" s="4">
        <v>1</v>
      </c>
      <c r="E1215" s="6">
        <v>69000</v>
      </c>
      <c r="F1215" t="str">
        <f>VLOOKUP(C1215,products!A:C,2,FALSE)</f>
        <v>Lampu LED Hias 5m</v>
      </c>
      <c r="G1215">
        <f t="shared" si="36"/>
        <v>69000</v>
      </c>
      <c r="H1215">
        <f>VLOOKUP(C1215,products!A:D,4,FALSE)</f>
        <v>30000</v>
      </c>
      <c r="I1215">
        <f t="shared" si="37"/>
        <v>39000</v>
      </c>
      <c r="J1215" t="str">
        <f>VLOOKUP(B1215,orders!A:B,2,FALSE)</f>
        <v>CUST0099</v>
      </c>
      <c r="K1215" t="str">
        <f>VLOOKUP(J1215,customers!A:F,6,FALSE)</f>
        <v>Depok</v>
      </c>
    </row>
    <row r="1216" spans="1:11" x14ac:dyDescent="0.35">
      <c r="A1216" s="4" t="s">
        <v>2257</v>
      </c>
      <c r="B1216" s="4" t="s">
        <v>875</v>
      </c>
      <c r="C1216" s="4" t="s">
        <v>1025</v>
      </c>
      <c r="D1216" s="4">
        <v>2</v>
      </c>
      <c r="E1216" s="6">
        <v>179000</v>
      </c>
      <c r="F1216" t="str">
        <f>VLOOKUP(C1216,products!A:C,2,FALSE)</f>
        <v>Rak Penyimpanan Serbaguna</v>
      </c>
      <c r="G1216">
        <f t="shared" si="36"/>
        <v>358000</v>
      </c>
      <c r="H1216">
        <f>VLOOKUP(C1216,products!A:D,4,FALSE)</f>
        <v>90000</v>
      </c>
      <c r="I1216">
        <f t="shared" si="37"/>
        <v>178000</v>
      </c>
      <c r="J1216" t="str">
        <f>VLOOKUP(B1216,orders!A:B,2,FALSE)</f>
        <v>CUST0099</v>
      </c>
      <c r="K1216" t="str">
        <f>VLOOKUP(J1216,customers!A:F,6,FALSE)</f>
        <v>Depok</v>
      </c>
    </row>
    <row r="1217" spans="1:11" x14ac:dyDescent="0.35">
      <c r="A1217" s="4" t="s">
        <v>2258</v>
      </c>
      <c r="B1217" s="4" t="s">
        <v>599</v>
      </c>
      <c r="C1217" s="4" t="s">
        <v>1029</v>
      </c>
      <c r="D1217" s="4">
        <v>1</v>
      </c>
      <c r="E1217" s="6">
        <v>39000</v>
      </c>
      <c r="F1217" t="str">
        <f>VLOOKUP(C1217,products!A:C,2,FALSE)</f>
        <v>Kabel Data USB-C</v>
      </c>
      <c r="G1217">
        <f t="shared" si="36"/>
        <v>39000</v>
      </c>
      <c r="H1217">
        <f>VLOOKUP(C1217,products!A:D,4,FALSE)</f>
        <v>15000</v>
      </c>
      <c r="I1217">
        <f t="shared" si="37"/>
        <v>24000</v>
      </c>
      <c r="J1217" t="str">
        <f>VLOOKUP(B1217,orders!A:B,2,FALSE)</f>
        <v>CUST0178</v>
      </c>
      <c r="K1217" t="str">
        <f>VLOOKUP(J1217,customers!A:F,6,FALSE)</f>
        <v>Jakarta</v>
      </c>
    </row>
    <row r="1218" spans="1:11" x14ac:dyDescent="0.35">
      <c r="A1218" s="4" t="s">
        <v>2259</v>
      </c>
      <c r="B1218" s="4" t="s">
        <v>778</v>
      </c>
      <c r="C1218" s="4" t="s">
        <v>1025</v>
      </c>
      <c r="D1218" s="4">
        <v>1</v>
      </c>
      <c r="E1218" s="6">
        <v>179000</v>
      </c>
      <c r="F1218" t="str">
        <f>VLOOKUP(C1218,products!A:C,2,FALSE)</f>
        <v>Rak Penyimpanan Serbaguna</v>
      </c>
      <c r="G1218">
        <f t="shared" si="36"/>
        <v>179000</v>
      </c>
      <c r="H1218">
        <f>VLOOKUP(C1218,products!A:D,4,FALSE)</f>
        <v>90000</v>
      </c>
      <c r="I1218">
        <f t="shared" si="37"/>
        <v>89000</v>
      </c>
      <c r="J1218" t="str">
        <f>VLOOKUP(B1218,orders!A:B,2,FALSE)</f>
        <v>CUST0133</v>
      </c>
      <c r="K1218" t="str">
        <f>VLOOKUP(J1218,customers!A:F,6,FALSE)</f>
        <v>Palembang</v>
      </c>
    </row>
    <row r="1219" spans="1:11" x14ac:dyDescent="0.35">
      <c r="A1219" s="4" t="s">
        <v>2260</v>
      </c>
      <c r="B1219" s="4" t="s">
        <v>174</v>
      </c>
      <c r="C1219" s="4" t="s">
        <v>1076</v>
      </c>
      <c r="D1219" s="4">
        <v>1</v>
      </c>
      <c r="E1219" s="6">
        <v>499000</v>
      </c>
      <c r="F1219" t="str">
        <f>VLOOKUP(C1219,products!A:C,2,FALSE)</f>
        <v>Smartwatch Lite</v>
      </c>
      <c r="G1219">
        <f t="shared" ref="G1219:G1282" si="38">D1219*E1219</f>
        <v>499000</v>
      </c>
      <c r="H1219">
        <f>VLOOKUP(C1219,products!A:D,4,FALSE)</f>
        <v>250000</v>
      </c>
      <c r="I1219">
        <f t="shared" ref="I1219:I1282" si="39">(E1219-H1219)*D1219</f>
        <v>249000</v>
      </c>
      <c r="J1219" t="str">
        <f>VLOOKUP(B1219,orders!A:B,2,FALSE)</f>
        <v>CUST0022</v>
      </c>
      <c r="K1219" t="str">
        <f>VLOOKUP(J1219,customers!A:F,6,FALSE)</f>
        <v>Jakarta</v>
      </c>
    </row>
    <row r="1220" spans="1:11" x14ac:dyDescent="0.35">
      <c r="A1220" s="4" t="s">
        <v>2261</v>
      </c>
      <c r="B1220" s="4" t="s">
        <v>461</v>
      </c>
      <c r="C1220" s="4" t="s">
        <v>1029</v>
      </c>
      <c r="D1220" s="4">
        <v>1</v>
      </c>
      <c r="E1220" s="6">
        <v>39000</v>
      </c>
      <c r="F1220" t="str">
        <f>VLOOKUP(C1220,products!A:C,2,FALSE)</f>
        <v>Kabel Data USB-C</v>
      </c>
      <c r="G1220">
        <f t="shared" si="38"/>
        <v>39000</v>
      </c>
      <c r="H1220">
        <f>VLOOKUP(C1220,products!A:D,4,FALSE)</f>
        <v>15000</v>
      </c>
      <c r="I1220">
        <f t="shared" si="39"/>
        <v>24000</v>
      </c>
      <c r="J1220" t="str">
        <f>VLOOKUP(B1220,orders!A:B,2,FALSE)</f>
        <v>CUST0021</v>
      </c>
      <c r="K1220" t="str">
        <f>VLOOKUP(J1220,customers!A:F,6,FALSE)</f>
        <v>Jakarta</v>
      </c>
    </row>
    <row r="1221" spans="1:11" x14ac:dyDescent="0.35">
      <c r="A1221" s="4" t="s">
        <v>2262</v>
      </c>
      <c r="B1221" s="4" t="s">
        <v>461</v>
      </c>
      <c r="C1221" s="4" t="s">
        <v>1031</v>
      </c>
      <c r="D1221" s="4">
        <v>1</v>
      </c>
      <c r="E1221" s="6">
        <v>79000</v>
      </c>
      <c r="F1221" t="str">
        <f>VLOOKUP(C1221,products!A:C,2,FALSE)</f>
        <v>Kaos Polos Cotton Combed</v>
      </c>
      <c r="G1221">
        <f t="shared" si="38"/>
        <v>79000</v>
      </c>
      <c r="H1221">
        <f>VLOOKUP(C1221,products!A:D,4,FALSE)</f>
        <v>35000</v>
      </c>
      <c r="I1221">
        <f t="shared" si="39"/>
        <v>44000</v>
      </c>
      <c r="J1221" t="str">
        <f>VLOOKUP(B1221,orders!A:B,2,FALSE)</f>
        <v>CUST0021</v>
      </c>
      <c r="K1221" t="str">
        <f>VLOOKUP(J1221,customers!A:F,6,FALSE)</f>
        <v>Jakarta</v>
      </c>
    </row>
    <row r="1222" spans="1:11" x14ac:dyDescent="0.35">
      <c r="A1222" s="4" t="s">
        <v>2263</v>
      </c>
      <c r="B1222" s="4" t="s">
        <v>771</v>
      </c>
      <c r="C1222" s="4" t="s">
        <v>1025</v>
      </c>
      <c r="D1222" s="4">
        <v>1</v>
      </c>
      <c r="E1222" s="6">
        <v>179000</v>
      </c>
      <c r="F1222" t="str">
        <f>VLOOKUP(C1222,products!A:C,2,FALSE)</f>
        <v>Rak Penyimpanan Serbaguna</v>
      </c>
      <c r="G1222">
        <f t="shared" si="38"/>
        <v>179000</v>
      </c>
      <c r="H1222">
        <f>VLOOKUP(C1222,products!A:D,4,FALSE)</f>
        <v>90000</v>
      </c>
      <c r="I1222">
        <f t="shared" si="39"/>
        <v>89000</v>
      </c>
      <c r="J1222" t="str">
        <f>VLOOKUP(B1222,orders!A:B,2,FALSE)</f>
        <v>CUST0047</v>
      </c>
      <c r="K1222" t="str">
        <f>VLOOKUP(J1222,customers!A:F,6,FALSE)</f>
        <v>Depok</v>
      </c>
    </row>
    <row r="1223" spans="1:11" x14ac:dyDescent="0.35">
      <c r="A1223" s="4" t="s">
        <v>2264</v>
      </c>
      <c r="B1223" s="4" t="s">
        <v>981</v>
      </c>
      <c r="C1223" s="4" t="s">
        <v>1023</v>
      </c>
      <c r="D1223" s="4">
        <v>2</v>
      </c>
      <c r="E1223" s="6">
        <v>69000</v>
      </c>
      <c r="F1223" t="str">
        <f>VLOOKUP(C1223,products!A:C,2,FALSE)</f>
        <v>Lampu LED Hias 5m</v>
      </c>
      <c r="G1223">
        <f t="shared" si="38"/>
        <v>138000</v>
      </c>
      <c r="H1223">
        <f>VLOOKUP(C1223,products!A:D,4,FALSE)</f>
        <v>30000</v>
      </c>
      <c r="I1223">
        <f t="shared" si="39"/>
        <v>78000</v>
      </c>
      <c r="J1223" t="str">
        <f>VLOOKUP(B1223,orders!A:B,2,FALSE)</f>
        <v>CUST0083</v>
      </c>
      <c r="K1223" t="str">
        <f>VLOOKUP(J1223,customers!A:F,6,FALSE)</f>
        <v>Jakarta</v>
      </c>
    </row>
    <row r="1224" spans="1:11" x14ac:dyDescent="0.35">
      <c r="A1224" s="4" t="s">
        <v>2265</v>
      </c>
      <c r="B1224" s="4" t="s">
        <v>981</v>
      </c>
      <c r="C1224" s="4" t="s">
        <v>1025</v>
      </c>
      <c r="D1224" s="4">
        <v>2</v>
      </c>
      <c r="E1224" s="6">
        <v>179000</v>
      </c>
      <c r="F1224" t="str">
        <f>VLOOKUP(C1224,products!A:C,2,FALSE)</f>
        <v>Rak Penyimpanan Serbaguna</v>
      </c>
      <c r="G1224">
        <f t="shared" si="38"/>
        <v>358000</v>
      </c>
      <c r="H1224">
        <f>VLOOKUP(C1224,products!A:D,4,FALSE)</f>
        <v>90000</v>
      </c>
      <c r="I1224">
        <f t="shared" si="39"/>
        <v>178000</v>
      </c>
      <c r="J1224" t="str">
        <f>VLOOKUP(B1224,orders!A:B,2,FALSE)</f>
        <v>CUST0083</v>
      </c>
      <c r="K1224" t="str">
        <f>VLOOKUP(J1224,customers!A:F,6,FALSE)</f>
        <v>Jakarta</v>
      </c>
    </row>
    <row r="1225" spans="1:11" x14ac:dyDescent="0.35">
      <c r="A1225" s="4" t="s">
        <v>2266</v>
      </c>
      <c r="B1225" s="4" t="s">
        <v>256</v>
      </c>
      <c r="C1225" s="4" t="s">
        <v>1049</v>
      </c>
      <c r="D1225" s="4">
        <v>3</v>
      </c>
      <c r="E1225" s="6">
        <v>349000</v>
      </c>
      <c r="F1225" t="str">
        <f>VLOOKUP(C1225,products!A:C,2,FALSE)</f>
        <v>Sepatu Sneakers Casual</v>
      </c>
      <c r="G1225">
        <f t="shared" si="38"/>
        <v>1047000</v>
      </c>
      <c r="H1225">
        <f>VLOOKUP(C1225,products!A:D,4,FALSE)</f>
        <v>180000</v>
      </c>
      <c r="I1225">
        <f t="shared" si="39"/>
        <v>507000</v>
      </c>
      <c r="J1225" t="str">
        <f>VLOOKUP(B1225,orders!A:B,2,FALSE)</f>
        <v>CUST0170</v>
      </c>
      <c r="K1225" t="str">
        <f>VLOOKUP(J1225,customers!A:F,6,FALSE)</f>
        <v>Medan</v>
      </c>
    </row>
    <row r="1226" spans="1:11" x14ac:dyDescent="0.35">
      <c r="A1226" s="4" t="s">
        <v>2267</v>
      </c>
      <c r="B1226" s="4" t="s">
        <v>129</v>
      </c>
      <c r="C1226" s="4" t="s">
        <v>1029</v>
      </c>
      <c r="D1226" s="4">
        <v>3</v>
      </c>
      <c r="E1226" s="6">
        <v>39000</v>
      </c>
      <c r="F1226" t="str">
        <f>VLOOKUP(C1226,products!A:C,2,FALSE)</f>
        <v>Kabel Data USB-C</v>
      </c>
      <c r="G1226">
        <f t="shared" si="38"/>
        <v>117000</v>
      </c>
      <c r="H1226">
        <f>VLOOKUP(C1226,products!A:D,4,FALSE)</f>
        <v>15000</v>
      </c>
      <c r="I1226">
        <f t="shared" si="39"/>
        <v>72000</v>
      </c>
      <c r="J1226" t="str">
        <f>VLOOKUP(B1226,orders!A:B,2,FALSE)</f>
        <v>CUST0155</v>
      </c>
      <c r="K1226" t="str">
        <f>VLOOKUP(J1226,customers!A:F,6,FALSE)</f>
        <v>Yogyakarta</v>
      </c>
    </row>
    <row r="1227" spans="1:11" x14ac:dyDescent="0.35">
      <c r="A1227" s="4" t="s">
        <v>2268</v>
      </c>
      <c r="B1227" s="4" t="s">
        <v>129</v>
      </c>
      <c r="C1227" s="4" t="s">
        <v>1053</v>
      </c>
      <c r="D1227" s="4">
        <v>1</v>
      </c>
      <c r="E1227" s="6">
        <v>129000</v>
      </c>
      <c r="F1227" t="str">
        <f>VLOOKUP(C1227,products!A:C,2,FALSE)</f>
        <v>Charger Fast Charging 33W</v>
      </c>
      <c r="G1227">
        <f t="shared" si="38"/>
        <v>129000</v>
      </c>
      <c r="H1227">
        <f>VLOOKUP(C1227,products!A:D,4,FALSE)</f>
        <v>60000</v>
      </c>
      <c r="I1227">
        <f t="shared" si="39"/>
        <v>69000</v>
      </c>
      <c r="J1227" t="str">
        <f>VLOOKUP(B1227,orders!A:B,2,FALSE)</f>
        <v>CUST0155</v>
      </c>
      <c r="K1227" t="str">
        <f>VLOOKUP(J1227,customers!A:F,6,FALSE)</f>
        <v>Yogyakarta</v>
      </c>
    </row>
    <row r="1228" spans="1:11" x14ac:dyDescent="0.35">
      <c r="A1228" s="4" t="s">
        <v>2269</v>
      </c>
      <c r="B1228" s="4" t="s">
        <v>199</v>
      </c>
      <c r="C1228" s="4" t="s">
        <v>1029</v>
      </c>
      <c r="D1228" s="4">
        <v>1</v>
      </c>
      <c r="E1228" s="6">
        <v>39000</v>
      </c>
      <c r="F1228" t="str">
        <f>VLOOKUP(C1228,products!A:C,2,FALSE)</f>
        <v>Kabel Data USB-C</v>
      </c>
      <c r="G1228">
        <f t="shared" si="38"/>
        <v>39000</v>
      </c>
      <c r="H1228">
        <f>VLOOKUP(C1228,products!A:D,4,FALSE)</f>
        <v>15000</v>
      </c>
      <c r="I1228">
        <f t="shared" si="39"/>
        <v>24000</v>
      </c>
      <c r="J1228" t="str">
        <f>VLOOKUP(B1228,orders!A:B,2,FALSE)</f>
        <v>CUST0114</v>
      </c>
      <c r="K1228" t="str">
        <f>VLOOKUP(J1228,customers!A:F,6,FALSE)</f>
        <v>Denpasar</v>
      </c>
    </row>
    <row r="1229" spans="1:11" x14ac:dyDescent="0.35">
      <c r="A1229" s="4" t="s">
        <v>2270</v>
      </c>
      <c r="B1229" s="4" t="s">
        <v>199</v>
      </c>
      <c r="C1229" s="4" t="s">
        <v>1023</v>
      </c>
      <c r="D1229" s="4">
        <v>2</v>
      </c>
      <c r="E1229" s="6">
        <v>69000</v>
      </c>
      <c r="F1229" t="str">
        <f>VLOOKUP(C1229,products!A:C,2,FALSE)</f>
        <v>Lampu LED Hias 5m</v>
      </c>
      <c r="G1229">
        <f t="shared" si="38"/>
        <v>138000</v>
      </c>
      <c r="H1229">
        <f>VLOOKUP(C1229,products!A:D,4,FALSE)</f>
        <v>30000</v>
      </c>
      <c r="I1229">
        <f t="shared" si="39"/>
        <v>78000</v>
      </c>
      <c r="J1229" t="str">
        <f>VLOOKUP(B1229,orders!A:B,2,FALSE)</f>
        <v>CUST0114</v>
      </c>
      <c r="K1229" t="str">
        <f>VLOOKUP(J1229,customers!A:F,6,FALSE)</f>
        <v>Denpasar</v>
      </c>
    </row>
    <row r="1230" spans="1:11" x14ac:dyDescent="0.35">
      <c r="A1230" s="4" t="s">
        <v>2271</v>
      </c>
      <c r="B1230" s="4" t="s">
        <v>199</v>
      </c>
      <c r="C1230" s="4" t="s">
        <v>1053</v>
      </c>
      <c r="D1230" s="4">
        <v>1</v>
      </c>
      <c r="E1230" s="6">
        <v>129000</v>
      </c>
      <c r="F1230" t="str">
        <f>VLOOKUP(C1230,products!A:C,2,FALSE)</f>
        <v>Charger Fast Charging 33W</v>
      </c>
      <c r="G1230">
        <f t="shared" si="38"/>
        <v>129000</v>
      </c>
      <c r="H1230">
        <f>VLOOKUP(C1230,products!A:D,4,FALSE)</f>
        <v>60000</v>
      </c>
      <c r="I1230">
        <f t="shared" si="39"/>
        <v>69000</v>
      </c>
      <c r="J1230" t="str">
        <f>VLOOKUP(B1230,orders!A:B,2,FALSE)</f>
        <v>CUST0114</v>
      </c>
      <c r="K1230" t="str">
        <f>VLOOKUP(J1230,customers!A:F,6,FALSE)</f>
        <v>Denpasar</v>
      </c>
    </row>
    <row r="1231" spans="1:11" x14ac:dyDescent="0.35">
      <c r="A1231" s="4" t="s">
        <v>2272</v>
      </c>
      <c r="B1231" s="4" t="s">
        <v>199</v>
      </c>
      <c r="C1231" s="4" t="s">
        <v>1033</v>
      </c>
      <c r="D1231" s="4">
        <v>3</v>
      </c>
      <c r="E1231" s="6">
        <v>55000</v>
      </c>
      <c r="F1231" t="str">
        <f>VLOOKUP(C1231,products!A:C,2,FALSE)</f>
        <v>Sapu + Pengki Set</v>
      </c>
      <c r="G1231">
        <f t="shared" si="38"/>
        <v>165000</v>
      </c>
      <c r="H1231">
        <f>VLOOKUP(C1231,products!A:D,4,FALSE)</f>
        <v>25000</v>
      </c>
      <c r="I1231">
        <f t="shared" si="39"/>
        <v>90000</v>
      </c>
      <c r="J1231" t="str">
        <f>VLOOKUP(B1231,orders!A:B,2,FALSE)</f>
        <v>CUST0114</v>
      </c>
      <c r="K1231" t="str">
        <f>VLOOKUP(J1231,customers!A:F,6,FALSE)</f>
        <v>Denpasar</v>
      </c>
    </row>
    <row r="1232" spans="1:11" x14ac:dyDescent="0.35">
      <c r="A1232" s="4" t="s">
        <v>2273</v>
      </c>
      <c r="B1232" s="4" t="s">
        <v>914</v>
      </c>
      <c r="C1232" s="4" t="s">
        <v>1082</v>
      </c>
      <c r="D1232" s="4">
        <v>1</v>
      </c>
      <c r="E1232" s="6">
        <v>399000</v>
      </c>
      <c r="F1232" t="str">
        <f>VLOOKUP(C1232,products!A:C,2,FALSE)</f>
        <v>Keyboard Mechanical Mini</v>
      </c>
      <c r="G1232">
        <f t="shared" si="38"/>
        <v>399000</v>
      </c>
      <c r="H1232">
        <f>VLOOKUP(C1232,products!A:D,4,FALSE)</f>
        <v>200000</v>
      </c>
      <c r="I1232">
        <f t="shared" si="39"/>
        <v>199000</v>
      </c>
      <c r="J1232" t="str">
        <f>VLOOKUP(B1232,orders!A:B,2,FALSE)</f>
        <v>CUST0187</v>
      </c>
      <c r="K1232" t="str">
        <f>VLOOKUP(J1232,customers!A:F,6,FALSE)</f>
        <v>Jakarta</v>
      </c>
    </row>
    <row r="1233" spans="1:11" x14ac:dyDescent="0.35">
      <c r="A1233" s="4" t="s">
        <v>2274</v>
      </c>
      <c r="B1233" s="4" t="s">
        <v>914</v>
      </c>
      <c r="C1233" s="4" t="s">
        <v>1031</v>
      </c>
      <c r="D1233" s="4">
        <v>2</v>
      </c>
      <c r="E1233" s="6">
        <v>79000</v>
      </c>
      <c r="F1233" t="str">
        <f>VLOOKUP(C1233,products!A:C,2,FALSE)</f>
        <v>Kaos Polos Cotton Combed</v>
      </c>
      <c r="G1233">
        <f t="shared" si="38"/>
        <v>158000</v>
      </c>
      <c r="H1233">
        <f>VLOOKUP(C1233,products!A:D,4,FALSE)</f>
        <v>35000</v>
      </c>
      <c r="I1233">
        <f t="shared" si="39"/>
        <v>88000</v>
      </c>
      <c r="J1233" t="str">
        <f>VLOOKUP(B1233,orders!A:B,2,FALSE)</f>
        <v>CUST0187</v>
      </c>
      <c r="K1233" t="str">
        <f>VLOOKUP(J1233,customers!A:F,6,FALSE)</f>
        <v>Jakarta</v>
      </c>
    </row>
    <row r="1234" spans="1:11" x14ac:dyDescent="0.35">
      <c r="A1234" s="4" t="s">
        <v>2275</v>
      </c>
      <c r="B1234" s="4" t="s">
        <v>914</v>
      </c>
      <c r="C1234" s="4" t="s">
        <v>1025</v>
      </c>
      <c r="D1234" s="4">
        <v>1</v>
      </c>
      <c r="E1234" s="6">
        <v>179000</v>
      </c>
      <c r="F1234" t="str">
        <f>VLOOKUP(C1234,products!A:C,2,FALSE)</f>
        <v>Rak Penyimpanan Serbaguna</v>
      </c>
      <c r="G1234">
        <f t="shared" si="38"/>
        <v>179000</v>
      </c>
      <c r="H1234">
        <f>VLOOKUP(C1234,products!A:D,4,FALSE)</f>
        <v>90000</v>
      </c>
      <c r="I1234">
        <f t="shared" si="39"/>
        <v>89000</v>
      </c>
      <c r="J1234" t="str">
        <f>VLOOKUP(B1234,orders!A:B,2,FALSE)</f>
        <v>CUST0187</v>
      </c>
      <c r="K1234" t="str">
        <f>VLOOKUP(J1234,customers!A:F,6,FALSE)</f>
        <v>Jakarta</v>
      </c>
    </row>
    <row r="1235" spans="1:11" x14ac:dyDescent="0.35">
      <c r="A1235" s="4" t="s">
        <v>2276</v>
      </c>
      <c r="B1235" s="4" t="s">
        <v>914</v>
      </c>
      <c r="C1235" s="4" t="s">
        <v>1029</v>
      </c>
      <c r="D1235" s="4">
        <v>1</v>
      </c>
      <c r="E1235" s="6">
        <v>39000</v>
      </c>
      <c r="F1235" t="str">
        <f>VLOOKUP(C1235,products!A:C,2,FALSE)</f>
        <v>Kabel Data USB-C</v>
      </c>
      <c r="G1235">
        <f t="shared" si="38"/>
        <v>39000</v>
      </c>
      <c r="H1235">
        <f>VLOOKUP(C1235,products!A:D,4,FALSE)</f>
        <v>15000</v>
      </c>
      <c r="I1235">
        <f t="shared" si="39"/>
        <v>24000</v>
      </c>
      <c r="J1235" t="str">
        <f>VLOOKUP(B1235,orders!A:B,2,FALSE)</f>
        <v>CUST0187</v>
      </c>
      <c r="K1235" t="str">
        <f>VLOOKUP(J1235,customers!A:F,6,FALSE)</f>
        <v>Jakarta</v>
      </c>
    </row>
    <row r="1236" spans="1:11" x14ac:dyDescent="0.35">
      <c r="A1236" s="4" t="s">
        <v>2277</v>
      </c>
      <c r="B1236" s="4" t="s">
        <v>997</v>
      </c>
      <c r="C1236" s="4" t="s">
        <v>1023</v>
      </c>
      <c r="D1236" s="4">
        <v>1</v>
      </c>
      <c r="E1236" s="6">
        <v>69000</v>
      </c>
      <c r="F1236" t="str">
        <f>VLOOKUP(C1236,products!A:C,2,FALSE)</f>
        <v>Lampu LED Hias 5m</v>
      </c>
      <c r="G1236">
        <f t="shared" si="38"/>
        <v>69000</v>
      </c>
      <c r="H1236">
        <f>VLOOKUP(C1236,products!A:D,4,FALSE)</f>
        <v>30000</v>
      </c>
      <c r="I1236">
        <f t="shared" si="39"/>
        <v>39000</v>
      </c>
      <c r="J1236" t="str">
        <f>VLOOKUP(B1236,orders!A:B,2,FALSE)</f>
        <v>CUST0091</v>
      </c>
      <c r="K1236" t="str">
        <f>VLOOKUP(J1236,customers!A:F,6,FALSE)</f>
        <v>Surabaya</v>
      </c>
    </row>
    <row r="1237" spans="1:11" x14ac:dyDescent="0.35">
      <c r="A1237" s="4" t="s">
        <v>2278</v>
      </c>
      <c r="B1237" s="4" t="s">
        <v>997</v>
      </c>
      <c r="C1237" s="4" t="s">
        <v>1029</v>
      </c>
      <c r="D1237" s="4">
        <v>1</v>
      </c>
      <c r="E1237" s="6">
        <v>39000</v>
      </c>
      <c r="F1237" t="str">
        <f>VLOOKUP(C1237,products!A:C,2,FALSE)</f>
        <v>Kabel Data USB-C</v>
      </c>
      <c r="G1237">
        <f t="shared" si="38"/>
        <v>39000</v>
      </c>
      <c r="H1237">
        <f>VLOOKUP(C1237,products!A:D,4,FALSE)</f>
        <v>15000</v>
      </c>
      <c r="I1237">
        <f t="shared" si="39"/>
        <v>24000</v>
      </c>
      <c r="J1237" t="str">
        <f>VLOOKUP(B1237,orders!A:B,2,FALSE)</f>
        <v>CUST0091</v>
      </c>
      <c r="K1237" t="str">
        <f>VLOOKUP(J1237,customers!A:F,6,FALSE)</f>
        <v>Surabaya</v>
      </c>
    </row>
    <row r="1238" spans="1:11" x14ac:dyDescent="0.35">
      <c r="A1238" s="4" t="s">
        <v>2279</v>
      </c>
      <c r="B1238" s="4" t="s">
        <v>803</v>
      </c>
      <c r="C1238" s="4" t="s">
        <v>1029</v>
      </c>
      <c r="D1238" s="4">
        <v>2</v>
      </c>
      <c r="E1238" s="6">
        <v>39000</v>
      </c>
      <c r="F1238" t="str">
        <f>VLOOKUP(C1238,products!A:C,2,FALSE)</f>
        <v>Kabel Data USB-C</v>
      </c>
      <c r="G1238">
        <f t="shared" si="38"/>
        <v>78000</v>
      </c>
      <c r="H1238">
        <f>VLOOKUP(C1238,products!A:D,4,FALSE)</f>
        <v>15000</v>
      </c>
      <c r="I1238">
        <f t="shared" si="39"/>
        <v>48000</v>
      </c>
      <c r="J1238" t="str">
        <f>VLOOKUP(B1238,orders!A:B,2,FALSE)</f>
        <v>CUST0071</v>
      </c>
      <c r="K1238" t="str">
        <f>VLOOKUP(J1238,customers!A:F,6,FALSE)</f>
        <v>Denpasar</v>
      </c>
    </row>
    <row r="1239" spans="1:11" x14ac:dyDescent="0.35">
      <c r="A1239" s="4" t="s">
        <v>2280</v>
      </c>
      <c r="B1239" s="4" t="s">
        <v>90</v>
      </c>
      <c r="C1239" s="4" t="s">
        <v>1023</v>
      </c>
      <c r="D1239" s="4">
        <v>1</v>
      </c>
      <c r="E1239" s="6">
        <v>69000</v>
      </c>
      <c r="F1239" t="str">
        <f>VLOOKUP(C1239,products!A:C,2,FALSE)</f>
        <v>Lampu LED Hias 5m</v>
      </c>
      <c r="G1239">
        <f t="shared" si="38"/>
        <v>69000</v>
      </c>
      <c r="H1239">
        <f>VLOOKUP(C1239,products!A:D,4,FALSE)</f>
        <v>30000</v>
      </c>
      <c r="I1239">
        <f t="shared" si="39"/>
        <v>39000</v>
      </c>
      <c r="J1239" t="str">
        <f>VLOOKUP(B1239,orders!A:B,2,FALSE)</f>
        <v>CUST0015</v>
      </c>
      <c r="K1239" t="str">
        <f>VLOOKUP(J1239,customers!A:F,6,FALSE)</f>
        <v>Semarang</v>
      </c>
    </row>
    <row r="1240" spans="1:11" x14ac:dyDescent="0.35">
      <c r="A1240" s="4" t="s">
        <v>2281</v>
      </c>
      <c r="B1240" s="4" t="s">
        <v>958</v>
      </c>
      <c r="C1240" s="4" t="s">
        <v>1031</v>
      </c>
      <c r="D1240" s="4">
        <v>1</v>
      </c>
      <c r="E1240" s="6">
        <v>79000</v>
      </c>
      <c r="F1240" t="str">
        <f>VLOOKUP(C1240,products!A:C,2,FALSE)</f>
        <v>Kaos Polos Cotton Combed</v>
      </c>
      <c r="G1240">
        <f t="shared" si="38"/>
        <v>79000</v>
      </c>
      <c r="H1240">
        <f>VLOOKUP(C1240,products!A:D,4,FALSE)</f>
        <v>35000</v>
      </c>
      <c r="I1240">
        <f t="shared" si="39"/>
        <v>44000</v>
      </c>
      <c r="J1240" t="str">
        <f>VLOOKUP(B1240,orders!A:B,2,FALSE)</f>
        <v>CUST0164</v>
      </c>
      <c r="K1240" t="str">
        <f>VLOOKUP(J1240,customers!A:F,6,FALSE)</f>
        <v>Semarang</v>
      </c>
    </row>
    <row r="1241" spans="1:11" x14ac:dyDescent="0.35">
      <c r="A1241" s="4" t="s">
        <v>2282</v>
      </c>
      <c r="B1241" s="4" t="s">
        <v>958</v>
      </c>
      <c r="C1241" s="4" t="s">
        <v>1023</v>
      </c>
      <c r="D1241" s="4">
        <v>1</v>
      </c>
      <c r="E1241" s="6">
        <v>69000</v>
      </c>
      <c r="F1241" t="str">
        <f>VLOOKUP(C1241,products!A:C,2,FALSE)</f>
        <v>Lampu LED Hias 5m</v>
      </c>
      <c r="G1241">
        <f t="shared" si="38"/>
        <v>69000</v>
      </c>
      <c r="H1241">
        <f>VLOOKUP(C1241,products!A:D,4,FALSE)</f>
        <v>30000</v>
      </c>
      <c r="I1241">
        <f t="shared" si="39"/>
        <v>39000</v>
      </c>
      <c r="J1241" t="str">
        <f>VLOOKUP(B1241,orders!A:B,2,FALSE)</f>
        <v>CUST0164</v>
      </c>
      <c r="K1241" t="str">
        <f>VLOOKUP(J1241,customers!A:F,6,FALSE)</f>
        <v>Semarang</v>
      </c>
    </row>
    <row r="1242" spans="1:11" x14ac:dyDescent="0.35">
      <c r="A1242" s="4" t="s">
        <v>2283</v>
      </c>
      <c r="B1242" s="4" t="s">
        <v>958</v>
      </c>
      <c r="C1242" s="4" t="s">
        <v>1025</v>
      </c>
      <c r="D1242" s="4">
        <v>1</v>
      </c>
      <c r="E1242" s="6">
        <v>179000</v>
      </c>
      <c r="F1242" t="str">
        <f>VLOOKUP(C1242,products!A:C,2,FALSE)</f>
        <v>Rak Penyimpanan Serbaguna</v>
      </c>
      <c r="G1242">
        <f t="shared" si="38"/>
        <v>179000</v>
      </c>
      <c r="H1242">
        <f>VLOOKUP(C1242,products!A:D,4,FALSE)</f>
        <v>90000</v>
      </c>
      <c r="I1242">
        <f t="shared" si="39"/>
        <v>89000</v>
      </c>
      <c r="J1242" t="str">
        <f>VLOOKUP(B1242,orders!A:B,2,FALSE)</f>
        <v>CUST0164</v>
      </c>
      <c r="K1242" t="str">
        <f>VLOOKUP(J1242,customers!A:F,6,FALSE)</f>
        <v>Semarang</v>
      </c>
    </row>
    <row r="1243" spans="1:11" x14ac:dyDescent="0.35">
      <c r="A1243" s="4" t="s">
        <v>2284</v>
      </c>
      <c r="B1243" s="4" t="s">
        <v>600</v>
      </c>
      <c r="C1243" s="4" t="s">
        <v>1025</v>
      </c>
      <c r="D1243" s="4">
        <v>1</v>
      </c>
      <c r="E1243" s="6">
        <v>179000</v>
      </c>
      <c r="F1243" t="str">
        <f>VLOOKUP(C1243,products!A:C,2,FALSE)</f>
        <v>Rak Penyimpanan Serbaguna</v>
      </c>
      <c r="G1243">
        <f t="shared" si="38"/>
        <v>179000</v>
      </c>
      <c r="H1243">
        <f>VLOOKUP(C1243,products!A:D,4,FALSE)</f>
        <v>90000</v>
      </c>
      <c r="I1243">
        <f t="shared" si="39"/>
        <v>89000</v>
      </c>
      <c r="J1243" t="str">
        <f>VLOOKUP(B1243,orders!A:B,2,FALSE)</f>
        <v>CUST0192</v>
      </c>
      <c r="K1243" t="str">
        <f>VLOOKUP(J1243,customers!A:F,6,FALSE)</f>
        <v>Semarang</v>
      </c>
    </row>
    <row r="1244" spans="1:11" x14ac:dyDescent="0.35">
      <c r="A1244" s="4" t="s">
        <v>2285</v>
      </c>
      <c r="B1244" s="4" t="s">
        <v>1000</v>
      </c>
      <c r="C1244" s="4" t="s">
        <v>1023</v>
      </c>
      <c r="D1244" s="4">
        <v>1</v>
      </c>
      <c r="E1244" s="6">
        <v>69000</v>
      </c>
      <c r="F1244" t="str">
        <f>VLOOKUP(C1244,products!A:C,2,FALSE)</f>
        <v>Lampu LED Hias 5m</v>
      </c>
      <c r="G1244">
        <f t="shared" si="38"/>
        <v>69000</v>
      </c>
      <c r="H1244">
        <f>VLOOKUP(C1244,products!A:D,4,FALSE)</f>
        <v>30000</v>
      </c>
      <c r="I1244">
        <f t="shared" si="39"/>
        <v>39000</v>
      </c>
      <c r="J1244" t="str">
        <f>VLOOKUP(B1244,orders!A:B,2,FALSE)</f>
        <v>CUST0037</v>
      </c>
      <c r="K1244" t="str">
        <f>VLOOKUP(J1244,customers!A:F,6,FALSE)</f>
        <v>Jakarta</v>
      </c>
    </row>
    <row r="1245" spans="1:11" x14ac:dyDescent="0.35">
      <c r="A1245" s="4" t="s">
        <v>2286</v>
      </c>
      <c r="B1245" s="4" t="s">
        <v>1000</v>
      </c>
      <c r="C1245" s="4" t="s">
        <v>1033</v>
      </c>
      <c r="D1245" s="4">
        <v>1</v>
      </c>
      <c r="E1245" s="6">
        <v>55000</v>
      </c>
      <c r="F1245" t="str">
        <f>VLOOKUP(C1245,products!A:C,2,FALSE)</f>
        <v>Sapu + Pengki Set</v>
      </c>
      <c r="G1245">
        <f t="shared" si="38"/>
        <v>55000</v>
      </c>
      <c r="H1245">
        <f>VLOOKUP(C1245,products!A:D,4,FALSE)</f>
        <v>25000</v>
      </c>
      <c r="I1245">
        <f t="shared" si="39"/>
        <v>30000</v>
      </c>
      <c r="J1245" t="str">
        <f>VLOOKUP(B1245,orders!A:B,2,FALSE)</f>
        <v>CUST0037</v>
      </c>
      <c r="K1245" t="str">
        <f>VLOOKUP(J1245,customers!A:F,6,FALSE)</f>
        <v>Jakarta</v>
      </c>
    </row>
    <row r="1246" spans="1:11" x14ac:dyDescent="0.35">
      <c r="A1246" s="4" t="s">
        <v>2287</v>
      </c>
      <c r="B1246" s="4" t="s">
        <v>811</v>
      </c>
      <c r="C1246" s="4" t="s">
        <v>1023</v>
      </c>
      <c r="D1246" s="4">
        <v>1</v>
      </c>
      <c r="E1246" s="6">
        <v>69000</v>
      </c>
      <c r="F1246" t="str">
        <f>VLOOKUP(C1246,products!A:C,2,FALSE)</f>
        <v>Lampu LED Hias 5m</v>
      </c>
      <c r="G1246">
        <f t="shared" si="38"/>
        <v>69000</v>
      </c>
      <c r="H1246">
        <f>VLOOKUP(C1246,products!A:D,4,FALSE)</f>
        <v>30000</v>
      </c>
      <c r="I1246">
        <f t="shared" si="39"/>
        <v>39000</v>
      </c>
      <c r="J1246" t="str">
        <f>VLOOKUP(B1246,orders!A:B,2,FALSE)</f>
        <v>CUST0113</v>
      </c>
      <c r="K1246" t="str">
        <f>VLOOKUP(J1246,customers!A:F,6,FALSE)</f>
        <v>Surabaya</v>
      </c>
    </row>
    <row r="1247" spans="1:11" x14ac:dyDescent="0.35">
      <c r="A1247" s="4" t="s">
        <v>2288</v>
      </c>
      <c r="B1247" s="4" t="s">
        <v>323</v>
      </c>
      <c r="C1247" s="4" t="s">
        <v>1082</v>
      </c>
      <c r="D1247" s="4">
        <v>3</v>
      </c>
      <c r="E1247" s="6">
        <v>399000</v>
      </c>
      <c r="F1247" t="str">
        <f>VLOOKUP(C1247,products!A:C,2,FALSE)</f>
        <v>Keyboard Mechanical Mini</v>
      </c>
      <c r="G1247">
        <f t="shared" si="38"/>
        <v>1197000</v>
      </c>
      <c r="H1247">
        <f>VLOOKUP(C1247,products!A:D,4,FALSE)</f>
        <v>200000</v>
      </c>
      <c r="I1247">
        <f t="shared" si="39"/>
        <v>597000</v>
      </c>
      <c r="J1247" t="str">
        <f>VLOOKUP(B1247,orders!A:B,2,FALSE)</f>
        <v>CUST0018</v>
      </c>
      <c r="K1247" t="str">
        <f>VLOOKUP(J1247,customers!A:F,6,FALSE)</f>
        <v>Denpasar</v>
      </c>
    </row>
    <row r="1248" spans="1:11" x14ac:dyDescent="0.35">
      <c r="A1248" s="4" t="s">
        <v>2289</v>
      </c>
      <c r="B1248" s="4" t="s">
        <v>878</v>
      </c>
      <c r="C1248" s="4" t="s">
        <v>1053</v>
      </c>
      <c r="D1248" s="4">
        <v>1</v>
      </c>
      <c r="E1248" s="6">
        <v>129000</v>
      </c>
      <c r="F1248" t="str">
        <f>VLOOKUP(C1248,products!A:C,2,FALSE)</f>
        <v>Charger Fast Charging 33W</v>
      </c>
      <c r="G1248">
        <f t="shared" si="38"/>
        <v>129000</v>
      </c>
      <c r="H1248">
        <f>VLOOKUP(C1248,products!A:D,4,FALSE)</f>
        <v>60000</v>
      </c>
      <c r="I1248">
        <f t="shared" si="39"/>
        <v>69000</v>
      </c>
      <c r="J1248" t="str">
        <f>VLOOKUP(B1248,orders!A:B,2,FALSE)</f>
        <v>CUST0166</v>
      </c>
      <c r="K1248" t="str">
        <f>VLOOKUP(J1248,customers!A:F,6,FALSE)</f>
        <v>Bandung</v>
      </c>
    </row>
    <row r="1249" spans="1:11" x14ac:dyDescent="0.35">
      <c r="A1249" s="4" t="s">
        <v>2290</v>
      </c>
      <c r="B1249" s="4" t="s">
        <v>878</v>
      </c>
      <c r="C1249" s="4" t="s">
        <v>1023</v>
      </c>
      <c r="D1249" s="4">
        <v>1</v>
      </c>
      <c r="E1249" s="6">
        <v>69000</v>
      </c>
      <c r="F1249" t="str">
        <f>VLOOKUP(C1249,products!A:C,2,FALSE)</f>
        <v>Lampu LED Hias 5m</v>
      </c>
      <c r="G1249">
        <f t="shared" si="38"/>
        <v>69000</v>
      </c>
      <c r="H1249">
        <f>VLOOKUP(C1249,products!A:D,4,FALSE)</f>
        <v>30000</v>
      </c>
      <c r="I1249">
        <f t="shared" si="39"/>
        <v>39000</v>
      </c>
      <c r="J1249" t="str">
        <f>VLOOKUP(B1249,orders!A:B,2,FALSE)</f>
        <v>CUST0166</v>
      </c>
      <c r="K1249" t="str">
        <f>VLOOKUP(J1249,customers!A:F,6,FALSE)</f>
        <v>Bandung</v>
      </c>
    </row>
    <row r="1250" spans="1:11" x14ac:dyDescent="0.35">
      <c r="A1250" s="4" t="s">
        <v>2291</v>
      </c>
      <c r="B1250" s="4" t="s">
        <v>878</v>
      </c>
      <c r="C1250" s="4" t="s">
        <v>1044</v>
      </c>
      <c r="D1250" s="4">
        <v>1</v>
      </c>
      <c r="E1250" s="6">
        <v>329000</v>
      </c>
      <c r="F1250" t="str">
        <f>VLOOKUP(C1250,products!A:C,2,FALSE)</f>
        <v>Rice Cooker Mini 1.5L</v>
      </c>
      <c r="G1250">
        <f t="shared" si="38"/>
        <v>329000</v>
      </c>
      <c r="H1250">
        <f>VLOOKUP(C1250,products!A:D,4,FALSE)</f>
        <v>180000</v>
      </c>
      <c r="I1250">
        <f t="shared" si="39"/>
        <v>149000</v>
      </c>
      <c r="J1250" t="str">
        <f>VLOOKUP(B1250,orders!A:B,2,FALSE)</f>
        <v>CUST0166</v>
      </c>
      <c r="K1250" t="str">
        <f>VLOOKUP(J1250,customers!A:F,6,FALSE)</f>
        <v>Bandung</v>
      </c>
    </row>
    <row r="1251" spans="1:11" x14ac:dyDescent="0.35">
      <c r="A1251" s="4" t="s">
        <v>2292</v>
      </c>
      <c r="B1251" s="4" t="s">
        <v>878</v>
      </c>
      <c r="C1251" s="4" t="s">
        <v>1029</v>
      </c>
      <c r="D1251" s="4">
        <v>2</v>
      </c>
      <c r="E1251" s="6">
        <v>39000</v>
      </c>
      <c r="F1251" t="str">
        <f>VLOOKUP(C1251,products!A:C,2,FALSE)</f>
        <v>Kabel Data USB-C</v>
      </c>
      <c r="G1251">
        <f t="shared" si="38"/>
        <v>78000</v>
      </c>
      <c r="H1251">
        <f>VLOOKUP(C1251,products!A:D,4,FALSE)</f>
        <v>15000</v>
      </c>
      <c r="I1251">
        <f t="shared" si="39"/>
        <v>48000</v>
      </c>
      <c r="J1251" t="str">
        <f>VLOOKUP(B1251,orders!A:B,2,FALSE)</f>
        <v>CUST0166</v>
      </c>
      <c r="K1251" t="str">
        <f>VLOOKUP(J1251,customers!A:F,6,FALSE)</f>
        <v>Bandung</v>
      </c>
    </row>
    <row r="1252" spans="1:11" x14ac:dyDescent="0.35">
      <c r="A1252" s="4" t="s">
        <v>2293</v>
      </c>
      <c r="B1252" s="4" t="s">
        <v>901</v>
      </c>
      <c r="C1252" s="4" t="s">
        <v>1029</v>
      </c>
      <c r="D1252" s="4">
        <v>1</v>
      </c>
      <c r="E1252" s="6">
        <v>39000</v>
      </c>
      <c r="F1252" t="str">
        <f>VLOOKUP(C1252,products!A:C,2,FALSE)</f>
        <v>Kabel Data USB-C</v>
      </c>
      <c r="G1252">
        <f t="shared" si="38"/>
        <v>39000</v>
      </c>
      <c r="H1252">
        <f>VLOOKUP(C1252,products!A:D,4,FALSE)</f>
        <v>15000</v>
      </c>
      <c r="I1252">
        <f t="shared" si="39"/>
        <v>24000</v>
      </c>
      <c r="J1252" t="str">
        <f>VLOOKUP(B1252,orders!A:B,2,FALSE)</f>
        <v>CUST0099</v>
      </c>
      <c r="K1252" t="str">
        <f>VLOOKUP(J1252,customers!A:F,6,FALSE)</f>
        <v>Depok</v>
      </c>
    </row>
    <row r="1253" spans="1:11" x14ac:dyDescent="0.35">
      <c r="A1253" s="4" t="s">
        <v>2294</v>
      </c>
      <c r="B1253" s="4" t="s">
        <v>901</v>
      </c>
      <c r="C1253" s="4" t="s">
        <v>1023</v>
      </c>
      <c r="D1253" s="4">
        <v>1</v>
      </c>
      <c r="E1253" s="6">
        <v>69000</v>
      </c>
      <c r="F1253" t="str">
        <f>VLOOKUP(C1253,products!A:C,2,FALSE)</f>
        <v>Lampu LED Hias 5m</v>
      </c>
      <c r="G1253">
        <f t="shared" si="38"/>
        <v>69000</v>
      </c>
      <c r="H1253">
        <f>VLOOKUP(C1253,products!A:D,4,FALSE)</f>
        <v>30000</v>
      </c>
      <c r="I1253">
        <f t="shared" si="39"/>
        <v>39000</v>
      </c>
      <c r="J1253" t="str">
        <f>VLOOKUP(B1253,orders!A:B,2,FALSE)</f>
        <v>CUST0099</v>
      </c>
      <c r="K1253" t="str">
        <f>VLOOKUP(J1253,customers!A:F,6,FALSE)</f>
        <v>Depok</v>
      </c>
    </row>
    <row r="1254" spans="1:11" x14ac:dyDescent="0.35">
      <c r="A1254" s="4" t="s">
        <v>2295</v>
      </c>
      <c r="B1254" s="4" t="s">
        <v>893</v>
      </c>
      <c r="C1254" s="4" t="s">
        <v>1023</v>
      </c>
      <c r="D1254" s="4">
        <v>2</v>
      </c>
      <c r="E1254" s="6">
        <v>69000</v>
      </c>
      <c r="F1254" t="str">
        <f>VLOOKUP(C1254,products!A:C,2,FALSE)</f>
        <v>Lampu LED Hias 5m</v>
      </c>
      <c r="G1254">
        <f t="shared" si="38"/>
        <v>138000</v>
      </c>
      <c r="H1254">
        <f>VLOOKUP(C1254,products!A:D,4,FALSE)</f>
        <v>30000</v>
      </c>
      <c r="I1254">
        <f t="shared" si="39"/>
        <v>78000</v>
      </c>
      <c r="J1254" t="str">
        <f>VLOOKUP(B1254,orders!A:B,2,FALSE)</f>
        <v>CUST0040</v>
      </c>
      <c r="K1254" t="str">
        <f>VLOOKUP(J1254,customers!A:F,6,FALSE)</f>
        <v>Bandung</v>
      </c>
    </row>
    <row r="1255" spans="1:11" x14ac:dyDescent="0.35">
      <c r="A1255" s="4" t="s">
        <v>2296</v>
      </c>
      <c r="B1255" s="4" t="s">
        <v>915</v>
      </c>
      <c r="C1255" s="4" t="s">
        <v>1049</v>
      </c>
      <c r="D1255" s="4">
        <v>1</v>
      </c>
      <c r="E1255" s="6">
        <v>349000</v>
      </c>
      <c r="F1255" t="str">
        <f>VLOOKUP(C1255,products!A:C,2,FALSE)</f>
        <v>Sepatu Sneakers Casual</v>
      </c>
      <c r="G1255">
        <f t="shared" si="38"/>
        <v>349000</v>
      </c>
      <c r="H1255">
        <f>VLOOKUP(C1255,products!A:D,4,FALSE)</f>
        <v>180000</v>
      </c>
      <c r="I1255">
        <f t="shared" si="39"/>
        <v>169000</v>
      </c>
      <c r="J1255" t="str">
        <f>VLOOKUP(B1255,orders!A:B,2,FALSE)</f>
        <v>CUST0096</v>
      </c>
      <c r="K1255" t="str">
        <f>VLOOKUP(J1255,customers!A:F,6,FALSE)</f>
        <v>Jakarta</v>
      </c>
    </row>
    <row r="1256" spans="1:11" x14ac:dyDescent="0.35">
      <c r="A1256" s="4" t="s">
        <v>2297</v>
      </c>
      <c r="B1256" s="4" t="s">
        <v>478</v>
      </c>
      <c r="C1256" s="4" t="s">
        <v>1029</v>
      </c>
      <c r="D1256" s="4">
        <v>1</v>
      </c>
      <c r="E1256" s="6">
        <v>39000</v>
      </c>
      <c r="F1256" t="str">
        <f>VLOOKUP(C1256,products!A:C,2,FALSE)</f>
        <v>Kabel Data USB-C</v>
      </c>
      <c r="G1256">
        <f t="shared" si="38"/>
        <v>39000</v>
      </c>
      <c r="H1256">
        <f>VLOOKUP(C1256,products!A:D,4,FALSE)</f>
        <v>15000</v>
      </c>
      <c r="I1256">
        <f t="shared" si="39"/>
        <v>24000</v>
      </c>
      <c r="J1256" t="str">
        <f>VLOOKUP(B1256,orders!A:B,2,FALSE)</f>
        <v>CUST0020</v>
      </c>
      <c r="K1256" t="str">
        <f>VLOOKUP(J1256,customers!A:F,6,FALSE)</f>
        <v>Makassar</v>
      </c>
    </row>
    <row r="1257" spans="1:11" x14ac:dyDescent="0.35">
      <c r="A1257" s="4" t="s">
        <v>2298</v>
      </c>
      <c r="B1257" s="4" t="s">
        <v>478</v>
      </c>
      <c r="C1257" s="4" t="s">
        <v>1033</v>
      </c>
      <c r="D1257" s="4">
        <v>1</v>
      </c>
      <c r="E1257" s="6">
        <v>55000</v>
      </c>
      <c r="F1257" t="str">
        <f>VLOOKUP(C1257,products!A:C,2,FALSE)</f>
        <v>Sapu + Pengki Set</v>
      </c>
      <c r="G1257">
        <f t="shared" si="38"/>
        <v>55000</v>
      </c>
      <c r="H1257">
        <f>VLOOKUP(C1257,products!A:D,4,FALSE)</f>
        <v>25000</v>
      </c>
      <c r="I1257">
        <f t="shared" si="39"/>
        <v>30000</v>
      </c>
      <c r="J1257" t="str">
        <f>VLOOKUP(B1257,orders!A:B,2,FALSE)</f>
        <v>CUST0020</v>
      </c>
      <c r="K1257" t="str">
        <f>VLOOKUP(J1257,customers!A:F,6,FALSE)</f>
        <v>Makassar</v>
      </c>
    </row>
    <row r="1258" spans="1:11" x14ac:dyDescent="0.35">
      <c r="A1258" s="4" t="s">
        <v>2299</v>
      </c>
      <c r="B1258" s="4" t="s">
        <v>728</v>
      </c>
      <c r="C1258" s="4" t="s">
        <v>1029</v>
      </c>
      <c r="D1258" s="4">
        <v>1</v>
      </c>
      <c r="E1258" s="6">
        <v>39000</v>
      </c>
      <c r="F1258" t="str">
        <f>VLOOKUP(C1258,products!A:C,2,FALSE)</f>
        <v>Kabel Data USB-C</v>
      </c>
      <c r="G1258">
        <f t="shared" si="38"/>
        <v>39000</v>
      </c>
      <c r="H1258">
        <f>VLOOKUP(C1258,products!A:D,4,FALSE)</f>
        <v>15000</v>
      </c>
      <c r="I1258">
        <f t="shared" si="39"/>
        <v>24000</v>
      </c>
      <c r="J1258" t="str">
        <f>VLOOKUP(B1258,orders!A:B,2,FALSE)</f>
        <v>CUST0094</v>
      </c>
      <c r="K1258" t="str">
        <f>VLOOKUP(J1258,customers!A:F,6,FALSE)</f>
        <v>Yogyakarta</v>
      </c>
    </row>
    <row r="1259" spans="1:11" x14ac:dyDescent="0.35">
      <c r="A1259" s="4" t="s">
        <v>2300</v>
      </c>
      <c r="B1259" s="4" t="s">
        <v>728</v>
      </c>
      <c r="C1259" s="4" t="s">
        <v>1053</v>
      </c>
      <c r="D1259" s="4">
        <v>1</v>
      </c>
      <c r="E1259" s="6">
        <v>129000</v>
      </c>
      <c r="F1259" t="str">
        <f>VLOOKUP(C1259,products!A:C,2,FALSE)</f>
        <v>Charger Fast Charging 33W</v>
      </c>
      <c r="G1259">
        <f t="shared" si="38"/>
        <v>129000</v>
      </c>
      <c r="H1259">
        <f>VLOOKUP(C1259,products!A:D,4,FALSE)</f>
        <v>60000</v>
      </c>
      <c r="I1259">
        <f t="shared" si="39"/>
        <v>69000</v>
      </c>
      <c r="J1259" t="str">
        <f>VLOOKUP(B1259,orders!A:B,2,FALSE)</f>
        <v>CUST0094</v>
      </c>
      <c r="K1259" t="str">
        <f>VLOOKUP(J1259,customers!A:F,6,FALSE)</f>
        <v>Yogyakarta</v>
      </c>
    </row>
    <row r="1260" spans="1:11" x14ac:dyDescent="0.35">
      <c r="A1260" s="4" t="s">
        <v>2301</v>
      </c>
      <c r="B1260" s="4" t="s">
        <v>352</v>
      </c>
      <c r="C1260" s="4" t="s">
        <v>1046</v>
      </c>
      <c r="D1260" s="4">
        <v>1</v>
      </c>
      <c r="E1260" s="6">
        <v>139000</v>
      </c>
      <c r="F1260" t="str">
        <f>VLOOKUP(C1260,products!A:C,2,FALSE)</f>
        <v>Wajan Anti Lengket 24cm</v>
      </c>
      <c r="G1260">
        <f t="shared" si="38"/>
        <v>139000</v>
      </c>
      <c r="H1260">
        <f>VLOOKUP(C1260,products!A:D,4,FALSE)</f>
        <v>65000</v>
      </c>
      <c r="I1260">
        <f t="shared" si="39"/>
        <v>74000</v>
      </c>
      <c r="J1260" t="str">
        <f>VLOOKUP(B1260,orders!A:B,2,FALSE)</f>
        <v>CUST0072</v>
      </c>
      <c r="K1260" t="str">
        <f>VLOOKUP(J1260,customers!A:F,6,FALSE)</f>
        <v>Medan</v>
      </c>
    </row>
    <row r="1261" spans="1:11" x14ac:dyDescent="0.35">
      <c r="A1261" s="4" t="s">
        <v>2302</v>
      </c>
      <c r="B1261" s="4" t="s">
        <v>273</v>
      </c>
      <c r="C1261" s="4" t="s">
        <v>1023</v>
      </c>
      <c r="D1261" s="4">
        <v>1</v>
      </c>
      <c r="E1261" s="6">
        <v>69000</v>
      </c>
      <c r="F1261" t="str">
        <f>VLOOKUP(C1261,products!A:C,2,FALSE)</f>
        <v>Lampu LED Hias 5m</v>
      </c>
      <c r="G1261">
        <f t="shared" si="38"/>
        <v>69000</v>
      </c>
      <c r="H1261">
        <f>VLOOKUP(C1261,products!A:D,4,FALSE)</f>
        <v>30000</v>
      </c>
      <c r="I1261">
        <f t="shared" si="39"/>
        <v>39000</v>
      </c>
      <c r="J1261" t="str">
        <f>VLOOKUP(B1261,orders!A:B,2,FALSE)</f>
        <v>CUST0007</v>
      </c>
      <c r="K1261" t="str">
        <f>VLOOKUP(J1261,customers!A:F,6,FALSE)</f>
        <v>Yogyakarta</v>
      </c>
    </row>
    <row r="1262" spans="1:11" x14ac:dyDescent="0.35">
      <c r="A1262" s="4" t="s">
        <v>2303</v>
      </c>
      <c r="B1262" s="4" t="s">
        <v>273</v>
      </c>
      <c r="C1262" s="4" t="s">
        <v>1029</v>
      </c>
      <c r="D1262" s="4">
        <v>1</v>
      </c>
      <c r="E1262" s="6">
        <v>39000</v>
      </c>
      <c r="F1262" t="str">
        <f>VLOOKUP(C1262,products!A:C,2,FALSE)</f>
        <v>Kabel Data USB-C</v>
      </c>
      <c r="G1262">
        <f t="shared" si="38"/>
        <v>39000</v>
      </c>
      <c r="H1262">
        <f>VLOOKUP(C1262,products!A:D,4,FALSE)</f>
        <v>15000</v>
      </c>
      <c r="I1262">
        <f t="shared" si="39"/>
        <v>24000</v>
      </c>
      <c r="J1262" t="str">
        <f>VLOOKUP(B1262,orders!A:B,2,FALSE)</f>
        <v>CUST0007</v>
      </c>
      <c r="K1262" t="str">
        <f>VLOOKUP(J1262,customers!A:F,6,FALSE)</f>
        <v>Yogyakarta</v>
      </c>
    </row>
    <row r="1263" spans="1:11" x14ac:dyDescent="0.35">
      <c r="A1263" s="4" t="s">
        <v>2304</v>
      </c>
      <c r="B1263" s="4" t="s">
        <v>1006</v>
      </c>
      <c r="C1263" s="4" t="s">
        <v>1023</v>
      </c>
      <c r="D1263" s="4">
        <v>1</v>
      </c>
      <c r="E1263" s="6">
        <v>69000</v>
      </c>
      <c r="F1263" t="str">
        <f>VLOOKUP(C1263,products!A:C,2,FALSE)</f>
        <v>Lampu LED Hias 5m</v>
      </c>
      <c r="G1263">
        <f t="shared" si="38"/>
        <v>69000</v>
      </c>
      <c r="H1263">
        <f>VLOOKUP(C1263,products!A:D,4,FALSE)</f>
        <v>30000</v>
      </c>
      <c r="I1263">
        <f t="shared" si="39"/>
        <v>39000</v>
      </c>
      <c r="J1263" t="str">
        <f>VLOOKUP(B1263,orders!A:B,2,FALSE)</f>
        <v>CUST0100</v>
      </c>
      <c r="K1263" t="str">
        <f>VLOOKUP(J1263,customers!A:F,6,FALSE)</f>
        <v>Palembang</v>
      </c>
    </row>
    <row r="1264" spans="1:11" x14ac:dyDescent="0.35">
      <c r="A1264" s="4" t="s">
        <v>2305</v>
      </c>
      <c r="B1264" s="4" t="s">
        <v>404</v>
      </c>
      <c r="C1264" s="4" t="s">
        <v>1044</v>
      </c>
      <c r="D1264" s="4">
        <v>1</v>
      </c>
      <c r="E1264" s="6">
        <v>329000</v>
      </c>
      <c r="F1264" t="str">
        <f>VLOOKUP(C1264,products!A:C,2,FALSE)</f>
        <v>Rice Cooker Mini 1.5L</v>
      </c>
      <c r="G1264">
        <f t="shared" si="38"/>
        <v>329000</v>
      </c>
      <c r="H1264">
        <f>VLOOKUP(C1264,products!A:D,4,FALSE)</f>
        <v>180000</v>
      </c>
      <c r="I1264">
        <f t="shared" si="39"/>
        <v>149000</v>
      </c>
      <c r="J1264" t="str">
        <f>VLOOKUP(B1264,orders!A:B,2,FALSE)</f>
        <v>CUST0199</v>
      </c>
      <c r="K1264" t="str">
        <f>VLOOKUP(J1264,customers!A:F,6,FALSE)</f>
        <v>Palembang</v>
      </c>
    </row>
    <row r="1265" spans="1:11" x14ac:dyDescent="0.35">
      <c r="A1265" s="4" t="s">
        <v>2306</v>
      </c>
      <c r="B1265" s="4" t="s">
        <v>404</v>
      </c>
      <c r="C1265" s="4" t="s">
        <v>1023</v>
      </c>
      <c r="D1265" s="4">
        <v>1</v>
      </c>
      <c r="E1265" s="6">
        <v>69000</v>
      </c>
      <c r="F1265" t="str">
        <f>VLOOKUP(C1265,products!A:C,2,FALSE)</f>
        <v>Lampu LED Hias 5m</v>
      </c>
      <c r="G1265">
        <f t="shared" si="38"/>
        <v>69000</v>
      </c>
      <c r="H1265">
        <f>VLOOKUP(C1265,products!A:D,4,FALSE)</f>
        <v>30000</v>
      </c>
      <c r="I1265">
        <f t="shared" si="39"/>
        <v>39000</v>
      </c>
      <c r="J1265" t="str">
        <f>VLOOKUP(B1265,orders!A:B,2,FALSE)</f>
        <v>CUST0199</v>
      </c>
      <c r="K1265" t="str">
        <f>VLOOKUP(J1265,customers!A:F,6,FALSE)</f>
        <v>Palembang</v>
      </c>
    </row>
    <row r="1266" spans="1:11" x14ac:dyDescent="0.35">
      <c r="A1266" s="4" t="s">
        <v>2307</v>
      </c>
      <c r="B1266" s="4" t="s">
        <v>404</v>
      </c>
      <c r="C1266" s="4" t="s">
        <v>1049</v>
      </c>
      <c r="D1266" s="4">
        <v>1</v>
      </c>
      <c r="E1266" s="6">
        <v>349000</v>
      </c>
      <c r="F1266" t="str">
        <f>VLOOKUP(C1266,products!A:C,2,FALSE)</f>
        <v>Sepatu Sneakers Casual</v>
      </c>
      <c r="G1266">
        <f t="shared" si="38"/>
        <v>349000</v>
      </c>
      <c r="H1266">
        <f>VLOOKUP(C1266,products!A:D,4,FALSE)</f>
        <v>180000</v>
      </c>
      <c r="I1266">
        <f t="shared" si="39"/>
        <v>169000</v>
      </c>
      <c r="J1266" t="str">
        <f>VLOOKUP(B1266,orders!A:B,2,FALSE)</f>
        <v>CUST0199</v>
      </c>
      <c r="K1266" t="str">
        <f>VLOOKUP(J1266,customers!A:F,6,FALSE)</f>
        <v>Palembang</v>
      </c>
    </row>
    <row r="1267" spans="1:11" x14ac:dyDescent="0.35">
      <c r="A1267" s="4" t="s">
        <v>2308</v>
      </c>
      <c r="B1267" s="4" t="s">
        <v>404</v>
      </c>
      <c r="C1267" s="4" t="s">
        <v>1031</v>
      </c>
      <c r="D1267" s="4">
        <v>1</v>
      </c>
      <c r="E1267" s="6">
        <v>79000</v>
      </c>
      <c r="F1267" t="str">
        <f>VLOOKUP(C1267,products!A:C,2,FALSE)</f>
        <v>Kaos Polos Cotton Combed</v>
      </c>
      <c r="G1267">
        <f t="shared" si="38"/>
        <v>79000</v>
      </c>
      <c r="H1267">
        <f>VLOOKUP(C1267,products!A:D,4,FALSE)</f>
        <v>35000</v>
      </c>
      <c r="I1267">
        <f t="shared" si="39"/>
        <v>44000</v>
      </c>
      <c r="J1267" t="str">
        <f>VLOOKUP(B1267,orders!A:B,2,FALSE)</f>
        <v>CUST0199</v>
      </c>
      <c r="K1267" t="str">
        <f>VLOOKUP(J1267,customers!A:F,6,FALSE)</f>
        <v>Palembang</v>
      </c>
    </row>
    <row r="1268" spans="1:11" x14ac:dyDescent="0.35">
      <c r="A1268" s="4" t="s">
        <v>2309</v>
      </c>
      <c r="B1268" s="4" t="s">
        <v>865</v>
      </c>
      <c r="C1268" s="4" t="s">
        <v>1023</v>
      </c>
      <c r="D1268" s="4">
        <v>1</v>
      </c>
      <c r="E1268" s="6">
        <v>69000</v>
      </c>
      <c r="F1268" t="str">
        <f>VLOOKUP(C1268,products!A:C,2,FALSE)</f>
        <v>Lampu LED Hias 5m</v>
      </c>
      <c r="G1268">
        <f t="shared" si="38"/>
        <v>69000</v>
      </c>
      <c r="H1268">
        <f>VLOOKUP(C1268,products!A:D,4,FALSE)</f>
        <v>30000</v>
      </c>
      <c r="I1268">
        <f t="shared" si="39"/>
        <v>39000</v>
      </c>
      <c r="J1268" t="str">
        <f>VLOOKUP(B1268,orders!A:B,2,FALSE)</f>
        <v>CUST0115</v>
      </c>
      <c r="K1268" t="str">
        <f>VLOOKUP(J1268,customers!A:F,6,FALSE)</f>
        <v>Palembang</v>
      </c>
    </row>
    <row r="1269" spans="1:11" x14ac:dyDescent="0.35">
      <c r="A1269" s="4" t="s">
        <v>2310</v>
      </c>
      <c r="B1269" s="4" t="s">
        <v>800</v>
      </c>
      <c r="C1269" s="4" t="s">
        <v>1023</v>
      </c>
      <c r="D1269" s="4">
        <v>2</v>
      </c>
      <c r="E1269" s="6">
        <v>69000</v>
      </c>
      <c r="F1269" t="str">
        <f>VLOOKUP(C1269,products!A:C,2,FALSE)</f>
        <v>Lampu LED Hias 5m</v>
      </c>
      <c r="G1269">
        <f t="shared" si="38"/>
        <v>138000</v>
      </c>
      <c r="H1269">
        <f>VLOOKUP(C1269,products!A:D,4,FALSE)</f>
        <v>30000</v>
      </c>
      <c r="I1269">
        <f t="shared" si="39"/>
        <v>78000</v>
      </c>
      <c r="J1269" t="str">
        <f>VLOOKUP(B1269,orders!A:B,2,FALSE)</f>
        <v>CUST0178</v>
      </c>
      <c r="K1269" t="str">
        <f>VLOOKUP(J1269,customers!A:F,6,FALSE)</f>
        <v>Jakarta</v>
      </c>
    </row>
    <row r="1270" spans="1:11" x14ac:dyDescent="0.35">
      <c r="A1270" s="4" t="s">
        <v>2311</v>
      </c>
      <c r="B1270" s="4" t="s">
        <v>800</v>
      </c>
      <c r="C1270" s="4" t="s">
        <v>1033</v>
      </c>
      <c r="D1270" s="4">
        <v>1</v>
      </c>
      <c r="E1270" s="6">
        <v>55000</v>
      </c>
      <c r="F1270" t="str">
        <f>VLOOKUP(C1270,products!A:C,2,FALSE)</f>
        <v>Sapu + Pengki Set</v>
      </c>
      <c r="G1270">
        <f t="shared" si="38"/>
        <v>55000</v>
      </c>
      <c r="H1270">
        <f>VLOOKUP(C1270,products!A:D,4,FALSE)</f>
        <v>25000</v>
      </c>
      <c r="I1270">
        <f t="shared" si="39"/>
        <v>30000</v>
      </c>
      <c r="J1270" t="str">
        <f>VLOOKUP(B1270,orders!A:B,2,FALSE)</f>
        <v>CUST0178</v>
      </c>
      <c r="K1270" t="str">
        <f>VLOOKUP(J1270,customers!A:F,6,FALSE)</f>
        <v>Jakarta</v>
      </c>
    </row>
    <row r="1271" spans="1:11" x14ac:dyDescent="0.35">
      <c r="A1271" s="4" t="s">
        <v>2312</v>
      </c>
      <c r="B1271" s="4" t="s">
        <v>238</v>
      </c>
      <c r="C1271" s="4" t="s">
        <v>1089</v>
      </c>
      <c r="D1271" s="4">
        <v>1</v>
      </c>
      <c r="E1271" s="6">
        <v>159000</v>
      </c>
      <c r="F1271" t="str">
        <f>VLOOKUP(C1271,products!A:C,2,FALSE)</f>
        <v>Power Bank 10000mAh</v>
      </c>
      <c r="G1271">
        <f t="shared" si="38"/>
        <v>159000</v>
      </c>
      <c r="H1271">
        <f>VLOOKUP(C1271,products!A:D,4,FALSE)</f>
        <v>80000</v>
      </c>
      <c r="I1271">
        <f t="shared" si="39"/>
        <v>79000</v>
      </c>
      <c r="J1271" t="str">
        <f>VLOOKUP(B1271,orders!A:B,2,FALSE)</f>
        <v>CUST0032</v>
      </c>
      <c r="K1271" t="str">
        <f>VLOOKUP(J1271,customers!A:F,6,FALSE)</f>
        <v>Yogyakarta</v>
      </c>
    </row>
    <row r="1272" spans="1:11" x14ac:dyDescent="0.35">
      <c r="A1272" s="4" t="s">
        <v>2313</v>
      </c>
      <c r="B1272" s="4" t="s">
        <v>546</v>
      </c>
      <c r="C1272" s="4" t="s">
        <v>1023</v>
      </c>
      <c r="D1272" s="4">
        <v>1</v>
      </c>
      <c r="E1272" s="6">
        <v>69000</v>
      </c>
      <c r="F1272" t="str">
        <f>VLOOKUP(C1272,products!A:C,2,FALSE)</f>
        <v>Lampu LED Hias 5m</v>
      </c>
      <c r="G1272">
        <f t="shared" si="38"/>
        <v>69000</v>
      </c>
      <c r="H1272">
        <f>VLOOKUP(C1272,products!A:D,4,FALSE)</f>
        <v>30000</v>
      </c>
      <c r="I1272">
        <f t="shared" si="39"/>
        <v>39000</v>
      </c>
      <c r="J1272" t="str">
        <f>VLOOKUP(B1272,orders!A:B,2,FALSE)</f>
        <v>CUST0116</v>
      </c>
      <c r="K1272" t="str">
        <f>VLOOKUP(J1272,customers!A:F,6,FALSE)</f>
        <v>Yogyakarta</v>
      </c>
    </row>
    <row r="1273" spans="1:11" x14ac:dyDescent="0.35">
      <c r="A1273" s="4" t="s">
        <v>2314</v>
      </c>
      <c r="B1273" s="4" t="s">
        <v>546</v>
      </c>
      <c r="C1273" s="4" t="s">
        <v>1029</v>
      </c>
      <c r="D1273" s="4">
        <v>3</v>
      </c>
      <c r="E1273" s="6">
        <v>39000</v>
      </c>
      <c r="F1273" t="str">
        <f>VLOOKUP(C1273,products!A:C,2,FALSE)</f>
        <v>Kabel Data USB-C</v>
      </c>
      <c r="G1273">
        <f t="shared" si="38"/>
        <v>117000</v>
      </c>
      <c r="H1273">
        <f>VLOOKUP(C1273,products!A:D,4,FALSE)</f>
        <v>15000</v>
      </c>
      <c r="I1273">
        <f t="shared" si="39"/>
        <v>72000</v>
      </c>
      <c r="J1273" t="str">
        <f>VLOOKUP(B1273,orders!A:B,2,FALSE)</f>
        <v>CUST0116</v>
      </c>
      <c r="K1273" t="str">
        <f>VLOOKUP(J1273,customers!A:F,6,FALSE)</f>
        <v>Yogyakarta</v>
      </c>
    </row>
    <row r="1274" spans="1:11" x14ac:dyDescent="0.35">
      <c r="A1274" s="4" t="s">
        <v>2315</v>
      </c>
      <c r="B1274" s="4" t="s">
        <v>307</v>
      </c>
      <c r="C1274" s="4" t="s">
        <v>1049</v>
      </c>
      <c r="D1274" s="4">
        <v>1</v>
      </c>
      <c r="E1274" s="6">
        <v>349000</v>
      </c>
      <c r="F1274" t="str">
        <f>VLOOKUP(C1274,products!A:C,2,FALSE)</f>
        <v>Sepatu Sneakers Casual</v>
      </c>
      <c r="G1274">
        <f t="shared" si="38"/>
        <v>349000</v>
      </c>
      <c r="H1274">
        <f>VLOOKUP(C1274,products!A:D,4,FALSE)</f>
        <v>180000</v>
      </c>
      <c r="I1274">
        <f t="shared" si="39"/>
        <v>169000</v>
      </c>
      <c r="J1274" t="str">
        <f>VLOOKUP(B1274,orders!A:B,2,FALSE)</f>
        <v>CUST0023</v>
      </c>
      <c r="K1274" t="str">
        <f>VLOOKUP(J1274,customers!A:F,6,FALSE)</f>
        <v>Surabaya</v>
      </c>
    </row>
    <row r="1275" spans="1:11" x14ac:dyDescent="0.35">
      <c r="A1275" s="4" t="s">
        <v>2316</v>
      </c>
      <c r="B1275" s="4" t="s">
        <v>563</v>
      </c>
      <c r="C1275" s="4" t="s">
        <v>1025</v>
      </c>
      <c r="D1275" s="4">
        <v>2</v>
      </c>
      <c r="E1275" s="6">
        <v>179000</v>
      </c>
      <c r="F1275" t="str">
        <f>VLOOKUP(C1275,products!A:C,2,FALSE)</f>
        <v>Rak Penyimpanan Serbaguna</v>
      </c>
      <c r="G1275">
        <f t="shared" si="38"/>
        <v>358000</v>
      </c>
      <c r="H1275">
        <f>VLOOKUP(C1275,products!A:D,4,FALSE)</f>
        <v>90000</v>
      </c>
      <c r="I1275">
        <f t="shared" si="39"/>
        <v>178000</v>
      </c>
      <c r="J1275" t="str">
        <f>VLOOKUP(B1275,orders!A:B,2,FALSE)</f>
        <v>CUST0082</v>
      </c>
      <c r="K1275" t="str">
        <f>VLOOKUP(J1275,customers!A:F,6,FALSE)</f>
        <v>Makassar</v>
      </c>
    </row>
    <row r="1276" spans="1:11" x14ac:dyDescent="0.35">
      <c r="A1276" s="4" t="s">
        <v>2317</v>
      </c>
      <c r="B1276" s="4" t="s">
        <v>343</v>
      </c>
      <c r="C1276" s="4" t="s">
        <v>1046</v>
      </c>
      <c r="D1276" s="4">
        <v>1</v>
      </c>
      <c r="E1276" s="6">
        <v>139000</v>
      </c>
      <c r="F1276" t="str">
        <f>VLOOKUP(C1276,products!A:C,2,FALSE)</f>
        <v>Wajan Anti Lengket 24cm</v>
      </c>
      <c r="G1276">
        <f t="shared" si="38"/>
        <v>139000</v>
      </c>
      <c r="H1276">
        <f>VLOOKUP(C1276,products!A:D,4,FALSE)</f>
        <v>65000</v>
      </c>
      <c r="I1276">
        <f t="shared" si="39"/>
        <v>74000</v>
      </c>
      <c r="J1276" t="str">
        <f>VLOOKUP(B1276,orders!A:B,2,FALSE)</f>
        <v>CUST0182</v>
      </c>
      <c r="K1276" t="str">
        <f>VLOOKUP(J1276,customers!A:F,6,FALSE)</f>
        <v>Bandung</v>
      </c>
    </row>
    <row r="1277" spans="1:11" x14ac:dyDescent="0.35">
      <c r="A1277" s="4" t="s">
        <v>2318</v>
      </c>
      <c r="B1277" s="4" t="s">
        <v>443</v>
      </c>
      <c r="C1277" s="4" t="s">
        <v>1023</v>
      </c>
      <c r="D1277" s="4">
        <v>1</v>
      </c>
      <c r="E1277" s="6">
        <v>69000</v>
      </c>
      <c r="F1277" t="str">
        <f>VLOOKUP(C1277,products!A:C,2,FALSE)</f>
        <v>Lampu LED Hias 5m</v>
      </c>
      <c r="G1277">
        <f t="shared" si="38"/>
        <v>69000</v>
      </c>
      <c r="H1277">
        <f>VLOOKUP(C1277,products!A:D,4,FALSE)</f>
        <v>30000</v>
      </c>
      <c r="I1277">
        <f t="shared" si="39"/>
        <v>39000</v>
      </c>
      <c r="J1277" t="str">
        <f>VLOOKUP(B1277,orders!A:B,2,FALSE)</f>
        <v>CUST0075</v>
      </c>
      <c r="K1277" t="str">
        <f>VLOOKUP(J1277,customers!A:F,6,FALSE)</f>
        <v>Jakarta</v>
      </c>
    </row>
    <row r="1278" spans="1:11" x14ac:dyDescent="0.35">
      <c r="A1278" s="4" t="s">
        <v>2319</v>
      </c>
      <c r="B1278" s="4" t="s">
        <v>443</v>
      </c>
      <c r="C1278" s="4" t="s">
        <v>1578</v>
      </c>
      <c r="D1278" s="4">
        <v>1</v>
      </c>
      <c r="E1278" s="6">
        <v>299000</v>
      </c>
      <c r="F1278" t="str">
        <f>VLOOKUP(C1278,products!A:C,2,FALSE)</f>
        <v>Wireless Earbuds X1</v>
      </c>
      <c r="G1278">
        <f t="shared" si="38"/>
        <v>299000</v>
      </c>
      <c r="H1278">
        <f>VLOOKUP(C1278,products!A:D,4,FALSE)</f>
        <v>150000</v>
      </c>
      <c r="I1278">
        <f t="shared" si="39"/>
        <v>149000</v>
      </c>
      <c r="J1278" t="str">
        <f>VLOOKUP(B1278,orders!A:B,2,FALSE)</f>
        <v>CUST0075</v>
      </c>
      <c r="K1278" t="str">
        <f>VLOOKUP(J1278,customers!A:F,6,FALSE)</f>
        <v>Jakarta</v>
      </c>
    </row>
    <row r="1279" spans="1:11" x14ac:dyDescent="0.35">
      <c r="A1279" s="4" t="s">
        <v>2320</v>
      </c>
      <c r="B1279" s="4" t="s">
        <v>443</v>
      </c>
      <c r="C1279" s="4" t="s">
        <v>1044</v>
      </c>
      <c r="D1279" s="4">
        <v>1</v>
      </c>
      <c r="E1279" s="6">
        <v>329000</v>
      </c>
      <c r="F1279" t="str">
        <f>VLOOKUP(C1279,products!A:C,2,FALSE)</f>
        <v>Rice Cooker Mini 1.5L</v>
      </c>
      <c r="G1279">
        <f t="shared" si="38"/>
        <v>329000</v>
      </c>
      <c r="H1279">
        <f>VLOOKUP(C1279,products!A:D,4,FALSE)</f>
        <v>180000</v>
      </c>
      <c r="I1279">
        <f t="shared" si="39"/>
        <v>149000</v>
      </c>
      <c r="J1279" t="str">
        <f>VLOOKUP(B1279,orders!A:B,2,FALSE)</f>
        <v>CUST0075</v>
      </c>
      <c r="K1279" t="str">
        <f>VLOOKUP(J1279,customers!A:F,6,FALSE)</f>
        <v>Jakarta</v>
      </c>
    </row>
    <row r="1280" spans="1:11" x14ac:dyDescent="0.35">
      <c r="A1280" s="4" t="s">
        <v>2321</v>
      </c>
      <c r="B1280" s="4" t="s">
        <v>749</v>
      </c>
      <c r="C1280" s="4" t="s">
        <v>1025</v>
      </c>
      <c r="D1280" s="4">
        <v>1</v>
      </c>
      <c r="E1280" s="6">
        <v>179000</v>
      </c>
      <c r="F1280" t="str">
        <f>VLOOKUP(C1280,products!A:C,2,FALSE)</f>
        <v>Rak Penyimpanan Serbaguna</v>
      </c>
      <c r="G1280">
        <f t="shared" si="38"/>
        <v>179000</v>
      </c>
      <c r="H1280">
        <f>VLOOKUP(C1280,products!A:D,4,FALSE)</f>
        <v>90000</v>
      </c>
      <c r="I1280">
        <f t="shared" si="39"/>
        <v>89000</v>
      </c>
      <c r="J1280" t="str">
        <f>VLOOKUP(B1280,orders!A:B,2,FALSE)</f>
        <v>CUST0041</v>
      </c>
      <c r="K1280" t="str">
        <f>VLOOKUP(J1280,customers!A:F,6,FALSE)</f>
        <v>Palembang</v>
      </c>
    </row>
    <row r="1281" spans="1:11" x14ac:dyDescent="0.35">
      <c r="A1281" s="4" t="s">
        <v>2322</v>
      </c>
      <c r="B1281" s="4" t="s">
        <v>749</v>
      </c>
      <c r="C1281" s="4" t="s">
        <v>1023</v>
      </c>
      <c r="D1281" s="4">
        <v>1</v>
      </c>
      <c r="E1281" s="6">
        <v>69000</v>
      </c>
      <c r="F1281" t="str">
        <f>VLOOKUP(C1281,products!A:C,2,FALSE)</f>
        <v>Lampu LED Hias 5m</v>
      </c>
      <c r="G1281">
        <f t="shared" si="38"/>
        <v>69000</v>
      </c>
      <c r="H1281">
        <f>VLOOKUP(C1281,products!A:D,4,FALSE)</f>
        <v>30000</v>
      </c>
      <c r="I1281">
        <f t="shared" si="39"/>
        <v>39000</v>
      </c>
      <c r="J1281" t="str">
        <f>VLOOKUP(B1281,orders!A:B,2,FALSE)</f>
        <v>CUST0041</v>
      </c>
      <c r="K1281" t="str">
        <f>VLOOKUP(J1281,customers!A:F,6,FALSE)</f>
        <v>Palembang</v>
      </c>
    </row>
    <row r="1282" spans="1:11" x14ac:dyDescent="0.35">
      <c r="A1282" s="4" t="s">
        <v>2323</v>
      </c>
      <c r="B1282" s="4" t="s">
        <v>749</v>
      </c>
      <c r="C1282" s="4" t="s">
        <v>1029</v>
      </c>
      <c r="D1282" s="4">
        <v>2</v>
      </c>
      <c r="E1282" s="6">
        <v>39000</v>
      </c>
      <c r="F1282" t="str">
        <f>VLOOKUP(C1282,products!A:C,2,FALSE)</f>
        <v>Kabel Data USB-C</v>
      </c>
      <c r="G1282">
        <f t="shared" si="38"/>
        <v>78000</v>
      </c>
      <c r="H1282">
        <f>VLOOKUP(C1282,products!A:D,4,FALSE)</f>
        <v>15000</v>
      </c>
      <c r="I1282">
        <f t="shared" si="39"/>
        <v>48000</v>
      </c>
      <c r="J1282" t="str">
        <f>VLOOKUP(B1282,orders!A:B,2,FALSE)</f>
        <v>CUST0041</v>
      </c>
      <c r="K1282" t="str">
        <f>VLOOKUP(J1282,customers!A:F,6,FALSE)</f>
        <v>Palembang</v>
      </c>
    </row>
    <row r="1283" spans="1:11" x14ac:dyDescent="0.35">
      <c r="A1283" s="4" t="s">
        <v>2324</v>
      </c>
      <c r="B1283" s="4" t="s">
        <v>749</v>
      </c>
      <c r="C1283" s="4" t="s">
        <v>1031</v>
      </c>
      <c r="D1283" s="4">
        <v>1</v>
      </c>
      <c r="E1283" s="6">
        <v>79000</v>
      </c>
      <c r="F1283" t="str">
        <f>VLOOKUP(C1283,products!A:C,2,FALSE)</f>
        <v>Kaos Polos Cotton Combed</v>
      </c>
      <c r="G1283">
        <f t="shared" ref="G1283:G1346" si="40">D1283*E1283</f>
        <v>79000</v>
      </c>
      <c r="H1283">
        <f>VLOOKUP(C1283,products!A:D,4,FALSE)</f>
        <v>35000</v>
      </c>
      <c r="I1283">
        <f t="shared" ref="I1283:I1346" si="41">(E1283-H1283)*D1283</f>
        <v>44000</v>
      </c>
      <c r="J1283" t="str">
        <f>VLOOKUP(B1283,orders!A:B,2,FALSE)</f>
        <v>CUST0041</v>
      </c>
      <c r="K1283" t="str">
        <f>VLOOKUP(J1283,customers!A:F,6,FALSE)</f>
        <v>Palembang</v>
      </c>
    </row>
    <row r="1284" spans="1:11" x14ac:dyDescent="0.35">
      <c r="A1284" s="4" t="s">
        <v>2325</v>
      </c>
      <c r="B1284" s="4" t="s">
        <v>96</v>
      </c>
      <c r="C1284" s="4" t="s">
        <v>1033</v>
      </c>
      <c r="D1284" s="4">
        <v>2</v>
      </c>
      <c r="E1284" s="6">
        <v>55000</v>
      </c>
      <c r="F1284" t="str">
        <f>VLOOKUP(C1284,products!A:C,2,FALSE)</f>
        <v>Sapu + Pengki Set</v>
      </c>
      <c r="G1284">
        <f t="shared" si="40"/>
        <v>110000</v>
      </c>
      <c r="H1284">
        <f>VLOOKUP(C1284,products!A:D,4,FALSE)</f>
        <v>25000</v>
      </c>
      <c r="I1284">
        <f t="shared" si="41"/>
        <v>60000</v>
      </c>
      <c r="J1284" t="str">
        <f>VLOOKUP(B1284,orders!A:B,2,FALSE)</f>
        <v>CUST0180</v>
      </c>
      <c r="K1284" t="str">
        <f>VLOOKUP(J1284,customers!A:F,6,FALSE)</f>
        <v>Denpasar</v>
      </c>
    </row>
    <row r="1285" spans="1:11" x14ac:dyDescent="0.35">
      <c r="A1285" s="4" t="s">
        <v>2326</v>
      </c>
      <c r="B1285" s="4" t="s">
        <v>96</v>
      </c>
      <c r="C1285" s="4" t="s">
        <v>1029</v>
      </c>
      <c r="D1285" s="4">
        <v>1</v>
      </c>
      <c r="E1285" s="6">
        <v>39000</v>
      </c>
      <c r="F1285" t="str">
        <f>VLOOKUP(C1285,products!A:C,2,FALSE)</f>
        <v>Kabel Data USB-C</v>
      </c>
      <c r="G1285">
        <f t="shared" si="40"/>
        <v>39000</v>
      </c>
      <c r="H1285">
        <f>VLOOKUP(C1285,products!A:D,4,FALSE)</f>
        <v>15000</v>
      </c>
      <c r="I1285">
        <f t="shared" si="41"/>
        <v>24000</v>
      </c>
      <c r="J1285" t="str">
        <f>VLOOKUP(B1285,orders!A:B,2,FALSE)</f>
        <v>CUST0180</v>
      </c>
      <c r="K1285" t="str">
        <f>VLOOKUP(J1285,customers!A:F,6,FALSE)</f>
        <v>Denpasar</v>
      </c>
    </row>
    <row r="1286" spans="1:11" x14ac:dyDescent="0.35">
      <c r="A1286" s="4" t="s">
        <v>2327</v>
      </c>
      <c r="B1286" s="4" t="s">
        <v>96</v>
      </c>
      <c r="C1286" s="4" t="s">
        <v>1044</v>
      </c>
      <c r="D1286" s="4">
        <v>1</v>
      </c>
      <c r="E1286" s="6">
        <v>329000</v>
      </c>
      <c r="F1286" t="str">
        <f>VLOOKUP(C1286,products!A:C,2,FALSE)</f>
        <v>Rice Cooker Mini 1.5L</v>
      </c>
      <c r="G1286">
        <f t="shared" si="40"/>
        <v>329000</v>
      </c>
      <c r="H1286">
        <f>VLOOKUP(C1286,products!A:D,4,FALSE)</f>
        <v>180000</v>
      </c>
      <c r="I1286">
        <f t="shared" si="41"/>
        <v>149000</v>
      </c>
      <c r="J1286" t="str">
        <f>VLOOKUP(B1286,orders!A:B,2,FALSE)</f>
        <v>CUST0180</v>
      </c>
      <c r="K1286" t="str">
        <f>VLOOKUP(J1286,customers!A:F,6,FALSE)</f>
        <v>Denpasar</v>
      </c>
    </row>
    <row r="1287" spans="1:11" x14ac:dyDescent="0.35">
      <c r="A1287" s="4" t="s">
        <v>2328</v>
      </c>
      <c r="B1287" s="4" t="s">
        <v>653</v>
      </c>
      <c r="C1287" s="4" t="s">
        <v>1029</v>
      </c>
      <c r="D1287" s="4">
        <v>1</v>
      </c>
      <c r="E1287" s="6">
        <v>39000</v>
      </c>
      <c r="F1287" t="str">
        <f>VLOOKUP(C1287,products!A:C,2,FALSE)</f>
        <v>Kabel Data USB-C</v>
      </c>
      <c r="G1287">
        <f t="shared" si="40"/>
        <v>39000</v>
      </c>
      <c r="H1287">
        <f>VLOOKUP(C1287,products!A:D,4,FALSE)</f>
        <v>15000</v>
      </c>
      <c r="I1287">
        <f t="shared" si="41"/>
        <v>24000</v>
      </c>
      <c r="J1287" t="str">
        <f>VLOOKUP(B1287,orders!A:B,2,FALSE)</f>
        <v>CUST0093</v>
      </c>
      <c r="K1287" t="str">
        <f>VLOOKUP(J1287,customers!A:F,6,FALSE)</f>
        <v>Surabaya</v>
      </c>
    </row>
    <row r="1288" spans="1:11" x14ac:dyDescent="0.35">
      <c r="A1288" s="4" t="s">
        <v>2329</v>
      </c>
      <c r="B1288" s="4" t="s">
        <v>653</v>
      </c>
      <c r="C1288" s="4" t="s">
        <v>1023</v>
      </c>
      <c r="D1288" s="4">
        <v>2</v>
      </c>
      <c r="E1288" s="6">
        <v>69000</v>
      </c>
      <c r="F1288" t="str">
        <f>VLOOKUP(C1288,products!A:C,2,FALSE)</f>
        <v>Lampu LED Hias 5m</v>
      </c>
      <c r="G1288">
        <f t="shared" si="40"/>
        <v>138000</v>
      </c>
      <c r="H1288">
        <f>VLOOKUP(C1288,products!A:D,4,FALSE)</f>
        <v>30000</v>
      </c>
      <c r="I1288">
        <f t="shared" si="41"/>
        <v>78000</v>
      </c>
      <c r="J1288" t="str">
        <f>VLOOKUP(B1288,orders!A:B,2,FALSE)</f>
        <v>CUST0093</v>
      </c>
      <c r="K1288" t="str">
        <f>VLOOKUP(J1288,customers!A:F,6,FALSE)</f>
        <v>Surabaya</v>
      </c>
    </row>
    <row r="1289" spans="1:11" x14ac:dyDescent="0.35">
      <c r="A1289" s="4" t="s">
        <v>2330</v>
      </c>
      <c r="B1289" s="4" t="s">
        <v>653</v>
      </c>
      <c r="C1289" s="4" t="s">
        <v>1053</v>
      </c>
      <c r="D1289" s="4">
        <v>1</v>
      </c>
      <c r="E1289" s="6">
        <v>129000</v>
      </c>
      <c r="F1289" t="str">
        <f>VLOOKUP(C1289,products!A:C,2,FALSE)</f>
        <v>Charger Fast Charging 33W</v>
      </c>
      <c r="G1289">
        <f t="shared" si="40"/>
        <v>129000</v>
      </c>
      <c r="H1289">
        <f>VLOOKUP(C1289,products!A:D,4,FALSE)</f>
        <v>60000</v>
      </c>
      <c r="I1289">
        <f t="shared" si="41"/>
        <v>69000</v>
      </c>
      <c r="J1289" t="str">
        <f>VLOOKUP(B1289,orders!A:B,2,FALSE)</f>
        <v>CUST0093</v>
      </c>
      <c r="K1289" t="str">
        <f>VLOOKUP(J1289,customers!A:F,6,FALSE)</f>
        <v>Surabaya</v>
      </c>
    </row>
    <row r="1290" spans="1:11" x14ac:dyDescent="0.35">
      <c r="A1290" s="4" t="s">
        <v>2331</v>
      </c>
      <c r="B1290" s="4" t="s">
        <v>653</v>
      </c>
      <c r="C1290" s="4" t="s">
        <v>1025</v>
      </c>
      <c r="D1290" s="4">
        <v>1</v>
      </c>
      <c r="E1290" s="6">
        <v>179000</v>
      </c>
      <c r="F1290" t="str">
        <f>VLOOKUP(C1290,products!A:C,2,FALSE)</f>
        <v>Rak Penyimpanan Serbaguna</v>
      </c>
      <c r="G1290">
        <f t="shared" si="40"/>
        <v>179000</v>
      </c>
      <c r="H1290">
        <f>VLOOKUP(C1290,products!A:D,4,FALSE)</f>
        <v>90000</v>
      </c>
      <c r="I1290">
        <f t="shared" si="41"/>
        <v>89000</v>
      </c>
      <c r="J1290" t="str">
        <f>VLOOKUP(B1290,orders!A:B,2,FALSE)</f>
        <v>CUST0093</v>
      </c>
      <c r="K1290" t="str">
        <f>VLOOKUP(J1290,customers!A:F,6,FALSE)</f>
        <v>Surabaya</v>
      </c>
    </row>
    <row r="1291" spans="1:11" x14ac:dyDescent="0.35">
      <c r="A1291" s="4" t="s">
        <v>2332</v>
      </c>
      <c r="B1291" s="4" t="s">
        <v>243</v>
      </c>
      <c r="C1291" s="4" t="s">
        <v>1046</v>
      </c>
      <c r="D1291" s="4">
        <v>1</v>
      </c>
      <c r="E1291" s="6">
        <v>139000</v>
      </c>
      <c r="F1291" t="str">
        <f>VLOOKUP(C1291,products!A:C,2,FALSE)</f>
        <v>Wajan Anti Lengket 24cm</v>
      </c>
      <c r="G1291">
        <f t="shared" si="40"/>
        <v>139000</v>
      </c>
      <c r="H1291">
        <f>VLOOKUP(C1291,products!A:D,4,FALSE)</f>
        <v>65000</v>
      </c>
      <c r="I1291">
        <f t="shared" si="41"/>
        <v>74000</v>
      </c>
      <c r="J1291" t="str">
        <f>VLOOKUP(B1291,orders!A:B,2,FALSE)</f>
        <v>CUST0032</v>
      </c>
      <c r="K1291" t="str">
        <f>VLOOKUP(J1291,customers!A:F,6,FALSE)</f>
        <v>Yogyakarta</v>
      </c>
    </row>
    <row r="1292" spans="1:11" x14ac:dyDescent="0.35">
      <c r="A1292" s="4" t="s">
        <v>2333</v>
      </c>
      <c r="B1292" s="4" t="s">
        <v>243</v>
      </c>
      <c r="C1292" s="4" t="s">
        <v>1023</v>
      </c>
      <c r="D1292" s="4">
        <v>1</v>
      </c>
      <c r="E1292" s="6">
        <v>69000</v>
      </c>
      <c r="F1292" t="str">
        <f>VLOOKUP(C1292,products!A:C,2,FALSE)</f>
        <v>Lampu LED Hias 5m</v>
      </c>
      <c r="G1292">
        <f t="shared" si="40"/>
        <v>69000</v>
      </c>
      <c r="H1292">
        <f>VLOOKUP(C1292,products!A:D,4,FALSE)</f>
        <v>30000</v>
      </c>
      <c r="I1292">
        <f t="shared" si="41"/>
        <v>39000</v>
      </c>
      <c r="J1292" t="str">
        <f>VLOOKUP(B1292,orders!A:B,2,FALSE)</f>
        <v>CUST0032</v>
      </c>
      <c r="K1292" t="str">
        <f>VLOOKUP(J1292,customers!A:F,6,FALSE)</f>
        <v>Yogyakarta</v>
      </c>
    </row>
    <row r="1293" spans="1:11" x14ac:dyDescent="0.35">
      <c r="A1293" s="4" t="s">
        <v>2334</v>
      </c>
      <c r="B1293" s="4" t="s">
        <v>101</v>
      </c>
      <c r="C1293" s="4" t="s">
        <v>1023</v>
      </c>
      <c r="D1293" s="4">
        <v>1</v>
      </c>
      <c r="E1293" s="6">
        <v>69000</v>
      </c>
      <c r="F1293" t="str">
        <f>VLOOKUP(C1293,products!A:C,2,FALSE)</f>
        <v>Lampu LED Hias 5m</v>
      </c>
      <c r="G1293">
        <f t="shared" si="40"/>
        <v>69000</v>
      </c>
      <c r="H1293">
        <f>VLOOKUP(C1293,products!A:D,4,FALSE)</f>
        <v>30000</v>
      </c>
      <c r="I1293">
        <f t="shared" si="41"/>
        <v>39000</v>
      </c>
      <c r="J1293" t="str">
        <f>VLOOKUP(B1293,orders!A:B,2,FALSE)</f>
        <v>CUST0061</v>
      </c>
      <c r="K1293" t="str">
        <f>VLOOKUP(J1293,customers!A:F,6,FALSE)</f>
        <v>Yogyakarta</v>
      </c>
    </row>
    <row r="1294" spans="1:11" x14ac:dyDescent="0.35">
      <c r="A1294" s="4" t="s">
        <v>2335</v>
      </c>
      <c r="B1294" s="4" t="s">
        <v>285</v>
      </c>
      <c r="C1294" s="4" t="s">
        <v>1023</v>
      </c>
      <c r="D1294" s="4">
        <v>2</v>
      </c>
      <c r="E1294" s="6">
        <v>69000</v>
      </c>
      <c r="F1294" t="str">
        <f>VLOOKUP(C1294,products!A:C,2,FALSE)</f>
        <v>Lampu LED Hias 5m</v>
      </c>
      <c r="G1294">
        <f t="shared" si="40"/>
        <v>138000</v>
      </c>
      <c r="H1294">
        <f>VLOOKUP(C1294,products!A:D,4,FALSE)</f>
        <v>30000</v>
      </c>
      <c r="I1294">
        <f t="shared" si="41"/>
        <v>78000</v>
      </c>
      <c r="J1294" t="str">
        <f>VLOOKUP(B1294,orders!A:B,2,FALSE)</f>
        <v>CUST0007</v>
      </c>
      <c r="K1294" t="str">
        <f>VLOOKUP(J1294,customers!A:F,6,FALSE)</f>
        <v>Yogyakarta</v>
      </c>
    </row>
    <row r="1295" spans="1:11" x14ac:dyDescent="0.35">
      <c r="A1295" s="4" t="s">
        <v>2336</v>
      </c>
      <c r="B1295" s="4" t="s">
        <v>285</v>
      </c>
      <c r="C1295" s="4" t="s">
        <v>1029</v>
      </c>
      <c r="D1295" s="4">
        <v>1</v>
      </c>
      <c r="E1295" s="6">
        <v>39000</v>
      </c>
      <c r="F1295" t="str">
        <f>VLOOKUP(C1295,products!A:C,2,FALSE)</f>
        <v>Kabel Data USB-C</v>
      </c>
      <c r="G1295">
        <f t="shared" si="40"/>
        <v>39000</v>
      </c>
      <c r="H1295">
        <f>VLOOKUP(C1295,products!A:D,4,FALSE)</f>
        <v>15000</v>
      </c>
      <c r="I1295">
        <f t="shared" si="41"/>
        <v>24000</v>
      </c>
      <c r="J1295" t="str">
        <f>VLOOKUP(B1295,orders!A:B,2,FALSE)</f>
        <v>CUST0007</v>
      </c>
      <c r="K1295" t="str">
        <f>VLOOKUP(J1295,customers!A:F,6,FALSE)</f>
        <v>Yogyakarta</v>
      </c>
    </row>
    <row r="1296" spans="1:11" x14ac:dyDescent="0.35">
      <c r="A1296" s="4" t="s">
        <v>2337</v>
      </c>
      <c r="B1296" s="4" t="s">
        <v>43</v>
      </c>
      <c r="C1296" s="4" t="s">
        <v>1023</v>
      </c>
      <c r="D1296" s="4">
        <v>2</v>
      </c>
      <c r="E1296" s="6">
        <v>69000</v>
      </c>
      <c r="F1296" t="str">
        <f>VLOOKUP(C1296,products!A:C,2,FALSE)</f>
        <v>Lampu LED Hias 5m</v>
      </c>
      <c r="G1296">
        <f t="shared" si="40"/>
        <v>138000</v>
      </c>
      <c r="H1296">
        <f>VLOOKUP(C1296,products!A:D,4,FALSE)</f>
        <v>30000</v>
      </c>
      <c r="I1296">
        <f t="shared" si="41"/>
        <v>78000</v>
      </c>
      <c r="J1296" t="str">
        <f>VLOOKUP(B1296,orders!A:B,2,FALSE)</f>
        <v>CUST0095</v>
      </c>
      <c r="K1296" t="str">
        <f>VLOOKUP(J1296,customers!A:F,6,FALSE)</f>
        <v>Medan</v>
      </c>
    </row>
    <row r="1297" spans="1:11" x14ac:dyDescent="0.35">
      <c r="A1297" s="4" t="s">
        <v>2338</v>
      </c>
      <c r="B1297" s="4" t="s">
        <v>43</v>
      </c>
      <c r="C1297" s="4" t="s">
        <v>1029</v>
      </c>
      <c r="D1297" s="4">
        <v>1</v>
      </c>
      <c r="E1297" s="6">
        <v>39000</v>
      </c>
      <c r="F1297" t="str">
        <f>VLOOKUP(C1297,products!A:C,2,FALSE)</f>
        <v>Kabel Data USB-C</v>
      </c>
      <c r="G1297">
        <f t="shared" si="40"/>
        <v>39000</v>
      </c>
      <c r="H1297">
        <f>VLOOKUP(C1297,products!A:D,4,FALSE)</f>
        <v>15000</v>
      </c>
      <c r="I1297">
        <f t="shared" si="41"/>
        <v>24000</v>
      </c>
      <c r="J1297" t="str">
        <f>VLOOKUP(B1297,orders!A:B,2,FALSE)</f>
        <v>CUST0095</v>
      </c>
      <c r="K1297" t="str">
        <f>VLOOKUP(J1297,customers!A:F,6,FALSE)</f>
        <v>Medan</v>
      </c>
    </row>
    <row r="1298" spans="1:11" x14ac:dyDescent="0.35">
      <c r="A1298" s="4" t="s">
        <v>2339</v>
      </c>
      <c r="B1298" s="4" t="s">
        <v>1003</v>
      </c>
      <c r="C1298" s="4" t="s">
        <v>1023</v>
      </c>
      <c r="D1298" s="4">
        <v>1</v>
      </c>
      <c r="E1298" s="6">
        <v>69000</v>
      </c>
      <c r="F1298" t="str">
        <f>VLOOKUP(C1298,products!A:C,2,FALSE)</f>
        <v>Lampu LED Hias 5m</v>
      </c>
      <c r="G1298">
        <f t="shared" si="40"/>
        <v>69000</v>
      </c>
      <c r="H1298">
        <f>VLOOKUP(C1298,products!A:D,4,FALSE)</f>
        <v>30000</v>
      </c>
      <c r="I1298">
        <f t="shared" si="41"/>
        <v>39000</v>
      </c>
      <c r="J1298" t="str">
        <f>VLOOKUP(B1298,orders!A:B,2,FALSE)</f>
        <v>CUST0034</v>
      </c>
      <c r="K1298" t="str">
        <f>VLOOKUP(J1298,customers!A:F,6,FALSE)</f>
        <v>Jakarta</v>
      </c>
    </row>
    <row r="1299" spans="1:11" x14ac:dyDescent="0.35">
      <c r="A1299" s="4" t="s">
        <v>2340</v>
      </c>
      <c r="B1299" s="4" t="s">
        <v>852</v>
      </c>
      <c r="C1299" s="4" t="s">
        <v>1029</v>
      </c>
      <c r="D1299" s="4">
        <v>3</v>
      </c>
      <c r="E1299" s="6">
        <v>39000</v>
      </c>
      <c r="F1299" t="str">
        <f>VLOOKUP(C1299,products!A:C,2,FALSE)</f>
        <v>Kabel Data USB-C</v>
      </c>
      <c r="G1299">
        <f t="shared" si="40"/>
        <v>117000</v>
      </c>
      <c r="H1299">
        <f>VLOOKUP(C1299,products!A:D,4,FALSE)</f>
        <v>15000</v>
      </c>
      <c r="I1299">
        <f t="shared" si="41"/>
        <v>72000</v>
      </c>
      <c r="J1299" t="str">
        <f>VLOOKUP(B1299,orders!A:B,2,FALSE)</f>
        <v>CUST0080</v>
      </c>
      <c r="K1299" t="str">
        <f>VLOOKUP(J1299,customers!A:F,6,FALSE)</f>
        <v>Surabaya</v>
      </c>
    </row>
    <row r="1300" spans="1:11" x14ac:dyDescent="0.35">
      <c r="A1300" s="4" t="s">
        <v>2341</v>
      </c>
      <c r="B1300" s="4" t="s">
        <v>852</v>
      </c>
      <c r="C1300" s="4" t="s">
        <v>1025</v>
      </c>
      <c r="D1300" s="4">
        <v>1</v>
      </c>
      <c r="E1300" s="6">
        <v>179000</v>
      </c>
      <c r="F1300" t="str">
        <f>VLOOKUP(C1300,products!A:C,2,FALSE)</f>
        <v>Rak Penyimpanan Serbaguna</v>
      </c>
      <c r="G1300">
        <f t="shared" si="40"/>
        <v>179000</v>
      </c>
      <c r="H1300">
        <f>VLOOKUP(C1300,products!A:D,4,FALSE)</f>
        <v>90000</v>
      </c>
      <c r="I1300">
        <f t="shared" si="41"/>
        <v>89000</v>
      </c>
      <c r="J1300" t="str">
        <f>VLOOKUP(B1300,orders!A:B,2,FALSE)</f>
        <v>CUST0080</v>
      </c>
      <c r="K1300" t="str">
        <f>VLOOKUP(J1300,customers!A:F,6,FALSE)</f>
        <v>Surabaya</v>
      </c>
    </row>
    <row r="1301" spans="1:11" x14ac:dyDescent="0.35">
      <c r="A1301" s="4" t="s">
        <v>2342</v>
      </c>
      <c r="B1301" s="4" t="s">
        <v>852</v>
      </c>
      <c r="C1301" s="4" t="s">
        <v>1033</v>
      </c>
      <c r="D1301" s="4">
        <v>1</v>
      </c>
      <c r="E1301" s="6">
        <v>55000</v>
      </c>
      <c r="F1301" t="str">
        <f>VLOOKUP(C1301,products!A:C,2,FALSE)</f>
        <v>Sapu + Pengki Set</v>
      </c>
      <c r="G1301">
        <f t="shared" si="40"/>
        <v>55000</v>
      </c>
      <c r="H1301">
        <f>VLOOKUP(C1301,products!A:D,4,FALSE)</f>
        <v>25000</v>
      </c>
      <c r="I1301">
        <f t="shared" si="41"/>
        <v>30000</v>
      </c>
      <c r="J1301" t="str">
        <f>VLOOKUP(B1301,orders!A:B,2,FALSE)</f>
        <v>CUST0080</v>
      </c>
      <c r="K1301" t="str">
        <f>VLOOKUP(J1301,customers!A:F,6,FALSE)</f>
        <v>Surabaya</v>
      </c>
    </row>
    <row r="1302" spans="1:11" x14ac:dyDescent="0.35">
      <c r="A1302" s="4" t="s">
        <v>2343</v>
      </c>
      <c r="B1302" s="4" t="s">
        <v>669</v>
      </c>
      <c r="C1302" s="4" t="s">
        <v>1036</v>
      </c>
      <c r="D1302" s="4">
        <v>1</v>
      </c>
      <c r="E1302" s="6">
        <v>229000</v>
      </c>
      <c r="F1302" t="str">
        <f>VLOOKUP(C1302,products!A:C,2,FALSE)</f>
        <v>Celana Jeans Slimfit</v>
      </c>
      <c r="G1302">
        <f t="shared" si="40"/>
        <v>229000</v>
      </c>
      <c r="H1302">
        <f>VLOOKUP(C1302,products!A:D,4,FALSE)</f>
        <v>110000</v>
      </c>
      <c r="I1302">
        <f t="shared" si="41"/>
        <v>119000</v>
      </c>
      <c r="J1302" t="str">
        <f>VLOOKUP(B1302,orders!A:B,2,FALSE)</f>
        <v>CUST0185</v>
      </c>
      <c r="K1302" t="str">
        <f>VLOOKUP(J1302,customers!A:F,6,FALSE)</f>
        <v>Jakarta</v>
      </c>
    </row>
    <row r="1303" spans="1:11" x14ac:dyDescent="0.35">
      <c r="A1303" s="4" t="s">
        <v>2344</v>
      </c>
      <c r="B1303" s="4" t="s">
        <v>363</v>
      </c>
      <c r="C1303" s="4" t="s">
        <v>1025</v>
      </c>
      <c r="D1303" s="4">
        <v>1</v>
      </c>
      <c r="E1303" s="6">
        <v>179000</v>
      </c>
      <c r="F1303" t="str">
        <f>VLOOKUP(C1303,products!A:C,2,FALSE)</f>
        <v>Rak Penyimpanan Serbaguna</v>
      </c>
      <c r="G1303">
        <f t="shared" si="40"/>
        <v>179000</v>
      </c>
      <c r="H1303">
        <f>VLOOKUP(C1303,products!A:D,4,FALSE)</f>
        <v>90000</v>
      </c>
      <c r="I1303">
        <f t="shared" si="41"/>
        <v>89000</v>
      </c>
      <c r="J1303" t="str">
        <f>VLOOKUP(B1303,orders!A:B,2,FALSE)</f>
        <v>CUST0197</v>
      </c>
      <c r="K1303" t="str">
        <f>VLOOKUP(J1303,customers!A:F,6,FALSE)</f>
        <v>Bandung</v>
      </c>
    </row>
    <row r="1304" spans="1:11" x14ac:dyDescent="0.35">
      <c r="A1304" s="4" t="s">
        <v>2345</v>
      </c>
      <c r="B1304" s="4" t="s">
        <v>772</v>
      </c>
      <c r="C1304" s="4" t="s">
        <v>1023</v>
      </c>
      <c r="D1304" s="4">
        <v>1</v>
      </c>
      <c r="E1304" s="6">
        <v>69000</v>
      </c>
      <c r="F1304" t="str">
        <f>VLOOKUP(C1304,products!A:C,2,FALSE)</f>
        <v>Lampu LED Hias 5m</v>
      </c>
      <c r="G1304">
        <f t="shared" si="40"/>
        <v>69000</v>
      </c>
      <c r="H1304">
        <f>VLOOKUP(C1304,products!A:D,4,FALSE)</f>
        <v>30000</v>
      </c>
      <c r="I1304">
        <f t="shared" si="41"/>
        <v>39000</v>
      </c>
      <c r="J1304" t="str">
        <f>VLOOKUP(B1304,orders!A:B,2,FALSE)</f>
        <v>CUST0148</v>
      </c>
      <c r="K1304" t="str">
        <f>VLOOKUP(J1304,customers!A:F,6,FALSE)</f>
        <v>Jakarta</v>
      </c>
    </row>
    <row r="1305" spans="1:11" x14ac:dyDescent="0.35">
      <c r="A1305" s="4" t="s">
        <v>2346</v>
      </c>
      <c r="B1305" s="4" t="s">
        <v>772</v>
      </c>
      <c r="C1305" s="4" t="s">
        <v>1029</v>
      </c>
      <c r="D1305" s="4">
        <v>2</v>
      </c>
      <c r="E1305" s="6">
        <v>39000</v>
      </c>
      <c r="F1305" t="str">
        <f>VLOOKUP(C1305,products!A:C,2,FALSE)</f>
        <v>Kabel Data USB-C</v>
      </c>
      <c r="G1305">
        <f t="shared" si="40"/>
        <v>78000</v>
      </c>
      <c r="H1305">
        <f>VLOOKUP(C1305,products!A:D,4,FALSE)</f>
        <v>15000</v>
      </c>
      <c r="I1305">
        <f t="shared" si="41"/>
        <v>48000</v>
      </c>
      <c r="J1305" t="str">
        <f>VLOOKUP(B1305,orders!A:B,2,FALSE)</f>
        <v>CUST0148</v>
      </c>
      <c r="K1305" t="str">
        <f>VLOOKUP(J1305,customers!A:F,6,FALSE)</f>
        <v>Jakarta</v>
      </c>
    </row>
    <row r="1306" spans="1:11" x14ac:dyDescent="0.35">
      <c r="A1306" s="4" t="s">
        <v>2347</v>
      </c>
      <c r="B1306" s="4" t="s">
        <v>772</v>
      </c>
      <c r="C1306" s="4" t="s">
        <v>1025</v>
      </c>
      <c r="D1306" s="4">
        <v>1</v>
      </c>
      <c r="E1306" s="6">
        <v>179000</v>
      </c>
      <c r="F1306" t="str">
        <f>VLOOKUP(C1306,products!A:C,2,FALSE)</f>
        <v>Rak Penyimpanan Serbaguna</v>
      </c>
      <c r="G1306">
        <f t="shared" si="40"/>
        <v>179000</v>
      </c>
      <c r="H1306">
        <f>VLOOKUP(C1306,products!A:D,4,FALSE)</f>
        <v>90000</v>
      </c>
      <c r="I1306">
        <f t="shared" si="41"/>
        <v>89000</v>
      </c>
      <c r="J1306" t="str">
        <f>VLOOKUP(B1306,orders!A:B,2,FALSE)</f>
        <v>CUST0148</v>
      </c>
      <c r="K1306" t="str">
        <f>VLOOKUP(J1306,customers!A:F,6,FALSE)</f>
        <v>Jakarta</v>
      </c>
    </row>
    <row r="1307" spans="1:11" x14ac:dyDescent="0.35">
      <c r="A1307" s="4" t="s">
        <v>2348</v>
      </c>
      <c r="B1307" s="4" t="s">
        <v>772</v>
      </c>
      <c r="C1307" s="4" t="s">
        <v>1031</v>
      </c>
      <c r="D1307" s="4">
        <v>1</v>
      </c>
      <c r="E1307" s="6">
        <v>79000</v>
      </c>
      <c r="F1307" t="str">
        <f>VLOOKUP(C1307,products!A:C,2,FALSE)</f>
        <v>Kaos Polos Cotton Combed</v>
      </c>
      <c r="G1307">
        <f t="shared" si="40"/>
        <v>79000</v>
      </c>
      <c r="H1307">
        <f>VLOOKUP(C1307,products!A:D,4,FALSE)</f>
        <v>35000</v>
      </c>
      <c r="I1307">
        <f t="shared" si="41"/>
        <v>44000</v>
      </c>
      <c r="J1307" t="str">
        <f>VLOOKUP(B1307,orders!A:B,2,FALSE)</f>
        <v>CUST0148</v>
      </c>
      <c r="K1307" t="str">
        <f>VLOOKUP(J1307,customers!A:F,6,FALSE)</f>
        <v>Jakarta</v>
      </c>
    </row>
    <row r="1308" spans="1:11" x14ac:dyDescent="0.35">
      <c r="A1308" s="4" t="s">
        <v>2349</v>
      </c>
      <c r="B1308" s="4" t="s">
        <v>59</v>
      </c>
      <c r="C1308" s="4" t="s">
        <v>1029</v>
      </c>
      <c r="D1308" s="4">
        <v>2</v>
      </c>
      <c r="E1308" s="6">
        <v>39000</v>
      </c>
      <c r="F1308" t="str">
        <f>VLOOKUP(C1308,products!A:C,2,FALSE)</f>
        <v>Kabel Data USB-C</v>
      </c>
      <c r="G1308">
        <f t="shared" si="40"/>
        <v>78000</v>
      </c>
      <c r="H1308">
        <f>VLOOKUP(C1308,products!A:D,4,FALSE)</f>
        <v>15000</v>
      </c>
      <c r="I1308">
        <f t="shared" si="41"/>
        <v>48000</v>
      </c>
      <c r="J1308" t="str">
        <f>VLOOKUP(B1308,orders!A:B,2,FALSE)</f>
        <v>CUST0082</v>
      </c>
      <c r="K1308" t="str">
        <f>VLOOKUP(J1308,customers!A:F,6,FALSE)</f>
        <v>Makassar</v>
      </c>
    </row>
    <row r="1309" spans="1:11" x14ac:dyDescent="0.35">
      <c r="A1309" s="4" t="s">
        <v>2350</v>
      </c>
      <c r="B1309" s="4" t="s">
        <v>59</v>
      </c>
      <c r="C1309" s="4" t="s">
        <v>1023</v>
      </c>
      <c r="D1309" s="4">
        <v>2</v>
      </c>
      <c r="E1309" s="6">
        <v>69000</v>
      </c>
      <c r="F1309" t="str">
        <f>VLOOKUP(C1309,products!A:C,2,FALSE)</f>
        <v>Lampu LED Hias 5m</v>
      </c>
      <c r="G1309">
        <f t="shared" si="40"/>
        <v>138000</v>
      </c>
      <c r="H1309">
        <f>VLOOKUP(C1309,products!A:D,4,FALSE)</f>
        <v>30000</v>
      </c>
      <c r="I1309">
        <f t="shared" si="41"/>
        <v>78000</v>
      </c>
      <c r="J1309" t="str">
        <f>VLOOKUP(B1309,orders!A:B,2,FALSE)</f>
        <v>CUST0082</v>
      </c>
      <c r="K1309" t="str">
        <f>VLOOKUP(J1309,customers!A:F,6,FALSE)</f>
        <v>Makassar</v>
      </c>
    </row>
    <row r="1310" spans="1:11" x14ac:dyDescent="0.35">
      <c r="A1310" s="4" t="s">
        <v>2351</v>
      </c>
      <c r="B1310" s="4" t="s">
        <v>854</v>
      </c>
      <c r="C1310" s="4" t="s">
        <v>1023</v>
      </c>
      <c r="D1310" s="4">
        <v>1</v>
      </c>
      <c r="E1310" s="6">
        <v>69000</v>
      </c>
      <c r="F1310" t="str">
        <f>VLOOKUP(C1310,products!A:C,2,FALSE)</f>
        <v>Lampu LED Hias 5m</v>
      </c>
      <c r="G1310">
        <f t="shared" si="40"/>
        <v>69000</v>
      </c>
      <c r="H1310">
        <f>VLOOKUP(C1310,products!A:D,4,FALSE)</f>
        <v>30000</v>
      </c>
      <c r="I1310">
        <f t="shared" si="41"/>
        <v>39000</v>
      </c>
      <c r="J1310" t="str">
        <f>VLOOKUP(B1310,orders!A:B,2,FALSE)</f>
        <v>CUST0120</v>
      </c>
      <c r="K1310" t="str">
        <f>VLOOKUP(J1310,customers!A:F,6,FALSE)</f>
        <v>Makassar</v>
      </c>
    </row>
    <row r="1311" spans="1:11" x14ac:dyDescent="0.35">
      <c r="A1311" s="4" t="s">
        <v>2352</v>
      </c>
      <c r="B1311" s="4" t="s">
        <v>457</v>
      </c>
      <c r="C1311" s="4" t="s">
        <v>1082</v>
      </c>
      <c r="D1311" s="4">
        <v>3</v>
      </c>
      <c r="E1311" s="6">
        <v>399000</v>
      </c>
      <c r="F1311" t="str">
        <f>VLOOKUP(C1311,products!A:C,2,FALSE)</f>
        <v>Keyboard Mechanical Mini</v>
      </c>
      <c r="G1311">
        <f t="shared" si="40"/>
        <v>1197000</v>
      </c>
      <c r="H1311">
        <f>VLOOKUP(C1311,products!A:D,4,FALSE)</f>
        <v>200000</v>
      </c>
      <c r="I1311">
        <f t="shared" si="41"/>
        <v>597000</v>
      </c>
      <c r="J1311" t="str">
        <f>VLOOKUP(B1311,orders!A:B,2,FALSE)</f>
        <v>CUST0089</v>
      </c>
      <c r="K1311" t="str">
        <f>VLOOKUP(J1311,customers!A:F,6,FALSE)</f>
        <v>Makassar</v>
      </c>
    </row>
    <row r="1312" spans="1:11" x14ac:dyDescent="0.35">
      <c r="A1312" s="4" t="s">
        <v>2353</v>
      </c>
      <c r="B1312" s="4" t="s">
        <v>984</v>
      </c>
      <c r="C1312" s="4" t="s">
        <v>1023</v>
      </c>
      <c r="D1312" s="4">
        <v>2</v>
      </c>
      <c r="E1312" s="6">
        <v>69000</v>
      </c>
      <c r="F1312" t="str">
        <f>VLOOKUP(C1312,products!A:C,2,FALSE)</f>
        <v>Lampu LED Hias 5m</v>
      </c>
      <c r="G1312">
        <f t="shared" si="40"/>
        <v>138000</v>
      </c>
      <c r="H1312">
        <f>VLOOKUP(C1312,products!A:D,4,FALSE)</f>
        <v>30000</v>
      </c>
      <c r="I1312">
        <f t="shared" si="41"/>
        <v>78000</v>
      </c>
      <c r="J1312" t="str">
        <f>VLOOKUP(B1312,orders!A:B,2,FALSE)</f>
        <v>CUST0200</v>
      </c>
      <c r="K1312" t="str">
        <f>VLOOKUP(J1312,customers!A:F,6,FALSE)</f>
        <v>Depok</v>
      </c>
    </row>
    <row r="1313" spans="1:11" x14ac:dyDescent="0.35">
      <c r="A1313" s="4" t="s">
        <v>2354</v>
      </c>
      <c r="B1313" s="4" t="s">
        <v>585</v>
      </c>
      <c r="C1313" s="4" t="s">
        <v>1023</v>
      </c>
      <c r="D1313" s="4">
        <v>2</v>
      </c>
      <c r="E1313" s="6">
        <v>69000</v>
      </c>
      <c r="F1313" t="str">
        <f>VLOOKUP(C1313,products!A:C,2,FALSE)</f>
        <v>Lampu LED Hias 5m</v>
      </c>
      <c r="G1313">
        <f t="shared" si="40"/>
        <v>138000</v>
      </c>
      <c r="H1313">
        <f>VLOOKUP(C1313,products!A:D,4,FALSE)</f>
        <v>30000</v>
      </c>
      <c r="I1313">
        <f t="shared" si="41"/>
        <v>78000</v>
      </c>
      <c r="J1313" t="str">
        <f>VLOOKUP(B1313,orders!A:B,2,FALSE)</f>
        <v>CUST0047</v>
      </c>
      <c r="K1313" t="str">
        <f>VLOOKUP(J1313,customers!A:F,6,FALSE)</f>
        <v>Depok</v>
      </c>
    </row>
    <row r="1314" spans="1:11" x14ac:dyDescent="0.35">
      <c r="A1314" s="4" t="s">
        <v>2355</v>
      </c>
      <c r="B1314" s="4" t="s">
        <v>585</v>
      </c>
      <c r="C1314" s="4" t="s">
        <v>1029</v>
      </c>
      <c r="D1314" s="4">
        <v>1</v>
      </c>
      <c r="E1314" s="6">
        <v>39000</v>
      </c>
      <c r="F1314" t="str">
        <f>VLOOKUP(C1314,products!A:C,2,FALSE)</f>
        <v>Kabel Data USB-C</v>
      </c>
      <c r="G1314">
        <f t="shared" si="40"/>
        <v>39000</v>
      </c>
      <c r="H1314">
        <f>VLOOKUP(C1314,products!A:D,4,FALSE)</f>
        <v>15000</v>
      </c>
      <c r="I1314">
        <f t="shared" si="41"/>
        <v>24000</v>
      </c>
      <c r="J1314" t="str">
        <f>VLOOKUP(B1314,orders!A:B,2,FALSE)</f>
        <v>CUST0047</v>
      </c>
      <c r="K1314" t="str">
        <f>VLOOKUP(J1314,customers!A:F,6,FALSE)</f>
        <v>Depok</v>
      </c>
    </row>
    <row r="1315" spans="1:11" x14ac:dyDescent="0.35">
      <c r="A1315" s="4" t="s">
        <v>2356</v>
      </c>
      <c r="B1315" s="4" t="s">
        <v>585</v>
      </c>
      <c r="C1315" s="4" t="s">
        <v>1040</v>
      </c>
      <c r="D1315" s="4">
        <v>1</v>
      </c>
      <c r="E1315" s="6">
        <v>99000</v>
      </c>
      <c r="F1315" t="str">
        <f>VLOOKUP(C1315,products!A:C,2,FALSE)</f>
        <v>Mouse Wireless</v>
      </c>
      <c r="G1315">
        <f t="shared" si="40"/>
        <v>99000</v>
      </c>
      <c r="H1315">
        <f>VLOOKUP(C1315,products!A:D,4,FALSE)</f>
        <v>45000</v>
      </c>
      <c r="I1315">
        <f t="shared" si="41"/>
        <v>54000</v>
      </c>
      <c r="J1315" t="str">
        <f>VLOOKUP(B1315,orders!A:B,2,FALSE)</f>
        <v>CUST0047</v>
      </c>
      <c r="K1315" t="str">
        <f>VLOOKUP(J1315,customers!A:F,6,FALSE)</f>
        <v>Depok</v>
      </c>
    </row>
    <row r="1316" spans="1:11" x14ac:dyDescent="0.35">
      <c r="A1316" s="4" t="s">
        <v>2357</v>
      </c>
      <c r="B1316" s="4" t="s">
        <v>585</v>
      </c>
      <c r="C1316" s="4" t="s">
        <v>1031</v>
      </c>
      <c r="D1316" s="4">
        <v>1</v>
      </c>
      <c r="E1316" s="6">
        <v>79000</v>
      </c>
      <c r="F1316" t="str">
        <f>VLOOKUP(C1316,products!A:C,2,FALSE)</f>
        <v>Kaos Polos Cotton Combed</v>
      </c>
      <c r="G1316">
        <f t="shared" si="40"/>
        <v>79000</v>
      </c>
      <c r="H1316">
        <f>VLOOKUP(C1316,products!A:D,4,FALSE)</f>
        <v>35000</v>
      </c>
      <c r="I1316">
        <f t="shared" si="41"/>
        <v>44000</v>
      </c>
      <c r="J1316" t="str">
        <f>VLOOKUP(B1316,orders!A:B,2,FALSE)</f>
        <v>CUST0047</v>
      </c>
      <c r="K1316" t="str">
        <f>VLOOKUP(J1316,customers!A:F,6,FALSE)</f>
        <v>Depok</v>
      </c>
    </row>
    <row r="1317" spans="1:11" x14ac:dyDescent="0.35">
      <c r="A1317" s="4" t="s">
        <v>2358</v>
      </c>
      <c r="B1317" s="4" t="s">
        <v>183</v>
      </c>
      <c r="C1317" s="4" t="s">
        <v>1023</v>
      </c>
      <c r="D1317" s="4">
        <v>1</v>
      </c>
      <c r="E1317" s="6">
        <v>69000</v>
      </c>
      <c r="F1317" t="str">
        <f>VLOOKUP(C1317,products!A:C,2,FALSE)</f>
        <v>Lampu LED Hias 5m</v>
      </c>
      <c r="G1317">
        <f t="shared" si="40"/>
        <v>69000</v>
      </c>
      <c r="H1317">
        <f>VLOOKUP(C1317,products!A:D,4,FALSE)</f>
        <v>30000</v>
      </c>
      <c r="I1317">
        <f t="shared" si="41"/>
        <v>39000</v>
      </c>
      <c r="J1317" t="str">
        <f>VLOOKUP(B1317,orders!A:B,2,FALSE)</f>
        <v>CUST0015</v>
      </c>
      <c r="K1317" t="str">
        <f>VLOOKUP(J1317,customers!A:F,6,FALSE)</f>
        <v>Semarang</v>
      </c>
    </row>
    <row r="1318" spans="1:11" x14ac:dyDescent="0.35">
      <c r="A1318" s="4" t="s">
        <v>2359</v>
      </c>
      <c r="B1318" s="4" t="s">
        <v>387</v>
      </c>
      <c r="C1318" s="4" t="s">
        <v>1044</v>
      </c>
      <c r="D1318" s="4">
        <v>1</v>
      </c>
      <c r="E1318" s="6">
        <v>329000</v>
      </c>
      <c r="F1318" t="str">
        <f>VLOOKUP(C1318,products!A:C,2,FALSE)</f>
        <v>Rice Cooker Mini 1.5L</v>
      </c>
      <c r="G1318">
        <f t="shared" si="40"/>
        <v>329000</v>
      </c>
      <c r="H1318">
        <f>VLOOKUP(C1318,products!A:D,4,FALSE)</f>
        <v>180000</v>
      </c>
      <c r="I1318">
        <f t="shared" si="41"/>
        <v>149000</v>
      </c>
      <c r="J1318" t="str">
        <f>VLOOKUP(B1318,orders!A:B,2,FALSE)</f>
        <v>CUST0133</v>
      </c>
      <c r="K1318" t="str">
        <f>VLOOKUP(J1318,customers!A:F,6,FALSE)</f>
        <v>Palembang</v>
      </c>
    </row>
    <row r="1319" spans="1:11" x14ac:dyDescent="0.35">
      <c r="A1319" s="4" t="s">
        <v>2360</v>
      </c>
      <c r="B1319" s="4" t="s">
        <v>904</v>
      </c>
      <c r="C1319" s="4" t="s">
        <v>1044</v>
      </c>
      <c r="D1319" s="4">
        <v>1</v>
      </c>
      <c r="E1319" s="6">
        <v>329000</v>
      </c>
      <c r="F1319" t="str">
        <f>VLOOKUP(C1319,products!A:C,2,FALSE)</f>
        <v>Rice Cooker Mini 1.5L</v>
      </c>
      <c r="G1319">
        <f t="shared" si="40"/>
        <v>329000</v>
      </c>
      <c r="H1319">
        <f>VLOOKUP(C1319,products!A:D,4,FALSE)</f>
        <v>180000</v>
      </c>
      <c r="I1319">
        <f t="shared" si="41"/>
        <v>149000</v>
      </c>
      <c r="J1319" t="str">
        <f>VLOOKUP(B1319,orders!A:B,2,FALSE)</f>
        <v>CUST0043</v>
      </c>
      <c r="K1319" t="str">
        <f>VLOOKUP(J1319,customers!A:F,6,FALSE)</f>
        <v>Surabaya</v>
      </c>
    </row>
    <row r="1320" spans="1:11" x14ac:dyDescent="0.35">
      <c r="A1320" s="4" t="s">
        <v>2361</v>
      </c>
      <c r="B1320" s="4" t="s">
        <v>904</v>
      </c>
      <c r="C1320" s="4" t="s">
        <v>1023</v>
      </c>
      <c r="D1320" s="4">
        <v>1</v>
      </c>
      <c r="E1320" s="6">
        <v>69000</v>
      </c>
      <c r="F1320" t="str">
        <f>VLOOKUP(C1320,products!A:C,2,FALSE)</f>
        <v>Lampu LED Hias 5m</v>
      </c>
      <c r="G1320">
        <f t="shared" si="40"/>
        <v>69000</v>
      </c>
      <c r="H1320">
        <f>VLOOKUP(C1320,products!A:D,4,FALSE)</f>
        <v>30000</v>
      </c>
      <c r="I1320">
        <f t="shared" si="41"/>
        <v>39000</v>
      </c>
      <c r="J1320" t="str">
        <f>VLOOKUP(B1320,orders!A:B,2,FALSE)</f>
        <v>CUST0043</v>
      </c>
      <c r="K1320" t="str">
        <f>VLOOKUP(J1320,customers!A:F,6,FALSE)</f>
        <v>Surabaya</v>
      </c>
    </row>
    <row r="1321" spans="1:11" x14ac:dyDescent="0.35">
      <c r="A1321" s="4" t="s">
        <v>2362</v>
      </c>
      <c r="B1321" s="4" t="s">
        <v>904</v>
      </c>
      <c r="C1321" s="4" t="s">
        <v>1053</v>
      </c>
      <c r="D1321" s="4">
        <v>1</v>
      </c>
      <c r="E1321" s="6">
        <v>129000</v>
      </c>
      <c r="F1321" t="str">
        <f>VLOOKUP(C1321,products!A:C,2,FALSE)</f>
        <v>Charger Fast Charging 33W</v>
      </c>
      <c r="G1321">
        <f t="shared" si="40"/>
        <v>129000</v>
      </c>
      <c r="H1321">
        <f>VLOOKUP(C1321,products!A:D,4,FALSE)</f>
        <v>60000</v>
      </c>
      <c r="I1321">
        <f t="shared" si="41"/>
        <v>69000</v>
      </c>
      <c r="J1321" t="str">
        <f>VLOOKUP(B1321,orders!A:B,2,FALSE)</f>
        <v>CUST0043</v>
      </c>
      <c r="K1321" t="str">
        <f>VLOOKUP(J1321,customers!A:F,6,FALSE)</f>
        <v>Surabaya</v>
      </c>
    </row>
    <row r="1322" spans="1:11" x14ac:dyDescent="0.35">
      <c r="A1322" s="4" t="s">
        <v>2363</v>
      </c>
      <c r="B1322" s="4" t="s">
        <v>756</v>
      </c>
      <c r="C1322" s="4" t="s">
        <v>1025</v>
      </c>
      <c r="D1322" s="4">
        <v>1</v>
      </c>
      <c r="E1322" s="6">
        <v>179000</v>
      </c>
      <c r="F1322" t="str">
        <f>VLOOKUP(C1322,products!A:C,2,FALSE)</f>
        <v>Rak Penyimpanan Serbaguna</v>
      </c>
      <c r="G1322">
        <f t="shared" si="40"/>
        <v>179000</v>
      </c>
      <c r="H1322">
        <f>VLOOKUP(C1322,products!A:D,4,FALSE)</f>
        <v>90000</v>
      </c>
      <c r="I1322">
        <f t="shared" si="41"/>
        <v>89000</v>
      </c>
      <c r="J1322" t="str">
        <f>VLOOKUP(B1322,orders!A:B,2,FALSE)</f>
        <v>CUST0182</v>
      </c>
      <c r="K1322" t="str">
        <f>VLOOKUP(J1322,customers!A:F,6,FALSE)</f>
        <v>Bandung</v>
      </c>
    </row>
    <row r="1323" spans="1:11" x14ac:dyDescent="0.35">
      <c r="A1323" s="4" t="s">
        <v>2364</v>
      </c>
      <c r="B1323" s="4" t="s">
        <v>756</v>
      </c>
      <c r="C1323" s="4" t="s">
        <v>1033</v>
      </c>
      <c r="D1323" s="4">
        <v>2</v>
      </c>
      <c r="E1323" s="6">
        <v>55000</v>
      </c>
      <c r="F1323" t="str">
        <f>VLOOKUP(C1323,products!A:C,2,FALSE)</f>
        <v>Sapu + Pengki Set</v>
      </c>
      <c r="G1323">
        <f t="shared" si="40"/>
        <v>110000</v>
      </c>
      <c r="H1323">
        <f>VLOOKUP(C1323,products!A:D,4,FALSE)</f>
        <v>25000</v>
      </c>
      <c r="I1323">
        <f t="shared" si="41"/>
        <v>60000</v>
      </c>
      <c r="J1323" t="str">
        <f>VLOOKUP(B1323,orders!A:B,2,FALSE)</f>
        <v>CUST0182</v>
      </c>
      <c r="K1323" t="str">
        <f>VLOOKUP(J1323,customers!A:F,6,FALSE)</f>
        <v>Bandung</v>
      </c>
    </row>
    <row r="1324" spans="1:11" x14ac:dyDescent="0.35">
      <c r="A1324" s="4" t="s">
        <v>2365</v>
      </c>
      <c r="B1324" s="4" t="s">
        <v>385</v>
      </c>
      <c r="C1324" s="4" t="s">
        <v>1325</v>
      </c>
      <c r="D1324" s="4">
        <v>1</v>
      </c>
      <c r="E1324" s="6">
        <v>199000</v>
      </c>
      <c r="F1324" t="str">
        <f>VLOOKUP(C1324,products!A:C,2,FALSE)</f>
        <v>Speaker Bluetooth Mini</v>
      </c>
      <c r="G1324">
        <f t="shared" si="40"/>
        <v>199000</v>
      </c>
      <c r="H1324">
        <f>VLOOKUP(C1324,products!A:D,4,FALSE)</f>
        <v>100000</v>
      </c>
      <c r="I1324">
        <f t="shared" si="41"/>
        <v>99000</v>
      </c>
      <c r="J1324" t="str">
        <f>VLOOKUP(B1324,orders!A:B,2,FALSE)</f>
        <v>CUST0133</v>
      </c>
      <c r="K1324" t="str">
        <f>VLOOKUP(J1324,customers!A:F,6,FALSE)</f>
        <v>Palembang</v>
      </c>
    </row>
    <row r="1325" spans="1:11" x14ac:dyDescent="0.35">
      <c r="A1325" s="4" t="s">
        <v>2366</v>
      </c>
      <c r="B1325" s="4" t="s">
        <v>769</v>
      </c>
      <c r="C1325" s="4" t="s">
        <v>1023</v>
      </c>
      <c r="D1325" s="4">
        <v>1</v>
      </c>
      <c r="E1325" s="6">
        <v>69000</v>
      </c>
      <c r="F1325" t="str">
        <f>VLOOKUP(C1325,products!A:C,2,FALSE)</f>
        <v>Lampu LED Hias 5m</v>
      </c>
      <c r="G1325">
        <f t="shared" si="40"/>
        <v>69000</v>
      </c>
      <c r="H1325">
        <f>VLOOKUP(C1325,products!A:D,4,FALSE)</f>
        <v>30000</v>
      </c>
      <c r="I1325">
        <f t="shared" si="41"/>
        <v>39000</v>
      </c>
      <c r="J1325" t="str">
        <f>VLOOKUP(B1325,orders!A:B,2,FALSE)</f>
        <v>CUST0065</v>
      </c>
      <c r="K1325" t="str">
        <f>VLOOKUP(J1325,customers!A:F,6,FALSE)</f>
        <v>Jakarta</v>
      </c>
    </row>
    <row r="1326" spans="1:11" x14ac:dyDescent="0.35">
      <c r="A1326" s="4" t="s">
        <v>2367</v>
      </c>
      <c r="B1326" s="4" t="s">
        <v>84</v>
      </c>
      <c r="C1326" s="4" t="s">
        <v>1023</v>
      </c>
      <c r="D1326" s="4">
        <v>2</v>
      </c>
      <c r="E1326" s="6">
        <v>69000</v>
      </c>
      <c r="F1326" t="str">
        <f>VLOOKUP(C1326,products!A:C,2,FALSE)</f>
        <v>Lampu LED Hias 5m</v>
      </c>
      <c r="G1326">
        <f t="shared" si="40"/>
        <v>138000</v>
      </c>
      <c r="H1326">
        <f>VLOOKUP(C1326,products!A:D,4,FALSE)</f>
        <v>30000</v>
      </c>
      <c r="I1326">
        <f t="shared" si="41"/>
        <v>78000</v>
      </c>
      <c r="J1326" t="str">
        <f>VLOOKUP(B1326,orders!A:B,2,FALSE)</f>
        <v>CUST0071</v>
      </c>
      <c r="K1326" t="str">
        <f>VLOOKUP(J1326,customers!A:F,6,FALSE)</f>
        <v>Denpasar</v>
      </c>
    </row>
    <row r="1327" spans="1:11" x14ac:dyDescent="0.35">
      <c r="A1327" s="4" t="s">
        <v>2368</v>
      </c>
      <c r="B1327" s="4" t="s">
        <v>161</v>
      </c>
      <c r="C1327" s="4" t="s">
        <v>1082</v>
      </c>
      <c r="D1327" s="4">
        <v>3</v>
      </c>
      <c r="E1327" s="6">
        <v>399000</v>
      </c>
      <c r="F1327" t="str">
        <f>VLOOKUP(C1327,products!A:C,2,FALSE)</f>
        <v>Keyboard Mechanical Mini</v>
      </c>
      <c r="G1327">
        <f t="shared" si="40"/>
        <v>1197000</v>
      </c>
      <c r="H1327">
        <f>VLOOKUP(C1327,products!A:D,4,FALSE)</f>
        <v>200000</v>
      </c>
      <c r="I1327">
        <f t="shared" si="41"/>
        <v>597000</v>
      </c>
      <c r="J1327" t="str">
        <f>VLOOKUP(B1327,orders!A:B,2,FALSE)</f>
        <v>CUST0078</v>
      </c>
      <c r="K1327" t="str">
        <f>VLOOKUP(J1327,customers!A:F,6,FALSE)</f>
        <v>Denpasar</v>
      </c>
    </row>
    <row r="1328" spans="1:11" x14ac:dyDescent="0.35">
      <c r="A1328" s="4" t="s">
        <v>2369</v>
      </c>
      <c r="B1328" s="4" t="s">
        <v>927</v>
      </c>
      <c r="C1328" s="4" t="s">
        <v>1029</v>
      </c>
      <c r="D1328" s="4">
        <v>1</v>
      </c>
      <c r="E1328" s="6">
        <v>39000</v>
      </c>
      <c r="F1328" t="str">
        <f>VLOOKUP(C1328,products!A:C,2,FALSE)</f>
        <v>Kabel Data USB-C</v>
      </c>
      <c r="G1328">
        <f t="shared" si="40"/>
        <v>39000</v>
      </c>
      <c r="H1328">
        <f>VLOOKUP(C1328,products!A:D,4,FALSE)</f>
        <v>15000</v>
      </c>
      <c r="I1328">
        <f t="shared" si="41"/>
        <v>24000</v>
      </c>
      <c r="J1328" t="str">
        <f>VLOOKUP(B1328,orders!A:B,2,FALSE)</f>
        <v>CUST0129</v>
      </c>
      <c r="K1328" t="str">
        <f>VLOOKUP(J1328,customers!A:F,6,FALSE)</f>
        <v>Denpasar</v>
      </c>
    </row>
    <row r="1329" spans="1:11" x14ac:dyDescent="0.35">
      <c r="A1329" s="4" t="s">
        <v>2370</v>
      </c>
      <c r="B1329" s="4" t="s">
        <v>927</v>
      </c>
      <c r="C1329" s="4" t="s">
        <v>1023</v>
      </c>
      <c r="D1329" s="4">
        <v>3</v>
      </c>
      <c r="E1329" s="6">
        <v>69000</v>
      </c>
      <c r="F1329" t="str">
        <f>VLOOKUP(C1329,products!A:C,2,FALSE)</f>
        <v>Lampu LED Hias 5m</v>
      </c>
      <c r="G1329">
        <f t="shared" si="40"/>
        <v>207000</v>
      </c>
      <c r="H1329">
        <f>VLOOKUP(C1329,products!A:D,4,FALSE)</f>
        <v>30000</v>
      </c>
      <c r="I1329">
        <f t="shared" si="41"/>
        <v>117000</v>
      </c>
      <c r="J1329" t="str">
        <f>VLOOKUP(B1329,orders!A:B,2,FALSE)</f>
        <v>CUST0129</v>
      </c>
      <c r="K1329" t="str">
        <f>VLOOKUP(J1329,customers!A:F,6,FALSE)</f>
        <v>Denpasar</v>
      </c>
    </row>
    <row r="1330" spans="1:11" x14ac:dyDescent="0.35">
      <c r="A1330" s="4" t="s">
        <v>2371</v>
      </c>
      <c r="B1330" s="4" t="s">
        <v>927</v>
      </c>
      <c r="C1330" s="4" t="s">
        <v>1031</v>
      </c>
      <c r="D1330" s="4">
        <v>1</v>
      </c>
      <c r="E1330" s="6">
        <v>79000</v>
      </c>
      <c r="F1330" t="str">
        <f>VLOOKUP(C1330,products!A:C,2,FALSE)</f>
        <v>Kaos Polos Cotton Combed</v>
      </c>
      <c r="G1330">
        <f t="shared" si="40"/>
        <v>79000</v>
      </c>
      <c r="H1330">
        <f>VLOOKUP(C1330,products!A:D,4,FALSE)</f>
        <v>35000</v>
      </c>
      <c r="I1330">
        <f t="shared" si="41"/>
        <v>44000</v>
      </c>
      <c r="J1330" t="str">
        <f>VLOOKUP(B1330,orders!A:B,2,FALSE)</f>
        <v>CUST0129</v>
      </c>
      <c r="K1330" t="str">
        <f>VLOOKUP(J1330,customers!A:F,6,FALSE)</f>
        <v>Denpasar</v>
      </c>
    </row>
    <row r="1331" spans="1:11" x14ac:dyDescent="0.35">
      <c r="A1331" s="4" t="s">
        <v>2372</v>
      </c>
      <c r="B1331" s="4" t="s">
        <v>1010</v>
      </c>
      <c r="C1331" s="4" t="s">
        <v>1029</v>
      </c>
      <c r="D1331" s="4">
        <v>3</v>
      </c>
      <c r="E1331" s="6">
        <v>39000</v>
      </c>
      <c r="F1331" t="str">
        <f>VLOOKUP(C1331,products!A:C,2,FALSE)</f>
        <v>Kabel Data USB-C</v>
      </c>
      <c r="G1331">
        <f t="shared" si="40"/>
        <v>117000</v>
      </c>
      <c r="H1331">
        <f>VLOOKUP(C1331,products!A:D,4,FALSE)</f>
        <v>15000</v>
      </c>
      <c r="I1331">
        <f t="shared" si="41"/>
        <v>72000</v>
      </c>
      <c r="J1331" t="str">
        <f>VLOOKUP(B1331,orders!A:B,2,FALSE)</f>
        <v>CUST0152</v>
      </c>
      <c r="K1331" t="str">
        <f>VLOOKUP(J1331,customers!A:F,6,FALSE)</f>
        <v>Medan</v>
      </c>
    </row>
    <row r="1332" spans="1:11" x14ac:dyDescent="0.35">
      <c r="A1332" s="4" t="s">
        <v>2373</v>
      </c>
      <c r="B1332" s="4" t="s">
        <v>682</v>
      </c>
      <c r="C1332" s="4" t="s">
        <v>1040</v>
      </c>
      <c r="D1332" s="4">
        <v>3</v>
      </c>
      <c r="E1332" s="6">
        <v>99000</v>
      </c>
      <c r="F1332" t="str">
        <f>VLOOKUP(C1332,products!A:C,2,FALSE)</f>
        <v>Mouse Wireless</v>
      </c>
      <c r="G1332">
        <f t="shared" si="40"/>
        <v>297000</v>
      </c>
      <c r="H1332">
        <f>VLOOKUP(C1332,products!A:D,4,FALSE)</f>
        <v>45000</v>
      </c>
      <c r="I1332">
        <f t="shared" si="41"/>
        <v>162000</v>
      </c>
      <c r="J1332" t="str">
        <f>VLOOKUP(B1332,orders!A:B,2,FALSE)</f>
        <v>CUST0169</v>
      </c>
      <c r="K1332" t="str">
        <f>VLOOKUP(J1332,customers!A:F,6,FALSE)</f>
        <v>Palembang</v>
      </c>
    </row>
    <row r="1333" spans="1:11" x14ac:dyDescent="0.35">
      <c r="A1333" s="4" t="s">
        <v>2374</v>
      </c>
      <c r="B1333" s="4" t="s">
        <v>682</v>
      </c>
      <c r="C1333" s="4" t="s">
        <v>1023</v>
      </c>
      <c r="D1333" s="4">
        <v>1</v>
      </c>
      <c r="E1333" s="6">
        <v>69000</v>
      </c>
      <c r="F1333" t="str">
        <f>VLOOKUP(C1333,products!A:C,2,FALSE)</f>
        <v>Lampu LED Hias 5m</v>
      </c>
      <c r="G1333">
        <f t="shared" si="40"/>
        <v>69000</v>
      </c>
      <c r="H1333">
        <f>VLOOKUP(C1333,products!A:D,4,FALSE)</f>
        <v>30000</v>
      </c>
      <c r="I1333">
        <f t="shared" si="41"/>
        <v>39000</v>
      </c>
      <c r="J1333" t="str">
        <f>VLOOKUP(B1333,orders!A:B,2,FALSE)</f>
        <v>CUST0169</v>
      </c>
      <c r="K1333" t="str">
        <f>VLOOKUP(J1333,customers!A:F,6,FALSE)</f>
        <v>Palembang</v>
      </c>
    </row>
    <row r="1334" spans="1:11" x14ac:dyDescent="0.35">
      <c r="A1334" s="4" t="s">
        <v>2375</v>
      </c>
      <c r="B1334" s="4" t="s">
        <v>677</v>
      </c>
      <c r="C1334" s="4" t="s">
        <v>1029</v>
      </c>
      <c r="D1334" s="4">
        <v>2</v>
      </c>
      <c r="E1334" s="6">
        <v>39000</v>
      </c>
      <c r="F1334" t="str">
        <f>VLOOKUP(C1334,products!A:C,2,FALSE)</f>
        <v>Kabel Data USB-C</v>
      </c>
      <c r="G1334">
        <f t="shared" si="40"/>
        <v>78000</v>
      </c>
      <c r="H1334">
        <f>VLOOKUP(C1334,products!A:D,4,FALSE)</f>
        <v>15000</v>
      </c>
      <c r="I1334">
        <f t="shared" si="41"/>
        <v>48000</v>
      </c>
      <c r="J1334" t="str">
        <f>VLOOKUP(B1334,orders!A:B,2,FALSE)</f>
        <v>CUST0155</v>
      </c>
      <c r="K1334" t="str">
        <f>VLOOKUP(J1334,customers!A:F,6,FALSE)</f>
        <v>Yogyakarta</v>
      </c>
    </row>
    <row r="1335" spans="1:11" x14ac:dyDescent="0.35">
      <c r="A1335" s="4" t="s">
        <v>2376</v>
      </c>
      <c r="B1335" s="4" t="s">
        <v>898</v>
      </c>
      <c r="C1335" s="4" t="s">
        <v>1029</v>
      </c>
      <c r="D1335" s="4">
        <v>1</v>
      </c>
      <c r="E1335" s="6">
        <v>39000</v>
      </c>
      <c r="F1335" t="str">
        <f>VLOOKUP(C1335,products!A:C,2,FALSE)</f>
        <v>Kabel Data USB-C</v>
      </c>
      <c r="G1335">
        <f t="shared" si="40"/>
        <v>39000</v>
      </c>
      <c r="H1335">
        <f>VLOOKUP(C1335,products!A:D,4,FALSE)</f>
        <v>15000</v>
      </c>
      <c r="I1335">
        <f t="shared" si="41"/>
        <v>24000</v>
      </c>
      <c r="J1335" t="str">
        <f>VLOOKUP(B1335,orders!A:B,2,FALSE)</f>
        <v>CUST0145</v>
      </c>
      <c r="K1335" t="str">
        <f>VLOOKUP(J1335,customers!A:F,6,FALSE)</f>
        <v>Surabaya</v>
      </c>
    </row>
    <row r="1336" spans="1:11" x14ac:dyDescent="0.35">
      <c r="A1336" s="4" t="s">
        <v>2377</v>
      </c>
      <c r="B1336" s="4" t="s">
        <v>898</v>
      </c>
      <c r="C1336" s="4" t="s">
        <v>1023</v>
      </c>
      <c r="D1336" s="4">
        <v>2</v>
      </c>
      <c r="E1336" s="6">
        <v>69000</v>
      </c>
      <c r="F1336" t="str">
        <f>VLOOKUP(C1336,products!A:C,2,FALSE)</f>
        <v>Lampu LED Hias 5m</v>
      </c>
      <c r="G1336">
        <f t="shared" si="40"/>
        <v>138000</v>
      </c>
      <c r="H1336">
        <f>VLOOKUP(C1336,products!A:D,4,FALSE)</f>
        <v>30000</v>
      </c>
      <c r="I1336">
        <f t="shared" si="41"/>
        <v>78000</v>
      </c>
      <c r="J1336" t="str">
        <f>VLOOKUP(B1336,orders!A:B,2,FALSE)</f>
        <v>CUST0145</v>
      </c>
      <c r="K1336" t="str">
        <f>VLOOKUP(J1336,customers!A:F,6,FALSE)</f>
        <v>Surabaya</v>
      </c>
    </row>
    <row r="1337" spans="1:11" x14ac:dyDescent="0.35">
      <c r="A1337" s="4" t="s">
        <v>2378</v>
      </c>
      <c r="B1337" s="4" t="s">
        <v>596</v>
      </c>
      <c r="C1337" s="4" t="s">
        <v>1029</v>
      </c>
      <c r="D1337" s="4">
        <v>3</v>
      </c>
      <c r="E1337" s="6">
        <v>39000</v>
      </c>
      <c r="F1337" t="str">
        <f>VLOOKUP(C1337,products!A:C,2,FALSE)</f>
        <v>Kabel Data USB-C</v>
      </c>
      <c r="G1337">
        <f t="shared" si="40"/>
        <v>117000</v>
      </c>
      <c r="H1337">
        <f>VLOOKUP(C1337,products!A:D,4,FALSE)</f>
        <v>15000</v>
      </c>
      <c r="I1337">
        <f t="shared" si="41"/>
        <v>72000</v>
      </c>
      <c r="J1337" t="str">
        <f>VLOOKUP(B1337,orders!A:B,2,FALSE)</f>
        <v>CUST0008</v>
      </c>
      <c r="K1337" t="str">
        <f>VLOOKUP(J1337,customers!A:F,6,FALSE)</f>
        <v>Jakarta</v>
      </c>
    </row>
    <row r="1338" spans="1:11" x14ac:dyDescent="0.35">
      <c r="A1338" s="4" t="s">
        <v>2379</v>
      </c>
      <c r="B1338" s="4" t="s">
        <v>491</v>
      </c>
      <c r="C1338" s="4" t="s">
        <v>1044</v>
      </c>
      <c r="D1338" s="4">
        <v>1</v>
      </c>
      <c r="E1338" s="6">
        <v>329000</v>
      </c>
      <c r="F1338" t="str">
        <f>VLOOKUP(C1338,products!A:C,2,FALSE)</f>
        <v>Rice Cooker Mini 1.5L</v>
      </c>
      <c r="G1338">
        <f t="shared" si="40"/>
        <v>329000</v>
      </c>
      <c r="H1338">
        <f>VLOOKUP(C1338,products!A:D,4,FALSE)</f>
        <v>180000</v>
      </c>
      <c r="I1338">
        <f t="shared" si="41"/>
        <v>149000</v>
      </c>
      <c r="J1338" t="str">
        <f>VLOOKUP(B1338,orders!A:B,2,FALSE)</f>
        <v>CUST0198</v>
      </c>
      <c r="K1338" t="str">
        <f>VLOOKUP(J1338,customers!A:F,6,FALSE)</f>
        <v>Surabaya</v>
      </c>
    </row>
    <row r="1339" spans="1:11" x14ac:dyDescent="0.35">
      <c r="A1339" s="4" t="s">
        <v>2380</v>
      </c>
      <c r="B1339" s="4" t="s">
        <v>491</v>
      </c>
      <c r="C1339" s="4" t="s">
        <v>1033</v>
      </c>
      <c r="D1339" s="4">
        <v>2</v>
      </c>
      <c r="E1339" s="6">
        <v>55000</v>
      </c>
      <c r="F1339" t="str">
        <f>VLOOKUP(C1339,products!A:C,2,FALSE)</f>
        <v>Sapu + Pengki Set</v>
      </c>
      <c r="G1339">
        <f t="shared" si="40"/>
        <v>110000</v>
      </c>
      <c r="H1339">
        <f>VLOOKUP(C1339,products!A:D,4,FALSE)</f>
        <v>25000</v>
      </c>
      <c r="I1339">
        <f t="shared" si="41"/>
        <v>60000</v>
      </c>
      <c r="J1339" t="str">
        <f>VLOOKUP(B1339,orders!A:B,2,FALSE)</f>
        <v>CUST0198</v>
      </c>
      <c r="K1339" t="str">
        <f>VLOOKUP(J1339,customers!A:F,6,FALSE)</f>
        <v>Surabaya</v>
      </c>
    </row>
    <row r="1340" spans="1:11" x14ac:dyDescent="0.35">
      <c r="A1340" s="4" t="s">
        <v>2381</v>
      </c>
      <c r="B1340" s="4" t="s">
        <v>40</v>
      </c>
      <c r="C1340" s="4" t="s">
        <v>1023</v>
      </c>
      <c r="D1340" s="4">
        <v>1</v>
      </c>
      <c r="E1340" s="6">
        <v>69000</v>
      </c>
      <c r="F1340" t="str">
        <f>VLOOKUP(C1340,products!A:C,2,FALSE)</f>
        <v>Lampu LED Hias 5m</v>
      </c>
      <c r="G1340">
        <f t="shared" si="40"/>
        <v>69000</v>
      </c>
      <c r="H1340">
        <f>VLOOKUP(C1340,products!A:D,4,FALSE)</f>
        <v>30000</v>
      </c>
      <c r="I1340">
        <f t="shared" si="41"/>
        <v>39000</v>
      </c>
      <c r="J1340" t="str">
        <f>VLOOKUP(B1340,orders!A:B,2,FALSE)</f>
        <v>CUST0167</v>
      </c>
      <c r="K1340" t="str">
        <f>VLOOKUP(J1340,customers!A:F,6,FALSE)</f>
        <v>Jakarta</v>
      </c>
    </row>
    <row r="1341" spans="1:11" x14ac:dyDescent="0.35">
      <c r="A1341" s="4" t="s">
        <v>2382</v>
      </c>
      <c r="B1341" s="4" t="s">
        <v>416</v>
      </c>
      <c r="C1341" s="4" t="s">
        <v>1084</v>
      </c>
      <c r="D1341" s="4">
        <v>2</v>
      </c>
      <c r="E1341" s="6">
        <v>79000</v>
      </c>
      <c r="F1341" t="str">
        <f>VLOOKUP(C1341,products!A:C,2,FALSE)</f>
        <v>Botol Minum Stainless 1L</v>
      </c>
      <c r="G1341">
        <f t="shared" si="40"/>
        <v>158000</v>
      </c>
      <c r="H1341">
        <f>VLOOKUP(C1341,products!A:D,4,FALSE)</f>
        <v>35000</v>
      </c>
      <c r="I1341">
        <f t="shared" si="41"/>
        <v>88000</v>
      </c>
      <c r="J1341" t="str">
        <f>VLOOKUP(B1341,orders!A:B,2,FALSE)</f>
        <v>CUST0147</v>
      </c>
      <c r="K1341" t="str">
        <f>VLOOKUP(J1341,customers!A:F,6,FALSE)</f>
        <v>Yogyakarta</v>
      </c>
    </row>
    <row r="1342" spans="1:11" x14ac:dyDescent="0.35">
      <c r="A1342" s="4" t="s">
        <v>2383</v>
      </c>
      <c r="B1342" s="4" t="s">
        <v>416</v>
      </c>
      <c r="C1342" s="4" t="s">
        <v>1023</v>
      </c>
      <c r="D1342" s="4">
        <v>3</v>
      </c>
      <c r="E1342" s="6">
        <v>69000</v>
      </c>
      <c r="F1342" t="str">
        <f>VLOOKUP(C1342,products!A:C,2,FALSE)</f>
        <v>Lampu LED Hias 5m</v>
      </c>
      <c r="G1342">
        <f t="shared" si="40"/>
        <v>207000</v>
      </c>
      <c r="H1342">
        <f>VLOOKUP(C1342,products!A:D,4,FALSE)</f>
        <v>30000</v>
      </c>
      <c r="I1342">
        <f t="shared" si="41"/>
        <v>117000</v>
      </c>
      <c r="J1342" t="str">
        <f>VLOOKUP(B1342,orders!A:B,2,FALSE)</f>
        <v>CUST0147</v>
      </c>
      <c r="K1342" t="str">
        <f>VLOOKUP(J1342,customers!A:F,6,FALSE)</f>
        <v>Yogyakarta</v>
      </c>
    </row>
    <row r="1343" spans="1:11" x14ac:dyDescent="0.35">
      <c r="A1343" s="4" t="s">
        <v>2384</v>
      </c>
      <c r="B1343" s="4" t="s">
        <v>922</v>
      </c>
      <c r="C1343" s="4" t="s">
        <v>1082</v>
      </c>
      <c r="D1343" s="4">
        <v>1</v>
      </c>
      <c r="E1343" s="6">
        <v>399000</v>
      </c>
      <c r="F1343" t="str">
        <f>VLOOKUP(C1343,products!A:C,2,FALSE)</f>
        <v>Keyboard Mechanical Mini</v>
      </c>
      <c r="G1343">
        <f t="shared" si="40"/>
        <v>399000</v>
      </c>
      <c r="H1343">
        <f>VLOOKUP(C1343,products!A:D,4,FALSE)</f>
        <v>200000</v>
      </c>
      <c r="I1343">
        <f t="shared" si="41"/>
        <v>199000</v>
      </c>
      <c r="J1343" t="str">
        <f>VLOOKUP(B1343,orders!A:B,2,FALSE)</f>
        <v>CUST0164</v>
      </c>
      <c r="K1343" t="str">
        <f>VLOOKUP(J1343,customers!A:F,6,FALSE)</f>
        <v>Semarang</v>
      </c>
    </row>
    <row r="1344" spans="1:11" x14ac:dyDescent="0.35">
      <c r="A1344" s="4" t="s">
        <v>2385</v>
      </c>
      <c r="B1344" s="4" t="s">
        <v>137</v>
      </c>
      <c r="C1344" s="4" t="s">
        <v>1029</v>
      </c>
      <c r="D1344" s="4">
        <v>1</v>
      </c>
      <c r="E1344" s="6">
        <v>39000</v>
      </c>
      <c r="F1344" t="str">
        <f>VLOOKUP(C1344,products!A:C,2,FALSE)</f>
        <v>Kabel Data USB-C</v>
      </c>
      <c r="G1344">
        <f t="shared" si="40"/>
        <v>39000</v>
      </c>
      <c r="H1344">
        <f>VLOOKUP(C1344,products!A:D,4,FALSE)</f>
        <v>15000</v>
      </c>
      <c r="I1344">
        <f t="shared" si="41"/>
        <v>24000</v>
      </c>
      <c r="J1344" t="str">
        <f>VLOOKUP(B1344,orders!A:B,2,FALSE)</f>
        <v>CUST0161</v>
      </c>
      <c r="K1344" t="str">
        <f>VLOOKUP(J1344,customers!A:F,6,FALSE)</f>
        <v>Medan</v>
      </c>
    </row>
    <row r="1345" spans="1:11" x14ac:dyDescent="0.35">
      <c r="A1345" s="4" t="s">
        <v>2386</v>
      </c>
      <c r="B1345" s="4" t="s">
        <v>196</v>
      </c>
      <c r="C1345" s="4" t="s">
        <v>1031</v>
      </c>
      <c r="D1345" s="4">
        <v>2</v>
      </c>
      <c r="E1345" s="6">
        <v>79000</v>
      </c>
      <c r="F1345" t="str">
        <f>VLOOKUP(C1345,products!A:C,2,FALSE)</f>
        <v>Kaos Polos Cotton Combed</v>
      </c>
      <c r="G1345">
        <f t="shared" si="40"/>
        <v>158000</v>
      </c>
      <c r="H1345">
        <f>VLOOKUP(C1345,products!A:D,4,FALSE)</f>
        <v>35000</v>
      </c>
      <c r="I1345">
        <f t="shared" si="41"/>
        <v>88000</v>
      </c>
      <c r="J1345" t="str">
        <f>VLOOKUP(B1345,orders!A:B,2,FALSE)</f>
        <v>CUST0165</v>
      </c>
      <c r="K1345" t="str">
        <f>VLOOKUP(J1345,customers!A:F,6,FALSE)</f>
        <v>Bandung</v>
      </c>
    </row>
    <row r="1346" spans="1:11" x14ac:dyDescent="0.35">
      <c r="A1346" s="4" t="s">
        <v>2387</v>
      </c>
      <c r="B1346" s="4" t="s">
        <v>753</v>
      </c>
      <c r="C1346" s="4" t="s">
        <v>1029</v>
      </c>
      <c r="D1346" s="4">
        <v>1</v>
      </c>
      <c r="E1346" s="6">
        <v>39000</v>
      </c>
      <c r="F1346" t="str">
        <f>VLOOKUP(C1346,products!A:C,2,FALSE)</f>
        <v>Kabel Data USB-C</v>
      </c>
      <c r="G1346">
        <f t="shared" si="40"/>
        <v>39000</v>
      </c>
      <c r="H1346">
        <f>VLOOKUP(C1346,products!A:D,4,FALSE)</f>
        <v>15000</v>
      </c>
      <c r="I1346">
        <f t="shared" si="41"/>
        <v>24000</v>
      </c>
      <c r="J1346" t="str">
        <f>VLOOKUP(B1346,orders!A:B,2,FALSE)</f>
        <v>CUST0063</v>
      </c>
      <c r="K1346" t="str">
        <f>VLOOKUP(J1346,customers!A:F,6,FALSE)</f>
        <v>Surabaya</v>
      </c>
    </row>
    <row r="1347" spans="1:11" x14ac:dyDescent="0.35">
      <c r="A1347" s="4" t="s">
        <v>2388</v>
      </c>
      <c r="B1347" s="4" t="s">
        <v>488</v>
      </c>
      <c r="C1347" s="4" t="s">
        <v>1089</v>
      </c>
      <c r="D1347" s="4">
        <v>1</v>
      </c>
      <c r="E1347" s="6">
        <v>159000</v>
      </c>
      <c r="F1347" t="str">
        <f>VLOOKUP(C1347,products!A:C,2,FALSE)</f>
        <v>Power Bank 10000mAh</v>
      </c>
      <c r="G1347">
        <f t="shared" ref="G1347:G1359" si="42">D1347*E1347</f>
        <v>159000</v>
      </c>
      <c r="H1347">
        <f>VLOOKUP(C1347,products!A:D,4,FALSE)</f>
        <v>80000</v>
      </c>
      <c r="I1347">
        <f t="shared" ref="I1347:I1359" si="43">(E1347-H1347)*D1347</f>
        <v>79000</v>
      </c>
      <c r="J1347" t="str">
        <f>VLOOKUP(B1347,orders!A:B,2,FALSE)</f>
        <v>CUST0117</v>
      </c>
      <c r="K1347" t="str">
        <f>VLOOKUP(J1347,customers!A:F,6,FALSE)</f>
        <v>Semarang</v>
      </c>
    </row>
    <row r="1348" spans="1:11" x14ac:dyDescent="0.35">
      <c r="A1348" s="4" t="s">
        <v>2389</v>
      </c>
      <c r="B1348" s="4" t="s">
        <v>488</v>
      </c>
      <c r="C1348" s="4" t="s">
        <v>1023</v>
      </c>
      <c r="D1348" s="4">
        <v>1</v>
      </c>
      <c r="E1348" s="6">
        <v>69000</v>
      </c>
      <c r="F1348" t="str">
        <f>VLOOKUP(C1348,products!A:C,2,FALSE)</f>
        <v>Lampu LED Hias 5m</v>
      </c>
      <c r="G1348">
        <f t="shared" si="42"/>
        <v>69000</v>
      </c>
      <c r="H1348">
        <f>VLOOKUP(C1348,products!A:D,4,FALSE)</f>
        <v>30000</v>
      </c>
      <c r="I1348">
        <f t="shared" si="43"/>
        <v>39000</v>
      </c>
      <c r="J1348" t="str">
        <f>VLOOKUP(B1348,orders!A:B,2,FALSE)</f>
        <v>CUST0117</v>
      </c>
      <c r="K1348" t="str">
        <f>VLOOKUP(J1348,customers!A:F,6,FALSE)</f>
        <v>Semarang</v>
      </c>
    </row>
    <row r="1349" spans="1:11" x14ac:dyDescent="0.35">
      <c r="A1349" s="4" t="s">
        <v>2390</v>
      </c>
      <c r="B1349" s="4" t="s">
        <v>488</v>
      </c>
      <c r="C1349" s="4" t="s">
        <v>1082</v>
      </c>
      <c r="D1349" s="4">
        <v>2</v>
      </c>
      <c r="E1349" s="6">
        <v>399000</v>
      </c>
      <c r="F1349" t="str">
        <f>VLOOKUP(C1349,products!A:C,2,FALSE)</f>
        <v>Keyboard Mechanical Mini</v>
      </c>
      <c r="G1349">
        <f t="shared" si="42"/>
        <v>798000</v>
      </c>
      <c r="H1349">
        <f>VLOOKUP(C1349,products!A:D,4,FALSE)</f>
        <v>200000</v>
      </c>
      <c r="I1349">
        <f t="shared" si="43"/>
        <v>398000</v>
      </c>
      <c r="J1349" t="str">
        <f>VLOOKUP(B1349,orders!A:B,2,FALSE)</f>
        <v>CUST0117</v>
      </c>
      <c r="K1349" t="str">
        <f>VLOOKUP(J1349,customers!A:F,6,FALSE)</f>
        <v>Semarang</v>
      </c>
    </row>
    <row r="1350" spans="1:11" x14ac:dyDescent="0.35">
      <c r="A1350" s="4" t="s">
        <v>2391</v>
      </c>
      <c r="B1350" s="4" t="s">
        <v>488</v>
      </c>
      <c r="C1350" s="4" t="s">
        <v>1029</v>
      </c>
      <c r="D1350" s="4">
        <v>3</v>
      </c>
      <c r="E1350" s="6">
        <v>39000</v>
      </c>
      <c r="F1350" t="str">
        <f>VLOOKUP(C1350,products!A:C,2,FALSE)</f>
        <v>Kabel Data USB-C</v>
      </c>
      <c r="G1350">
        <f t="shared" si="42"/>
        <v>117000</v>
      </c>
      <c r="H1350">
        <f>VLOOKUP(C1350,products!A:D,4,FALSE)</f>
        <v>15000</v>
      </c>
      <c r="I1350">
        <f t="shared" si="43"/>
        <v>72000</v>
      </c>
      <c r="J1350" t="str">
        <f>VLOOKUP(B1350,orders!A:B,2,FALSE)</f>
        <v>CUST0117</v>
      </c>
      <c r="K1350" t="str">
        <f>VLOOKUP(J1350,customers!A:F,6,FALSE)</f>
        <v>Semarang</v>
      </c>
    </row>
    <row r="1351" spans="1:11" x14ac:dyDescent="0.35">
      <c r="A1351" s="4" t="s">
        <v>2392</v>
      </c>
      <c r="B1351" s="4" t="s">
        <v>667</v>
      </c>
      <c r="C1351" s="4" t="s">
        <v>1033</v>
      </c>
      <c r="D1351" s="4">
        <v>3</v>
      </c>
      <c r="E1351" s="6">
        <v>55000</v>
      </c>
      <c r="F1351" t="str">
        <f>VLOOKUP(C1351,products!A:C,2,FALSE)</f>
        <v>Sapu + Pengki Set</v>
      </c>
      <c r="G1351">
        <f t="shared" si="42"/>
        <v>165000</v>
      </c>
      <c r="H1351">
        <f>VLOOKUP(C1351,products!A:D,4,FALSE)</f>
        <v>25000</v>
      </c>
      <c r="I1351">
        <f t="shared" si="43"/>
        <v>90000</v>
      </c>
      <c r="J1351" t="str">
        <f>VLOOKUP(B1351,orders!A:B,2,FALSE)</f>
        <v>CUST0041</v>
      </c>
      <c r="K1351" t="str">
        <f>VLOOKUP(J1351,customers!A:F,6,FALSE)</f>
        <v>Palembang</v>
      </c>
    </row>
    <row r="1352" spans="1:11" x14ac:dyDescent="0.35">
      <c r="A1352" s="4" t="s">
        <v>2393</v>
      </c>
      <c r="B1352" s="4" t="s">
        <v>668</v>
      </c>
      <c r="C1352" s="4" t="s">
        <v>1023</v>
      </c>
      <c r="D1352" s="4">
        <v>1</v>
      </c>
      <c r="E1352" s="6">
        <v>69000</v>
      </c>
      <c r="F1352" t="str">
        <f>VLOOKUP(C1352,products!A:C,2,FALSE)</f>
        <v>Lampu LED Hias 5m</v>
      </c>
      <c r="G1352">
        <f t="shared" si="42"/>
        <v>69000</v>
      </c>
      <c r="H1352">
        <f>VLOOKUP(C1352,products!A:D,4,FALSE)</f>
        <v>30000</v>
      </c>
      <c r="I1352">
        <f t="shared" si="43"/>
        <v>39000</v>
      </c>
      <c r="J1352" t="str">
        <f>VLOOKUP(B1352,orders!A:B,2,FALSE)</f>
        <v>CUST0124</v>
      </c>
      <c r="K1352" t="str">
        <f>VLOOKUP(J1352,customers!A:F,6,FALSE)</f>
        <v>Bandung</v>
      </c>
    </row>
    <row r="1353" spans="1:11" x14ac:dyDescent="0.35">
      <c r="A1353" s="4" t="s">
        <v>2394</v>
      </c>
      <c r="B1353" s="4" t="s">
        <v>668</v>
      </c>
      <c r="C1353" s="4" t="s">
        <v>1029</v>
      </c>
      <c r="D1353" s="4">
        <v>1</v>
      </c>
      <c r="E1353" s="6">
        <v>39000</v>
      </c>
      <c r="F1353" t="str">
        <f>VLOOKUP(C1353,products!A:C,2,FALSE)</f>
        <v>Kabel Data USB-C</v>
      </c>
      <c r="G1353">
        <f t="shared" si="42"/>
        <v>39000</v>
      </c>
      <c r="H1353">
        <f>VLOOKUP(C1353,products!A:D,4,FALSE)</f>
        <v>15000</v>
      </c>
      <c r="I1353">
        <f t="shared" si="43"/>
        <v>24000</v>
      </c>
      <c r="J1353" t="str">
        <f>VLOOKUP(B1353,orders!A:B,2,FALSE)</f>
        <v>CUST0124</v>
      </c>
      <c r="K1353" t="str">
        <f>VLOOKUP(J1353,customers!A:F,6,FALSE)</f>
        <v>Bandung</v>
      </c>
    </row>
    <row r="1354" spans="1:11" x14ac:dyDescent="0.35">
      <c r="A1354" s="4" t="s">
        <v>2395</v>
      </c>
      <c r="B1354" s="4" t="s">
        <v>668</v>
      </c>
      <c r="C1354" s="4" t="s">
        <v>1033</v>
      </c>
      <c r="D1354" s="4">
        <v>1</v>
      </c>
      <c r="E1354" s="6">
        <v>55000</v>
      </c>
      <c r="F1354" t="str">
        <f>VLOOKUP(C1354,products!A:C,2,FALSE)</f>
        <v>Sapu + Pengki Set</v>
      </c>
      <c r="G1354">
        <f t="shared" si="42"/>
        <v>55000</v>
      </c>
      <c r="H1354">
        <f>VLOOKUP(C1354,products!A:D,4,FALSE)</f>
        <v>25000</v>
      </c>
      <c r="I1354">
        <f t="shared" si="43"/>
        <v>30000</v>
      </c>
      <c r="J1354" t="str">
        <f>VLOOKUP(B1354,orders!A:B,2,FALSE)</f>
        <v>CUST0124</v>
      </c>
      <c r="K1354" t="str">
        <f>VLOOKUP(J1354,customers!A:F,6,FALSE)</f>
        <v>Bandung</v>
      </c>
    </row>
    <row r="1355" spans="1:11" x14ac:dyDescent="0.35">
      <c r="A1355" s="4" t="s">
        <v>2396</v>
      </c>
      <c r="B1355" s="4" t="s">
        <v>335</v>
      </c>
      <c r="C1355" s="4" t="s">
        <v>1053</v>
      </c>
      <c r="D1355" s="4">
        <v>1</v>
      </c>
      <c r="E1355" s="6">
        <v>129000</v>
      </c>
      <c r="F1355" t="str">
        <f>VLOOKUP(C1355,products!A:C,2,FALSE)</f>
        <v>Charger Fast Charging 33W</v>
      </c>
      <c r="G1355">
        <f t="shared" si="42"/>
        <v>129000</v>
      </c>
      <c r="H1355">
        <f>VLOOKUP(C1355,products!A:D,4,FALSE)</f>
        <v>60000</v>
      </c>
      <c r="I1355">
        <f t="shared" si="43"/>
        <v>69000</v>
      </c>
      <c r="J1355" t="str">
        <f>VLOOKUP(B1355,orders!A:B,2,FALSE)</f>
        <v>CUST0156</v>
      </c>
      <c r="K1355" t="str">
        <f>VLOOKUP(J1355,customers!A:F,6,FALSE)</f>
        <v>Bandung</v>
      </c>
    </row>
    <row r="1356" spans="1:11" x14ac:dyDescent="0.35">
      <c r="A1356" s="4" t="s">
        <v>2397</v>
      </c>
      <c r="B1356" s="4" t="s">
        <v>335</v>
      </c>
      <c r="C1356" s="4" t="s">
        <v>1033</v>
      </c>
      <c r="D1356" s="4">
        <v>1</v>
      </c>
      <c r="E1356" s="6">
        <v>55000</v>
      </c>
      <c r="F1356" t="str">
        <f>VLOOKUP(C1356,products!A:C,2,FALSE)</f>
        <v>Sapu + Pengki Set</v>
      </c>
      <c r="G1356">
        <f t="shared" si="42"/>
        <v>55000</v>
      </c>
      <c r="H1356">
        <f>VLOOKUP(C1356,products!A:D,4,FALSE)</f>
        <v>25000</v>
      </c>
      <c r="I1356">
        <f t="shared" si="43"/>
        <v>30000</v>
      </c>
      <c r="J1356" t="str">
        <f>VLOOKUP(B1356,orders!A:B,2,FALSE)</f>
        <v>CUST0156</v>
      </c>
      <c r="K1356" t="str">
        <f>VLOOKUP(J1356,customers!A:F,6,FALSE)</f>
        <v>Bandung</v>
      </c>
    </row>
    <row r="1357" spans="1:11" x14ac:dyDescent="0.35">
      <c r="A1357" s="4" t="s">
        <v>2398</v>
      </c>
      <c r="B1357" s="4" t="s">
        <v>526</v>
      </c>
      <c r="C1357" s="4" t="s">
        <v>1023</v>
      </c>
      <c r="D1357" s="4">
        <v>1</v>
      </c>
      <c r="E1357" s="6">
        <v>69000</v>
      </c>
      <c r="F1357" t="str">
        <f>VLOOKUP(C1357,products!A:C,2,FALSE)</f>
        <v>Lampu LED Hias 5m</v>
      </c>
      <c r="G1357">
        <f t="shared" si="42"/>
        <v>69000</v>
      </c>
      <c r="H1357">
        <f>VLOOKUP(C1357,products!A:D,4,FALSE)</f>
        <v>30000</v>
      </c>
      <c r="I1357">
        <f t="shared" si="43"/>
        <v>39000</v>
      </c>
      <c r="J1357" t="str">
        <f>VLOOKUP(B1357,orders!A:B,2,FALSE)</f>
        <v>CUST0184</v>
      </c>
      <c r="K1357" t="str">
        <f>VLOOKUP(J1357,customers!A:F,6,FALSE)</f>
        <v>Denpasar</v>
      </c>
    </row>
    <row r="1358" spans="1:11" x14ac:dyDescent="0.35">
      <c r="A1358" s="4" t="s">
        <v>2399</v>
      </c>
      <c r="B1358" s="4" t="s">
        <v>308</v>
      </c>
      <c r="C1358" s="4" t="s">
        <v>1029</v>
      </c>
      <c r="D1358" s="4">
        <v>1</v>
      </c>
      <c r="E1358" s="6">
        <v>39000</v>
      </c>
      <c r="F1358" t="str">
        <f>VLOOKUP(C1358,products!A:C,2,FALSE)</f>
        <v>Kabel Data USB-C</v>
      </c>
      <c r="G1358">
        <f t="shared" si="42"/>
        <v>39000</v>
      </c>
      <c r="H1358">
        <f>VLOOKUP(C1358,products!A:D,4,FALSE)</f>
        <v>15000</v>
      </c>
      <c r="I1358">
        <f t="shared" si="43"/>
        <v>24000</v>
      </c>
      <c r="J1358" t="str">
        <f>VLOOKUP(B1358,orders!A:B,2,FALSE)</f>
        <v>CUST0089</v>
      </c>
      <c r="K1358" t="str">
        <f>VLOOKUP(J1358,customers!A:F,6,FALSE)</f>
        <v>Makassar</v>
      </c>
    </row>
    <row r="1359" spans="1:11" x14ac:dyDescent="0.35">
      <c r="A1359" s="4" t="s">
        <v>1866</v>
      </c>
      <c r="B1359" s="4" t="s">
        <v>22</v>
      </c>
      <c r="C1359" s="4" t="s">
        <v>1044</v>
      </c>
      <c r="D1359" s="4">
        <v>1</v>
      </c>
      <c r="E1359" s="6">
        <v>329000</v>
      </c>
      <c r="F1359" t="str">
        <f>VLOOKUP(C1359,products!A:C,2,FALSE)</f>
        <v>Rice Cooker Mini 1.5L</v>
      </c>
      <c r="G1359">
        <f t="shared" si="42"/>
        <v>329000</v>
      </c>
      <c r="H1359">
        <f>VLOOKUP(C1359,products!A:D,4,FALSE)</f>
        <v>180000</v>
      </c>
      <c r="I1359">
        <f t="shared" si="43"/>
        <v>149000</v>
      </c>
      <c r="J1359" t="str">
        <f>VLOOKUP(B1359,orders!A:B,2,FALSE)</f>
        <v>CUST0159</v>
      </c>
      <c r="K1359" t="str">
        <f>VLOOKUP(J1359,customers!A:F,6,FALSE)</f>
        <v>Bandung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zoomScale="78" zoomScaleNormal="78" workbookViewId="0">
      <pane ySplit="1" topLeftCell="A2" activePane="bottomLeft" state="frozen"/>
      <selection pane="bottomLeft" activeCell="G27" sqref="G27"/>
    </sheetView>
  </sheetViews>
  <sheetFormatPr defaultRowHeight="14.5" x14ac:dyDescent="0.35"/>
  <cols>
    <col min="1" max="1" width="13" customWidth="1"/>
    <col min="2" max="2" width="28" customWidth="1"/>
    <col min="3" max="3" width="15" customWidth="1"/>
    <col min="4" max="4" width="14" customWidth="1"/>
    <col min="5" max="5" width="13" customWidth="1"/>
  </cols>
  <sheetData>
    <row r="1" spans="1:5" x14ac:dyDescent="0.35">
      <c r="A1" s="3" t="s">
        <v>1019</v>
      </c>
      <c r="B1" s="3" t="s">
        <v>2400</v>
      </c>
      <c r="C1" s="3" t="s">
        <v>2401</v>
      </c>
      <c r="D1" s="3" t="s">
        <v>2402</v>
      </c>
      <c r="E1" s="3" t="s">
        <v>2403</v>
      </c>
    </row>
    <row r="2" spans="1:5" x14ac:dyDescent="0.35">
      <c r="A2" s="4" t="s">
        <v>1578</v>
      </c>
      <c r="B2" s="4" t="s">
        <v>2404</v>
      </c>
      <c r="C2" s="4" t="s">
        <v>2405</v>
      </c>
      <c r="D2" s="6">
        <v>150000</v>
      </c>
      <c r="E2" s="6">
        <v>299000</v>
      </c>
    </row>
    <row r="3" spans="1:5" x14ac:dyDescent="0.35">
      <c r="A3" s="4" t="s">
        <v>1089</v>
      </c>
      <c r="B3" s="4" t="s">
        <v>2406</v>
      </c>
      <c r="C3" s="4" t="s">
        <v>2405</v>
      </c>
      <c r="D3" s="6">
        <v>80000</v>
      </c>
      <c r="E3" s="6">
        <v>159000</v>
      </c>
    </row>
    <row r="4" spans="1:5" x14ac:dyDescent="0.35">
      <c r="A4" s="4" t="s">
        <v>1076</v>
      </c>
      <c r="B4" s="4" t="s">
        <v>2407</v>
      </c>
      <c r="C4" s="4" t="s">
        <v>2405</v>
      </c>
      <c r="D4" s="6">
        <v>250000</v>
      </c>
      <c r="E4" s="6">
        <v>499000</v>
      </c>
    </row>
    <row r="5" spans="1:5" x14ac:dyDescent="0.35">
      <c r="A5" s="4" t="s">
        <v>1325</v>
      </c>
      <c r="B5" s="4" t="s">
        <v>2408</v>
      </c>
      <c r="C5" s="4" t="s">
        <v>2405</v>
      </c>
      <c r="D5" s="6">
        <v>100000</v>
      </c>
      <c r="E5" s="6">
        <v>199000</v>
      </c>
    </row>
    <row r="6" spans="1:5" x14ac:dyDescent="0.35">
      <c r="A6" s="4" t="s">
        <v>1029</v>
      </c>
      <c r="B6" s="4" t="s">
        <v>2409</v>
      </c>
      <c r="C6" s="4" t="s">
        <v>2405</v>
      </c>
      <c r="D6" s="6">
        <v>15000</v>
      </c>
      <c r="E6" s="6">
        <v>39000</v>
      </c>
    </row>
    <row r="7" spans="1:5" x14ac:dyDescent="0.35">
      <c r="A7" s="4" t="s">
        <v>1053</v>
      </c>
      <c r="B7" s="4" t="s">
        <v>2410</v>
      </c>
      <c r="C7" s="4" t="s">
        <v>2405</v>
      </c>
      <c r="D7" s="6">
        <v>60000</v>
      </c>
      <c r="E7" s="6">
        <v>129000</v>
      </c>
    </row>
    <row r="8" spans="1:5" x14ac:dyDescent="0.35">
      <c r="A8" s="4" t="s">
        <v>1040</v>
      </c>
      <c r="B8" s="4" t="s">
        <v>2411</v>
      </c>
      <c r="C8" s="4" t="s">
        <v>2405</v>
      </c>
      <c r="D8" s="6">
        <v>45000</v>
      </c>
      <c r="E8" s="6">
        <v>99000</v>
      </c>
    </row>
    <row r="9" spans="1:5" x14ac:dyDescent="0.35">
      <c r="A9" s="4" t="s">
        <v>1082</v>
      </c>
      <c r="B9" s="4" t="s">
        <v>2412</v>
      </c>
      <c r="C9" s="4" t="s">
        <v>2405</v>
      </c>
      <c r="D9" s="6">
        <v>200000</v>
      </c>
      <c r="E9" s="6">
        <v>399000</v>
      </c>
    </row>
    <row r="10" spans="1:5" x14ac:dyDescent="0.35">
      <c r="A10" s="4" t="s">
        <v>1031</v>
      </c>
      <c r="B10" s="4" t="s">
        <v>2413</v>
      </c>
      <c r="C10" s="4" t="s">
        <v>2414</v>
      </c>
      <c r="D10" s="6">
        <v>35000</v>
      </c>
      <c r="E10" s="6">
        <v>79000</v>
      </c>
    </row>
    <row r="11" spans="1:5" x14ac:dyDescent="0.35">
      <c r="A11" s="4" t="s">
        <v>2415</v>
      </c>
      <c r="B11" s="4" t="s">
        <v>2416</v>
      </c>
      <c r="C11" s="4" t="s">
        <v>2414</v>
      </c>
      <c r="D11" s="6">
        <v>70000</v>
      </c>
      <c r="E11" s="6">
        <v>159000</v>
      </c>
    </row>
    <row r="12" spans="1:5" x14ac:dyDescent="0.35">
      <c r="A12" s="4" t="s">
        <v>2417</v>
      </c>
      <c r="B12" s="4" t="s">
        <v>2418</v>
      </c>
      <c r="C12" s="4" t="s">
        <v>2414</v>
      </c>
      <c r="D12" s="6">
        <v>90000</v>
      </c>
      <c r="E12" s="6">
        <v>199000</v>
      </c>
    </row>
    <row r="13" spans="1:5" x14ac:dyDescent="0.35">
      <c r="A13" s="4" t="s">
        <v>1036</v>
      </c>
      <c r="B13" s="4" t="s">
        <v>2419</v>
      </c>
      <c r="C13" s="4" t="s">
        <v>2414</v>
      </c>
      <c r="D13" s="6">
        <v>110000</v>
      </c>
      <c r="E13" s="6">
        <v>229000</v>
      </c>
    </row>
    <row r="14" spans="1:5" x14ac:dyDescent="0.35">
      <c r="A14" s="4" t="s">
        <v>1200</v>
      </c>
      <c r="B14" s="4" t="s">
        <v>2420</v>
      </c>
      <c r="C14" s="4" t="s">
        <v>2414</v>
      </c>
      <c r="D14" s="6">
        <v>95000</v>
      </c>
      <c r="E14" s="6">
        <v>209000</v>
      </c>
    </row>
    <row r="15" spans="1:5" x14ac:dyDescent="0.35">
      <c r="A15" s="4" t="s">
        <v>1049</v>
      </c>
      <c r="B15" s="4" t="s">
        <v>2421</v>
      </c>
      <c r="C15" s="4" t="s">
        <v>2414</v>
      </c>
      <c r="D15" s="6">
        <v>180000</v>
      </c>
      <c r="E15" s="6">
        <v>349000</v>
      </c>
    </row>
    <row r="16" spans="1:5" x14ac:dyDescent="0.35">
      <c r="A16" s="4" t="s">
        <v>1285</v>
      </c>
      <c r="B16" s="4" t="s">
        <v>2422</v>
      </c>
      <c r="C16" s="4" t="s">
        <v>2414</v>
      </c>
      <c r="D16" s="6">
        <v>60000</v>
      </c>
      <c r="E16" s="6">
        <v>139000</v>
      </c>
    </row>
    <row r="17" spans="1:5" x14ac:dyDescent="0.35">
      <c r="A17" s="4" t="s">
        <v>2423</v>
      </c>
      <c r="B17" s="4" t="s">
        <v>2424</v>
      </c>
      <c r="C17" s="4" t="s">
        <v>2414</v>
      </c>
      <c r="D17" s="6">
        <v>25000</v>
      </c>
      <c r="E17" s="6">
        <v>59000</v>
      </c>
    </row>
    <row r="18" spans="1:5" x14ac:dyDescent="0.35">
      <c r="A18" s="4" t="s">
        <v>1044</v>
      </c>
      <c r="B18" s="4" t="s">
        <v>2425</v>
      </c>
      <c r="C18" s="4" t="s">
        <v>2426</v>
      </c>
      <c r="D18" s="6">
        <v>180000</v>
      </c>
      <c r="E18" s="6">
        <v>329000</v>
      </c>
    </row>
    <row r="19" spans="1:5" x14ac:dyDescent="0.35">
      <c r="A19" s="4" t="s">
        <v>1111</v>
      </c>
      <c r="B19" s="4" t="s">
        <v>2427</v>
      </c>
      <c r="C19" s="4" t="s">
        <v>2426</v>
      </c>
      <c r="D19" s="6">
        <v>70000</v>
      </c>
      <c r="E19" s="6">
        <v>149000</v>
      </c>
    </row>
    <row r="20" spans="1:5" x14ac:dyDescent="0.35">
      <c r="A20" s="4" t="s">
        <v>1084</v>
      </c>
      <c r="B20" s="4" t="s">
        <v>2428</v>
      </c>
      <c r="C20" s="4" t="s">
        <v>2426</v>
      </c>
      <c r="D20" s="6">
        <v>35000</v>
      </c>
      <c r="E20" s="6">
        <v>79000</v>
      </c>
    </row>
    <row r="21" spans="1:5" x14ac:dyDescent="0.35">
      <c r="A21" s="4" t="s">
        <v>1025</v>
      </c>
      <c r="B21" s="4" t="s">
        <v>2429</v>
      </c>
      <c r="C21" s="4" t="s">
        <v>2426</v>
      </c>
      <c r="D21" s="6">
        <v>90000</v>
      </c>
      <c r="E21" s="6">
        <v>179000</v>
      </c>
    </row>
    <row r="22" spans="1:5" x14ac:dyDescent="0.35">
      <c r="A22" s="4" t="s">
        <v>1023</v>
      </c>
      <c r="B22" s="4" t="s">
        <v>2430</v>
      </c>
      <c r="C22" s="4" t="s">
        <v>2426</v>
      </c>
      <c r="D22" s="6">
        <v>30000</v>
      </c>
      <c r="E22" s="6">
        <v>69000</v>
      </c>
    </row>
    <row r="23" spans="1:5" x14ac:dyDescent="0.35">
      <c r="A23" s="4" t="s">
        <v>1033</v>
      </c>
      <c r="B23" s="4" t="s">
        <v>2431</v>
      </c>
      <c r="C23" s="4" t="s">
        <v>2426</v>
      </c>
      <c r="D23" s="6">
        <v>25000</v>
      </c>
      <c r="E23" s="6">
        <v>55000</v>
      </c>
    </row>
    <row r="24" spans="1:5" x14ac:dyDescent="0.35">
      <c r="A24" s="4" t="s">
        <v>1046</v>
      </c>
      <c r="B24" s="4" t="s">
        <v>2432</v>
      </c>
      <c r="C24" s="4" t="s">
        <v>2426</v>
      </c>
      <c r="D24" s="6">
        <v>65000</v>
      </c>
      <c r="E24" s="6">
        <v>139000</v>
      </c>
    </row>
    <row r="25" spans="1:5" x14ac:dyDescent="0.35">
      <c r="A25" s="4" t="s">
        <v>1170</v>
      </c>
      <c r="B25" s="4" t="s">
        <v>2433</v>
      </c>
      <c r="C25" s="4" t="s">
        <v>2426</v>
      </c>
      <c r="D25" s="6">
        <v>40000</v>
      </c>
      <c r="E25" s="6">
        <v>89000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1"/>
  <sheetViews>
    <sheetView tabSelected="1" zoomScale="74" zoomScaleNormal="74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" customWidth="1"/>
    <col min="2" max="2" width="32.90625" customWidth="1"/>
    <col min="3" max="3" width="13" customWidth="1"/>
    <col min="4" max="4" width="22" customWidth="1"/>
    <col min="5" max="5" width="10" customWidth="1"/>
    <col min="6" max="6" width="10.1796875" customWidth="1"/>
  </cols>
  <sheetData>
    <row r="1" spans="1:6" x14ac:dyDescent="0.35">
      <c r="A1" s="3" t="s">
        <v>14</v>
      </c>
      <c r="B1" s="3" t="s">
        <v>2434</v>
      </c>
      <c r="C1" s="3" t="s">
        <v>2435</v>
      </c>
      <c r="D1" s="3" t="s">
        <v>2436</v>
      </c>
      <c r="E1" s="3" t="s">
        <v>2437</v>
      </c>
      <c r="F1" s="23" t="s">
        <v>2675</v>
      </c>
    </row>
    <row r="2" spans="1:6" x14ac:dyDescent="0.35">
      <c r="A2" s="4" t="s">
        <v>464</v>
      </c>
      <c r="B2" s="4" t="s">
        <v>2438</v>
      </c>
      <c r="C2" s="4" t="s">
        <v>2439</v>
      </c>
      <c r="D2" s="7">
        <v>45890</v>
      </c>
      <c r="E2" s="4" t="s">
        <v>2440</v>
      </c>
      <c r="F2" t="s">
        <v>2439</v>
      </c>
    </row>
    <row r="3" spans="1:6" x14ac:dyDescent="0.35">
      <c r="A3" s="4" t="s">
        <v>111</v>
      </c>
      <c r="B3" s="4" t="s">
        <v>2441</v>
      </c>
      <c r="C3" s="4" t="s">
        <v>2442</v>
      </c>
      <c r="D3" s="7">
        <v>45747</v>
      </c>
      <c r="E3" s="4" t="s">
        <v>2443</v>
      </c>
      <c r="F3" t="s">
        <v>2442</v>
      </c>
    </row>
    <row r="4" spans="1:6" x14ac:dyDescent="0.35">
      <c r="A4" s="4" t="s">
        <v>513</v>
      </c>
      <c r="B4" s="4" t="s">
        <v>2444</v>
      </c>
      <c r="C4" s="4" t="s">
        <v>2445</v>
      </c>
      <c r="D4" s="7">
        <v>45904</v>
      </c>
      <c r="E4" s="4" t="s">
        <v>2446</v>
      </c>
      <c r="F4" t="s">
        <v>2445</v>
      </c>
    </row>
    <row r="5" spans="1:6" x14ac:dyDescent="0.35">
      <c r="A5" s="4" t="s">
        <v>124</v>
      </c>
      <c r="B5" s="4" t="s">
        <v>2447</v>
      </c>
      <c r="C5" s="4" t="s">
        <v>2445</v>
      </c>
      <c r="D5" s="7">
        <v>45669</v>
      </c>
      <c r="E5" s="4" t="s">
        <v>2440</v>
      </c>
      <c r="F5" t="s">
        <v>2445</v>
      </c>
    </row>
    <row r="6" spans="1:6" x14ac:dyDescent="0.35">
      <c r="A6" s="4" t="s">
        <v>347</v>
      </c>
      <c r="B6" s="4" t="s">
        <v>2448</v>
      </c>
      <c r="C6" s="4" t="s">
        <v>2449</v>
      </c>
      <c r="D6" s="7">
        <v>45841</v>
      </c>
      <c r="E6" s="4" t="s">
        <v>2443</v>
      </c>
      <c r="F6" t="s">
        <v>2449</v>
      </c>
    </row>
    <row r="7" spans="1:6" x14ac:dyDescent="0.35">
      <c r="A7" s="4" t="s">
        <v>540</v>
      </c>
      <c r="B7" s="4" t="s">
        <v>2450</v>
      </c>
      <c r="C7" s="4" t="s">
        <v>2445</v>
      </c>
      <c r="D7" s="7">
        <v>45918</v>
      </c>
      <c r="E7" s="4" t="s">
        <v>2440</v>
      </c>
      <c r="F7" t="s">
        <v>2445</v>
      </c>
    </row>
    <row r="8" spans="1:6" x14ac:dyDescent="0.35">
      <c r="A8" s="4" t="s">
        <v>274</v>
      </c>
      <c r="B8" s="4" t="s">
        <v>2451</v>
      </c>
      <c r="C8" s="4" t="s">
        <v>2452</v>
      </c>
      <c r="D8" s="7">
        <v>45821</v>
      </c>
      <c r="E8" s="4" t="s">
        <v>2446</v>
      </c>
      <c r="F8" t="s">
        <v>2452</v>
      </c>
    </row>
    <row r="9" spans="1:6" x14ac:dyDescent="0.35">
      <c r="A9" s="4" t="s">
        <v>597</v>
      </c>
      <c r="B9" s="4" t="s">
        <v>2453</v>
      </c>
      <c r="C9" s="4" t="s">
        <v>2445</v>
      </c>
      <c r="D9" s="7">
        <v>45934</v>
      </c>
      <c r="E9" s="4" t="s">
        <v>2446</v>
      </c>
      <c r="F9" t="s">
        <v>2445</v>
      </c>
    </row>
    <row r="10" spans="1:6" x14ac:dyDescent="0.35">
      <c r="A10" s="4" t="s">
        <v>171</v>
      </c>
      <c r="B10" s="4" t="s">
        <v>2454</v>
      </c>
      <c r="C10" s="4" t="s">
        <v>2455</v>
      </c>
      <c r="D10" s="7">
        <v>45781</v>
      </c>
      <c r="E10" s="4" t="s">
        <v>2443</v>
      </c>
      <c r="F10" t="s">
        <v>2455</v>
      </c>
    </row>
    <row r="11" spans="1:6" x14ac:dyDescent="0.35">
      <c r="A11" s="4" t="s">
        <v>71</v>
      </c>
      <c r="B11" s="4" t="s">
        <v>2456</v>
      </c>
      <c r="C11" s="4" t="s">
        <v>2439</v>
      </c>
      <c r="D11" s="7">
        <v>45695</v>
      </c>
      <c r="E11" s="4" t="s">
        <v>2446</v>
      </c>
      <c r="F11" t="s">
        <v>2439</v>
      </c>
    </row>
    <row r="12" spans="1:6" x14ac:dyDescent="0.35">
      <c r="A12" s="4" t="s">
        <v>748</v>
      </c>
      <c r="B12" s="4" t="s">
        <v>2457</v>
      </c>
      <c r="C12" s="4" t="s">
        <v>2449</v>
      </c>
      <c r="D12" s="7">
        <v>45966</v>
      </c>
      <c r="E12" s="4" t="s">
        <v>2446</v>
      </c>
      <c r="F12" t="s">
        <v>2449</v>
      </c>
    </row>
    <row r="13" spans="1:6" x14ac:dyDescent="0.35">
      <c r="A13" s="4" t="s">
        <v>560</v>
      </c>
      <c r="B13" s="4" t="s">
        <v>2458</v>
      </c>
      <c r="C13" s="4" t="s">
        <v>2455</v>
      </c>
      <c r="D13" s="7">
        <v>45923</v>
      </c>
      <c r="E13" s="4" t="s">
        <v>2446</v>
      </c>
      <c r="F13" t="s">
        <v>2455</v>
      </c>
    </row>
    <row r="14" spans="1:6" x14ac:dyDescent="0.35">
      <c r="A14" s="4" t="s">
        <v>260</v>
      </c>
      <c r="B14" s="4" t="s">
        <v>2459</v>
      </c>
      <c r="C14" s="4" t="s">
        <v>2439</v>
      </c>
      <c r="D14" s="7">
        <v>45686</v>
      </c>
      <c r="E14" s="4" t="s">
        <v>2443</v>
      </c>
      <c r="F14" t="s">
        <v>2439</v>
      </c>
    </row>
    <row r="15" spans="1:6" x14ac:dyDescent="0.35">
      <c r="A15" s="4" t="s">
        <v>439</v>
      </c>
      <c r="B15" s="4" t="s">
        <v>2460</v>
      </c>
      <c r="C15" s="4" t="s">
        <v>2445</v>
      </c>
      <c r="D15" s="7">
        <v>45883</v>
      </c>
      <c r="E15" s="4" t="s">
        <v>2443</v>
      </c>
      <c r="F15" t="s">
        <v>2445</v>
      </c>
    </row>
    <row r="16" spans="1:6" x14ac:dyDescent="0.35">
      <c r="A16" s="4" t="s">
        <v>32</v>
      </c>
      <c r="B16" s="4" t="s">
        <v>2461</v>
      </c>
      <c r="C16" s="4" t="s">
        <v>2449</v>
      </c>
      <c r="D16" s="7">
        <v>45674</v>
      </c>
      <c r="E16" s="4" t="s">
        <v>2446</v>
      </c>
      <c r="F16" t="s">
        <v>2449</v>
      </c>
    </row>
    <row r="17" spans="1:6" x14ac:dyDescent="0.35">
      <c r="A17" s="4" t="s">
        <v>1008</v>
      </c>
      <c r="B17" s="4" t="s">
        <v>2462</v>
      </c>
      <c r="C17" s="4" t="s">
        <v>2449</v>
      </c>
      <c r="D17" s="7">
        <v>46016</v>
      </c>
      <c r="E17" s="4" t="s">
        <v>2446</v>
      </c>
      <c r="F17" t="s">
        <v>2449</v>
      </c>
    </row>
    <row r="18" spans="1:6" x14ac:dyDescent="0.35">
      <c r="A18" s="4" t="s">
        <v>236</v>
      </c>
      <c r="B18" s="4" t="s">
        <v>2463</v>
      </c>
      <c r="C18" s="4" t="s">
        <v>2445</v>
      </c>
      <c r="D18" s="7">
        <v>45759</v>
      </c>
      <c r="E18" s="4" t="s">
        <v>2440</v>
      </c>
      <c r="F18" t="s">
        <v>2445</v>
      </c>
    </row>
    <row r="19" spans="1:6" x14ac:dyDescent="0.35">
      <c r="A19" s="4" t="s">
        <v>198</v>
      </c>
      <c r="B19" s="4" t="s">
        <v>2464</v>
      </c>
      <c r="C19" s="4" t="s">
        <v>2465</v>
      </c>
      <c r="D19" s="7">
        <v>45792</v>
      </c>
      <c r="E19" s="4" t="s">
        <v>2443</v>
      </c>
      <c r="F19" t="s">
        <v>2465</v>
      </c>
    </row>
    <row r="20" spans="1:6" x14ac:dyDescent="0.35">
      <c r="A20" s="4" t="s">
        <v>548</v>
      </c>
      <c r="B20" s="4" t="s">
        <v>2466</v>
      </c>
      <c r="C20" s="4" t="s">
        <v>2455</v>
      </c>
      <c r="D20" s="7">
        <v>45913</v>
      </c>
      <c r="E20" s="4" t="s">
        <v>2446</v>
      </c>
      <c r="F20" t="s">
        <v>2455</v>
      </c>
    </row>
    <row r="21" spans="1:6" x14ac:dyDescent="0.35">
      <c r="A21" s="4" t="s">
        <v>479</v>
      </c>
      <c r="B21" s="4" t="s">
        <v>2467</v>
      </c>
      <c r="C21" s="4" t="s">
        <v>2468</v>
      </c>
      <c r="D21" s="7">
        <v>45889</v>
      </c>
      <c r="E21" s="4" t="s">
        <v>2443</v>
      </c>
      <c r="F21" t="s">
        <v>2468</v>
      </c>
    </row>
    <row r="22" spans="1:6" x14ac:dyDescent="0.35">
      <c r="A22" s="4" t="s">
        <v>296</v>
      </c>
      <c r="B22" s="4" t="s">
        <v>2469</v>
      </c>
      <c r="C22" s="4" t="s">
        <v>2445</v>
      </c>
      <c r="D22" s="7">
        <v>45826</v>
      </c>
      <c r="E22" s="4" t="s">
        <v>2443</v>
      </c>
      <c r="F22" t="s">
        <v>2445</v>
      </c>
    </row>
    <row r="23" spans="1:6" x14ac:dyDescent="0.35">
      <c r="A23" s="4" t="s">
        <v>175</v>
      </c>
      <c r="B23" s="4" t="s">
        <v>2470</v>
      </c>
      <c r="C23" s="4" t="s">
        <v>2445</v>
      </c>
      <c r="D23" s="7">
        <v>45737</v>
      </c>
      <c r="E23" s="4" t="s">
        <v>2440</v>
      </c>
      <c r="F23" t="s">
        <v>2445</v>
      </c>
    </row>
    <row r="24" spans="1:6" x14ac:dyDescent="0.35">
      <c r="A24" s="4" t="s">
        <v>154</v>
      </c>
      <c r="B24" s="4" t="s">
        <v>2471</v>
      </c>
      <c r="C24" s="4" t="s">
        <v>2455</v>
      </c>
      <c r="D24" s="7">
        <v>45741</v>
      </c>
      <c r="E24" s="4" t="s">
        <v>2443</v>
      </c>
      <c r="F24" t="s">
        <v>2455</v>
      </c>
    </row>
    <row r="25" spans="1:6" x14ac:dyDescent="0.35">
      <c r="A25" s="4" t="s">
        <v>225</v>
      </c>
      <c r="B25" s="4" t="s">
        <v>2472</v>
      </c>
      <c r="C25" s="4" t="s">
        <v>2455</v>
      </c>
      <c r="D25" s="7">
        <v>45804</v>
      </c>
      <c r="E25" s="4" t="s">
        <v>2443</v>
      </c>
      <c r="F25" t="s">
        <v>2455</v>
      </c>
    </row>
    <row r="26" spans="1:6" x14ac:dyDescent="0.35">
      <c r="A26" s="4" t="s">
        <v>802</v>
      </c>
      <c r="B26" s="4" t="s">
        <v>2473</v>
      </c>
      <c r="C26" s="4" t="s">
        <v>2474</v>
      </c>
      <c r="D26" s="7">
        <v>45976</v>
      </c>
      <c r="E26" s="4" t="s">
        <v>2446</v>
      </c>
      <c r="F26" t="s">
        <v>2474</v>
      </c>
    </row>
    <row r="27" spans="1:6" x14ac:dyDescent="0.35">
      <c r="A27" s="4" t="s">
        <v>332</v>
      </c>
      <c r="B27" s="4" t="s">
        <v>2475</v>
      </c>
      <c r="C27" s="4" t="s">
        <v>2465</v>
      </c>
      <c r="D27" s="7">
        <v>45839</v>
      </c>
      <c r="E27" s="4" t="s">
        <v>2443</v>
      </c>
      <c r="F27" t="s">
        <v>2465</v>
      </c>
    </row>
    <row r="28" spans="1:6" x14ac:dyDescent="0.35">
      <c r="A28" s="4" t="s">
        <v>708</v>
      </c>
      <c r="B28" s="4" t="s">
        <v>2476</v>
      </c>
      <c r="C28" s="4" t="s">
        <v>2465</v>
      </c>
      <c r="D28" s="7">
        <v>45708</v>
      </c>
      <c r="E28" s="4" t="s">
        <v>2440</v>
      </c>
      <c r="F28" t="s">
        <v>2465</v>
      </c>
    </row>
    <row r="29" spans="1:6" x14ac:dyDescent="0.35">
      <c r="A29" s="4" t="s">
        <v>573</v>
      </c>
      <c r="B29" s="4" t="s">
        <v>2477</v>
      </c>
      <c r="C29" s="4" t="s">
        <v>2449</v>
      </c>
      <c r="D29" s="7">
        <v>45929</v>
      </c>
      <c r="E29" s="4" t="s">
        <v>2440</v>
      </c>
      <c r="F29" t="s">
        <v>2449</v>
      </c>
    </row>
    <row r="30" spans="1:6" x14ac:dyDescent="0.35">
      <c r="A30" s="4" t="s">
        <v>203</v>
      </c>
      <c r="B30" s="4" t="s">
        <v>2478</v>
      </c>
      <c r="C30" s="4" t="s">
        <v>2445</v>
      </c>
      <c r="D30" s="7">
        <v>45789</v>
      </c>
      <c r="E30" s="4" t="s">
        <v>2446</v>
      </c>
      <c r="F30" t="s">
        <v>2445</v>
      </c>
    </row>
    <row r="31" spans="1:6" x14ac:dyDescent="0.35">
      <c r="A31" s="4" t="s">
        <v>94</v>
      </c>
      <c r="B31" s="4" t="s">
        <v>2479</v>
      </c>
      <c r="C31" s="4" t="s">
        <v>2445</v>
      </c>
      <c r="D31" s="7">
        <v>45691</v>
      </c>
      <c r="E31" s="4" t="s">
        <v>2446</v>
      </c>
      <c r="F31" t="s">
        <v>2445</v>
      </c>
    </row>
    <row r="32" spans="1:6" x14ac:dyDescent="0.35">
      <c r="A32" s="4" t="s">
        <v>194</v>
      </c>
      <c r="B32" s="4" t="s">
        <v>2480</v>
      </c>
      <c r="C32" s="4" t="s">
        <v>2439</v>
      </c>
      <c r="D32" s="7">
        <v>45713</v>
      </c>
      <c r="E32" s="4" t="s">
        <v>2446</v>
      </c>
      <c r="F32" t="s">
        <v>2439</v>
      </c>
    </row>
    <row r="33" spans="1:6" x14ac:dyDescent="0.35">
      <c r="A33" s="4" t="s">
        <v>239</v>
      </c>
      <c r="B33" s="4" t="s">
        <v>2481</v>
      </c>
      <c r="C33" s="4" t="s">
        <v>2452</v>
      </c>
      <c r="D33" s="7">
        <v>45811</v>
      </c>
      <c r="E33" s="4" t="s">
        <v>2446</v>
      </c>
      <c r="F33" t="s">
        <v>2452</v>
      </c>
    </row>
    <row r="34" spans="1:6" x14ac:dyDescent="0.35">
      <c r="A34" s="4" t="s">
        <v>418</v>
      </c>
      <c r="B34" s="4" t="s">
        <v>2482</v>
      </c>
      <c r="C34" s="4" t="s">
        <v>2455</v>
      </c>
      <c r="D34" s="7">
        <v>45874</v>
      </c>
      <c r="E34" s="4" t="s">
        <v>2443</v>
      </c>
      <c r="F34" t="s">
        <v>2455</v>
      </c>
    </row>
    <row r="35" spans="1:6" x14ac:dyDescent="0.35">
      <c r="A35" s="4" t="s">
        <v>974</v>
      </c>
      <c r="B35" s="4" t="s">
        <v>2483</v>
      </c>
      <c r="C35" s="4" t="s">
        <v>2445</v>
      </c>
      <c r="D35" s="7">
        <v>46011</v>
      </c>
      <c r="E35" s="4" t="s">
        <v>2443</v>
      </c>
      <c r="F35" t="s">
        <v>2445</v>
      </c>
    </row>
    <row r="36" spans="1:6" x14ac:dyDescent="0.35">
      <c r="A36" s="4" t="s">
        <v>576</v>
      </c>
      <c r="B36" s="4" t="s">
        <v>2484</v>
      </c>
      <c r="C36" s="4" t="s">
        <v>2445</v>
      </c>
      <c r="D36" s="7">
        <v>45931</v>
      </c>
      <c r="E36" s="4" t="s">
        <v>2440</v>
      </c>
      <c r="F36" t="s">
        <v>2445</v>
      </c>
    </row>
    <row r="37" spans="1:6" x14ac:dyDescent="0.35">
      <c r="A37" s="4" t="s">
        <v>250</v>
      </c>
      <c r="B37" s="4" t="s">
        <v>2485</v>
      </c>
      <c r="C37" s="4" t="s">
        <v>2452</v>
      </c>
      <c r="D37" s="7">
        <v>45816</v>
      </c>
      <c r="E37" s="4" t="s">
        <v>2446</v>
      </c>
      <c r="F37" t="s">
        <v>2452</v>
      </c>
    </row>
    <row r="38" spans="1:6" x14ac:dyDescent="0.35">
      <c r="A38" s="4" t="s">
        <v>942</v>
      </c>
      <c r="B38" s="4" t="s">
        <v>2486</v>
      </c>
      <c r="C38" s="4" t="s">
        <v>2445</v>
      </c>
      <c r="D38" s="7">
        <v>46011</v>
      </c>
      <c r="E38" s="4" t="s">
        <v>2443</v>
      </c>
      <c r="F38" t="s">
        <v>2445</v>
      </c>
    </row>
    <row r="39" spans="1:6" x14ac:dyDescent="0.35">
      <c r="A39" s="4" t="s">
        <v>722</v>
      </c>
      <c r="B39" s="4" t="s">
        <v>2487</v>
      </c>
      <c r="C39" s="4" t="s">
        <v>2442</v>
      </c>
      <c r="D39" s="7">
        <v>45964</v>
      </c>
      <c r="E39" s="4" t="s">
        <v>2443</v>
      </c>
      <c r="F39" t="s">
        <v>2442</v>
      </c>
    </row>
    <row r="40" spans="1:6" x14ac:dyDescent="0.35">
      <c r="A40" s="4" t="s">
        <v>423</v>
      </c>
      <c r="B40" s="4" t="s">
        <v>2488</v>
      </c>
      <c r="C40" s="4" t="s">
        <v>2452</v>
      </c>
      <c r="D40" s="7">
        <v>45794</v>
      </c>
      <c r="E40" s="4" t="s">
        <v>2446</v>
      </c>
      <c r="F40" t="s">
        <v>2452</v>
      </c>
    </row>
    <row r="41" spans="1:6" x14ac:dyDescent="0.35">
      <c r="A41" s="4" t="s">
        <v>851</v>
      </c>
      <c r="B41" s="4" t="s">
        <v>2489</v>
      </c>
      <c r="C41" s="4" t="s">
        <v>2439</v>
      </c>
      <c r="D41" s="7">
        <v>45992</v>
      </c>
      <c r="E41" s="4" t="s">
        <v>2446</v>
      </c>
      <c r="F41" t="s">
        <v>2439</v>
      </c>
    </row>
    <row r="42" spans="1:6" x14ac:dyDescent="0.35">
      <c r="A42" s="4" t="s">
        <v>37</v>
      </c>
      <c r="B42" s="4" t="s">
        <v>2490</v>
      </c>
      <c r="C42" s="4" t="s">
        <v>2491</v>
      </c>
      <c r="D42" s="7">
        <v>45698</v>
      </c>
      <c r="E42" s="4" t="s">
        <v>2443</v>
      </c>
      <c r="F42" t="s">
        <v>2496</v>
      </c>
    </row>
    <row r="43" spans="1:6" x14ac:dyDescent="0.35">
      <c r="A43" s="4" t="s">
        <v>121</v>
      </c>
      <c r="B43" s="4" t="s">
        <v>2492</v>
      </c>
      <c r="C43" s="4" t="s">
        <v>2455</v>
      </c>
      <c r="D43" s="7">
        <v>45745</v>
      </c>
      <c r="E43" s="4" t="s">
        <v>2446</v>
      </c>
      <c r="F43" t="s">
        <v>2455</v>
      </c>
    </row>
    <row r="44" spans="1:6" x14ac:dyDescent="0.35">
      <c r="A44" s="4" t="s">
        <v>905</v>
      </c>
      <c r="B44" s="4" t="s">
        <v>2493</v>
      </c>
      <c r="C44" s="4" t="s">
        <v>2455</v>
      </c>
      <c r="D44" s="7">
        <v>46002</v>
      </c>
      <c r="E44" s="4" t="s">
        <v>2446</v>
      </c>
      <c r="F44" t="s">
        <v>2455</v>
      </c>
    </row>
    <row r="45" spans="1:6" x14ac:dyDescent="0.35">
      <c r="A45" s="4" t="s">
        <v>687</v>
      </c>
      <c r="B45" s="4" t="s">
        <v>2494</v>
      </c>
      <c r="C45" s="4" t="s">
        <v>2442</v>
      </c>
      <c r="D45" s="7">
        <v>45955</v>
      </c>
      <c r="E45" s="4" t="s">
        <v>2443</v>
      </c>
      <c r="F45" t="s">
        <v>2442</v>
      </c>
    </row>
    <row r="46" spans="1:6" x14ac:dyDescent="0.35">
      <c r="A46" s="4" t="s">
        <v>477</v>
      </c>
      <c r="B46" s="4" t="s">
        <v>2495</v>
      </c>
      <c r="C46" s="4" t="s">
        <v>2496</v>
      </c>
      <c r="D46" s="7">
        <v>45898</v>
      </c>
      <c r="E46" s="4" t="s">
        <v>2443</v>
      </c>
      <c r="F46" t="s">
        <v>2496</v>
      </c>
    </row>
    <row r="47" spans="1:6" x14ac:dyDescent="0.35">
      <c r="A47" s="4" t="s">
        <v>799</v>
      </c>
      <c r="B47" s="4" t="s">
        <v>2497</v>
      </c>
      <c r="C47" s="4" t="s">
        <v>2445</v>
      </c>
      <c r="D47" s="7">
        <v>45975</v>
      </c>
      <c r="E47" s="4" t="s">
        <v>2443</v>
      </c>
      <c r="F47" t="s">
        <v>2445</v>
      </c>
    </row>
    <row r="48" spans="1:6" x14ac:dyDescent="0.35">
      <c r="A48" s="4" t="s">
        <v>586</v>
      </c>
      <c r="B48" s="4" t="s">
        <v>2498</v>
      </c>
      <c r="C48" s="4" t="s">
        <v>2442</v>
      </c>
      <c r="D48" s="7">
        <v>45932</v>
      </c>
      <c r="E48" s="4" t="s">
        <v>2443</v>
      </c>
      <c r="F48" t="s">
        <v>2442</v>
      </c>
    </row>
    <row r="49" spans="1:6" x14ac:dyDescent="0.35">
      <c r="A49" s="4" t="s">
        <v>2499</v>
      </c>
      <c r="B49" s="4" t="s">
        <v>2500</v>
      </c>
      <c r="C49" s="4" t="s">
        <v>2452</v>
      </c>
      <c r="D49" s="7">
        <v>46020</v>
      </c>
      <c r="E49" s="4" t="s">
        <v>2443</v>
      </c>
      <c r="F49" t="s">
        <v>2452</v>
      </c>
    </row>
    <row r="50" spans="1:6" x14ac:dyDescent="0.35">
      <c r="A50" s="4" t="s">
        <v>289</v>
      </c>
      <c r="B50" s="4" t="s">
        <v>2501</v>
      </c>
      <c r="C50" s="4" t="s">
        <v>2474</v>
      </c>
      <c r="D50" s="7">
        <v>45822</v>
      </c>
      <c r="E50" s="4" t="s">
        <v>2443</v>
      </c>
      <c r="F50" t="s">
        <v>2474</v>
      </c>
    </row>
    <row r="51" spans="1:6" x14ac:dyDescent="0.35">
      <c r="A51" s="4" t="s">
        <v>366</v>
      </c>
      <c r="B51" s="4" t="s">
        <v>2502</v>
      </c>
      <c r="C51" s="4" t="s">
        <v>2445</v>
      </c>
      <c r="D51" s="7">
        <v>45781</v>
      </c>
      <c r="E51" s="4" t="s">
        <v>2446</v>
      </c>
      <c r="F51" t="s">
        <v>2445</v>
      </c>
    </row>
    <row r="52" spans="1:6" x14ac:dyDescent="0.35">
      <c r="A52" s="4" t="s">
        <v>796</v>
      </c>
      <c r="B52" s="4" t="s">
        <v>2503</v>
      </c>
      <c r="C52" s="4" t="s">
        <v>2445</v>
      </c>
      <c r="D52" s="7">
        <v>45738</v>
      </c>
      <c r="E52" s="4" t="s">
        <v>2443</v>
      </c>
      <c r="F52" t="s">
        <v>2445</v>
      </c>
    </row>
    <row r="53" spans="1:6" x14ac:dyDescent="0.35">
      <c r="A53" s="4" t="s">
        <v>415</v>
      </c>
      <c r="B53" s="4" t="s">
        <v>2504</v>
      </c>
      <c r="C53" s="4" t="s">
        <v>2455</v>
      </c>
      <c r="D53" s="7">
        <v>45679</v>
      </c>
      <c r="E53" s="4" t="s">
        <v>2443</v>
      </c>
      <c r="F53" t="s">
        <v>2455</v>
      </c>
    </row>
    <row r="54" spans="1:6" x14ac:dyDescent="0.35">
      <c r="A54" s="4" t="s">
        <v>774</v>
      </c>
      <c r="B54" s="4" t="s">
        <v>2505</v>
      </c>
      <c r="C54" s="4" t="s">
        <v>2496</v>
      </c>
      <c r="D54" s="7">
        <v>45970</v>
      </c>
      <c r="E54" s="4" t="s">
        <v>2446</v>
      </c>
      <c r="F54" t="s">
        <v>2496</v>
      </c>
    </row>
    <row r="55" spans="1:6" x14ac:dyDescent="0.35">
      <c r="A55" s="4" t="s">
        <v>500</v>
      </c>
      <c r="B55" s="4" t="s">
        <v>2497</v>
      </c>
      <c r="C55" s="4" t="s">
        <v>2439</v>
      </c>
      <c r="D55" s="7">
        <v>45759</v>
      </c>
      <c r="E55" s="4" t="s">
        <v>2443</v>
      </c>
      <c r="F55" t="s">
        <v>2439</v>
      </c>
    </row>
    <row r="56" spans="1:6" x14ac:dyDescent="0.35">
      <c r="A56" s="4" t="s">
        <v>48</v>
      </c>
      <c r="B56" s="4" t="s">
        <v>2506</v>
      </c>
      <c r="C56" s="4" t="s">
        <v>2455</v>
      </c>
      <c r="D56" s="7">
        <v>45706</v>
      </c>
      <c r="E56" s="4" t="s">
        <v>2446</v>
      </c>
      <c r="F56" t="s">
        <v>2455</v>
      </c>
    </row>
    <row r="57" spans="1:6" x14ac:dyDescent="0.35">
      <c r="A57" s="4" t="s">
        <v>626</v>
      </c>
      <c r="B57" s="4" t="s">
        <v>2507</v>
      </c>
      <c r="C57" s="4" t="s">
        <v>2455</v>
      </c>
      <c r="D57" s="7">
        <v>45943</v>
      </c>
      <c r="E57" s="4" t="s">
        <v>2446</v>
      </c>
      <c r="F57" t="s">
        <v>2455</v>
      </c>
    </row>
    <row r="58" spans="1:6" x14ac:dyDescent="0.35">
      <c r="A58" s="4" t="s">
        <v>502</v>
      </c>
      <c r="B58" s="4" t="s">
        <v>2508</v>
      </c>
      <c r="C58" s="4" t="s">
        <v>2496</v>
      </c>
      <c r="D58" s="7">
        <v>45897</v>
      </c>
      <c r="E58" s="4" t="s">
        <v>2443</v>
      </c>
      <c r="F58" t="s">
        <v>2496</v>
      </c>
    </row>
    <row r="59" spans="1:6" x14ac:dyDescent="0.35">
      <c r="A59" s="4" t="s">
        <v>300</v>
      </c>
      <c r="B59" s="4" t="s">
        <v>2509</v>
      </c>
      <c r="C59" s="4" t="s">
        <v>2468</v>
      </c>
      <c r="D59" s="7">
        <v>45827</v>
      </c>
      <c r="E59" s="4" t="s">
        <v>2440</v>
      </c>
      <c r="F59" t="s">
        <v>2468</v>
      </c>
    </row>
    <row r="60" spans="1:6" x14ac:dyDescent="0.35">
      <c r="A60" s="4" t="s">
        <v>69</v>
      </c>
      <c r="B60" s="4" t="s">
        <v>2510</v>
      </c>
      <c r="C60" s="4" t="s">
        <v>2511</v>
      </c>
      <c r="D60" s="7">
        <v>45680</v>
      </c>
      <c r="E60" s="4" t="s">
        <v>2446</v>
      </c>
      <c r="F60" t="s">
        <v>2452</v>
      </c>
    </row>
    <row r="61" spans="1:6" x14ac:dyDescent="0.35">
      <c r="A61" s="4" t="s">
        <v>67</v>
      </c>
      <c r="B61" s="4" t="s">
        <v>2512</v>
      </c>
      <c r="C61" s="4" t="s">
        <v>2496</v>
      </c>
      <c r="D61" s="7">
        <v>45727</v>
      </c>
      <c r="E61" s="4" t="s">
        <v>2443</v>
      </c>
      <c r="F61" t="s">
        <v>2496</v>
      </c>
    </row>
    <row r="62" spans="1:6" x14ac:dyDescent="0.35">
      <c r="A62" s="4" t="s">
        <v>77</v>
      </c>
      <c r="B62" s="4" t="s">
        <v>2513</v>
      </c>
      <c r="C62" s="4" t="s">
        <v>2452</v>
      </c>
      <c r="D62" s="7">
        <v>45724</v>
      </c>
      <c r="E62" s="4" t="s">
        <v>2440</v>
      </c>
      <c r="F62" t="s">
        <v>2452</v>
      </c>
    </row>
    <row r="63" spans="1:6" x14ac:dyDescent="0.35">
      <c r="A63" s="4" t="s">
        <v>271</v>
      </c>
      <c r="B63" s="4" t="s">
        <v>2514</v>
      </c>
      <c r="C63" s="4" t="s">
        <v>2455</v>
      </c>
      <c r="D63" s="7">
        <v>45819</v>
      </c>
      <c r="E63" s="4" t="s">
        <v>2446</v>
      </c>
      <c r="F63" t="s">
        <v>2455</v>
      </c>
    </row>
    <row r="64" spans="1:6" x14ac:dyDescent="0.35">
      <c r="A64" s="4" t="s">
        <v>717</v>
      </c>
      <c r="B64" s="4" t="s">
        <v>2515</v>
      </c>
      <c r="C64" s="4" t="s">
        <v>2455</v>
      </c>
      <c r="D64" s="7">
        <v>45962</v>
      </c>
      <c r="E64" s="4" t="s">
        <v>2443</v>
      </c>
      <c r="F64" t="s">
        <v>2455</v>
      </c>
    </row>
    <row r="65" spans="1:6" x14ac:dyDescent="0.35">
      <c r="A65" s="4" t="s">
        <v>741</v>
      </c>
      <c r="B65" s="4" t="s">
        <v>2516</v>
      </c>
      <c r="C65" s="4" t="s">
        <v>2452</v>
      </c>
      <c r="D65" s="7">
        <v>45718</v>
      </c>
      <c r="E65" s="4" t="s">
        <v>2440</v>
      </c>
      <c r="F65" t="s">
        <v>2452</v>
      </c>
    </row>
    <row r="66" spans="1:6" x14ac:dyDescent="0.35">
      <c r="A66" s="4" t="s">
        <v>752</v>
      </c>
      <c r="B66" s="4" t="s">
        <v>2517</v>
      </c>
      <c r="C66" s="4" t="s">
        <v>2445</v>
      </c>
      <c r="D66" s="7">
        <v>45972</v>
      </c>
      <c r="E66" s="4" t="s">
        <v>2443</v>
      </c>
      <c r="F66" t="s">
        <v>2445</v>
      </c>
    </row>
    <row r="67" spans="1:6" x14ac:dyDescent="0.35">
      <c r="A67" s="4" t="s">
        <v>50</v>
      </c>
      <c r="B67" s="4" t="s">
        <v>2518</v>
      </c>
      <c r="C67" s="4" t="s">
        <v>2439</v>
      </c>
      <c r="D67" s="7">
        <v>45658</v>
      </c>
      <c r="E67" s="4" t="s">
        <v>2446</v>
      </c>
      <c r="F67" t="s">
        <v>2439</v>
      </c>
    </row>
    <row r="68" spans="1:6" x14ac:dyDescent="0.35">
      <c r="A68" s="4" t="s">
        <v>283</v>
      </c>
      <c r="B68" s="4" t="s">
        <v>2519</v>
      </c>
      <c r="C68" s="4" t="s">
        <v>2445</v>
      </c>
      <c r="D68" s="7">
        <v>45761</v>
      </c>
      <c r="E68" s="4" t="s">
        <v>2446</v>
      </c>
      <c r="F68" t="s">
        <v>2445</v>
      </c>
    </row>
    <row r="69" spans="1:6" x14ac:dyDescent="0.35">
      <c r="A69" s="4" t="s">
        <v>58</v>
      </c>
      <c r="B69" s="4" t="s">
        <v>2520</v>
      </c>
      <c r="C69" s="4" t="s">
        <v>2465</v>
      </c>
      <c r="D69" s="7">
        <v>45714</v>
      </c>
      <c r="E69" s="4" t="s">
        <v>2446</v>
      </c>
      <c r="F69" t="s">
        <v>2465</v>
      </c>
    </row>
    <row r="70" spans="1:6" x14ac:dyDescent="0.35">
      <c r="A70" s="4" t="s">
        <v>398</v>
      </c>
      <c r="B70" s="4" t="s">
        <v>2521</v>
      </c>
      <c r="C70" s="4" t="s">
        <v>2474</v>
      </c>
      <c r="D70" s="7">
        <v>45868</v>
      </c>
      <c r="E70" s="4" t="s">
        <v>2443</v>
      </c>
      <c r="F70" t="s">
        <v>2474</v>
      </c>
    </row>
    <row r="71" spans="1:6" x14ac:dyDescent="0.35">
      <c r="A71" s="4" t="s">
        <v>39</v>
      </c>
      <c r="B71" s="4" t="s">
        <v>2522</v>
      </c>
      <c r="C71" s="4" t="s">
        <v>2439</v>
      </c>
      <c r="D71" s="7">
        <v>45678</v>
      </c>
      <c r="E71" s="4" t="s">
        <v>2440</v>
      </c>
      <c r="F71" t="s">
        <v>2439</v>
      </c>
    </row>
    <row r="72" spans="1:6" x14ac:dyDescent="0.35">
      <c r="A72" s="4" t="s">
        <v>85</v>
      </c>
      <c r="B72" s="4" t="s">
        <v>2523</v>
      </c>
      <c r="C72" s="4" t="s">
        <v>2465</v>
      </c>
      <c r="D72" s="7">
        <v>45715</v>
      </c>
      <c r="E72" s="4" t="s">
        <v>2446</v>
      </c>
      <c r="F72" t="s">
        <v>2465</v>
      </c>
    </row>
    <row r="73" spans="1:6" x14ac:dyDescent="0.35">
      <c r="A73" s="4" t="s">
        <v>353</v>
      </c>
      <c r="B73" s="4" t="s">
        <v>2524</v>
      </c>
      <c r="C73" s="4" t="s">
        <v>2474</v>
      </c>
      <c r="D73" s="7">
        <v>45682</v>
      </c>
      <c r="E73" s="4" t="s">
        <v>2446</v>
      </c>
      <c r="F73" t="s">
        <v>2474</v>
      </c>
    </row>
    <row r="74" spans="1:6" x14ac:dyDescent="0.35">
      <c r="A74" s="4" t="s">
        <v>220</v>
      </c>
      <c r="B74" s="4" t="s">
        <v>2525</v>
      </c>
      <c r="C74" s="4" t="s">
        <v>2455</v>
      </c>
      <c r="D74" s="7">
        <v>45804</v>
      </c>
      <c r="E74" s="4" t="s">
        <v>2446</v>
      </c>
      <c r="F74" t="s">
        <v>2455</v>
      </c>
    </row>
    <row r="75" spans="1:6" x14ac:dyDescent="0.35">
      <c r="A75" s="4" t="s">
        <v>89</v>
      </c>
      <c r="B75" s="4" t="s">
        <v>2526</v>
      </c>
      <c r="C75" s="4" t="s">
        <v>2449</v>
      </c>
      <c r="D75" s="7">
        <v>45672</v>
      </c>
      <c r="E75" s="4" t="s">
        <v>2443</v>
      </c>
      <c r="F75" t="s">
        <v>2449</v>
      </c>
    </row>
    <row r="76" spans="1:6" x14ac:dyDescent="0.35">
      <c r="A76" s="4" t="s">
        <v>403</v>
      </c>
      <c r="B76" s="4" t="s">
        <v>2527</v>
      </c>
      <c r="C76" s="4" t="s">
        <v>2445</v>
      </c>
      <c r="D76" s="7">
        <v>45870</v>
      </c>
      <c r="E76" s="4" t="s">
        <v>2446</v>
      </c>
      <c r="F76" t="s">
        <v>2445</v>
      </c>
    </row>
    <row r="77" spans="1:6" x14ac:dyDescent="0.35">
      <c r="A77" s="4" t="s">
        <v>158</v>
      </c>
      <c r="B77" s="4" t="s">
        <v>2528</v>
      </c>
      <c r="C77" s="4" t="s">
        <v>2496</v>
      </c>
      <c r="D77" s="7">
        <v>45732</v>
      </c>
      <c r="E77" s="4" t="s">
        <v>2446</v>
      </c>
      <c r="F77" t="s">
        <v>2496</v>
      </c>
    </row>
    <row r="78" spans="1:6" x14ac:dyDescent="0.35">
      <c r="A78" s="4" t="s">
        <v>475</v>
      </c>
      <c r="B78" s="4" t="s">
        <v>2529</v>
      </c>
      <c r="C78" s="4" t="s">
        <v>2445</v>
      </c>
      <c r="D78" s="7">
        <v>45802</v>
      </c>
      <c r="E78" s="4" t="s">
        <v>2443</v>
      </c>
      <c r="F78" t="s">
        <v>2445</v>
      </c>
    </row>
    <row r="79" spans="1:6" x14ac:dyDescent="0.35">
      <c r="A79" s="4" t="s">
        <v>162</v>
      </c>
      <c r="B79" s="4" t="s">
        <v>2530</v>
      </c>
      <c r="C79" s="4" t="s">
        <v>2465</v>
      </c>
      <c r="D79" s="7">
        <v>45773</v>
      </c>
      <c r="E79" s="4" t="s">
        <v>2446</v>
      </c>
      <c r="F79" t="s">
        <v>2465</v>
      </c>
    </row>
    <row r="80" spans="1:6" x14ac:dyDescent="0.35">
      <c r="A80" s="4" t="s">
        <v>1013</v>
      </c>
      <c r="B80" s="4" t="s">
        <v>2531</v>
      </c>
      <c r="C80" s="4" t="s">
        <v>2468</v>
      </c>
      <c r="D80" s="7">
        <v>46021</v>
      </c>
      <c r="E80" s="4" t="s">
        <v>2443</v>
      </c>
      <c r="F80" t="s">
        <v>2468</v>
      </c>
    </row>
    <row r="81" spans="1:6" x14ac:dyDescent="0.35">
      <c r="A81" s="4" t="s">
        <v>83</v>
      </c>
      <c r="B81" s="4" t="s">
        <v>2532</v>
      </c>
      <c r="C81" s="4" t="s">
        <v>2455</v>
      </c>
      <c r="D81" s="7">
        <v>45735</v>
      </c>
      <c r="E81" s="4" t="s">
        <v>2443</v>
      </c>
      <c r="F81" t="s">
        <v>2455</v>
      </c>
    </row>
    <row r="82" spans="1:6" x14ac:dyDescent="0.35">
      <c r="A82" s="4" t="s">
        <v>784</v>
      </c>
      <c r="B82" s="4" t="s">
        <v>2533</v>
      </c>
      <c r="C82" s="4" t="s">
        <v>2439</v>
      </c>
      <c r="D82" s="7">
        <v>45978</v>
      </c>
      <c r="E82" s="4" t="s">
        <v>2443</v>
      </c>
      <c r="F82" t="s">
        <v>2439</v>
      </c>
    </row>
    <row r="83" spans="1:6" x14ac:dyDescent="0.35">
      <c r="A83" s="4" t="s">
        <v>60</v>
      </c>
      <c r="B83" s="4" t="s">
        <v>2534</v>
      </c>
      <c r="C83" s="4" t="s">
        <v>2468</v>
      </c>
      <c r="D83" s="7">
        <v>45715</v>
      </c>
      <c r="E83" s="4" t="s">
        <v>2443</v>
      </c>
      <c r="F83" t="s">
        <v>2468</v>
      </c>
    </row>
    <row r="84" spans="1:6" x14ac:dyDescent="0.35">
      <c r="A84" s="4" t="s">
        <v>980</v>
      </c>
      <c r="B84" s="4" t="s">
        <v>2535</v>
      </c>
      <c r="C84" s="4" t="s">
        <v>2445</v>
      </c>
      <c r="D84" s="7">
        <v>46016</v>
      </c>
      <c r="E84" s="4" t="s">
        <v>2443</v>
      </c>
      <c r="F84" t="s">
        <v>2445</v>
      </c>
    </row>
    <row r="85" spans="1:6" x14ac:dyDescent="0.35">
      <c r="A85" s="4" t="s">
        <v>140</v>
      </c>
      <c r="B85" s="4" t="s">
        <v>2536</v>
      </c>
      <c r="C85" s="4" t="s">
        <v>2455</v>
      </c>
      <c r="D85" s="7">
        <v>45766</v>
      </c>
      <c r="E85" s="4" t="s">
        <v>2446</v>
      </c>
      <c r="F85" t="s">
        <v>2455</v>
      </c>
    </row>
    <row r="86" spans="1:6" x14ac:dyDescent="0.35">
      <c r="A86" s="4" t="s">
        <v>180</v>
      </c>
      <c r="B86" s="4" t="s">
        <v>2537</v>
      </c>
      <c r="C86" s="4" t="s">
        <v>2445</v>
      </c>
      <c r="D86" s="7">
        <v>45700</v>
      </c>
      <c r="E86" s="4" t="s">
        <v>2443</v>
      </c>
      <c r="F86" t="s">
        <v>2445</v>
      </c>
    </row>
    <row r="87" spans="1:6" x14ac:dyDescent="0.35">
      <c r="A87" s="4" t="s">
        <v>107</v>
      </c>
      <c r="B87" s="4" t="s">
        <v>2538</v>
      </c>
      <c r="C87" s="4" t="s">
        <v>2468</v>
      </c>
      <c r="D87" s="7">
        <v>45714</v>
      </c>
      <c r="E87" s="4" t="s">
        <v>2446</v>
      </c>
      <c r="F87" t="s">
        <v>2468</v>
      </c>
    </row>
    <row r="88" spans="1:6" x14ac:dyDescent="0.35">
      <c r="A88" s="4" t="s">
        <v>675</v>
      </c>
      <c r="B88" s="4" t="s">
        <v>2539</v>
      </c>
      <c r="C88" s="4" t="s">
        <v>2474</v>
      </c>
      <c r="D88" s="7">
        <v>45919</v>
      </c>
      <c r="E88" s="4" t="s">
        <v>2446</v>
      </c>
      <c r="F88" t="s">
        <v>2474</v>
      </c>
    </row>
    <row r="89" spans="1:6" x14ac:dyDescent="0.35">
      <c r="A89" s="4" t="s">
        <v>737</v>
      </c>
      <c r="B89" s="4" t="s">
        <v>2540</v>
      </c>
      <c r="C89" s="4" t="s">
        <v>2468</v>
      </c>
      <c r="D89" s="7">
        <v>45968</v>
      </c>
      <c r="E89" s="4" t="s">
        <v>2446</v>
      </c>
      <c r="F89" t="s">
        <v>2468</v>
      </c>
    </row>
    <row r="90" spans="1:6" x14ac:dyDescent="0.35">
      <c r="A90" s="4" t="s">
        <v>34</v>
      </c>
      <c r="B90" s="4" t="s">
        <v>2541</v>
      </c>
      <c r="C90" s="4" t="s">
        <v>2468</v>
      </c>
      <c r="D90" s="7">
        <v>45691</v>
      </c>
      <c r="E90" s="4" t="s">
        <v>2446</v>
      </c>
      <c r="F90" t="s">
        <v>2468</v>
      </c>
    </row>
    <row r="91" spans="1:6" x14ac:dyDescent="0.35">
      <c r="A91" s="4" t="s">
        <v>214</v>
      </c>
      <c r="B91" s="4" t="s">
        <v>2542</v>
      </c>
      <c r="C91" s="4" t="s">
        <v>2465</v>
      </c>
      <c r="D91" s="7">
        <v>45674</v>
      </c>
      <c r="E91" s="4" t="s">
        <v>2446</v>
      </c>
      <c r="F91" t="s">
        <v>2465</v>
      </c>
    </row>
    <row r="92" spans="1:6" x14ac:dyDescent="0.35">
      <c r="A92" s="4" t="s">
        <v>468</v>
      </c>
      <c r="B92" s="4" t="s">
        <v>2543</v>
      </c>
      <c r="C92" s="4" t="s">
        <v>2455</v>
      </c>
      <c r="D92" s="7">
        <v>45889</v>
      </c>
      <c r="E92" s="4" t="s">
        <v>2446</v>
      </c>
      <c r="F92" t="s">
        <v>2455</v>
      </c>
    </row>
    <row r="93" spans="1:6" x14ac:dyDescent="0.35">
      <c r="A93" s="4" t="s">
        <v>2544</v>
      </c>
      <c r="B93" s="4" t="s">
        <v>2545</v>
      </c>
      <c r="C93" s="4" t="s">
        <v>2496</v>
      </c>
      <c r="D93" s="7">
        <v>45858</v>
      </c>
      <c r="E93" s="4" t="s">
        <v>2440</v>
      </c>
      <c r="F93" t="s">
        <v>2496</v>
      </c>
    </row>
    <row r="94" spans="1:6" x14ac:dyDescent="0.35">
      <c r="A94" s="4" t="s">
        <v>30</v>
      </c>
      <c r="B94" s="4" t="s">
        <v>2546</v>
      </c>
      <c r="C94" s="4" t="s">
        <v>2455</v>
      </c>
      <c r="D94" s="7">
        <v>45698</v>
      </c>
      <c r="E94" s="4" t="s">
        <v>2443</v>
      </c>
      <c r="F94" t="s">
        <v>2455</v>
      </c>
    </row>
    <row r="95" spans="1:6" x14ac:dyDescent="0.35">
      <c r="A95" s="4" t="s">
        <v>727</v>
      </c>
      <c r="B95" s="4" t="s">
        <v>2547</v>
      </c>
      <c r="C95" s="4" t="s">
        <v>2452</v>
      </c>
      <c r="D95" s="7">
        <v>45961</v>
      </c>
      <c r="E95" s="4" t="s">
        <v>2443</v>
      </c>
      <c r="F95" t="s">
        <v>2452</v>
      </c>
    </row>
    <row r="96" spans="1:6" x14ac:dyDescent="0.35">
      <c r="A96" s="4" t="s">
        <v>44</v>
      </c>
      <c r="B96" s="4" t="s">
        <v>2548</v>
      </c>
      <c r="C96" s="4" t="s">
        <v>2474</v>
      </c>
      <c r="D96" s="7">
        <v>45704</v>
      </c>
      <c r="E96" s="4" t="s">
        <v>2446</v>
      </c>
      <c r="F96" t="s">
        <v>2474</v>
      </c>
    </row>
    <row r="97" spans="1:6" x14ac:dyDescent="0.35">
      <c r="A97" s="4" t="s">
        <v>835</v>
      </c>
      <c r="B97" s="4" t="s">
        <v>2549</v>
      </c>
      <c r="C97" s="4" t="s">
        <v>2445</v>
      </c>
      <c r="D97" s="7">
        <v>45985</v>
      </c>
      <c r="E97" s="4" t="s">
        <v>2440</v>
      </c>
      <c r="F97" t="s">
        <v>2445</v>
      </c>
    </row>
    <row r="98" spans="1:6" x14ac:dyDescent="0.35">
      <c r="A98" s="4" t="s">
        <v>794</v>
      </c>
      <c r="B98" s="4" t="s">
        <v>2550</v>
      </c>
      <c r="C98" s="4" t="s">
        <v>2496</v>
      </c>
      <c r="D98" s="7">
        <v>45900</v>
      </c>
      <c r="E98" s="4" t="s">
        <v>2443</v>
      </c>
      <c r="F98" t="s">
        <v>2496</v>
      </c>
    </row>
    <row r="99" spans="1:6" x14ac:dyDescent="0.35">
      <c r="A99" s="4" t="s">
        <v>789</v>
      </c>
      <c r="B99" s="4" t="s">
        <v>2551</v>
      </c>
      <c r="C99" s="4" t="s">
        <v>2455</v>
      </c>
      <c r="D99" s="7">
        <v>45979</v>
      </c>
      <c r="E99" s="4" t="s">
        <v>2446</v>
      </c>
      <c r="F99" t="s">
        <v>2455</v>
      </c>
    </row>
    <row r="100" spans="1:6" x14ac:dyDescent="0.35">
      <c r="A100" s="4" t="s">
        <v>876</v>
      </c>
      <c r="B100" s="4" t="s">
        <v>2552</v>
      </c>
      <c r="C100" s="4" t="s">
        <v>2442</v>
      </c>
      <c r="D100" s="7">
        <v>45994</v>
      </c>
      <c r="E100" s="4" t="s">
        <v>2440</v>
      </c>
      <c r="F100" t="s">
        <v>2442</v>
      </c>
    </row>
    <row r="101" spans="1:6" x14ac:dyDescent="0.35">
      <c r="A101" s="4" t="s">
        <v>988</v>
      </c>
      <c r="B101" s="4" t="s">
        <v>2553</v>
      </c>
      <c r="C101" s="4" t="s">
        <v>2496</v>
      </c>
      <c r="D101" s="7">
        <v>46013</v>
      </c>
      <c r="E101" s="4" t="s">
        <v>2443</v>
      </c>
      <c r="F101" t="s">
        <v>2496</v>
      </c>
    </row>
    <row r="102" spans="1:6" x14ac:dyDescent="0.35">
      <c r="A102" s="4" t="s">
        <v>379</v>
      </c>
      <c r="B102" s="4" t="s">
        <v>2554</v>
      </c>
      <c r="C102" s="4" t="s">
        <v>2468</v>
      </c>
      <c r="D102" s="7">
        <v>45723</v>
      </c>
      <c r="E102" s="4" t="s">
        <v>2446</v>
      </c>
      <c r="F102" t="s">
        <v>2468</v>
      </c>
    </row>
    <row r="103" spans="1:6" x14ac:dyDescent="0.35">
      <c r="A103" s="4" t="s">
        <v>647</v>
      </c>
      <c r="B103" s="4" t="s">
        <v>2555</v>
      </c>
      <c r="C103" s="4" t="s">
        <v>2445</v>
      </c>
      <c r="D103" s="7">
        <v>45950</v>
      </c>
      <c r="E103" s="4" t="s">
        <v>2440</v>
      </c>
      <c r="F103" t="s">
        <v>2445</v>
      </c>
    </row>
    <row r="104" spans="1:6" x14ac:dyDescent="0.35">
      <c r="A104" s="4" t="s">
        <v>216</v>
      </c>
      <c r="B104" s="4" t="s">
        <v>2556</v>
      </c>
      <c r="C104" s="4" t="s">
        <v>2449</v>
      </c>
      <c r="D104" s="7">
        <v>45797</v>
      </c>
      <c r="E104" s="4"/>
      <c r="F104" t="s">
        <v>2449</v>
      </c>
    </row>
    <row r="105" spans="1:6" x14ac:dyDescent="0.35">
      <c r="A105" s="4" t="s">
        <v>92</v>
      </c>
      <c r="B105" s="4" t="s">
        <v>2557</v>
      </c>
      <c r="C105" s="4" t="s">
        <v>2445</v>
      </c>
      <c r="D105" s="7">
        <v>45738</v>
      </c>
      <c r="E105" s="4" t="s">
        <v>2443</v>
      </c>
      <c r="F105" t="s">
        <v>2445</v>
      </c>
    </row>
    <row r="106" spans="1:6" x14ac:dyDescent="0.35">
      <c r="A106" s="4" t="s">
        <v>136</v>
      </c>
      <c r="B106" s="4" t="s">
        <v>2558</v>
      </c>
      <c r="C106" s="4" t="s">
        <v>2445</v>
      </c>
      <c r="D106" s="7">
        <v>45739</v>
      </c>
      <c r="E106" s="4" t="s">
        <v>2446</v>
      </c>
      <c r="F106" t="s">
        <v>2445</v>
      </c>
    </row>
    <row r="107" spans="1:6" x14ac:dyDescent="0.35">
      <c r="A107" s="4" t="s">
        <v>319</v>
      </c>
      <c r="B107" s="4" t="s">
        <v>2559</v>
      </c>
      <c r="C107" s="4" t="s">
        <v>2474</v>
      </c>
      <c r="D107" s="7">
        <v>45759</v>
      </c>
      <c r="E107" s="4" t="s">
        <v>2443</v>
      </c>
      <c r="F107" t="s">
        <v>2474</v>
      </c>
    </row>
    <row r="108" spans="1:6" x14ac:dyDescent="0.35">
      <c r="A108" s="4" t="s">
        <v>182</v>
      </c>
      <c r="B108" s="4" t="s">
        <v>2560</v>
      </c>
      <c r="C108" s="4" t="s">
        <v>2468</v>
      </c>
      <c r="D108" s="7">
        <v>45785</v>
      </c>
      <c r="E108" s="4" t="s">
        <v>2446</v>
      </c>
      <c r="F108" t="s">
        <v>2468</v>
      </c>
    </row>
    <row r="109" spans="1:6" x14ac:dyDescent="0.35">
      <c r="A109" s="4" t="s">
        <v>206</v>
      </c>
      <c r="B109" s="4" t="s">
        <v>2561</v>
      </c>
      <c r="C109" s="4" t="s">
        <v>2442</v>
      </c>
      <c r="D109" s="7">
        <v>45778</v>
      </c>
      <c r="E109" s="4" t="s">
        <v>2446</v>
      </c>
      <c r="F109" t="s">
        <v>2442</v>
      </c>
    </row>
    <row r="110" spans="1:6" x14ac:dyDescent="0.35">
      <c r="A110" s="4" t="s">
        <v>55</v>
      </c>
      <c r="B110" s="4" t="s">
        <v>2562</v>
      </c>
      <c r="C110" s="4" t="s">
        <v>2455</v>
      </c>
      <c r="D110" s="7">
        <v>45722</v>
      </c>
      <c r="E110" s="4" t="s">
        <v>2443</v>
      </c>
      <c r="F110" t="s">
        <v>2455</v>
      </c>
    </row>
    <row r="111" spans="1:6" x14ac:dyDescent="0.35">
      <c r="A111" s="4" t="s">
        <v>640</v>
      </c>
      <c r="B111" s="4" t="s">
        <v>2563</v>
      </c>
      <c r="C111" s="4" t="s">
        <v>2468</v>
      </c>
      <c r="D111" s="7">
        <v>45875</v>
      </c>
      <c r="E111" s="4" t="s">
        <v>2443</v>
      </c>
      <c r="F111" t="s">
        <v>2468</v>
      </c>
    </row>
    <row r="112" spans="1:6" x14ac:dyDescent="0.35">
      <c r="A112" s="4" t="s">
        <v>255</v>
      </c>
      <c r="B112" s="4" t="s">
        <v>2564</v>
      </c>
      <c r="C112" s="4" t="s">
        <v>2468</v>
      </c>
      <c r="D112" s="7">
        <v>45816</v>
      </c>
      <c r="E112" s="4" t="s">
        <v>2443</v>
      </c>
      <c r="F112" t="s">
        <v>2468</v>
      </c>
    </row>
    <row r="113" spans="1:6" x14ac:dyDescent="0.35">
      <c r="A113" s="4" t="s">
        <v>87</v>
      </c>
      <c r="B113" s="4" t="s">
        <v>2565</v>
      </c>
      <c r="C113" s="4" t="s">
        <v>2445</v>
      </c>
      <c r="D113" s="7">
        <v>45727</v>
      </c>
      <c r="E113" s="4" t="s">
        <v>2446</v>
      </c>
      <c r="F113" t="s">
        <v>2445</v>
      </c>
    </row>
    <row r="114" spans="1:6" x14ac:dyDescent="0.35">
      <c r="A114" s="4" t="s">
        <v>168</v>
      </c>
      <c r="B114" s="4" t="s">
        <v>2566</v>
      </c>
      <c r="C114" s="4" t="s">
        <v>2455</v>
      </c>
      <c r="D114" s="7">
        <v>45658</v>
      </c>
      <c r="E114" s="4" t="s">
        <v>2446</v>
      </c>
      <c r="F114" t="s">
        <v>2455</v>
      </c>
    </row>
    <row r="115" spans="1:6" x14ac:dyDescent="0.35">
      <c r="A115" s="4" t="s">
        <v>187</v>
      </c>
      <c r="B115" s="4" t="s">
        <v>2567</v>
      </c>
      <c r="C115" s="4" t="s">
        <v>2465</v>
      </c>
      <c r="D115" s="7">
        <v>45790</v>
      </c>
      <c r="E115" s="4" t="s">
        <v>2446</v>
      </c>
      <c r="F115" t="s">
        <v>2465</v>
      </c>
    </row>
    <row r="116" spans="1:6" x14ac:dyDescent="0.35">
      <c r="A116" s="4" t="s">
        <v>848</v>
      </c>
      <c r="B116" s="4" t="s">
        <v>2568</v>
      </c>
      <c r="C116" s="4" t="s">
        <v>2496</v>
      </c>
      <c r="D116" s="7">
        <v>45993</v>
      </c>
      <c r="E116" s="4" t="s">
        <v>2443</v>
      </c>
      <c r="F116" t="s">
        <v>2496</v>
      </c>
    </row>
    <row r="117" spans="1:6" x14ac:dyDescent="0.35">
      <c r="A117" s="4" t="s">
        <v>544</v>
      </c>
      <c r="B117" s="4" t="s">
        <v>2569</v>
      </c>
      <c r="C117" s="4" t="s">
        <v>2452</v>
      </c>
      <c r="D117" s="7">
        <v>45919</v>
      </c>
      <c r="E117" s="4" t="s">
        <v>2443</v>
      </c>
      <c r="F117" t="s">
        <v>2452</v>
      </c>
    </row>
    <row r="118" spans="1:6" x14ac:dyDescent="0.35">
      <c r="A118" s="4" t="s">
        <v>484</v>
      </c>
      <c r="B118" s="4" t="s">
        <v>2570</v>
      </c>
      <c r="C118" s="4" t="s">
        <v>2449</v>
      </c>
      <c r="D118" s="7">
        <v>45900</v>
      </c>
      <c r="E118" s="4" t="s">
        <v>2443</v>
      </c>
      <c r="F118" t="s">
        <v>2449</v>
      </c>
    </row>
    <row r="119" spans="1:6" x14ac:dyDescent="0.35">
      <c r="A119" s="4" t="s">
        <v>374</v>
      </c>
      <c r="B119" s="4" t="s">
        <v>2571</v>
      </c>
      <c r="C119" s="4" t="s">
        <v>2445</v>
      </c>
      <c r="D119" s="7">
        <v>45859</v>
      </c>
      <c r="E119" s="4" t="s">
        <v>2443</v>
      </c>
      <c r="F119" t="s">
        <v>2445</v>
      </c>
    </row>
    <row r="120" spans="1:6" x14ac:dyDescent="0.35">
      <c r="A120" s="4" t="s">
        <v>889</v>
      </c>
      <c r="B120" s="4" t="s">
        <v>2572</v>
      </c>
      <c r="C120" s="4" t="s">
        <v>2455</v>
      </c>
      <c r="D120" s="7">
        <v>46000</v>
      </c>
      <c r="E120" s="4" t="s">
        <v>2446</v>
      </c>
      <c r="F120" t="s">
        <v>2455</v>
      </c>
    </row>
    <row r="121" spans="1:6" x14ac:dyDescent="0.35">
      <c r="A121" s="4" t="s">
        <v>392</v>
      </c>
      <c r="B121" s="4" t="s">
        <v>2573</v>
      </c>
      <c r="C121" s="4" t="s">
        <v>2468</v>
      </c>
      <c r="D121" s="7">
        <v>45865</v>
      </c>
      <c r="E121" s="4" t="s">
        <v>2446</v>
      </c>
      <c r="F121" t="s">
        <v>2468</v>
      </c>
    </row>
    <row r="122" spans="1:6" x14ac:dyDescent="0.35">
      <c r="A122" s="4" t="s">
        <v>218</v>
      </c>
      <c r="B122" s="4" t="s">
        <v>2574</v>
      </c>
      <c r="C122" s="4" t="s">
        <v>2465</v>
      </c>
      <c r="D122" s="7">
        <v>45768</v>
      </c>
      <c r="E122" s="4" t="s">
        <v>2440</v>
      </c>
      <c r="F122" t="s">
        <v>2465</v>
      </c>
    </row>
    <row r="123" spans="1:6" x14ac:dyDescent="0.35">
      <c r="A123" s="4" t="s">
        <v>447</v>
      </c>
      <c r="B123" s="4" t="s">
        <v>2575</v>
      </c>
      <c r="C123" s="4" t="s">
        <v>2496</v>
      </c>
      <c r="D123" s="7">
        <v>45878</v>
      </c>
      <c r="E123" s="4" t="s">
        <v>2446</v>
      </c>
      <c r="F123" t="s">
        <v>2496</v>
      </c>
    </row>
    <row r="124" spans="1:6" x14ac:dyDescent="0.35">
      <c r="A124" s="4" t="s">
        <v>262</v>
      </c>
      <c r="B124" s="4" t="s">
        <v>2576</v>
      </c>
      <c r="C124" s="4" t="s">
        <v>2445</v>
      </c>
      <c r="D124" s="7">
        <v>45818</v>
      </c>
      <c r="E124" s="4" t="s">
        <v>2440</v>
      </c>
      <c r="F124" t="s">
        <v>2445</v>
      </c>
    </row>
    <row r="125" spans="1:6" x14ac:dyDescent="0.35">
      <c r="A125" s="4" t="s">
        <v>633</v>
      </c>
      <c r="B125" s="4" t="s">
        <v>2577</v>
      </c>
      <c r="C125" s="4" t="s">
        <v>2439</v>
      </c>
      <c r="D125" s="7">
        <v>45946</v>
      </c>
      <c r="E125" s="4" t="s">
        <v>2440</v>
      </c>
      <c r="F125" t="s">
        <v>2439</v>
      </c>
    </row>
    <row r="126" spans="1:6" x14ac:dyDescent="0.35">
      <c r="A126" s="4" t="s">
        <v>142</v>
      </c>
      <c r="B126" s="4" t="s">
        <v>2578</v>
      </c>
      <c r="C126" s="4" t="s">
        <v>2465</v>
      </c>
      <c r="D126" s="7">
        <v>45761</v>
      </c>
      <c r="E126" s="4" t="s">
        <v>2440</v>
      </c>
      <c r="F126" t="s">
        <v>2465</v>
      </c>
    </row>
    <row r="127" spans="1:6" x14ac:dyDescent="0.35">
      <c r="A127" s="4" t="s">
        <v>945</v>
      </c>
      <c r="B127" s="4" t="s">
        <v>2579</v>
      </c>
      <c r="C127" s="4" t="s">
        <v>2455</v>
      </c>
      <c r="D127" s="7">
        <v>45691</v>
      </c>
      <c r="E127" s="4" t="s">
        <v>2446</v>
      </c>
      <c r="F127" t="s">
        <v>2455</v>
      </c>
    </row>
    <row r="128" spans="1:6" x14ac:dyDescent="0.35">
      <c r="A128" s="4" t="s">
        <v>662</v>
      </c>
      <c r="B128" s="4" t="s">
        <v>2580</v>
      </c>
      <c r="C128" s="4" t="s">
        <v>2496</v>
      </c>
      <c r="D128" s="7">
        <v>45951</v>
      </c>
      <c r="E128" s="4" t="s">
        <v>2446</v>
      </c>
      <c r="F128" t="s">
        <v>2496</v>
      </c>
    </row>
    <row r="129" spans="1:6" x14ac:dyDescent="0.35">
      <c r="A129" s="4" t="s">
        <v>117</v>
      </c>
      <c r="B129" s="4" t="s">
        <v>2581</v>
      </c>
      <c r="C129" s="4" t="s">
        <v>2445</v>
      </c>
      <c r="D129" s="7">
        <v>45747</v>
      </c>
      <c r="E129" s="4" t="s">
        <v>2443</v>
      </c>
      <c r="F129" t="s">
        <v>2445</v>
      </c>
    </row>
    <row r="130" spans="1:6" x14ac:dyDescent="0.35">
      <c r="A130" s="4" t="s">
        <v>292</v>
      </c>
      <c r="B130" s="4" t="s">
        <v>2582</v>
      </c>
      <c r="C130" s="4" t="s">
        <v>2465</v>
      </c>
      <c r="D130" s="7">
        <v>45823</v>
      </c>
      <c r="E130" s="4" t="s">
        <v>2443</v>
      </c>
      <c r="F130" t="s">
        <v>2465</v>
      </c>
    </row>
    <row r="131" spans="1:6" x14ac:dyDescent="0.35">
      <c r="A131" s="4" t="s">
        <v>389</v>
      </c>
      <c r="B131" s="4" t="s">
        <v>2583</v>
      </c>
      <c r="C131" s="4" t="s">
        <v>2449</v>
      </c>
      <c r="D131" s="7">
        <v>45837</v>
      </c>
      <c r="E131" s="4" t="s">
        <v>2446</v>
      </c>
      <c r="F131" t="s">
        <v>2449</v>
      </c>
    </row>
    <row r="132" spans="1:6" x14ac:dyDescent="0.35">
      <c r="A132" s="4" t="s">
        <v>532</v>
      </c>
      <c r="B132" s="4" t="s">
        <v>2584</v>
      </c>
      <c r="C132" s="4" t="s">
        <v>2449</v>
      </c>
      <c r="D132" s="7">
        <v>45908</v>
      </c>
      <c r="E132" s="4" t="s">
        <v>2440</v>
      </c>
      <c r="F132" t="s">
        <v>2449</v>
      </c>
    </row>
    <row r="133" spans="1:6" x14ac:dyDescent="0.35">
      <c r="A133" s="4" t="s">
        <v>149</v>
      </c>
      <c r="B133" s="4" t="s">
        <v>2585</v>
      </c>
      <c r="C133" s="4" t="s">
        <v>2445</v>
      </c>
      <c r="D133" s="7">
        <v>45737</v>
      </c>
      <c r="E133" s="4" t="s">
        <v>2443</v>
      </c>
      <c r="F133" t="s">
        <v>2445</v>
      </c>
    </row>
    <row r="134" spans="1:6" x14ac:dyDescent="0.35">
      <c r="A134" s="4" t="s">
        <v>381</v>
      </c>
      <c r="B134" s="4" t="s">
        <v>2586</v>
      </c>
      <c r="C134" s="4" t="s">
        <v>2496</v>
      </c>
      <c r="D134" s="7">
        <v>45860</v>
      </c>
      <c r="E134" s="4" t="s">
        <v>2443</v>
      </c>
      <c r="F134" t="s">
        <v>2496</v>
      </c>
    </row>
    <row r="135" spans="1:6" x14ac:dyDescent="0.35">
      <c r="A135" s="4" t="s">
        <v>507</v>
      </c>
      <c r="B135" s="4" t="s">
        <v>2587</v>
      </c>
      <c r="C135" s="4" t="s">
        <v>2468</v>
      </c>
      <c r="D135" s="7">
        <v>45900</v>
      </c>
      <c r="E135" s="4" t="s">
        <v>2443</v>
      </c>
      <c r="F135" t="s">
        <v>2468</v>
      </c>
    </row>
    <row r="136" spans="1:6" x14ac:dyDescent="0.35">
      <c r="A136" s="4" t="s">
        <v>456</v>
      </c>
      <c r="B136" s="4" t="s">
        <v>2588</v>
      </c>
      <c r="C136" s="4" t="s">
        <v>2439</v>
      </c>
      <c r="D136" s="7">
        <v>45881</v>
      </c>
      <c r="E136" s="4" t="s">
        <v>2446</v>
      </c>
      <c r="F136" t="s">
        <v>2439</v>
      </c>
    </row>
    <row r="137" spans="1:6" x14ac:dyDescent="0.35">
      <c r="A137" s="4" t="s">
        <v>278</v>
      </c>
      <c r="B137" s="4" t="s">
        <v>2589</v>
      </c>
      <c r="C137" s="4" t="s">
        <v>2452</v>
      </c>
      <c r="D137" s="7">
        <v>45820</v>
      </c>
      <c r="E137" s="4" t="s">
        <v>2443</v>
      </c>
      <c r="F137" t="s">
        <v>2452</v>
      </c>
    </row>
    <row r="138" spans="1:6" x14ac:dyDescent="0.35">
      <c r="A138" s="4" t="s">
        <v>269</v>
      </c>
      <c r="B138" s="4" t="s">
        <v>2590</v>
      </c>
      <c r="C138" s="4" t="s">
        <v>2496</v>
      </c>
      <c r="D138" s="7">
        <v>45821</v>
      </c>
      <c r="E138" s="4" t="s">
        <v>2440</v>
      </c>
      <c r="F138" t="s">
        <v>2496</v>
      </c>
    </row>
    <row r="139" spans="1:6" x14ac:dyDescent="0.35">
      <c r="A139" s="4" t="s">
        <v>608</v>
      </c>
      <c r="B139" s="4" t="s">
        <v>2591</v>
      </c>
      <c r="C139" s="4" t="s">
        <v>2474</v>
      </c>
      <c r="D139" s="7">
        <v>45936</v>
      </c>
      <c r="E139" s="4" t="s">
        <v>2443</v>
      </c>
      <c r="F139" t="s">
        <v>2474</v>
      </c>
    </row>
    <row r="140" spans="1:6" x14ac:dyDescent="0.35">
      <c r="A140" s="4" t="s">
        <v>128</v>
      </c>
      <c r="B140" s="4" t="s">
        <v>2592</v>
      </c>
      <c r="C140" s="4" t="s">
        <v>2452</v>
      </c>
      <c r="D140" s="7">
        <v>45757</v>
      </c>
      <c r="E140" s="4" t="s">
        <v>2443</v>
      </c>
      <c r="F140" t="s">
        <v>2452</v>
      </c>
    </row>
    <row r="141" spans="1:6" x14ac:dyDescent="0.35">
      <c r="A141" s="4" t="s">
        <v>156</v>
      </c>
      <c r="B141" s="4" t="s">
        <v>2593</v>
      </c>
      <c r="C141" s="4" t="s">
        <v>2442</v>
      </c>
      <c r="D141" s="7">
        <v>45743</v>
      </c>
      <c r="E141" s="4" t="s">
        <v>2443</v>
      </c>
      <c r="F141" t="s">
        <v>2442</v>
      </c>
    </row>
    <row r="142" spans="1:6" x14ac:dyDescent="0.35">
      <c r="A142" s="4" t="s">
        <v>25</v>
      </c>
      <c r="B142" s="4" t="s">
        <v>2594</v>
      </c>
      <c r="C142" s="4" t="s">
        <v>2496</v>
      </c>
      <c r="D142" s="7">
        <v>45687</v>
      </c>
      <c r="E142" s="4" t="s">
        <v>2446</v>
      </c>
      <c r="F142" t="s">
        <v>2496</v>
      </c>
    </row>
    <row r="143" spans="1:6" x14ac:dyDescent="0.35">
      <c r="A143" s="4" t="s">
        <v>522</v>
      </c>
      <c r="B143" s="4" t="s">
        <v>2595</v>
      </c>
      <c r="C143" s="4" t="s">
        <v>2439</v>
      </c>
      <c r="D143" s="7">
        <v>45910</v>
      </c>
      <c r="E143" s="4" t="s">
        <v>2446</v>
      </c>
      <c r="F143" t="s">
        <v>2439</v>
      </c>
    </row>
    <row r="144" spans="1:6" x14ac:dyDescent="0.35">
      <c r="A144" s="4" t="s">
        <v>314</v>
      </c>
      <c r="B144" s="4" t="s">
        <v>2596</v>
      </c>
      <c r="C144" s="4" t="s">
        <v>2449</v>
      </c>
      <c r="D144" s="7">
        <v>45806</v>
      </c>
      <c r="E144" s="4" t="s">
        <v>2446</v>
      </c>
      <c r="F144" t="s">
        <v>2449</v>
      </c>
    </row>
    <row r="145" spans="1:6" x14ac:dyDescent="0.35">
      <c r="A145" s="4" t="s">
        <v>99</v>
      </c>
      <c r="B145" s="4" t="s">
        <v>2597</v>
      </c>
      <c r="C145" s="4" t="s">
        <v>2439</v>
      </c>
      <c r="D145" s="7">
        <v>45733</v>
      </c>
      <c r="E145" s="4" t="s">
        <v>2443</v>
      </c>
      <c r="F145" t="s">
        <v>2439</v>
      </c>
    </row>
    <row r="146" spans="1:6" x14ac:dyDescent="0.35">
      <c r="A146" s="4" t="s">
        <v>899</v>
      </c>
      <c r="B146" s="4" t="s">
        <v>2598</v>
      </c>
      <c r="C146" s="4" t="s">
        <v>2455</v>
      </c>
      <c r="D146" s="7">
        <v>46002</v>
      </c>
      <c r="E146" s="4" t="s">
        <v>2443</v>
      </c>
      <c r="F146" t="s">
        <v>2455</v>
      </c>
    </row>
    <row r="147" spans="1:6" x14ac:dyDescent="0.35">
      <c r="A147" s="4" t="s">
        <v>208</v>
      </c>
      <c r="B147" s="4" t="s">
        <v>2599</v>
      </c>
      <c r="C147" s="4" t="s">
        <v>2445</v>
      </c>
      <c r="D147" s="7">
        <v>45796</v>
      </c>
      <c r="E147" s="4" t="s">
        <v>2446</v>
      </c>
      <c r="F147" t="s">
        <v>2445</v>
      </c>
    </row>
    <row r="148" spans="1:6" x14ac:dyDescent="0.35">
      <c r="A148" s="4" t="s">
        <v>178</v>
      </c>
      <c r="B148" s="4" t="s">
        <v>2600</v>
      </c>
      <c r="C148" s="4" t="s">
        <v>2452</v>
      </c>
      <c r="D148" s="7">
        <v>45766</v>
      </c>
      <c r="E148" s="4" t="s">
        <v>2446</v>
      </c>
      <c r="F148" t="s">
        <v>2452</v>
      </c>
    </row>
    <row r="149" spans="1:6" x14ac:dyDescent="0.35">
      <c r="A149" s="4" t="s">
        <v>368</v>
      </c>
      <c r="B149" s="4" t="s">
        <v>2601</v>
      </c>
      <c r="C149" s="4" t="s">
        <v>2445</v>
      </c>
      <c r="D149" s="7">
        <v>45853</v>
      </c>
      <c r="E149" s="4" t="s">
        <v>2443</v>
      </c>
      <c r="F149" t="s">
        <v>2445</v>
      </c>
    </row>
    <row r="150" spans="1:6" x14ac:dyDescent="0.35">
      <c r="A150" s="4" t="s">
        <v>327</v>
      </c>
      <c r="B150" s="4" t="s">
        <v>2602</v>
      </c>
      <c r="C150" s="4" t="s">
        <v>2442</v>
      </c>
      <c r="D150" s="7">
        <v>45835</v>
      </c>
      <c r="E150" s="4" t="s">
        <v>2446</v>
      </c>
      <c r="F150" t="s">
        <v>2442</v>
      </c>
    </row>
    <row r="151" spans="1:6" x14ac:dyDescent="0.35">
      <c r="A151" s="4" t="s">
        <v>144</v>
      </c>
      <c r="B151" s="4" t="s">
        <v>2603</v>
      </c>
      <c r="C151" s="4" t="s">
        <v>2449</v>
      </c>
      <c r="D151" s="7">
        <v>45668</v>
      </c>
      <c r="E151" s="4" t="s">
        <v>2446</v>
      </c>
      <c r="F151" t="s">
        <v>2449</v>
      </c>
    </row>
    <row r="152" spans="1:6" x14ac:dyDescent="0.35">
      <c r="A152" s="4" t="s">
        <v>655</v>
      </c>
      <c r="B152" s="4" t="s">
        <v>2604</v>
      </c>
      <c r="C152" s="4" t="s">
        <v>2445</v>
      </c>
      <c r="D152" s="7">
        <v>45948</v>
      </c>
      <c r="E152" s="4" t="s">
        <v>2443</v>
      </c>
      <c r="F152" t="s">
        <v>2445</v>
      </c>
    </row>
    <row r="153" spans="1:6" x14ac:dyDescent="0.35">
      <c r="A153" s="4" t="s">
        <v>953</v>
      </c>
      <c r="B153" s="4" t="s">
        <v>2605</v>
      </c>
      <c r="C153" s="4" t="s">
        <v>2474</v>
      </c>
      <c r="D153" s="7">
        <v>46014</v>
      </c>
      <c r="E153" s="4" t="s">
        <v>2443</v>
      </c>
      <c r="F153" t="s">
        <v>2474</v>
      </c>
    </row>
    <row r="154" spans="1:6" x14ac:dyDescent="0.35">
      <c r="A154" s="4" t="s">
        <v>406</v>
      </c>
      <c r="B154" s="4" t="s">
        <v>2606</v>
      </c>
      <c r="C154" s="4" t="s">
        <v>2442</v>
      </c>
      <c r="D154" s="7">
        <v>45873</v>
      </c>
      <c r="E154" s="4" t="s">
        <v>2440</v>
      </c>
      <c r="F154" t="s">
        <v>2442</v>
      </c>
    </row>
    <row r="155" spans="1:6" x14ac:dyDescent="0.35">
      <c r="A155" s="4" t="s">
        <v>52</v>
      </c>
      <c r="B155" s="4" t="s">
        <v>2607</v>
      </c>
      <c r="C155" s="4" t="s">
        <v>2474</v>
      </c>
      <c r="D155" s="7">
        <v>45707</v>
      </c>
      <c r="E155" s="4" t="s">
        <v>2446</v>
      </c>
      <c r="F155" t="s">
        <v>2474</v>
      </c>
    </row>
    <row r="156" spans="1:6" x14ac:dyDescent="0.35">
      <c r="A156" s="4" t="s">
        <v>126</v>
      </c>
      <c r="B156" s="4" t="s">
        <v>2608</v>
      </c>
      <c r="C156" s="4" t="s">
        <v>2452</v>
      </c>
      <c r="D156" s="7">
        <v>45752</v>
      </c>
      <c r="E156" s="4" t="s">
        <v>2446</v>
      </c>
      <c r="F156" t="s">
        <v>2452</v>
      </c>
    </row>
    <row r="157" spans="1:6" x14ac:dyDescent="0.35">
      <c r="A157" s="4" t="s">
        <v>173</v>
      </c>
      <c r="B157" s="4" t="s">
        <v>2609</v>
      </c>
      <c r="C157" s="4" t="s">
        <v>2439</v>
      </c>
      <c r="D157" s="7">
        <v>45776</v>
      </c>
      <c r="E157" s="4" t="s">
        <v>2446</v>
      </c>
      <c r="F157" t="s">
        <v>2439</v>
      </c>
    </row>
    <row r="158" spans="1:6" x14ac:dyDescent="0.35">
      <c r="A158" s="4" t="s">
        <v>715</v>
      </c>
      <c r="B158" s="4" t="s">
        <v>2610</v>
      </c>
      <c r="C158" s="4" t="s">
        <v>2445</v>
      </c>
      <c r="D158" s="7">
        <v>45961</v>
      </c>
      <c r="E158" s="4" t="s">
        <v>2440</v>
      </c>
      <c r="F158" t="s">
        <v>2445</v>
      </c>
    </row>
    <row r="159" spans="1:6" x14ac:dyDescent="0.35">
      <c r="A159" s="4" t="s">
        <v>192</v>
      </c>
      <c r="B159" s="4" t="s">
        <v>2611</v>
      </c>
      <c r="C159" s="4" t="s">
        <v>2452</v>
      </c>
      <c r="D159" s="7">
        <v>45676</v>
      </c>
      <c r="E159" s="4" t="s">
        <v>2443</v>
      </c>
      <c r="F159" t="s">
        <v>2452</v>
      </c>
    </row>
    <row r="160" spans="1:6" x14ac:dyDescent="0.35">
      <c r="A160" s="4" t="s">
        <v>23</v>
      </c>
      <c r="B160" s="4" t="s">
        <v>2612</v>
      </c>
      <c r="C160" s="4" t="s">
        <v>2439</v>
      </c>
      <c r="D160" s="7">
        <v>45682</v>
      </c>
      <c r="E160" s="4" t="s">
        <v>2446</v>
      </c>
      <c r="F160" t="s">
        <v>2439</v>
      </c>
    </row>
    <row r="161" spans="1:6" x14ac:dyDescent="0.35">
      <c r="A161" s="4" t="s">
        <v>75</v>
      </c>
      <c r="B161" s="4" t="s">
        <v>2613</v>
      </c>
      <c r="C161" s="4" t="s">
        <v>2445</v>
      </c>
      <c r="D161" s="7">
        <v>45730</v>
      </c>
      <c r="E161" s="4" t="s">
        <v>2446</v>
      </c>
      <c r="F161" t="s">
        <v>2445</v>
      </c>
    </row>
    <row r="162" spans="1:6" x14ac:dyDescent="0.35">
      <c r="A162" s="4" t="s">
        <v>113</v>
      </c>
      <c r="B162" s="4" t="s">
        <v>2614</v>
      </c>
      <c r="C162" s="4" t="s">
        <v>2474</v>
      </c>
      <c r="D162" s="7">
        <v>45744</v>
      </c>
      <c r="E162" s="4" t="s">
        <v>2443</v>
      </c>
      <c r="F162" t="s">
        <v>2474</v>
      </c>
    </row>
    <row r="163" spans="1:6" x14ac:dyDescent="0.35">
      <c r="A163" s="4" t="s">
        <v>395</v>
      </c>
      <c r="B163" s="4" t="s">
        <v>2615</v>
      </c>
      <c r="C163" s="4" t="s">
        <v>2468</v>
      </c>
      <c r="D163" s="7">
        <v>45863</v>
      </c>
      <c r="E163" s="4" t="s">
        <v>2446</v>
      </c>
      <c r="F163" t="s">
        <v>2468</v>
      </c>
    </row>
    <row r="164" spans="1:6" x14ac:dyDescent="0.35">
      <c r="A164" s="4" t="s">
        <v>605</v>
      </c>
      <c r="B164" s="4" t="s">
        <v>2616</v>
      </c>
      <c r="C164" s="4" t="s">
        <v>2465</v>
      </c>
      <c r="D164" s="7">
        <v>45937</v>
      </c>
      <c r="E164" s="4" t="s">
        <v>2443</v>
      </c>
      <c r="F164" t="s">
        <v>2465</v>
      </c>
    </row>
    <row r="165" spans="1:6" x14ac:dyDescent="0.35">
      <c r="A165" s="4" t="s">
        <v>923</v>
      </c>
      <c r="B165" s="4" t="s">
        <v>2617</v>
      </c>
      <c r="C165" s="4" t="s">
        <v>2449</v>
      </c>
      <c r="D165" s="7">
        <v>46008</v>
      </c>
      <c r="E165" s="4" t="s">
        <v>2443</v>
      </c>
      <c r="F165" t="s">
        <v>2449</v>
      </c>
    </row>
    <row r="166" spans="1:6" x14ac:dyDescent="0.35">
      <c r="A166" s="4" t="s">
        <v>27</v>
      </c>
      <c r="B166" s="4" t="s">
        <v>2618</v>
      </c>
      <c r="C166" s="4" t="s">
        <v>2439</v>
      </c>
      <c r="D166" s="7">
        <v>45697</v>
      </c>
      <c r="E166" s="4" t="s">
        <v>2446</v>
      </c>
      <c r="F166" t="s">
        <v>2439</v>
      </c>
    </row>
    <row r="167" spans="1:6" x14ac:dyDescent="0.35">
      <c r="A167" s="4" t="s">
        <v>420</v>
      </c>
      <c r="B167" s="4" t="s">
        <v>2619</v>
      </c>
      <c r="C167" s="4" t="s">
        <v>2439</v>
      </c>
      <c r="D167" s="7">
        <v>45867</v>
      </c>
      <c r="E167" s="4" t="s">
        <v>2443</v>
      </c>
      <c r="F167" t="s">
        <v>2439</v>
      </c>
    </row>
    <row r="168" spans="1:6" x14ac:dyDescent="0.35">
      <c r="A168" s="4" t="s">
        <v>19</v>
      </c>
      <c r="B168" s="4" t="s">
        <v>2620</v>
      </c>
      <c r="C168" s="4" t="s">
        <v>2445</v>
      </c>
      <c r="D168" s="7">
        <v>45685</v>
      </c>
      <c r="E168" s="4" t="s">
        <v>2446</v>
      </c>
      <c r="F168" t="s">
        <v>2445</v>
      </c>
    </row>
    <row r="169" spans="1:6" x14ac:dyDescent="0.35">
      <c r="A169" s="4" t="s">
        <v>151</v>
      </c>
      <c r="B169" s="4" t="s">
        <v>2621</v>
      </c>
      <c r="C169" s="4" t="s">
        <v>2445</v>
      </c>
      <c r="D169" s="7">
        <v>45695</v>
      </c>
      <c r="E169" s="4" t="s">
        <v>2446</v>
      </c>
      <c r="F169" t="s">
        <v>2445</v>
      </c>
    </row>
    <row r="170" spans="1:6" x14ac:dyDescent="0.35">
      <c r="A170" s="4" t="s">
        <v>679</v>
      </c>
      <c r="B170" s="4" t="s">
        <v>2622</v>
      </c>
      <c r="C170" s="4" t="s">
        <v>2496</v>
      </c>
      <c r="D170" s="7">
        <v>45947</v>
      </c>
      <c r="E170" s="4" t="s">
        <v>2443</v>
      </c>
      <c r="F170" t="s">
        <v>2496</v>
      </c>
    </row>
    <row r="171" spans="1:6" x14ac:dyDescent="0.35">
      <c r="A171" s="4" t="s">
        <v>246</v>
      </c>
      <c r="B171" s="4" t="s">
        <v>2623</v>
      </c>
      <c r="C171" s="4" t="s">
        <v>2474</v>
      </c>
      <c r="D171" s="7">
        <v>45813</v>
      </c>
      <c r="E171" s="4" t="s">
        <v>2446</v>
      </c>
      <c r="F171" t="s">
        <v>2474</v>
      </c>
    </row>
    <row r="172" spans="1:6" x14ac:dyDescent="0.35">
      <c r="A172" s="4" t="s">
        <v>481</v>
      </c>
      <c r="B172" s="4" t="s">
        <v>2624</v>
      </c>
      <c r="C172" s="4" t="s">
        <v>2474</v>
      </c>
      <c r="D172" s="7">
        <v>45893</v>
      </c>
      <c r="E172" s="4" t="s">
        <v>2443</v>
      </c>
      <c r="F172" t="s">
        <v>2474</v>
      </c>
    </row>
    <row r="173" spans="1:6" x14ac:dyDescent="0.35">
      <c r="A173" s="4" t="s">
        <v>696</v>
      </c>
      <c r="B173" s="4" t="s">
        <v>2625</v>
      </c>
      <c r="C173" s="4" t="s">
        <v>2445</v>
      </c>
      <c r="D173" s="7">
        <v>45957</v>
      </c>
      <c r="E173" s="4" t="s">
        <v>2443</v>
      </c>
      <c r="F173" t="s">
        <v>2445</v>
      </c>
    </row>
    <row r="174" spans="1:6" x14ac:dyDescent="0.35">
      <c r="A174" s="4" t="s">
        <v>471</v>
      </c>
      <c r="B174" s="4" t="s">
        <v>2626</v>
      </c>
      <c r="C174" s="4" t="s">
        <v>2439</v>
      </c>
      <c r="D174" s="7">
        <v>45889</v>
      </c>
      <c r="E174" s="4" t="s">
        <v>2443</v>
      </c>
      <c r="F174" t="s">
        <v>2439</v>
      </c>
    </row>
    <row r="175" spans="1:6" x14ac:dyDescent="0.35">
      <c r="A175" s="4" t="s">
        <v>65</v>
      </c>
      <c r="B175" s="4" t="s">
        <v>2627</v>
      </c>
      <c r="C175" s="4" t="s">
        <v>2468</v>
      </c>
      <c r="D175" s="7">
        <v>45722</v>
      </c>
      <c r="E175" s="4" t="s">
        <v>2446</v>
      </c>
      <c r="F175" t="s">
        <v>2468</v>
      </c>
    </row>
    <row r="176" spans="1:6" x14ac:dyDescent="0.35">
      <c r="A176" s="4" t="s">
        <v>703</v>
      </c>
      <c r="B176" s="4" t="s">
        <v>2628</v>
      </c>
      <c r="C176" s="4" t="s">
        <v>2439</v>
      </c>
      <c r="D176" s="7">
        <v>45952</v>
      </c>
      <c r="E176" s="4" t="s">
        <v>2443</v>
      </c>
      <c r="F176" t="s">
        <v>2439</v>
      </c>
    </row>
    <row r="177" spans="1:6" x14ac:dyDescent="0.35">
      <c r="A177" s="4" t="s">
        <v>253</v>
      </c>
      <c r="B177" s="4" t="s">
        <v>2629</v>
      </c>
      <c r="C177" s="4" t="s">
        <v>2474</v>
      </c>
      <c r="D177" s="7">
        <v>45816</v>
      </c>
      <c r="E177" s="4" t="s">
        <v>2440</v>
      </c>
      <c r="F177" t="s">
        <v>2474</v>
      </c>
    </row>
    <row r="178" spans="1:6" x14ac:dyDescent="0.35">
      <c r="A178" s="4" t="s">
        <v>744</v>
      </c>
      <c r="B178" s="4" t="s">
        <v>2630</v>
      </c>
      <c r="C178" s="4" t="s">
        <v>2468</v>
      </c>
      <c r="D178" s="7">
        <v>45968</v>
      </c>
      <c r="E178" s="4" t="s">
        <v>2446</v>
      </c>
      <c r="F178" t="s">
        <v>2468</v>
      </c>
    </row>
    <row r="179" spans="1:6" x14ac:dyDescent="0.35">
      <c r="A179" s="4" t="s">
        <v>595</v>
      </c>
      <c r="B179" s="4" t="s">
        <v>2631</v>
      </c>
      <c r="C179" s="4" t="s">
        <v>2445</v>
      </c>
      <c r="D179" s="7">
        <v>45931</v>
      </c>
      <c r="E179" s="4" t="s">
        <v>2443</v>
      </c>
      <c r="F179" t="s">
        <v>2445</v>
      </c>
    </row>
    <row r="180" spans="1:6" x14ac:dyDescent="0.35">
      <c r="A180" s="4" t="s">
        <v>160</v>
      </c>
      <c r="B180" s="4" t="s">
        <v>2632</v>
      </c>
      <c r="C180" s="4" t="s">
        <v>2445</v>
      </c>
      <c r="D180" s="7">
        <v>45780</v>
      </c>
      <c r="E180" s="4" t="s">
        <v>2443</v>
      </c>
      <c r="F180" t="s">
        <v>2445</v>
      </c>
    </row>
    <row r="181" spans="1:6" x14ac:dyDescent="0.35">
      <c r="A181" s="4" t="s">
        <v>80</v>
      </c>
      <c r="B181" s="4" t="s">
        <v>2633</v>
      </c>
      <c r="C181" s="4" t="s">
        <v>2465</v>
      </c>
      <c r="D181" s="7">
        <v>45724</v>
      </c>
      <c r="E181" s="4" t="s">
        <v>2443</v>
      </c>
      <c r="F181" t="s">
        <v>2465</v>
      </c>
    </row>
    <row r="182" spans="1:6" x14ac:dyDescent="0.35">
      <c r="A182" s="4" t="s">
        <v>166</v>
      </c>
      <c r="B182" s="4" t="s">
        <v>2634</v>
      </c>
      <c r="C182" s="4" t="s">
        <v>2439</v>
      </c>
      <c r="D182" s="7">
        <v>45781</v>
      </c>
      <c r="E182" s="4" t="s">
        <v>2443</v>
      </c>
      <c r="F182" t="s">
        <v>2439</v>
      </c>
    </row>
    <row r="183" spans="1:6" x14ac:dyDescent="0.35">
      <c r="A183" s="4" t="s">
        <v>344</v>
      </c>
      <c r="B183" s="4" t="s">
        <v>2635</v>
      </c>
      <c r="C183" s="4" t="s">
        <v>2439</v>
      </c>
      <c r="D183" s="7">
        <v>45846</v>
      </c>
      <c r="E183" s="4" t="s">
        <v>2443</v>
      </c>
      <c r="F183" t="s">
        <v>2439</v>
      </c>
    </row>
    <row r="184" spans="1:6" x14ac:dyDescent="0.35">
      <c r="A184" s="4" t="s">
        <v>556</v>
      </c>
      <c r="B184" s="4" t="s">
        <v>2636</v>
      </c>
      <c r="C184" s="4" t="s">
        <v>2465</v>
      </c>
      <c r="D184" s="7">
        <v>45920</v>
      </c>
      <c r="E184" s="4" t="s">
        <v>2446</v>
      </c>
      <c r="F184" t="s">
        <v>2465</v>
      </c>
    </row>
    <row r="185" spans="1:6" x14ac:dyDescent="0.35">
      <c r="A185" s="4" t="s">
        <v>527</v>
      </c>
      <c r="B185" s="4" t="s">
        <v>2637</v>
      </c>
      <c r="C185" s="4" t="s">
        <v>2465</v>
      </c>
      <c r="D185" s="7">
        <v>45909</v>
      </c>
      <c r="E185" s="4" t="s">
        <v>2440</v>
      </c>
      <c r="F185" t="s">
        <v>2465</v>
      </c>
    </row>
    <row r="186" spans="1:6" x14ac:dyDescent="0.35">
      <c r="A186" s="4" t="s">
        <v>631</v>
      </c>
      <c r="B186" s="4" t="s">
        <v>2638</v>
      </c>
      <c r="C186" s="4" t="s">
        <v>2445</v>
      </c>
      <c r="D186" s="7">
        <v>45946</v>
      </c>
      <c r="E186" s="4" t="s">
        <v>2446</v>
      </c>
      <c r="F186" t="s">
        <v>2445</v>
      </c>
    </row>
    <row r="187" spans="1:6" x14ac:dyDescent="0.35">
      <c r="A187" s="4" t="s">
        <v>2639</v>
      </c>
      <c r="B187" s="4" t="s">
        <v>2640</v>
      </c>
      <c r="C187" s="4" t="s">
        <v>2445</v>
      </c>
      <c r="D187" s="7">
        <v>45805</v>
      </c>
      <c r="E187" s="4" t="s">
        <v>2446</v>
      </c>
      <c r="F187" t="s">
        <v>2445</v>
      </c>
    </row>
    <row r="188" spans="1:6" x14ac:dyDescent="0.35">
      <c r="A188" s="4" t="s">
        <v>400</v>
      </c>
      <c r="B188" s="4" t="s">
        <v>2641</v>
      </c>
      <c r="C188" s="4" t="s">
        <v>2445</v>
      </c>
      <c r="D188" s="7">
        <v>45869</v>
      </c>
      <c r="E188" s="4" t="s">
        <v>2443</v>
      </c>
      <c r="F188" t="s">
        <v>2445</v>
      </c>
    </row>
    <row r="189" spans="1:6" x14ac:dyDescent="0.35">
      <c r="A189" s="4" t="s">
        <v>185</v>
      </c>
      <c r="B189" s="4" t="s">
        <v>2642</v>
      </c>
      <c r="C189" s="4" t="s">
        <v>2445</v>
      </c>
      <c r="D189" s="7">
        <v>45783</v>
      </c>
      <c r="E189" s="4" t="s">
        <v>2446</v>
      </c>
      <c r="F189" t="s">
        <v>2445</v>
      </c>
    </row>
    <row r="190" spans="1:6" x14ac:dyDescent="0.35">
      <c r="A190" s="4" t="s">
        <v>535</v>
      </c>
      <c r="B190" s="4" t="s">
        <v>2643</v>
      </c>
      <c r="C190" s="4" t="s">
        <v>2452</v>
      </c>
      <c r="D190" s="7">
        <v>45913</v>
      </c>
      <c r="E190" s="4" t="s">
        <v>2446</v>
      </c>
      <c r="F190" t="s">
        <v>2452</v>
      </c>
    </row>
    <row r="191" spans="1:6" x14ac:dyDescent="0.35">
      <c r="A191" s="4" t="s">
        <v>109</v>
      </c>
      <c r="B191" s="4" t="s">
        <v>2644</v>
      </c>
      <c r="C191" s="4" t="s">
        <v>2452</v>
      </c>
      <c r="D191" s="7">
        <v>45741</v>
      </c>
      <c r="E191" s="4" t="s">
        <v>2446</v>
      </c>
      <c r="F191" t="s">
        <v>2452</v>
      </c>
    </row>
    <row r="192" spans="1:6" x14ac:dyDescent="0.35">
      <c r="A192" s="4" t="s">
        <v>569</v>
      </c>
      <c r="B192" s="4" t="s">
        <v>2645</v>
      </c>
      <c r="C192" s="4" t="s">
        <v>2445</v>
      </c>
      <c r="D192" s="7">
        <v>45928</v>
      </c>
      <c r="E192" s="4" t="s">
        <v>2443</v>
      </c>
      <c r="F192" t="s">
        <v>2445</v>
      </c>
    </row>
    <row r="193" spans="1:6" x14ac:dyDescent="0.35">
      <c r="A193" s="4" t="s">
        <v>601</v>
      </c>
      <c r="B193" s="4" t="s">
        <v>2646</v>
      </c>
      <c r="C193" s="4" t="s">
        <v>2449</v>
      </c>
      <c r="D193" s="7">
        <v>45926</v>
      </c>
      <c r="E193" s="4" t="s">
        <v>2440</v>
      </c>
      <c r="F193" t="s">
        <v>2449</v>
      </c>
    </row>
    <row r="194" spans="1:6" x14ac:dyDescent="0.35">
      <c r="A194" s="4" t="s">
        <v>951</v>
      </c>
      <c r="B194" s="4" t="s">
        <v>2647</v>
      </c>
      <c r="C194" s="4" t="s">
        <v>2442</v>
      </c>
      <c r="D194" s="7">
        <v>46013</v>
      </c>
      <c r="E194" s="4" t="s">
        <v>2443</v>
      </c>
      <c r="F194" t="s">
        <v>2442</v>
      </c>
    </row>
    <row r="195" spans="1:6" x14ac:dyDescent="0.35">
      <c r="A195" s="4" t="s">
        <v>711</v>
      </c>
      <c r="B195" s="4" t="s">
        <v>2648</v>
      </c>
      <c r="C195" s="4" t="s">
        <v>2455</v>
      </c>
      <c r="D195" s="7">
        <v>45961</v>
      </c>
      <c r="E195" s="4" t="s">
        <v>2446</v>
      </c>
      <c r="F195" t="s">
        <v>2455</v>
      </c>
    </row>
    <row r="196" spans="1:6" x14ac:dyDescent="0.35">
      <c r="A196" s="4" t="s">
        <v>104</v>
      </c>
      <c r="B196" s="4" t="s">
        <v>2649</v>
      </c>
      <c r="C196" s="4" t="s">
        <v>2442</v>
      </c>
      <c r="D196" s="7">
        <v>45723</v>
      </c>
      <c r="E196" s="4" t="s">
        <v>2443</v>
      </c>
      <c r="F196" t="s">
        <v>2442</v>
      </c>
    </row>
    <row r="197" spans="1:6" x14ac:dyDescent="0.35">
      <c r="A197" s="4" t="s">
        <v>42</v>
      </c>
      <c r="B197" s="4" t="s">
        <v>2650</v>
      </c>
      <c r="C197" s="4" t="s">
        <v>2465</v>
      </c>
      <c r="D197" s="7">
        <v>45704</v>
      </c>
      <c r="E197" s="4" t="s">
        <v>2443</v>
      </c>
      <c r="F197" t="s">
        <v>2465</v>
      </c>
    </row>
    <row r="198" spans="1:6" x14ac:dyDescent="0.35">
      <c r="A198" s="4" t="s">
        <v>146</v>
      </c>
      <c r="B198" s="4" t="s">
        <v>2651</v>
      </c>
      <c r="C198" s="4" t="s">
        <v>2439</v>
      </c>
      <c r="D198" s="7">
        <v>45764</v>
      </c>
      <c r="E198" s="4" t="s">
        <v>2443</v>
      </c>
      <c r="F198" t="s">
        <v>2439</v>
      </c>
    </row>
    <row r="199" spans="1:6" x14ac:dyDescent="0.35">
      <c r="A199" s="4" t="s">
        <v>492</v>
      </c>
      <c r="B199" s="4" t="s">
        <v>2652</v>
      </c>
      <c r="C199" s="4" t="s">
        <v>2455</v>
      </c>
      <c r="D199" s="7">
        <v>45695</v>
      </c>
      <c r="E199" s="4" t="s">
        <v>2440</v>
      </c>
      <c r="F199" t="s">
        <v>2455</v>
      </c>
    </row>
    <row r="200" spans="1:6" x14ac:dyDescent="0.35">
      <c r="A200" s="4" t="s">
        <v>310</v>
      </c>
      <c r="B200" s="4" t="s">
        <v>2653</v>
      </c>
      <c r="C200" s="4" t="s">
        <v>2496</v>
      </c>
      <c r="D200" s="7">
        <v>45828</v>
      </c>
      <c r="E200" s="4" t="s">
        <v>2443</v>
      </c>
      <c r="F200" t="s">
        <v>2496</v>
      </c>
    </row>
    <row r="201" spans="1:6" x14ac:dyDescent="0.35">
      <c r="A201" s="4" t="s">
        <v>931</v>
      </c>
      <c r="B201" s="4" t="s">
        <v>2654</v>
      </c>
      <c r="C201" s="4" t="s">
        <v>2442</v>
      </c>
      <c r="D201" s="7">
        <v>46009</v>
      </c>
      <c r="E201" s="4" t="s">
        <v>2443</v>
      </c>
      <c r="F201" t="s">
        <v>2442</v>
      </c>
    </row>
  </sheetData>
  <autoFilter ref="A1:E20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E796-309A-4097-9354-EB1F086C3A9B}">
  <dimension ref="A3:B16"/>
  <sheetViews>
    <sheetView zoomScale="71" zoomScaleNormal="71" workbookViewId="0">
      <selection activeCell="C24" sqref="C24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17" t="s">
        <v>2655</v>
      </c>
      <c r="B3" t="s">
        <v>2669</v>
      </c>
    </row>
    <row r="4" spans="1:2" x14ac:dyDescent="0.35">
      <c r="A4" s="18" t="s">
        <v>2657</v>
      </c>
      <c r="B4" s="20">
        <v>9</v>
      </c>
    </row>
    <row r="5" spans="1:2" x14ac:dyDescent="0.35">
      <c r="A5" s="18" t="s">
        <v>2658</v>
      </c>
      <c r="B5" s="20">
        <v>16</v>
      </c>
    </row>
    <row r="6" spans="1:2" x14ac:dyDescent="0.35">
      <c r="A6" s="18" t="s">
        <v>2659</v>
      </c>
      <c r="B6" s="20">
        <v>36</v>
      </c>
    </row>
    <row r="7" spans="1:2" x14ac:dyDescent="0.35">
      <c r="A7" s="18" t="s">
        <v>2660</v>
      </c>
      <c r="B7" s="20">
        <v>31</v>
      </c>
    </row>
    <row r="8" spans="1:2" x14ac:dyDescent="0.35">
      <c r="A8" s="18" t="s">
        <v>2661</v>
      </c>
      <c r="B8" s="20">
        <v>49</v>
      </c>
    </row>
    <row r="9" spans="1:2" x14ac:dyDescent="0.35">
      <c r="A9" s="18" t="s">
        <v>2662</v>
      </c>
      <c r="B9" s="20">
        <v>73</v>
      </c>
    </row>
    <row r="10" spans="1:2" x14ac:dyDescent="0.35">
      <c r="A10" s="18" t="s">
        <v>2663</v>
      </c>
      <c r="B10" s="20">
        <v>62</v>
      </c>
    </row>
    <row r="11" spans="1:2" x14ac:dyDescent="0.35">
      <c r="A11" s="18" t="s">
        <v>2664</v>
      </c>
      <c r="B11" s="20">
        <v>69</v>
      </c>
    </row>
    <row r="12" spans="1:2" x14ac:dyDescent="0.35">
      <c r="A12" s="18" t="s">
        <v>2665</v>
      </c>
      <c r="B12" s="20">
        <v>71</v>
      </c>
    </row>
    <row r="13" spans="1:2" x14ac:dyDescent="0.35">
      <c r="A13" s="18" t="s">
        <v>2666</v>
      </c>
      <c r="B13" s="20">
        <v>113</v>
      </c>
    </row>
    <row r="14" spans="1:2" x14ac:dyDescent="0.35">
      <c r="A14" s="18" t="s">
        <v>2667</v>
      </c>
      <c r="B14" s="20">
        <v>115</v>
      </c>
    </row>
    <row r="15" spans="1:2" x14ac:dyDescent="0.35">
      <c r="A15" s="18" t="s">
        <v>2668</v>
      </c>
      <c r="B15" s="20">
        <v>156</v>
      </c>
    </row>
    <row r="16" spans="1:2" x14ac:dyDescent="0.35">
      <c r="A16" s="18" t="s">
        <v>2656</v>
      </c>
      <c r="B16" s="20">
        <v>800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D1B6-388F-4611-9E25-EBD486F06B94}">
  <dimension ref="A3:B25"/>
  <sheetViews>
    <sheetView zoomScale="87" zoomScaleNormal="87" workbookViewId="0">
      <selection activeCell="B4" sqref="B4"/>
    </sheetView>
  </sheetViews>
  <sheetFormatPr defaultRowHeight="14.5" x14ac:dyDescent="0.35"/>
  <cols>
    <col min="1" max="1" width="25.26953125" bestFit="1" customWidth="1"/>
    <col min="2" max="2" width="9.81640625" bestFit="1" customWidth="1"/>
  </cols>
  <sheetData>
    <row r="3" spans="1:2" x14ac:dyDescent="0.35">
      <c r="A3" s="17" t="s">
        <v>2655</v>
      </c>
      <c r="B3" t="s">
        <v>2670</v>
      </c>
    </row>
    <row r="4" spans="1:2" x14ac:dyDescent="0.35">
      <c r="A4" s="19" t="s">
        <v>2430</v>
      </c>
      <c r="B4" s="20">
        <v>537</v>
      </c>
    </row>
    <row r="5" spans="1:2" x14ac:dyDescent="0.35">
      <c r="A5" s="19" t="s">
        <v>2409</v>
      </c>
      <c r="B5" s="20">
        <v>350</v>
      </c>
    </row>
    <row r="6" spans="1:2" x14ac:dyDescent="0.35">
      <c r="A6" s="19" t="s">
        <v>2429</v>
      </c>
      <c r="B6" s="20">
        <v>146</v>
      </c>
    </row>
    <row r="7" spans="1:2" x14ac:dyDescent="0.35">
      <c r="A7" s="19" t="s">
        <v>2431</v>
      </c>
      <c r="B7" s="20">
        <v>130</v>
      </c>
    </row>
    <row r="8" spans="1:2" x14ac:dyDescent="0.35">
      <c r="A8" s="19" t="s">
        <v>2425</v>
      </c>
      <c r="B8" s="20">
        <v>124</v>
      </c>
    </row>
    <row r="9" spans="1:2" x14ac:dyDescent="0.35">
      <c r="A9" s="19" t="s">
        <v>2413</v>
      </c>
      <c r="B9" s="20">
        <v>121</v>
      </c>
    </row>
    <row r="10" spans="1:2" x14ac:dyDescent="0.35">
      <c r="A10" s="19" t="s">
        <v>2412</v>
      </c>
      <c r="B10" s="20">
        <v>100</v>
      </c>
    </row>
    <row r="11" spans="1:2" x14ac:dyDescent="0.35">
      <c r="A11" s="19" t="s">
        <v>2410</v>
      </c>
      <c r="B11" s="20">
        <v>85</v>
      </c>
    </row>
    <row r="12" spans="1:2" x14ac:dyDescent="0.35">
      <c r="A12" s="19" t="s">
        <v>2421</v>
      </c>
      <c r="B12" s="20">
        <v>77</v>
      </c>
    </row>
    <row r="13" spans="1:2" x14ac:dyDescent="0.35">
      <c r="A13" s="19" t="s">
        <v>2419</v>
      </c>
      <c r="B13" s="20">
        <v>47</v>
      </c>
    </row>
    <row r="14" spans="1:2" x14ac:dyDescent="0.35">
      <c r="A14" s="19" t="s">
        <v>2406</v>
      </c>
      <c r="B14" s="20">
        <v>32</v>
      </c>
    </row>
    <row r="15" spans="1:2" x14ac:dyDescent="0.35">
      <c r="A15" s="19" t="s">
        <v>2428</v>
      </c>
      <c r="B15" s="20">
        <v>27</v>
      </c>
    </row>
    <row r="16" spans="1:2" x14ac:dyDescent="0.35">
      <c r="A16" s="19" t="s">
        <v>2432</v>
      </c>
      <c r="B16" s="20">
        <v>26</v>
      </c>
    </row>
    <row r="17" spans="1:2" x14ac:dyDescent="0.35">
      <c r="A17" s="19" t="s">
        <v>2411</v>
      </c>
      <c r="B17" s="20">
        <v>22</v>
      </c>
    </row>
    <row r="18" spans="1:2" x14ac:dyDescent="0.35">
      <c r="A18" s="19" t="s">
        <v>2408</v>
      </c>
      <c r="B18" s="20">
        <v>21</v>
      </c>
    </row>
    <row r="19" spans="1:2" x14ac:dyDescent="0.35">
      <c r="A19" s="19" t="s">
        <v>2407</v>
      </c>
      <c r="B19" s="20">
        <v>19</v>
      </c>
    </row>
    <row r="20" spans="1:2" x14ac:dyDescent="0.35">
      <c r="A20" s="19" t="s">
        <v>2420</v>
      </c>
      <c r="B20" s="20">
        <v>5</v>
      </c>
    </row>
    <row r="21" spans="1:2" x14ac:dyDescent="0.35">
      <c r="A21" s="19" t="s">
        <v>2422</v>
      </c>
      <c r="B21" s="20">
        <v>5</v>
      </c>
    </row>
    <row r="22" spans="1:2" x14ac:dyDescent="0.35">
      <c r="A22" s="19" t="s">
        <v>2404</v>
      </c>
      <c r="B22" s="20">
        <v>3</v>
      </c>
    </row>
    <row r="23" spans="1:2" x14ac:dyDescent="0.35">
      <c r="A23" s="19" t="s">
        <v>2427</v>
      </c>
      <c r="B23" s="20">
        <v>2</v>
      </c>
    </row>
    <row r="24" spans="1:2" x14ac:dyDescent="0.35">
      <c r="A24" s="19" t="s">
        <v>2433</v>
      </c>
      <c r="B24" s="20">
        <v>1</v>
      </c>
    </row>
    <row r="25" spans="1:2" x14ac:dyDescent="0.35">
      <c r="A25" s="19" t="s">
        <v>2656</v>
      </c>
      <c r="B25" s="20">
        <v>1880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2130-7E6D-44B5-BD78-A1AFDBC37893}">
  <dimension ref="A3:B25"/>
  <sheetViews>
    <sheetView zoomScale="83" zoomScaleNormal="83" workbookViewId="0">
      <selection activeCell="A4" sqref="A4:B6"/>
      <pivotSelection pane="bottomRight" showHeader="1" extendable="1" axis="axisRow" max="22" activeRow="3" previousRow="5" click="1" r:id="rId1">
        <pivotArea dataOnly="0" axis="axisRow" fieldPosition="0">
          <references count="1">
            <reference field="5" count="3">
              <x v="6"/>
              <x v="7"/>
              <x v="11"/>
            </reference>
          </references>
        </pivotArea>
      </pivotSelection>
    </sheetView>
  </sheetViews>
  <sheetFormatPr defaultRowHeight="14.5" x14ac:dyDescent="0.35"/>
  <cols>
    <col min="1" max="1" width="25.26953125" bestFit="1" customWidth="1"/>
    <col min="2" max="2" width="14.1796875" bestFit="1" customWidth="1"/>
  </cols>
  <sheetData>
    <row r="3" spans="1:2" x14ac:dyDescent="0.35">
      <c r="A3" s="17" t="s">
        <v>2655</v>
      </c>
      <c r="B3" t="s">
        <v>2672</v>
      </c>
    </row>
    <row r="4" spans="1:2" x14ac:dyDescent="0.35">
      <c r="A4" s="19" t="s">
        <v>2425</v>
      </c>
      <c r="B4" s="20">
        <v>40796000</v>
      </c>
    </row>
    <row r="5" spans="1:2" x14ac:dyDescent="0.35">
      <c r="A5" s="19" t="s">
        <v>2412</v>
      </c>
      <c r="B5" s="20">
        <v>39900000</v>
      </c>
    </row>
    <row r="6" spans="1:2" x14ac:dyDescent="0.35">
      <c r="A6" s="19" t="s">
        <v>2430</v>
      </c>
      <c r="B6" s="20">
        <v>37053000</v>
      </c>
    </row>
    <row r="7" spans="1:2" x14ac:dyDescent="0.35">
      <c r="A7" s="19" t="s">
        <v>2421</v>
      </c>
      <c r="B7" s="20">
        <v>26873000</v>
      </c>
    </row>
    <row r="8" spans="1:2" x14ac:dyDescent="0.35">
      <c r="A8" s="19" t="s">
        <v>2429</v>
      </c>
      <c r="B8" s="20">
        <v>26134000</v>
      </c>
    </row>
    <row r="9" spans="1:2" x14ac:dyDescent="0.35">
      <c r="A9" s="19" t="s">
        <v>2409</v>
      </c>
      <c r="B9" s="20">
        <v>13650000</v>
      </c>
    </row>
    <row r="10" spans="1:2" x14ac:dyDescent="0.35">
      <c r="A10" s="19" t="s">
        <v>2410</v>
      </c>
      <c r="B10" s="20">
        <v>10965000</v>
      </c>
    </row>
    <row r="11" spans="1:2" x14ac:dyDescent="0.35">
      <c r="A11" s="19" t="s">
        <v>2419</v>
      </c>
      <c r="B11" s="20">
        <v>10763000</v>
      </c>
    </row>
    <row r="12" spans="1:2" x14ac:dyDescent="0.35">
      <c r="A12" s="19" t="s">
        <v>2413</v>
      </c>
      <c r="B12" s="20">
        <v>9559000</v>
      </c>
    </row>
    <row r="13" spans="1:2" x14ac:dyDescent="0.35">
      <c r="A13" s="19" t="s">
        <v>2407</v>
      </c>
      <c r="B13" s="20">
        <v>9481000</v>
      </c>
    </row>
    <row r="14" spans="1:2" x14ac:dyDescent="0.35">
      <c r="A14" s="19" t="s">
        <v>2431</v>
      </c>
      <c r="B14" s="20">
        <v>7150000</v>
      </c>
    </row>
    <row r="15" spans="1:2" x14ac:dyDescent="0.35">
      <c r="A15" s="19" t="s">
        <v>2406</v>
      </c>
      <c r="B15" s="20">
        <v>5088000</v>
      </c>
    </row>
    <row r="16" spans="1:2" x14ac:dyDescent="0.35">
      <c r="A16" s="19" t="s">
        <v>2408</v>
      </c>
      <c r="B16" s="20">
        <v>4179000</v>
      </c>
    </row>
    <row r="17" spans="1:2" x14ac:dyDescent="0.35">
      <c r="A17" s="19" t="s">
        <v>2432</v>
      </c>
      <c r="B17" s="20">
        <v>3614000</v>
      </c>
    </row>
    <row r="18" spans="1:2" x14ac:dyDescent="0.35">
      <c r="A18" s="19" t="s">
        <v>2411</v>
      </c>
      <c r="B18" s="20">
        <v>2178000</v>
      </c>
    </row>
    <row r="19" spans="1:2" x14ac:dyDescent="0.35">
      <c r="A19" s="19" t="s">
        <v>2428</v>
      </c>
      <c r="B19" s="20">
        <v>2133000</v>
      </c>
    </row>
    <row r="20" spans="1:2" x14ac:dyDescent="0.35">
      <c r="A20" s="19" t="s">
        <v>2420</v>
      </c>
      <c r="B20" s="20">
        <v>1045000</v>
      </c>
    </row>
    <row r="21" spans="1:2" x14ac:dyDescent="0.35">
      <c r="A21" s="19" t="s">
        <v>2404</v>
      </c>
      <c r="B21" s="20">
        <v>897000</v>
      </c>
    </row>
    <row r="22" spans="1:2" x14ac:dyDescent="0.35">
      <c r="A22" s="19" t="s">
        <v>2422</v>
      </c>
      <c r="B22" s="20">
        <v>695000</v>
      </c>
    </row>
    <row r="23" spans="1:2" x14ac:dyDescent="0.35">
      <c r="A23" s="19" t="s">
        <v>2427</v>
      </c>
      <c r="B23" s="20">
        <v>298000</v>
      </c>
    </row>
    <row r="24" spans="1:2" x14ac:dyDescent="0.35">
      <c r="A24" s="19" t="s">
        <v>2433</v>
      </c>
      <c r="B24" s="20">
        <v>89000</v>
      </c>
    </row>
    <row r="25" spans="1:2" x14ac:dyDescent="0.35">
      <c r="A25" s="19" t="s">
        <v>2656</v>
      </c>
      <c r="B25" s="20">
        <v>252540000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FC06-ABFF-4385-BEE0-A94238B1BA65}">
  <dimension ref="A3:B25"/>
  <sheetViews>
    <sheetView zoomScale="86" zoomScaleNormal="86" workbookViewId="0">
      <selection activeCell="A4" sqref="A4:B6"/>
    </sheetView>
  </sheetViews>
  <sheetFormatPr defaultRowHeight="14.5" x14ac:dyDescent="0.35"/>
  <cols>
    <col min="1" max="1" width="25.26953125" bestFit="1" customWidth="1"/>
    <col min="2" max="2" width="11.81640625" bestFit="1" customWidth="1"/>
  </cols>
  <sheetData>
    <row r="3" spans="1:2" x14ac:dyDescent="0.35">
      <c r="A3" s="17" t="s">
        <v>2655</v>
      </c>
      <c r="B3" t="s">
        <v>2674</v>
      </c>
    </row>
    <row r="4" spans="1:2" x14ac:dyDescent="0.35">
      <c r="A4" s="19" t="s">
        <v>2430</v>
      </c>
      <c r="B4" s="20">
        <v>20943000</v>
      </c>
    </row>
    <row r="5" spans="1:2" x14ac:dyDescent="0.35">
      <c r="A5" s="19" t="s">
        <v>2412</v>
      </c>
      <c r="B5" s="20">
        <v>19900000</v>
      </c>
    </row>
    <row r="6" spans="1:2" x14ac:dyDescent="0.35">
      <c r="A6" s="19" t="s">
        <v>2425</v>
      </c>
      <c r="B6" s="20">
        <v>18476000</v>
      </c>
    </row>
    <row r="7" spans="1:2" x14ac:dyDescent="0.35">
      <c r="A7" s="19" t="s">
        <v>2421</v>
      </c>
      <c r="B7" s="20">
        <v>13013000</v>
      </c>
    </row>
    <row r="8" spans="1:2" x14ac:dyDescent="0.35">
      <c r="A8" s="19" t="s">
        <v>2429</v>
      </c>
      <c r="B8" s="20">
        <v>12994000</v>
      </c>
    </row>
    <row r="9" spans="1:2" x14ac:dyDescent="0.35">
      <c r="A9" s="19" t="s">
        <v>2409</v>
      </c>
      <c r="B9" s="20">
        <v>8400000</v>
      </c>
    </row>
    <row r="10" spans="1:2" x14ac:dyDescent="0.35">
      <c r="A10" s="19" t="s">
        <v>2410</v>
      </c>
      <c r="B10" s="20">
        <v>5865000</v>
      </c>
    </row>
    <row r="11" spans="1:2" x14ac:dyDescent="0.35">
      <c r="A11" s="19" t="s">
        <v>2419</v>
      </c>
      <c r="B11" s="20">
        <v>5593000</v>
      </c>
    </row>
    <row r="12" spans="1:2" x14ac:dyDescent="0.35">
      <c r="A12" s="19" t="s">
        <v>2413</v>
      </c>
      <c r="B12" s="20">
        <v>5324000</v>
      </c>
    </row>
    <row r="13" spans="1:2" x14ac:dyDescent="0.35">
      <c r="A13" s="19" t="s">
        <v>2407</v>
      </c>
      <c r="B13" s="20">
        <v>4731000</v>
      </c>
    </row>
    <row r="14" spans="1:2" x14ac:dyDescent="0.35">
      <c r="A14" s="19" t="s">
        <v>2431</v>
      </c>
      <c r="B14" s="20">
        <v>3900000</v>
      </c>
    </row>
    <row r="15" spans="1:2" x14ac:dyDescent="0.35">
      <c r="A15" s="19" t="s">
        <v>2406</v>
      </c>
      <c r="B15" s="20">
        <v>2528000</v>
      </c>
    </row>
    <row r="16" spans="1:2" x14ac:dyDescent="0.35">
      <c r="A16" s="19" t="s">
        <v>2408</v>
      </c>
      <c r="B16" s="20">
        <v>2079000</v>
      </c>
    </row>
    <row r="17" spans="1:2" x14ac:dyDescent="0.35">
      <c r="A17" s="19" t="s">
        <v>2432</v>
      </c>
      <c r="B17" s="20">
        <v>1924000</v>
      </c>
    </row>
    <row r="18" spans="1:2" x14ac:dyDescent="0.35">
      <c r="A18" s="19" t="s">
        <v>2411</v>
      </c>
      <c r="B18" s="20">
        <v>1188000</v>
      </c>
    </row>
    <row r="19" spans="1:2" x14ac:dyDescent="0.35">
      <c r="A19" s="19" t="s">
        <v>2428</v>
      </c>
      <c r="B19" s="20">
        <v>1188000</v>
      </c>
    </row>
    <row r="20" spans="1:2" x14ac:dyDescent="0.35">
      <c r="A20" s="19" t="s">
        <v>2420</v>
      </c>
      <c r="B20" s="20">
        <v>570000</v>
      </c>
    </row>
    <row r="21" spans="1:2" x14ac:dyDescent="0.35">
      <c r="A21" s="19" t="s">
        <v>2404</v>
      </c>
      <c r="B21" s="20">
        <v>447000</v>
      </c>
    </row>
    <row r="22" spans="1:2" x14ac:dyDescent="0.35">
      <c r="A22" s="19" t="s">
        <v>2422</v>
      </c>
      <c r="B22" s="20">
        <v>395000</v>
      </c>
    </row>
    <row r="23" spans="1:2" x14ac:dyDescent="0.35">
      <c r="A23" s="19" t="s">
        <v>2427</v>
      </c>
      <c r="B23" s="20">
        <v>158000</v>
      </c>
    </row>
    <row r="24" spans="1:2" x14ac:dyDescent="0.35">
      <c r="A24" s="19" t="s">
        <v>2433</v>
      </c>
      <c r="B24" s="20">
        <v>49000</v>
      </c>
    </row>
    <row r="25" spans="1:2" x14ac:dyDescent="0.35">
      <c r="A25" s="19" t="s">
        <v>2656</v>
      </c>
      <c r="B25" s="20">
        <v>129665000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E24B-F303-4615-B397-CFF3FCF7BF89}">
  <dimension ref="A3:B14"/>
  <sheetViews>
    <sheetView workbookViewId="0">
      <selection activeCell="A4" sqref="A4:B6"/>
      <pivotSelection pane="bottomRight" showHeader="1" extendable="1" axis="axisRow" max="11" activeRow="3" previousRow="5" click="1" r:id="rId1">
        <pivotArea dataOnly="0" axis="axisRow" fieldPosition="0">
          <references count="1">
            <reference field="0" count="3">
              <x v="0"/>
              <x v="3"/>
              <x v="8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17" t="s">
        <v>2655</v>
      </c>
      <c r="B3" t="s">
        <v>2669</v>
      </c>
    </row>
    <row r="4" spans="1:2" x14ac:dyDescent="0.35">
      <c r="A4" s="19" t="s">
        <v>2445</v>
      </c>
      <c r="B4" s="20">
        <v>170</v>
      </c>
    </row>
    <row r="5" spans="1:2" x14ac:dyDescent="0.35">
      <c r="A5" s="19" t="s">
        <v>2455</v>
      </c>
      <c r="B5" s="20">
        <v>108</v>
      </c>
    </row>
    <row r="6" spans="1:2" x14ac:dyDescent="0.35">
      <c r="A6" s="19" t="s">
        <v>2439</v>
      </c>
      <c r="B6" s="20">
        <v>84</v>
      </c>
    </row>
    <row r="7" spans="1:2" x14ac:dyDescent="0.35">
      <c r="A7" s="19" t="s">
        <v>2452</v>
      </c>
      <c r="B7" s="20">
        <v>81</v>
      </c>
    </row>
    <row r="8" spans="1:2" x14ac:dyDescent="0.35">
      <c r="A8" s="19" t="s">
        <v>2465</v>
      </c>
      <c r="B8" s="20">
        <v>73</v>
      </c>
    </row>
    <row r="9" spans="1:2" x14ac:dyDescent="0.35">
      <c r="A9" s="19" t="s">
        <v>2496</v>
      </c>
      <c r="B9" s="20">
        <v>71</v>
      </c>
    </row>
    <row r="10" spans="1:2" x14ac:dyDescent="0.35">
      <c r="A10" s="19" t="s">
        <v>2468</v>
      </c>
      <c r="B10" s="20">
        <v>56</v>
      </c>
    </row>
    <row r="11" spans="1:2" x14ac:dyDescent="0.35">
      <c r="A11" s="19" t="s">
        <v>2449</v>
      </c>
      <c r="B11" s="20">
        <v>54</v>
      </c>
    </row>
    <row r="12" spans="1:2" x14ac:dyDescent="0.35">
      <c r="A12" s="19" t="s">
        <v>2442</v>
      </c>
      <c r="B12" s="20">
        <v>52</v>
      </c>
    </row>
    <row r="13" spans="1:2" x14ac:dyDescent="0.35">
      <c r="A13" s="19" t="s">
        <v>2474</v>
      </c>
      <c r="B13" s="20">
        <v>51</v>
      </c>
    </row>
    <row r="14" spans="1:2" x14ac:dyDescent="0.35">
      <c r="A14" s="19" t="s">
        <v>2656</v>
      </c>
      <c r="B14" s="20">
        <v>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BFB2-57EA-48D4-AE8A-624109E7A2BF}">
  <dimension ref="A3:B14"/>
  <sheetViews>
    <sheetView workbookViewId="0">
      <selection activeCell="B21" sqref="B21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17" t="s">
        <v>2655</v>
      </c>
      <c r="B3" t="s">
        <v>2672</v>
      </c>
    </row>
    <row r="4" spans="1:2" x14ac:dyDescent="0.35">
      <c r="A4" s="19" t="s">
        <v>2445</v>
      </c>
      <c r="B4" s="20">
        <v>57013000</v>
      </c>
    </row>
    <row r="5" spans="1:2" x14ac:dyDescent="0.35">
      <c r="A5" s="19" t="s">
        <v>2455</v>
      </c>
      <c r="B5" s="20">
        <v>29606000</v>
      </c>
    </row>
    <row r="6" spans="1:2" x14ac:dyDescent="0.35">
      <c r="A6" s="19" t="s">
        <v>2465</v>
      </c>
      <c r="B6" s="20">
        <v>25966000</v>
      </c>
    </row>
    <row r="7" spans="1:2" x14ac:dyDescent="0.35">
      <c r="A7" s="19" t="s">
        <v>2439</v>
      </c>
      <c r="B7" s="20">
        <v>24765000</v>
      </c>
    </row>
    <row r="8" spans="1:2" x14ac:dyDescent="0.35">
      <c r="A8" s="19" t="s">
        <v>2452</v>
      </c>
      <c r="B8" s="20">
        <v>23652000</v>
      </c>
    </row>
    <row r="9" spans="1:2" x14ac:dyDescent="0.35">
      <c r="A9" s="19" t="s">
        <v>2496</v>
      </c>
      <c r="B9" s="20">
        <v>22052000</v>
      </c>
    </row>
    <row r="10" spans="1:2" x14ac:dyDescent="0.35">
      <c r="A10" s="19" t="s">
        <v>2468</v>
      </c>
      <c r="B10" s="20">
        <v>19441000</v>
      </c>
    </row>
    <row r="11" spans="1:2" x14ac:dyDescent="0.35">
      <c r="A11" s="19" t="s">
        <v>2449</v>
      </c>
      <c r="B11" s="20">
        <v>18786000</v>
      </c>
    </row>
    <row r="12" spans="1:2" x14ac:dyDescent="0.35">
      <c r="A12" s="19" t="s">
        <v>2442</v>
      </c>
      <c r="B12" s="20">
        <v>17237000</v>
      </c>
    </row>
    <row r="13" spans="1:2" x14ac:dyDescent="0.35">
      <c r="A13" s="19" t="s">
        <v>2474</v>
      </c>
      <c r="B13" s="20">
        <v>14022000</v>
      </c>
    </row>
    <row r="14" spans="1:2" x14ac:dyDescent="0.35">
      <c r="A14" s="19" t="s">
        <v>2656</v>
      </c>
      <c r="B14" s="20">
        <v>252540000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orders</vt:lpstr>
      <vt:lpstr>order_items</vt:lpstr>
      <vt:lpstr>products</vt:lpstr>
      <vt:lpstr>customers</vt:lpstr>
      <vt:lpstr>Pivot_Pesanan_per_Bulan</vt:lpstr>
      <vt:lpstr>Pivot_Qty_per_Produk</vt:lpstr>
      <vt:lpstr>Pivot_Revenue_per_Produk</vt:lpstr>
      <vt:lpstr>Pivot_Profit_per_Produk</vt:lpstr>
      <vt:lpstr>Pivot_Pesanan_per_Kota</vt:lpstr>
      <vt:lpstr>Pivot_Revenue_per_Kota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2026-06-21T06:30:51Z</dcterms:created>
  <dcterms:modified xsi:type="dcterms:W3CDTF">2026-06-21T10:48:40Z</dcterms:modified>
</cp:coreProperties>
</file>