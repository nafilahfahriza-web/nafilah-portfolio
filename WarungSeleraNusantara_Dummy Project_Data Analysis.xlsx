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A8AC3E7-BD26-4A4E-95A9-A045B8C87634}" xr6:coauthVersionLast="47" xr6:coauthVersionMax="47" xr10:uidLastSave="{00000000-0000-0000-0000-000000000000}"/>
  <bookViews>
    <workbookView xWindow="-110" yWindow="-110" windowWidth="19420" windowHeight="10300" firstSheet="6" activeTab="7" xr2:uid="{00000000-000D-0000-FFFF-FFFF00000000}"/>
  </bookViews>
  <sheets>
    <sheet name="README" sheetId="1" r:id="rId1"/>
    <sheet name="transaksi" sheetId="2" r:id="rId2"/>
    <sheet name="transaksi_detail" sheetId="3" r:id="rId3"/>
    <sheet name="menu" sheetId="4" r:id="rId4"/>
    <sheet name="cabang" sheetId="5" r:id="rId5"/>
    <sheet name="Pivot_Transaksi_per_Jam" sheetId="6" r:id="rId6"/>
    <sheet name="Pivot_Transaksi_per_Hari" sheetId="8" r:id="rId7"/>
    <sheet name="Pivot_Transaksi_per_Cabang" sheetId="18" r:id="rId8"/>
    <sheet name="Pivot_Qty_per_Menu" sheetId="12" r:id="rId9"/>
    <sheet name="Pivot_Revenue_per_Menu" sheetId="13" r:id="rId10"/>
    <sheet name="Pivot_Profit_per_Menu" sheetId="14" r:id="rId11"/>
  </sheets>
  <definedNames>
    <definedName name="_xlcn.WorksheetConnection_WarungSeleraNusantara_DummyProject_DataAnalysis.xlsxTable11" hidden="1">Table1[]</definedName>
  </definedNames>
  <calcPr calcId="191029"/>
  <pivotCaches>
    <pivotCache cacheId="114" r:id="rId12"/>
    <pivotCache cacheId="117" r:id="rId13"/>
    <pivotCache cacheId="127" r:id="rId14"/>
    <pivotCache cacheId="128" r:id="rId1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WarungSeleraNusantara_Dummy Project_Data Analysi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2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DE7A2A-EC50-4A2A-8A8B-401558AFF9B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D1D5878-D9D9-4881-958A-F4463EFE39B1}" name="WorksheetConnection_WarungSeleraNusantara_Dummy Project_Data Analysis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WarungSeleraNusantara_DummyProject_DataAnalysis.xlsxTable11"/>
        </x15:connection>
      </ext>
    </extLst>
  </connection>
</connections>
</file>

<file path=xl/sharedStrings.xml><?xml version="1.0" encoding="utf-8"?>
<sst xmlns="http://schemas.openxmlformats.org/spreadsheetml/2006/main" count="9939" uniqueCount="3085">
  <si>
    <t>Dataset Dummy: Warung Selera Nusantara (Restoran)</t>
  </si>
  <si>
    <t>Sheet: transaksi -&gt; 1 baris = 1 transaksi/struk (transaction_id unik)</t>
  </si>
  <si>
    <t>Sheet: transaksi_detail -&gt; 1 baris = 1 menu dalam transaksi (1 transaksi bisa banyak menu)</t>
  </si>
  <si>
    <t>Sheet: menu -&gt; master data menu, kategori, harga modal &amp; jual</t>
  </si>
  <si>
    <t>Sheet: cabang -&gt; master data cabang &amp; kota</t>
  </si>
  <si>
    <t>Relasi: transaksi.transaction_id = transaksi_detail.transaction_id</t>
  </si>
  <si>
    <t>Relasi: transaksi_detail.menu_id = menu.menu_id</t>
  </si>
  <si>
    <t>Relasi: transaksi.cabang_id = cabang.cabang_id</t>
  </si>
  <si>
    <t>Catatan: ada data kotor sengaja (tipe_order huruf kapital tidak konsisten,</t>
  </si>
  <si>
    <t>spasi berlebih &amp; 1 nilai kosong di metode_bayar, 1 baris duplikat di transaksi_detail)</t>
  </si>
  <si>
    <t>untuk latihan data cleaning.</t>
  </si>
  <si>
    <t>Periode data: Januari - Desember 2025</t>
  </si>
  <si>
    <t>Total transaksi: 850 | Total cabang: 4 | Total menu: 24</t>
  </si>
  <si>
    <t>Petunjuk: kolom "tanggal" berisi tanggal SEKALIGUS jam (datetime).</t>
  </si>
  <si>
    <t>Untuk analisis "jam ramai", gunakan PivotTable + Group by Hours,</t>
  </si>
  <si>
    <t>atau buat kolom bantu =HOUR(tanggal) di sheet transaksi.</t>
  </si>
  <si>
    <t>transaction_id</t>
  </si>
  <si>
    <t>cabang_id</t>
  </si>
  <si>
    <t>tanggal</t>
  </si>
  <si>
    <t>tipe_order</t>
  </si>
  <si>
    <t>metode_bayar</t>
  </si>
  <si>
    <t>TRX00813</t>
  </si>
  <si>
    <t>CBG01</t>
  </si>
  <si>
    <t>Dine-in</t>
  </si>
  <si>
    <t>QRIS</t>
  </si>
  <si>
    <t>TRX00188</t>
  </si>
  <si>
    <t>TRX00146</t>
  </si>
  <si>
    <t>CBG04</t>
  </si>
  <si>
    <t>Take Away</t>
  </si>
  <si>
    <t>Cash</t>
  </si>
  <si>
    <t>TRX00385</t>
  </si>
  <si>
    <t>CBG03</t>
  </si>
  <si>
    <t>TRX00149</t>
  </si>
  <si>
    <t>E-wallet</t>
  </si>
  <si>
    <t>TRX00649</t>
  </si>
  <si>
    <t>TRX00393</t>
  </si>
  <si>
    <t>TRX00512</t>
  </si>
  <si>
    <t>TRX00243</t>
  </si>
  <si>
    <t>Kartu Debit/Kredit</t>
  </si>
  <si>
    <t>TRX00548</t>
  </si>
  <si>
    <t>TRX00382</t>
  </si>
  <si>
    <t>TRX00727</t>
  </si>
  <si>
    <t>TRX00497</t>
  </si>
  <si>
    <t>CBG02</t>
  </si>
  <si>
    <t>Delivery</t>
  </si>
  <si>
    <t>TRX00038</t>
  </si>
  <si>
    <t>TRX00319</t>
  </si>
  <si>
    <t>TRX00401</t>
  </si>
  <si>
    <t>TRX00139</t>
  </si>
  <si>
    <t>TRX00157</t>
  </si>
  <si>
    <t>TRX00632</t>
  </si>
  <si>
    <t>TRX00667</t>
  </si>
  <si>
    <t>TRX00079</t>
  </si>
  <si>
    <t>TRX00761</t>
  </si>
  <si>
    <t>TRX00517</t>
  </si>
  <si>
    <t>TRX00614</t>
  </si>
  <si>
    <t>TRX00223</t>
  </si>
  <si>
    <t>TRX00373</t>
  </si>
  <si>
    <t>TRX00237</t>
  </si>
  <si>
    <t>TRX00439</t>
  </si>
  <si>
    <t>TRX00386</t>
  </si>
  <si>
    <t>TRX00159</t>
  </si>
  <si>
    <t>TRX00657</t>
  </si>
  <si>
    <t>TRX00696</t>
  </si>
  <si>
    <t>TRX00588</t>
  </si>
  <si>
    <t>TRX00759</t>
  </si>
  <si>
    <t>TRX00556</t>
  </si>
  <si>
    <t>TRX00596</t>
  </si>
  <si>
    <t>TRX00370</t>
  </si>
  <si>
    <t>TRX00682</t>
  </si>
  <si>
    <t>TRX00131</t>
  </si>
  <si>
    <t>TRX00538</t>
  </si>
  <si>
    <t>TRX00304</t>
  </si>
  <si>
    <t>TRX00810</t>
  </si>
  <si>
    <t>TRX00530</t>
  </si>
  <si>
    <t>TRX00807</t>
  </si>
  <si>
    <t>TRX00679</t>
  </si>
  <si>
    <t>TRX00229</t>
  </si>
  <si>
    <t>TRX00572</t>
  </si>
  <si>
    <t>TRX00151</t>
  </si>
  <si>
    <t>TRX00329</t>
  </si>
  <si>
    <t>TRX00305</t>
  </si>
  <si>
    <t>TRX00271</t>
  </si>
  <si>
    <t>TRX00762</t>
  </si>
  <si>
    <t>TRX00007</t>
  </si>
  <si>
    <t>TRX00413</t>
  </si>
  <si>
    <t>TRX00142</t>
  </si>
  <si>
    <t>TRX00533</t>
  </si>
  <si>
    <t>TRX00362</t>
  </si>
  <si>
    <t>TRX00604</t>
  </si>
  <si>
    <t>TRX00427</t>
  </si>
  <si>
    <t>TRX00815</t>
  </si>
  <si>
    <t>TRX00422</t>
  </si>
  <si>
    <t>TRX00368</t>
  </si>
  <si>
    <t>TRX00194</t>
  </si>
  <si>
    <t>TRX00372</t>
  </si>
  <si>
    <t>TRX00161</t>
  </si>
  <si>
    <t>TRX00542</t>
  </si>
  <si>
    <t>TRX00043</t>
  </si>
  <si>
    <t>TRX00431</t>
  </si>
  <si>
    <t>TRX00642</t>
  </si>
  <si>
    <t>TRX00094</t>
  </si>
  <si>
    <t>TRX00618</t>
  </si>
  <si>
    <t>TRX00253</t>
  </si>
  <si>
    <t>TRX00006</t>
  </si>
  <si>
    <t>TRX00046</t>
  </si>
  <si>
    <t>TRX00478</t>
  </si>
  <si>
    <t>TRX00756</t>
  </si>
  <si>
    <t>TRX00565</t>
  </si>
  <si>
    <t>TRX00652</t>
  </si>
  <si>
    <t>TRX00268</t>
  </si>
  <si>
    <t>TRX00598</t>
  </si>
  <si>
    <t>TRX00096</t>
  </si>
  <si>
    <t>TRX00012</t>
  </si>
  <si>
    <t>TRX00269</t>
  </si>
  <si>
    <t>TRX00580</t>
  </si>
  <si>
    <t>TRX00026</t>
  </si>
  <si>
    <t>TRX00163</t>
  </si>
  <si>
    <t>TRX00275</t>
  </si>
  <si>
    <t>TRX00323</t>
  </si>
  <si>
    <t>TRX00768</t>
  </si>
  <si>
    <t>TRX00650</t>
  </si>
  <si>
    <t>TRX00120</t>
  </si>
  <si>
    <t>TRX00754</t>
  </si>
  <si>
    <t>TRX00168</t>
  </si>
  <si>
    <t>TRX00178</t>
  </si>
  <si>
    <t>TRX00021</t>
  </si>
  <si>
    <t>TRX00558</t>
  </si>
  <si>
    <t>TRX00258</t>
  </si>
  <si>
    <t>TRX00200</t>
  </si>
  <si>
    <t>TRX00067</t>
  </si>
  <si>
    <t>TRX00436</t>
  </si>
  <si>
    <t>TRX00367</t>
  </si>
  <si>
    <t>TRX00587</t>
  </si>
  <si>
    <t>TRX00152</t>
  </si>
  <si>
    <t>TRX00553</t>
  </si>
  <si>
    <t>TRX00054</t>
  </si>
  <si>
    <t>TRX00438</t>
  </si>
  <si>
    <t>TRX00262</t>
  </si>
  <si>
    <t>TRX00817</t>
  </si>
  <si>
    <t>TRX00150</t>
  </si>
  <si>
    <t>TAKE AWAY</t>
  </si>
  <si>
    <t>TRX00549</t>
  </si>
  <si>
    <t>TRX00849</t>
  </si>
  <si>
    <t>TRX00058</t>
  </si>
  <si>
    <t>TRX00428</t>
  </si>
  <si>
    <t>TRX00344</t>
  </si>
  <si>
    <t>TRX00791</t>
  </si>
  <si>
    <t>TRX00503</t>
  </si>
  <si>
    <t>TRX00004</t>
  </si>
  <si>
    <t>TRX00738</t>
  </si>
  <si>
    <t>TRX00782</t>
  </si>
  <si>
    <t>TRX00827</t>
  </si>
  <si>
    <t>TRX00001</t>
  </si>
  <si>
    <t>TRX00432</t>
  </si>
  <si>
    <t>TRX00518</t>
  </si>
  <si>
    <t>TRX00285</t>
  </si>
  <si>
    <t>TRX00613</t>
  </si>
  <si>
    <t>TRX00806</t>
  </si>
  <si>
    <t>TRX00733</t>
  </si>
  <si>
    <t>TRX00426</t>
  </si>
  <si>
    <t>TRX00537</t>
  </si>
  <si>
    <t>TRX00297</t>
  </si>
  <si>
    <t>TRX00499</t>
  </si>
  <si>
    <t>TRX00453</t>
  </si>
  <si>
    <t>TRX00656</t>
  </si>
  <si>
    <t>TRX00454</t>
  </si>
  <si>
    <t>TRX00712</t>
  </si>
  <si>
    <t>TRX00298</t>
  </si>
  <si>
    <t>TRX00388</t>
  </si>
  <si>
    <t>TRX00045</t>
  </si>
  <si>
    <t>TRX00364</t>
  </si>
  <si>
    <t>TRX00113</t>
  </si>
  <si>
    <t>TRX00456</t>
  </si>
  <si>
    <t>TRX00468</t>
  </si>
  <si>
    <t>TRX00415</t>
  </si>
  <si>
    <t>TRX00276</t>
  </si>
  <si>
    <t>TRX00796</t>
  </si>
  <si>
    <t>TRX00480</t>
  </si>
  <si>
    <t>TRX00706</t>
  </si>
  <si>
    <t xml:space="preserve">  QRIS  </t>
  </si>
  <si>
    <t>TRX00676</t>
  </si>
  <si>
    <t>TRX00349</t>
  </si>
  <si>
    <t>TRX00716</t>
  </si>
  <si>
    <t>TRX00816</t>
  </si>
  <si>
    <t>TRX00409</t>
  </si>
  <si>
    <t>TRX00231</t>
  </si>
  <si>
    <t>TRX00416</t>
  </si>
  <si>
    <t>TRX00775</t>
  </si>
  <si>
    <t>TRX00562</t>
  </si>
  <si>
    <t>TRX00506</t>
  </si>
  <si>
    <t>TRX00009</t>
  </si>
  <si>
    <t>TRX00018</t>
  </si>
  <si>
    <t>TRX00626</t>
  </si>
  <si>
    <t>TRX00683</t>
  </si>
  <si>
    <t>TRX00052</t>
  </si>
  <si>
    <t>TRX00752</t>
  </si>
  <si>
    <t>TRX00123</t>
  </si>
  <si>
    <t>TRX00259</t>
  </si>
  <si>
    <t>TRX00397</t>
  </si>
  <si>
    <t>TRX00443</t>
  </si>
  <si>
    <t>TRX00823</t>
  </si>
  <si>
    <t>TRX00343</t>
  </si>
  <si>
    <t>TRX00783</t>
  </si>
  <si>
    <t>TRX00483</t>
  </si>
  <si>
    <t>TRX00550</t>
  </si>
  <si>
    <t>TRX00593</t>
  </si>
  <si>
    <t>TRX00181</t>
  </si>
  <si>
    <t>TRX00689</t>
  </si>
  <si>
    <t>TRX00172</t>
  </si>
  <si>
    <t>TRX00654</t>
  </si>
  <si>
    <t>TRX00348</t>
  </si>
  <si>
    <t>TRX00100</t>
  </si>
  <si>
    <t>TRX00828</t>
  </si>
  <si>
    <t>TRX00081</t>
  </si>
  <si>
    <t>TRX00495</t>
  </si>
  <si>
    <t>TRX00389</t>
  </si>
  <si>
    <t>TRX00833</t>
  </si>
  <si>
    <t>TRX00186</t>
  </si>
  <si>
    <t>TRX00252</t>
  </si>
  <si>
    <t>TRX00104</t>
  </si>
  <si>
    <t>TRX00519</t>
  </si>
  <si>
    <t>TRX00617</t>
  </si>
  <si>
    <t>TRX00040</t>
  </si>
  <si>
    <t>TRX00380</t>
  </si>
  <si>
    <t>TRX00076</t>
  </si>
  <si>
    <t>TRX00723</t>
  </si>
  <si>
    <t>TRX00250</t>
  </si>
  <si>
    <t>TRX00485</t>
  </si>
  <si>
    <t>TRX00688</t>
  </si>
  <si>
    <t>TRX00196</t>
  </si>
  <si>
    <t>TRX00620</t>
  </si>
  <si>
    <t>TRX00091</t>
  </si>
  <si>
    <t>TRX00331</t>
  </si>
  <si>
    <t>TRX00037</t>
  </si>
  <si>
    <t>TRX00707</t>
  </si>
  <si>
    <t>DINE-IN</t>
  </si>
  <si>
    <t>TRX00153</t>
  </si>
  <si>
    <t>TRX00781</t>
  </si>
  <si>
    <t>TRX00078</t>
  </si>
  <si>
    <t>TRX00330</t>
  </si>
  <si>
    <t>TRX00612</t>
  </si>
  <si>
    <t>TRX00571</t>
  </si>
  <si>
    <t>TRX00764</t>
  </si>
  <si>
    <t>TRX00703</t>
  </si>
  <si>
    <t>TRX00387</t>
  </si>
  <si>
    <t>TRX00127</t>
  </si>
  <si>
    <t>TRX00209</t>
  </si>
  <si>
    <t>TRX00322</t>
  </si>
  <si>
    <t>TRX00055</t>
  </si>
  <si>
    <t>TRX00842</t>
  </si>
  <si>
    <t>TRX00808</t>
  </si>
  <si>
    <t>TRX00410</t>
  </si>
  <si>
    <t>TRX00630</t>
  </si>
  <si>
    <t>TRX00511</t>
  </si>
  <si>
    <t>TRX00254</t>
  </si>
  <si>
    <t>TRX00826</t>
  </si>
  <si>
    <t>TRX00408</t>
  </si>
  <si>
    <t>TRX00429</t>
  </si>
  <si>
    <t>TRX00075</t>
  </si>
  <si>
    <t>TRX00321</t>
  </si>
  <si>
    <t>TRX00765</t>
  </si>
  <si>
    <t>TRX00392</t>
  </si>
  <si>
    <t>TRX00801</t>
  </si>
  <si>
    <t>TRX00662</t>
  </si>
  <si>
    <t>TRX00114</t>
  </si>
  <si>
    <t>TRX00039</t>
  </si>
  <si>
    <t>TRX00722</t>
  </si>
  <si>
    <t>TRX00433</t>
  </si>
  <si>
    <t>TRX00307</t>
  </si>
  <si>
    <t>TRX00475</t>
  </si>
  <si>
    <t>TRX00552</t>
  </si>
  <si>
    <t>TRX00293</t>
  </si>
  <si>
    <t>TRX00295</t>
  </si>
  <si>
    <t>TRX00697</t>
  </si>
  <si>
    <t>TRX00778</t>
  </si>
  <si>
    <t>TRX00583</t>
  </si>
  <si>
    <t>TRX00212</t>
  </si>
  <si>
    <t>TRX00232</t>
  </si>
  <si>
    <t>TRX00332</t>
  </si>
  <si>
    <t>TRX00246</t>
  </si>
  <si>
    <t>TRX00749</t>
  </si>
  <si>
    <t>TRX00263</t>
  </si>
  <si>
    <t>TRX00108</t>
  </si>
  <si>
    <t>TRX00190</t>
  </si>
  <si>
    <t>TRX00606</t>
  </si>
  <si>
    <t>TRX00324</t>
  </si>
  <si>
    <t>TRX00169</t>
  </si>
  <si>
    <t>TRX00245</t>
  </si>
  <si>
    <t>TRX00148</t>
  </si>
  <si>
    <t>TRX00470</t>
  </si>
  <si>
    <t>TRX00062</t>
  </si>
  <si>
    <t>TRX00097</t>
  </si>
  <si>
    <t>TRX00430</t>
  </si>
  <si>
    <t>TRX00308</t>
  </si>
  <si>
    <t>TRX00377</t>
  </si>
  <si>
    <t>TRX00822</t>
  </si>
  <si>
    <t>TRX00166</t>
  </si>
  <si>
    <t>TRX00013</t>
  </si>
  <si>
    <t>TRX00129</t>
  </si>
  <si>
    <t>TRX00260</t>
  </si>
  <si>
    <t>TRX00742</t>
  </si>
  <si>
    <t>TRX00786</t>
  </si>
  <si>
    <t>TRX00523</t>
  </si>
  <si>
    <t>TRX00180</t>
  </si>
  <si>
    <t>TRX00082</t>
  </si>
  <si>
    <t>TRX00251</t>
  </si>
  <si>
    <t>TRX00591</t>
  </si>
  <si>
    <t>TRX00505</t>
  </si>
  <si>
    <t>TRX00220</t>
  </si>
  <si>
    <t>TRX00469</t>
  </si>
  <si>
    <t>TRX00636</t>
  </si>
  <si>
    <t>TRX00400</t>
  </si>
  <si>
    <t>TRX00122</t>
  </si>
  <si>
    <t>TRX00351</t>
  </si>
  <si>
    <t>TRX00602</t>
  </si>
  <si>
    <t>TRX00226</t>
  </si>
  <si>
    <t>TRX00655</t>
  </si>
  <si>
    <t>TRX00106</t>
  </si>
  <si>
    <t>TRX00248</t>
  </si>
  <si>
    <t>TRX00488</t>
  </si>
  <si>
    <t>TRX00795</t>
  </si>
  <si>
    <t>TRX00300</t>
  </si>
  <si>
    <t>TRX00577</t>
  </si>
  <si>
    <t>TRX00500</t>
  </si>
  <si>
    <t>TRX00452</t>
  </si>
  <si>
    <t>TRX00758</t>
  </si>
  <si>
    <t>TRX00779</t>
  </si>
  <si>
    <t>TRX00214</t>
  </si>
  <si>
    <t>TRX00628</t>
  </si>
  <si>
    <t>TRX00763</t>
  </si>
  <si>
    <t>TRX00784</t>
  </si>
  <si>
    <t>TRX00660</t>
  </si>
  <si>
    <t>TRX00102</t>
  </si>
  <si>
    <t>TRX00234</t>
  </si>
  <si>
    <t>TRX00015</t>
  </si>
  <si>
    <t>TRX00772</t>
  </si>
  <si>
    <t>TRX00621</t>
  </si>
  <si>
    <t>TRX00586</t>
  </si>
  <si>
    <t>TRX00568</t>
  </si>
  <si>
    <t>TRX00221</t>
  </si>
  <si>
    <t>TRX00464</t>
  </si>
  <si>
    <t>TRX00164</t>
  </si>
  <si>
    <t>TRX00767</t>
  </si>
  <si>
    <t>TRX00477</t>
  </si>
  <si>
    <t>TRX00369</t>
  </si>
  <si>
    <t>TRX00555</t>
  </si>
  <si>
    <t>TRX00140</t>
  </si>
  <si>
    <t>TRX00812</t>
  </si>
  <si>
    <t>TRX00205</t>
  </si>
  <si>
    <t>TRX00599</t>
  </si>
  <si>
    <t>TRX00239</t>
  </si>
  <si>
    <t>TRX00206</t>
  </si>
  <si>
    <t>TRX00396</t>
  </si>
  <si>
    <t>TRX00658</t>
  </si>
  <si>
    <t>TRX00292</t>
  </si>
  <si>
    <t>TRX00440</t>
  </si>
  <si>
    <t>TRX00361</t>
  </si>
  <si>
    <t>TRX00284</t>
  </si>
  <si>
    <t>TRX00165</t>
  </si>
  <si>
    <t>TRX00646</t>
  </si>
  <si>
    <t>TRX00449</t>
  </si>
  <si>
    <t>TRX00398</t>
  </si>
  <si>
    <t>TRX00125</t>
  </si>
  <si>
    <t>TRX00143</t>
  </si>
  <si>
    <t>TRX00291</t>
  </si>
  <si>
    <t>TRX00179</t>
  </si>
  <si>
    <t>TRX00381</t>
  </si>
  <si>
    <t>TRX00025</t>
  </si>
  <si>
    <t>TRX00701</t>
  </si>
  <si>
    <t>TRX00690</t>
  </si>
  <si>
    <t>TRX00639</t>
  </si>
  <si>
    <t>TRX00359</t>
  </si>
  <si>
    <t>TRX00818</t>
  </si>
  <si>
    <t>TRX00840</t>
  </si>
  <si>
    <t>TRX00592</t>
  </si>
  <si>
    <t>TRX00491</t>
  </si>
  <si>
    <t>TRX00664</t>
  </si>
  <si>
    <t>TRX00063</t>
  </si>
  <si>
    <t>TRX00715</t>
  </si>
  <si>
    <t>TRX00294</t>
  </si>
  <si>
    <t>TRX00202</t>
  </si>
  <si>
    <t>TRX00032</t>
  </si>
  <si>
    <t>TRX00684</t>
  </si>
  <si>
    <t>TRX00191</t>
  </si>
  <si>
    <t>TRX00008</t>
  </si>
  <si>
    <t>TRX00525</t>
  </si>
  <si>
    <t>TRX00774</t>
  </si>
  <si>
    <t>TRX00083</t>
  </si>
  <si>
    <t>TRX00290</t>
  </si>
  <si>
    <t>TRX00631</t>
  </si>
  <si>
    <t>TRX00247</t>
  </si>
  <si>
    <t>TRX00458</t>
  </si>
  <si>
    <t>TRX00702</t>
  </si>
  <si>
    <t>TRX00399</t>
  </si>
  <si>
    <t>TRX00112</t>
  </si>
  <si>
    <t>TRX00273</t>
  </si>
  <si>
    <t>TRX00504</t>
  </si>
  <si>
    <t>TRX00455</t>
  </si>
  <si>
    <t>TRX00798</t>
  </si>
  <si>
    <t>TRX00529</t>
  </si>
  <si>
    <t>TRX00540</t>
  </si>
  <si>
    <t>TRX00207</t>
  </si>
  <si>
    <t>TRX00492</t>
  </si>
  <si>
    <t>TRX00809</t>
  </si>
  <si>
    <t>TRX00336</t>
  </si>
  <si>
    <t>TRX00747</t>
  </si>
  <si>
    <t>TRX00406</t>
  </si>
  <si>
    <t>TRX00136</t>
  </si>
  <si>
    <t>TRX00027</t>
  </si>
  <si>
    <t>TRX00261</t>
  </si>
  <si>
    <t>TRX00145</t>
  </si>
  <si>
    <t>TRX00739</t>
  </si>
  <si>
    <t>TRX00728</t>
  </si>
  <si>
    <t>TRX00799</t>
  </si>
  <si>
    <t>TRX00022</t>
  </si>
  <si>
    <t>TRX00463</t>
  </si>
  <si>
    <t>TRX00187</t>
  </si>
  <si>
    <t>TRX00541</t>
  </si>
  <si>
    <t>TRX00423</t>
  </si>
  <si>
    <t>TRX00651</t>
  </si>
  <si>
    <t>TRX00672</t>
  </si>
  <si>
    <t>TRX00570</t>
  </si>
  <si>
    <t>TRX00848</t>
  </si>
  <si>
    <t>TRX00700</t>
  </si>
  <si>
    <t>TRX00334</t>
  </si>
  <si>
    <t>TRX00353</t>
  </si>
  <si>
    <t>TRX00446</t>
  </si>
  <si>
    <t>TRX00677</t>
  </si>
  <si>
    <t>TRX00445</t>
  </si>
  <si>
    <t>TRX00402</t>
  </si>
  <si>
    <t>TRX00118</t>
  </si>
  <si>
    <t>TRX00725</t>
  </si>
  <si>
    <t>TRX00528</t>
  </si>
  <si>
    <t>TRX00170</t>
  </si>
  <si>
    <t>TRX00834</t>
  </si>
  <si>
    <t>TRX00622</t>
  </si>
  <si>
    <t>TRX00671</t>
  </si>
  <si>
    <t>TRX00643</t>
  </si>
  <si>
    <t>TRX00420</t>
  </si>
  <si>
    <t>TRX00594</t>
  </si>
  <si>
    <t>TRX00670</t>
  </si>
  <si>
    <t>TRX00615</t>
  </si>
  <si>
    <t>TRX00633</t>
  </si>
  <si>
    <t>TRX00137</t>
  </si>
  <si>
    <t>TRX00019</t>
  </si>
  <si>
    <t>TRX00213</t>
  </si>
  <si>
    <t>TRX00051</t>
  </si>
  <si>
    <t>TRX00704</t>
  </si>
  <si>
    <t>TRX00066</t>
  </si>
  <si>
    <t>TRX00777</t>
  </si>
  <si>
    <t>TRX00731</t>
  </si>
  <si>
    <t>TRX00661</t>
  </si>
  <si>
    <t>TRX00421</t>
  </si>
  <si>
    <t>TRX00708</t>
  </si>
  <si>
    <t>TRX00699</t>
  </si>
  <si>
    <t>TRX00603</t>
  </si>
  <si>
    <t>TRX00718</t>
  </si>
  <si>
    <t>TRX00674</t>
  </si>
  <si>
    <t>TRX00030</t>
  </si>
  <si>
    <t>TRX00374</t>
  </si>
  <si>
    <t>TRX00313</t>
  </si>
  <si>
    <t>TRX00375</t>
  </si>
  <si>
    <t>TRX00730</t>
  </si>
  <si>
    <t>TRX00773</t>
  </si>
  <si>
    <t>TRX00516</t>
  </si>
  <si>
    <t>TRX00242</t>
  </si>
  <si>
    <t>TRX00270</t>
  </si>
  <si>
    <t>TRX00797</t>
  </si>
  <si>
    <t>TRX00414</t>
  </si>
  <si>
    <t>TRX00050</t>
  </si>
  <si>
    <t>TRX00627</t>
  </si>
  <si>
    <t>TRX00314</t>
  </si>
  <si>
    <t>TRX00109</t>
  </si>
  <si>
    <t>TRX00647</t>
  </si>
  <si>
    <t>TRX00521</t>
  </si>
  <si>
    <t>TRX00789</t>
  </si>
  <si>
    <t>TRX00240</t>
  </si>
  <si>
    <t>TRX00473</t>
  </si>
  <si>
    <t>TRX00608</t>
  </si>
  <si>
    <t>TRX00011</t>
  </si>
  <si>
    <t>TRX00365</t>
  </si>
  <si>
    <t>TRX00302</t>
  </si>
  <si>
    <t>TRX00357</t>
  </si>
  <si>
    <t>TRX00648</t>
  </si>
  <si>
    <t>TRX00609</t>
  </si>
  <si>
    <t>TRX00299</t>
  </si>
  <si>
    <t>TRX00360</t>
  </si>
  <si>
    <t>TRX00160</t>
  </si>
  <si>
    <t>TRX00785</t>
  </si>
  <si>
    <t>TRX00569</t>
  </si>
  <si>
    <t>TRX00256</t>
  </si>
  <si>
    <t>TRX00595</t>
  </si>
  <si>
    <t>TRX00576</t>
  </si>
  <si>
    <t>TRX00111</t>
  </si>
  <si>
    <t>TRX00792</t>
  </si>
  <si>
    <t>TRX00776</t>
  </si>
  <si>
    <t>TRX00494</t>
  </si>
  <si>
    <t>TRX00579</t>
  </si>
  <si>
    <t>TRX00457</t>
  </si>
  <si>
    <t>TRX00794</t>
  </si>
  <si>
    <t>TRX00629</t>
  </si>
  <si>
    <t>TRX00467</t>
  </si>
  <si>
    <t>TRX00482</t>
  </si>
  <si>
    <t>TRX00281</t>
  </si>
  <si>
    <t>TRX00044</t>
  </si>
  <si>
    <t>TRX00208</t>
  </si>
  <si>
    <t>TRX00192</t>
  </si>
  <si>
    <t>TRX00074</t>
  </si>
  <si>
    <t>TRX00320</t>
  </si>
  <si>
    <t>TRX00033</t>
  </si>
  <si>
    <t>TRX00189</t>
  </si>
  <si>
    <t>TRX00800</t>
  </si>
  <si>
    <t>TRX00532</t>
  </si>
  <si>
    <t>TRX00734</t>
  </si>
  <si>
    <t>TRX00035</t>
  </si>
  <si>
    <t>TRX00805</t>
  </si>
  <si>
    <t>TRX00061</t>
  </si>
  <si>
    <t>TRX00358</t>
  </si>
  <si>
    <t>TRX00315</t>
  </si>
  <si>
    <t>TRX00116</t>
  </si>
  <si>
    <t>TRX00531</t>
  </si>
  <si>
    <t>TRX00266</t>
  </si>
  <si>
    <t>TRX00459</t>
  </si>
  <si>
    <t>TRX00317</t>
  </si>
  <si>
    <t>TRX00665</t>
  </si>
  <si>
    <t>TRX00543</t>
  </si>
  <si>
    <t>TRX00837</t>
  </si>
  <si>
    <t>TRX00282</t>
  </si>
  <si>
    <t>TRX00466</t>
  </si>
  <si>
    <t>TRX00746</t>
  </si>
  <si>
    <t>TRX00201</t>
  </si>
  <si>
    <t>TRX00216</t>
  </si>
  <si>
    <t>TRX00770</t>
  </si>
  <si>
    <t>TRX00486</t>
  </si>
  <si>
    <t>TRX00803</t>
  </si>
  <si>
    <t>TRX00743</t>
  </si>
  <si>
    <t>TRX00425</t>
  </si>
  <si>
    <t>TRX00204</t>
  </si>
  <si>
    <t>TRX00520</t>
  </si>
  <si>
    <t>TRX00371</t>
  </si>
  <si>
    <t>TRX00287</t>
  </si>
  <si>
    <t>TRX00563</t>
  </si>
  <si>
    <t>TRX00085</t>
  </si>
  <si>
    <t>TRX00507</t>
  </si>
  <si>
    <t>TRX00736</t>
  </si>
  <si>
    <t>TRX00020</t>
  </si>
  <si>
    <t>TRX00316</t>
  </si>
  <si>
    <t>TRX00524</t>
  </si>
  <si>
    <t>TRX00819</t>
  </si>
  <si>
    <t>TRX00493</t>
  </si>
  <si>
    <t>TRX00460</t>
  </si>
  <si>
    <t>TRX00277</t>
  </si>
  <si>
    <t>TRX00003</t>
  </si>
  <si>
    <t>TRX00635</t>
  </si>
  <si>
    <t>TRX00197</t>
  </si>
  <si>
    <t>TRX00561</t>
  </si>
  <si>
    <t>TRX00339</t>
  </si>
  <si>
    <t>TRX00047</t>
  </si>
  <si>
    <t>TRX00610</t>
  </si>
  <si>
    <t>TRX00101</t>
  </si>
  <si>
    <t>TRX00257</t>
  </si>
  <si>
    <t>TRX00065</t>
  </si>
  <si>
    <t>TRX00222</t>
  </si>
  <si>
    <t>TRX00264</t>
  </si>
  <si>
    <t>TRX00286</t>
  </si>
  <si>
    <t>TRX00028</t>
  </si>
  <si>
    <t>TRX00134</t>
  </si>
  <si>
    <t>TRX00017</t>
  </si>
  <si>
    <t>TRX00379</t>
  </si>
  <si>
    <t>TRX00211</t>
  </si>
  <si>
    <t>TRX00363</t>
  </si>
  <si>
    <t>TRX00395</t>
  </si>
  <si>
    <t>TRX00014</t>
  </si>
  <si>
    <t>TRX00474</t>
  </si>
  <si>
    <t>TRX00024</t>
  </si>
  <si>
    <t>TRX00766</t>
  </si>
  <si>
    <t>TRX00354</t>
  </si>
  <si>
    <t>TRX00465</t>
  </si>
  <si>
    <t>TRX00335</t>
  </si>
  <si>
    <t>TRX00110</t>
  </si>
  <si>
    <t>TRX00341</t>
  </si>
  <si>
    <t>TRX00228</t>
  </si>
  <si>
    <t>TRX00318</t>
  </si>
  <si>
    <t>TRX00167</t>
  </si>
  <si>
    <t>TRX00279</t>
  </si>
  <si>
    <t>TRX00267</t>
  </si>
  <si>
    <t>TRX00514</t>
  </si>
  <si>
    <t>TRX00663</t>
  </si>
  <si>
    <t>TRX00394</t>
  </si>
  <si>
    <t>TRX00340</t>
  </si>
  <si>
    <t>TRX00053</t>
  </si>
  <si>
    <t>TRX00105</t>
  </si>
  <si>
    <t>TRX00255</t>
  </si>
  <si>
    <t>TRX00404</t>
  </si>
  <si>
    <t>TRX00487</t>
  </si>
  <si>
    <t>TRX00068</t>
  </si>
  <si>
    <t>TRX00546</t>
  </si>
  <si>
    <t>TRX00342</t>
  </si>
  <si>
    <t>TRX00077</t>
  </si>
  <si>
    <t>TRX00328</t>
  </si>
  <si>
    <t>TRX00508</t>
  </si>
  <si>
    <t>TRX00265</t>
  </si>
  <si>
    <t>TRX00177</t>
  </si>
  <si>
    <t>TRX00472</t>
  </si>
  <si>
    <t>TRX00378</t>
  </si>
  <si>
    <t>TRX00147</t>
  </si>
  <si>
    <t>TRX00710</t>
  </si>
  <si>
    <t>TRX00418</t>
  </si>
  <si>
    <t>TRX00616</t>
  </si>
  <si>
    <t>TRX00645</t>
  </si>
  <si>
    <t>TRX00072</t>
  </si>
  <si>
    <t>TRX00355</t>
  </si>
  <si>
    <t>TRX00283</t>
  </si>
  <si>
    <t>TRX00509</t>
  </si>
  <si>
    <t>TRX00069</t>
  </si>
  <si>
    <t>TRX00624</t>
  </si>
  <si>
    <t>TRX00325</t>
  </si>
  <si>
    <t>TRX00605</t>
  </si>
  <si>
    <t>TRX00173</t>
  </si>
  <si>
    <t>TRX00184</t>
  </si>
  <si>
    <t>TRX00845</t>
  </si>
  <si>
    <t>TRX00560</t>
  </si>
  <si>
    <t>TRX00829</t>
  </si>
  <si>
    <t>TRX00839</t>
  </si>
  <si>
    <t>TRX00847</t>
  </si>
  <si>
    <t>TRX00162</t>
  </si>
  <si>
    <t>TRX00224</t>
  </si>
  <si>
    <t>TRX00623</t>
  </si>
  <si>
    <t>TRX00350</t>
  </si>
  <si>
    <t>TRX00526</t>
  </si>
  <si>
    <t>TRX00644</t>
  </si>
  <si>
    <t>TRX00031</t>
  </si>
  <si>
    <t>TRX00384</t>
  </si>
  <si>
    <t>TRX00653</t>
  </si>
  <si>
    <t>TRX00155</t>
  </si>
  <si>
    <t>TRX00278</t>
  </si>
  <si>
    <t>TRX00210</t>
  </si>
  <si>
    <t>TRX00513</t>
  </si>
  <si>
    <t>TRX00034</t>
  </si>
  <si>
    <t>TRX00574</t>
  </si>
  <si>
    <t>TRX00218</t>
  </si>
  <si>
    <t>TRX00721</t>
  </si>
  <si>
    <t>TRX00088</t>
  </si>
  <si>
    <t>TRX00441</t>
  </si>
  <si>
    <t>TRX00424</t>
  </si>
  <si>
    <t>TRX00132</t>
  </si>
  <si>
    <t>TRX00244</t>
  </si>
  <si>
    <t>TRX00787</t>
  </si>
  <si>
    <t>TRX00002</t>
  </si>
  <si>
    <t>TRX00296</t>
  </si>
  <si>
    <t>TRX00095</t>
  </si>
  <si>
    <t>TRX00821</t>
  </si>
  <si>
    <t>TRX00182</t>
  </si>
  <si>
    <t>TRX00098</t>
  </si>
  <si>
    <t>TRX00753</t>
  </si>
  <si>
    <t>TRX00347</t>
  </si>
  <si>
    <t>TRX00345</t>
  </si>
  <si>
    <t>TRX00156</t>
  </si>
  <si>
    <t>TRX00434</t>
  </si>
  <si>
    <t>TRX00117</t>
  </si>
  <si>
    <t>TRX00133</t>
  </si>
  <si>
    <t>TRX00687</t>
  </si>
  <si>
    <t>TRX00107</t>
  </si>
  <si>
    <t>TRX00175</t>
  </si>
  <si>
    <t>TRX00705</t>
  </si>
  <si>
    <t>TRX00087</t>
  </si>
  <si>
    <t>TRX00059</t>
  </si>
  <si>
    <t>TRX00093</t>
  </si>
  <si>
    <t>TRX00709</t>
  </si>
  <si>
    <t>TRX00641</t>
  </si>
  <si>
    <t>TRX00581</t>
  </si>
  <si>
    <t>TRX00089</t>
  </si>
  <si>
    <t>TRX00741</t>
  </si>
  <si>
    <t>TRX00217</t>
  </si>
  <si>
    <t>TRX00016</t>
  </si>
  <si>
    <t>TRX00522</t>
  </si>
  <si>
    <t>TRX00719</t>
  </si>
  <si>
    <t>TRX00126</t>
  </si>
  <si>
    <t>TRX00481</t>
  </si>
  <si>
    <t>TRX00634</t>
  </si>
  <si>
    <t>TRX00056</t>
  </si>
  <si>
    <t>TRX00225</t>
  </si>
  <si>
    <t>TRX00057</t>
  </si>
  <si>
    <t>TRX00219</t>
  </si>
  <si>
    <t>TRX00060</t>
  </si>
  <si>
    <t>TRX00311</t>
  </si>
  <si>
    <t>TRX00501</t>
  </si>
  <si>
    <t>TRX00575</t>
  </si>
  <si>
    <t>TRX00691</t>
  </si>
  <si>
    <t>TRX00235</t>
  </si>
  <si>
    <t>TRX00309</t>
  </si>
  <si>
    <t>TRX00835</t>
  </si>
  <si>
    <t>TRX00695</t>
  </si>
  <si>
    <t>TRX00144</t>
  </si>
  <si>
    <t>TRX00545</t>
  </si>
  <si>
    <t>TRX00036</t>
  </si>
  <si>
    <t>TRX00176</t>
  </si>
  <si>
    <t>TRX00713</t>
  </si>
  <si>
    <t>TRX00203</t>
  </si>
  <si>
    <t>TRX00750</t>
  </si>
  <si>
    <t>TRX00124</t>
  </si>
  <si>
    <t>TRX00199</t>
  </si>
  <si>
    <t>TRX00619</t>
  </si>
  <si>
    <t>TRX00092</t>
  </si>
  <si>
    <t>TRX00844</t>
  </si>
  <si>
    <t>TRX00625</t>
  </si>
  <si>
    <t>TRX00824</t>
  </si>
  <si>
    <t>TRX00673</t>
  </si>
  <si>
    <t>TRX00846</t>
  </si>
  <si>
    <t>TRX00585</t>
  </si>
  <si>
    <t>TRX00005</t>
  </si>
  <si>
    <t>TRX00744</t>
  </si>
  <si>
    <t>TRX00590</t>
  </si>
  <si>
    <t>TRX00564</t>
  </si>
  <si>
    <t>TRX00793</t>
  </si>
  <si>
    <t>TRX00049</t>
  </si>
  <si>
    <t>TRX00215</t>
  </si>
  <si>
    <t>TRX00843</t>
  </si>
  <si>
    <t>TRX00811</t>
  </si>
  <si>
    <t>TRX00551</t>
  </si>
  <si>
    <t>TRX00573</t>
  </si>
  <si>
    <t>TRX00714</t>
  </si>
  <si>
    <t>TRX00735</t>
  </si>
  <si>
    <t>TRX00751</t>
  </si>
  <si>
    <t>TRX00471</t>
  </si>
  <si>
    <t>TRX00366</t>
  </si>
  <si>
    <t>TRX00447</t>
  </si>
  <si>
    <t>TRX00757</t>
  </si>
  <si>
    <t>TRX00724</t>
  </si>
  <si>
    <t>TRX00376</t>
  </si>
  <si>
    <t>TRX00337</t>
  </si>
  <si>
    <t>TRX00640</t>
  </si>
  <si>
    <t>TRX00760</t>
  </si>
  <si>
    <t>TRX00301</t>
  </si>
  <si>
    <t>TRX00567</t>
  </si>
  <si>
    <t>TRX00698</t>
  </si>
  <si>
    <t>TRX00084</t>
  </si>
  <si>
    <t>TRX00748</t>
  </si>
  <si>
    <t>TRX00582</t>
  </si>
  <si>
    <t>TRX00193</t>
  </si>
  <si>
    <t>TRX00666</t>
  </si>
  <si>
    <t>TRX00383</t>
  </si>
  <si>
    <t>TRX00686</t>
  </si>
  <si>
    <t>TRX00274</t>
  </si>
  <si>
    <t>TRX00023</t>
  </si>
  <si>
    <t>TRX00280</t>
  </si>
  <si>
    <t>TRX00154</t>
  </si>
  <si>
    <t>TRX00788</t>
  </si>
  <si>
    <t>TRX00141</t>
  </si>
  <si>
    <t>TRX00233</t>
  </si>
  <si>
    <t>TRX00048</t>
  </si>
  <si>
    <t>TRX00559</t>
  </si>
  <si>
    <t>TRX00451</t>
  </si>
  <si>
    <t>TRX00669</t>
  </si>
  <si>
    <t>TRX00589</t>
  </si>
  <si>
    <t>TRX00090</t>
  </si>
  <si>
    <t>TRX00726</t>
  </si>
  <si>
    <t>TRX00790</t>
  </si>
  <si>
    <t>TRX00390</t>
  </si>
  <si>
    <t>TRX00638</t>
  </si>
  <si>
    <t>TRX00041</t>
  </si>
  <si>
    <t>TRX00352</t>
  </si>
  <si>
    <t>TRX00070</t>
  </si>
  <si>
    <t>TRX00692</t>
  </si>
  <si>
    <t>TRX00755</t>
  </si>
  <si>
    <t>TRX00476</t>
  </si>
  <si>
    <t>TRX00327</t>
  </si>
  <si>
    <t>TRX00535</t>
  </si>
  <si>
    <t>TRX00356</t>
  </si>
  <si>
    <t>TRX00450</t>
  </si>
  <si>
    <t>TRX00680</t>
  </si>
  <si>
    <t>TRX00407</t>
  </si>
  <si>
    <t>TRX00737</t>
  </si>
  <si>
    <t>TRX00681</t>
  </si>
  <si>
    <t>TRX00547</t>
  </si>
  <si>
    <t>TRX00230</t>
  </si>
  <si>
    <t>TRX00128</t>
  </si>
  <si>
    <t>TRX00437</t>
  </si>
  <si>
    <t>TRX00442</t>
  </si>
  <si>
    <t>TRX00198</t>
  </si>
  <si>
    <t>TRX00496</t>
  </si>
  <si>
    <t>TRX00484</t>
  </si>
  <si>
    <t>TRX00417</t>
  </si>
  <si>
    <t>TRX00412</t>
  </si>
  <si>
    <t>TRX00121</t>
  </si>
  <si>
    <t>TRX00073</t>
  </si>
  <si>
    <t>TRX00745</t>
  </si>
  <si>
    <t>TRX00326</t>
  </si>
  <si>
    <t>TRX00346</t>
  </si>
  <si>
    <t>TRX00659</t>
  </si>
  <si>
    <t>TRX00825</t>
  </si>
  <si>
    <t>TRX00600</t>
  </si>
  <si>
    <t>TRX00462</t>
  </si>
  <si>
    <t>TRX00832</t>
  </si>
  <si>
    <t>TRX00391</t>
  </si>
  <si>
    <t>TRX00419</t>
  </si>
  <si>
    <t>TRX00444</t>
  </si>
  <si>
    <t>TRX00461</t>
  </si>
  <si>
    <t>TRX00720</t>
  </si>
  <si>
    <t>TRX00685</t>
  </si>
  <si>
    <t>TRX00135</t>
  </si>
  <si>
    <t>TRX00080</t>
  </si>
  <si>
    <t>TRX00693</t>
  </si>
  <si>
    <t>TRX00306</t>
  </si>
  <si>
    <t>TRX00557</t>
  </si>
  <si>
    <t>TRX00071</t>
  </si>
  <si>
    <t>TRX00850</t>
  </si>
  <si>
    <t>TRX00607</t>
  </si>
  <si>
    <t>TRX00527</t>
  </si>
  <si>
    <t>TRX00814</t>
  </si>
  <si>
    <t>TRX00498</t>
  </si>
  <si>
    <t>TRX00539</t>
  </si>
  <si>
    <t>TRX00534</t>
  </si>
  <si>
    <t>TRX00338</t>
  </si>
  <si>
    <t>TRX00195</t>
  </si>
  <si>
    <t>TRX00675</t>
  </si>
  <si>
    <t>TRX00086</t>
  </si>
  <si>
    <t>TRX00802</t>
  </si>
  <si>
    <t>TRX00310</t>
  </si>
  <si>
    <t>TRX00249</t>
  </si>
  <si>
    <t>TRX00289</t>
  </si>
  <si>
    <t>TRX00403</t>
  </si>
  <si>
    <t>TRX00780</t>
  </si>
  <si>
    <t>TRX00312</t>
  </si>
  <si>
    <t>TRX00601</t>
  </si>
  <si>
    <t>TRX00029</t>
  </si>
  <si>
    <t>TRX00103</t>
  </si>
  <si>
    <t>TRX00678</t>
  </si>
  <si>
    <t>TRX00130</t>
  </si>
  <si>
    <t>TRX00333</t>
  </si>
  <si>
    <t>TRX00288</t>
  </si>
  <si>
    <t>TRX00238</t>
  </si>
  <si>
    <t>TRX00769</t>
  </si>
  <si>
    <t>TRX00479</t>
  </si>
  <si>
    <t>TRX00174</t>
  </si>
  <si>
    <t>TRX00578</t>
  </si>
  <si>
    <t>TRX00836</t>
  </si>
  <si>
    <t>TRX00115</t>
  </si>
  <si>
    <t>TRX00515</t>
  </si>
  <si>
    <t>TRX00732</t>
  </si>
  <si>
    <t>TRX00611</t>
  </si>
  <si>
    <t>TRX00490</t>
  </si>
  <si>
    <t>TRX00544</t>
  </si>
  <si>
    <t>TRX00536</t>
  </si>
  <si>
    <t>TRX00185</t>
  </si>
  <si>
    <t>TRX00010</t>
  </si>
  <si>
    <t>TRX00227</t>
  </si>
  <si>
    <t>TRX00729</t>
  </si>
  <si>
    <t>TRX00489</t>
  </si>
  <si>
    <t>TRX00119</t>
  </si>
  <si>
    <t>TRX00502</t>
  </si>
  <si>
    <t>TRX00740</t>
  </si>
  <si>
    <t>TRX00042</t>
  </si>
  <si>
    <t>TRX00272</t>
  </si>
  <si>
    <t>TRX00838</t>
  </si>
  <si>
    <t>TRX00158</t>
  </si>
  <si>
    <t>TRX00171</t>
  </si>
  <si>
    <t>TRX00820</t>
  </si>
  <si>
    <t>TRX00064</t>
  </si>
  <si>
    <t>TRX00717</t>
  </si>
  <si>
    <t>TRX00831</t>
  </si>
  <si>
    <t>TRX00668</t>
  </si>
  <si>
    <t>TRX00241</t>
  </si>
  <si>
    <t>TRX00448</t>
  </si>
  <si>
    <t>TRX00099</t>
  </si>
  <si>
    <t>TRX00405</t>
  </si>
  <si>
    <t>TRX00584</t>
  </si>
  <si>
    <t>TRX00435</t>
  </si>
  <si>
    <t>TRX00510</t>
  </si>
  <si>
    <t>TRX00411</t>
  </si>
  <si>
    <t>TRX00804</t>
  </si>
  <si>
    <t>TRX00841</t>
  </si>
  <si>
    <t>TRX00183</t>
  </si>
  <si>
    <t>TRX00566</t>
  </si>
  <si>
    <t>TRX00236</t>
  </si>
  <si>
    <t>TRX00711</t>
  </si>
  <si>
    <t>TRX00597</t>
  </si>
  <si>
    <t>TRX00830</t>
  </si>
  <si>
    <t>TRX00138</t>
  </si>
  <si>
    <t>TRX00303</t>
  </si>
  <si>
    <t>TRX00694</t>
  </si>
  <si>
    <t>TRX00554</t>
  </si>
  <si>
    <t>TRX00637</t>
  </si>
  <si>
    <t>TRX00771</t>
  </si>
  <si>
    <t>detail_id</t>
  </si>
  <si>
    <t>menu_id</t>
  </si>
  <si>
    <t>qty</t>
  </si>
  <si>
    <t>harga_satuan</t>
  </si>
  <si>
    <t>DTL00001</t>
  </si>
  <si>
    <t>MNU016</t>
  </si>
  <si>
    <t>DTL00002</t>
  </si>
  <si>
    <t>MNU024</t>
  </si>
  <si>
    <t>DTL00003</t>
  </si>
  <si>
    <t>MNU019</t>
  </si>
  <si>
    <t>DTL00004</t>
  </si>
  <si>
    <t>MNU009</t>
  </si>
  <si>
    <t>DTL00005</t>
  </si>
  <si>
    <t>MNU003</t>
  </si>
  <si>
    <t>DTL00006</t>
  </si>
  <si>
    <t>MNU014</t>
  </si>
  <si>
    <t>DTL00007</t>
  </si>
  <si>
    <t>MNU018</t>
  </si>
  <si>
    <t>DTL00008</t>
  </si>
  <si>
    <t>MNU010</t>
  </si>
  <si>
    <t>DTL00009</t>
  </si>
  <si>
    <t>MNU007</t>
  </si>
  <si>
    <t>DTL00010</t>
  </si>
  <si>
    <t>MNU017</t>
  </si>
  <si>
    <t>DTL00011</t>
  </si>
  <si>
    <t>DTL00012</t>
  </si>
  <si>
    <t>DTL00013</t>
  </si>
  <si>
    <t>DTL00014</t>
  </si>
  <si>
    <t>DTL00015</t>
  </si>
  <si>
    <t>DTL00016</t>
  </si>
  <si>
    <t>DTL00017</t>
  </si>
  <si>
    <t>MNU015</t>
  </si>
  <si>
    <t>DTL00018</t>
  </si>
  <si>
    <t>DTL00019</t>
  </si>
  <si>
    <t>MNU006</t>
  </si>
  <si>
    <t>DTL00020</t>
  </si>
  <si>
    <t>DTL00021</t>
  </si>
  <si>
    <t>DTL00022</t>
  </si>
  <si>
    <t>DTL00023</t>
  </si>
  <si>
    <t>DTL00024</t>
  </si>
  <si>
    <t>DTL00025</t>
  </si>
  <si>
    <t>DTL00026</t>
  </si>
  <si>
    <t>DTL00027</t>
  </si>
  <si>
    <t>MNU002</t>
  </si>
  <si>
    <t>DTL00028</t>
  </si>
  <si>
    <t>DTL00029</t>
  </si>
  <si>
    <t>MNU023</t>
  </si>
  <si>
    <t>DTL00030</t>
  </si>
  <si>
    <t>DTL00031</t>
  </si>
  <si>
    <t>DTL00032</t>
  </si>
  <si>
    <t>MNU004</t>
  </si>
  <si>
    <t>DTL00033</t>
  </si>
  <si>
    <t>MNU012</t>
  </si>
  <si>
    <t>DTL00034</t>
  </si>
  <si>
    <t>DTL00035</t>
  </si>
  <si>
    <t>MNU021</t>
  </si>
  <si>
    <t>DTL00036</t>
  </si>
  <si>
    <t>MNU022</t>
  </si>
  <si>
    <t>DTL00037</t>
  </si>
  <si>
    <t>MNU005</t>
  </si>
  <si>
    <t>DTL00038</t>
  </si>
  <si>
    <t>DTL00039</t>
  </si>
  <si>
    <t>DTL00040</t>
  </si>
  <si>
    <t>DTL00041</t>
  </si>
  <si>
    <t>DTL00042</t>
  </si>
  <si>
    <t>DTL00043</t>
  </si>
  <si>
    <t>DTL00044</t>
  </si>
  <si>
    <t>DTL00045</t>
  </si>
  <si>
    <t>DTL00046</t>
  </si>
  <si>
    <t>DTL00047</t>
  </si>
  <si>
    <t>MNU020</t>
  </si>
  <si>
    <t>DTL00048</t>
  </si>
  <si>
    <t>DTL00049</t>
  </si>
  <si>
    <t>DTL00050</t>
  </si>
  <si>
    <t>DTL00051</t>
  </si>
  <si>
    <t>DTL00052</t>
  </si>
  <si>
    <t>DTL00053</t>
  </si>
  <si>
    <t>DTL00054</t>
  </si>
  <si>
    <t>DTL00055</t>
  </si>
  <si>
    <t>DTL00056</t>
  </si>
  <si>
    <t>DTL00057</t>
  </si>
  <si>
    <t>DTL00058</t>
  </si>
  <si>
    <t>DTL00059</t>
  </si>
  <si>
    <t>DTL00060</t>
  </si>
  <si>
    <t>DTL00061</t>
  </si>
  <si>
    <t>DTL00062</t>
  </si>
  <si>
    <t>DTL00063</t>
  </si>
  <si>
    <t>DTL00064</t>
  </si>
  <si>
    <t>DTL00065</t>
  </si>
  <si>
    <t>DTL00066</t>
  </si>
  <si>
    <t>DTL00067</t>
  </si>
  <si>
    <t>DTL00068</t>
  </si>
  <si>
    <t>DTL00069</t>
  </si>
  <si>
    <t>DTL00070</t>
  </si>
  <si>
    <t>DTL00071</t>
  </si>
  <si>
    <t>DTL00072</t>
  </si>
  <si>
    <t>DTL00073</t>
  </si>
  <si>
    <t>DTL00074</t>
  </si>
  <si>
    <t>DTL00075</t>
  </si>
  <si>
    <t>DTL00076</t>
  </si>
  <si>
    <t>DTL00077</t>
  </si>
  <si>
    <t>DTL00078</t>
  </si>
  <si>
    <t>DTL00079</t>
  </si>
  <si>
    <t>DTL00080</t>
  </si>
  <si>
    <t>DTL00081</t>
  </si>
  <si>
    <t>DTL00082</t>
  </si>
  <si>
    <t>DTL00083</t>
  </si>
  <si>
    <t>DTL00084</t>
  </si>
  <si>
    <t>DTL00085</t>
  </si>
  <si>
    <t>DTL00086</t>
  </si>
  <si>
    <t>DTL00087</t>
  </si>
  <si>
    <t>DTL00088</t>
  </si>
  <si>
    <t>DTL00089</t>
  </si>
  <si>
    <t>DTL00090</t>
  </si>
  <si>
    <t>DTL00091</t>
  </si>
  <si>
    <t>DTL00092</t>
  </si>
  <si>
    <t>DTL00093</t>
  </si>
  <si>
    <t>DTL00094</t>
  </si>
  <si>
    <t>MNU011</t>
  </si>
  <si>
    <t>DTL00095</t>
  </si>
  <si>
    <t>DTL00096</t>
  </si>
  <si>
    <t>DTL00097</t>
  </si>
  <si>
    <t>DTL00098</t>
  </si>
  <si>
    <t>DTL00099</t>
  </si>
  <si>
    <t>DTL00100</t>
  </si>
  <si>
    <t>DTL00101</t>
  </si>
  <si>
    <t>DTL00102</t>
  </si>
  <si>
    <t>DTL00103</t>
  </si>
  <si>
    <t>DTL00104</t>
  </si>
  <si>
    <t>DTL00105</t>
  </si>
  <si>
    <t>DTL00106</t>
  </si>
  <si>
    <t>DTL00107</t>
  </si>
  <si>
    <t>DTL00108</t>
  </si>
  <si>
    <t>DTL00109</t>
  </si>
  <si>
    <t>MNU008</t>
  </si>
  <si>
    <t>DTL00110</t>
  </si>
  <si>
    <t>DTL00111</t>
  </si>
  <si>
    <t>DTL00112</t>
  </si>
  <si>
    <t>DTL00113</t>
  </si>
  <si>
    <t>DTL00114</t>
  </si>
  <si>
    <t>DTL00115</t>
  </si>
  <si>
    <t>DTL00116</t>
  </si>
  <si>
    <t>DTL00117</t>
  </si>
  <si>
    <t>DTL00118</t>
  </si>
  <si>
    <t>DTL00119</t>
  </si>
  <si>
    <t>DTL00120</t>
  </si>
  <si>
    <t>DTL00121</t>
  </si>
  <si>
    <t>DTL00122</t>
  </si>
  <si>
    <t>DTL00123</t>
  </si>
  <si>
    <t>DTL00124</t>
  </si>
  <si>
    <t>DTL00125</t>
  </si>
  <si>
    <t>DTL00126</t>
  </si>
  <si>
    <t>DTL00127</t>
  </si>
  <si>
    <t>DTL00128</t>
  </si>
  <si>
    <t>DTL00129</t>
  </si>
  <si>
    <t>DTL00130</t>
  </si>
  <si>
    <t>DTL00131</t>
  </si>
  <si>
    <t>DTL00132</t>
  </si>
  <si>
    <t>DTL00133</t>
  </si>
  <si>
    <t>DTL00134</t>
  </si>
  <si>
    <t>DTL00135</t>
  </si>
  <si>
    <t>DTL00136</t>
  </si>
  <si>
    <t>DTL00137</t>
  </si>
  <si>
    <t>DTL00138</t>
  </si>
  <si>
    <t>DTL00139</t>
  </si>
  <si>
    <t>DTL00140</t>
  </si>
  <si>
    <t>DTL00141</t>
  </si>
  <si>
    <t>DTL00142</t>
  </si>
  <si>
    <t>DTL00143</t>
  </si>
  <si>
    <t>DTL00144</t>
  </si>
  <si>
    <t>DTL00145</t>
  </si>
  <si>
    <t>DTL00146</t>
  </si>
  <si>
    <t>DTL00147</t>
  </si>
  <si>
    <t>DTL00148</t>
  </si>
  <si>
    <t>MNU013</t>
  </si>
  <si>
    <t>DTL00149</t>
  </si>
  <si>
    <t>DTL00150</t>
  </si>
  <si>
    <t>DTL00151</t>
  </si>
  <si>
    <t>DTL00152</t>
  </si>
  <si>
    <t>DTL00153</t>
  </si>
  <si>
    <t>DTL00154</t>
  </si>
  <si>
    <t>DTL00155</t>
  </si>
  <si>
    <t>DTL00156</t>
  </si>
  <si>
    <t>DTL00157</t>
  </si>
  <si>
    <t>DTL00158</t>
  </si>
  <si>
    <t>DTL00159</t>
  </si>
  <si>
    <t>DTL00160</t>
  </si>
  <si>
    <t>DTL00161</t>
  </si>
  <si>
    <t>DTL00162</t>
  </si>
  <si>
    <t>DTL00163</t>
  </si>
  <si>
    <t>DTL00164</t>
  </si>
  <si>
    <t>DTL00165</t>
  </si>
  <si>
    <t>DTL00166</t>
  </si>
  <si>
    <t>DTL00167</t>
  </si>
  <si>
    <t>DTL00168</t>
  </si>
  <si>
    <t>DTL00169</t>
  </si>
  <si>
    <t>DTL00170</t>
  </si>
  <si>
    <t>DTL00171</t>
  </si>
  <si>
    <t>DTL00172</t>
  </si>
  <si>
    <t>DTL00173</t>
  </si>
  <si>
    <t>DTL00174</t>
  </si>
  <si>
    <t>DTL00175</t>
  </si>
  <si>
    <t>DTL00176</t>
  </si>
  <si>
    <t>DTL00177</t>
  </si>
  <si>
    <t>DTL00178</t>
  </si>
  <si>
    <t>DTL00179</t>
  </si>
  <si>
    <t>DTL00180</t>
  </si>
  <si>
    <t>DTL00181</t>
  </si>
  <si>
    <t>DTL00182</t>
  </si>
  <si>
    <t>DTL00183</t>
  </si>
  <si>
    <t>DTL00184</t>
  </si>
  <si>
    <t>DTL00185</t>
  </si>
  <si>
    <t>DTL00186</t>
  </si>
  <si>
    <t>DTL00187</t>
  </si>
  <si>
    <t>DTL00188</t>
  </si>
  <si>
    <t>DTL00189</t>
  </si>
  <si>
    <t>DTL00190</t>
  </si>
  <si>
    <t>DTL00191</t>
  </si>
  <si>
    <t>DTL00192</t>
  </si>
  <si>
    <t>DTL00193</t>
  </si>
  <si>
    <t>DTL00194</t>
  </si>
  <si>
    <t>DTL00195</t>
  </si>
  <si>
    <t>DTL00196</t>
  </si>
  <si>
    <t>DTL00197</t>
  </si>
  <si>
    <t>DTL00198</t>
  </si>
  <si>
    <t>DTL00199</t>
  </si>
  <si>
    <t>DTL00200</t>
  </si>
  <si>
    <t>DTL00201</t>
  </si>
  <si>
    <t>DTL00202</t>
  </si>
  <si>
    <t>DTL00203</t>
  </si>
  <si>
    <t>DTL00204</t>
  </si>
  <si>
    <t>DTL00205</t>
  </si>
  <si>
    <t>DTL00206</t>
  </si>
  <si>
    <t>DTL00207</t>
  </si>
  <si>
    <t>DTL00208</t>
  </si>
  <si>
    <t>DTL00209</t>
  </si>
  <si>
    <t>DTL00210</t>
  </si>
  <si>
    <t>DTL00211</t>
  </si>
  <si>
    <t>DTL00212</t>
  </si>
  <si>
    <t>DTL00213</t>
  </si>
  <si>
    <t>DTL00214</t>
  </si>
  <si>
    <t>DTL00215</t>
  </si>
  <si>
    <t>DTL00216</t>
  </si>
  <si>
    <t>DTL00217</t>
  </si>
  <si>
    <t>DTL00218</t>
  </si>
  <si>
    <t>DTL00219</t>
  </si>
  <si>
    <t>DTL00220</t>
  </si>
  <si>
    <t>DTL00221</t>
  </si>
  <si>
    <t>DTL00222</t>
  </si>
  <si>
    <t>DTL00223</t>
  </si>
  <si>
    <t>DTL00224</t>
  </si>
  <si>
    <t>DTL00225</t>
  </si>
  <si>
    <t>DTL00226</t>
  </si>
  <si>
    <t>DTL00227</t>
  </si>
  <si>
    <t>DTL00228</t>
  </si>
  <si>
    <t>DTL00229</t>
  </si>
  <si>
    <t>DTL00230</t>
  </si>
  <si>
    <t>DTL00231</t>
  </si>
  <si>
    <t>DTL00232</t>
  </si>
  <si>
    <t>DTL00233</t>
  </si>
  <si>
    <t>DTL00234</t>
  </si>
  <si>
    <t>DTL00235</t>
  </si>
  <si>
    <t>DTL00236</t>
  </si>
  <si>
    <t>DTL00237</t>
  </si>
  <si>
    <t>DTL00238</t>
  </si>
  <si>
    <t>DTL00239</t>
  </si>
  <si>
    <t>DTL00240</t>
  </si>
  <si>
    <t>DTL00241</t>
  </si>
  <si>
    <t>DTL00242</t>
  </si>
  <si>
    <t>DTL00243</t>
  </si>
  <si>
    <t>DTL00244</t>
  </si>
  <si>
    <t>DTL00245</t>
  </si>
  <si>
    <t>DTL00246</t>
  </si>
  <si>
    <t>DTL00247</t>
  </si>
  <si>
    <t>DTL00248</t>
  </si>
  <si>
    <t>DTL00249</t>
  </si>
  <si>
    <t>DTL00250</t>
  </si>
  <si>
    <t>DTL00251</t>
  </si>
  <si>
    <t>DTL00252</t>
  </si>
  <si>
    <t>DTL00253</t>
  </si>
  <si>
    <t>DTL00254</t>
  </si>
  <si>
    <t>DTL00255</t>
  </si>
  <si>
    <t>DTL00256</t>
  </si>
  <si>
    <t>DTL00257</t>
  </si>
  <si>
    <t>DTL00258</t>
  </si>
  <si>
    <t>DTL00259</t>
  </si>
  <si>
    <t>DTL00260</t>
  </si>
  <si>
    <t>DTL00261</t>
  </si>
  <si>
    <t>DTL00262</t>
  </si>
  <si>
    <t>DTL00263</t>
  </si>
  <si>
    <t>DTL00264</t>
  </si>
  <si>
    <t>DTL00265</t>
  </si>
  <si>
    <t>DTL00266</t>
  </si>
  <si>
    <t>DTL00267</t>
  </si>
  <si>
    <t>DTL00268</t>
  </si>
  <si>
    <t>DTL00269</t>
  </si>
  <si>
    <t>DTL00270</t>
  </si>
  <si>
    <t>DTL00271</t>
  </si>
  <si>
    <t>DTL00272</t>
  </si>
  <si>
    <t>DTL00273</t>
  </si>
  <si>
    <t>DTL00274</t>
  </si>
  <si>
    <t>DTL00275</t>
  </si>
  <si>
    <t>DTL00276</t>
  </si>
  <si>
    <t>DTL00277</t>
  </si>
  <si>
    <t>DTL00278</t>
  </si>
  <si>
    <t>DTL00279</t>
  </si>
  <si>
    <t>DTL00280</t>
  </si>
  <si>
    <t>DTL00281</t>
  </si>
  <si>
    <t>DTL00282</t>
  </si>
  <si>
    <t>DTL00283</t>
  </si>
  <si>
    <t>DTL00284</t>
  </si>
  <si>
    <t>DTL00285</t>
  </si>
  <si>
    <t>DTL00286</t>
  </si>
  <si>
    <t>DTL00287</t>
  </si>
  <si>
    <t>DTL00288</t>
  </si>
  <si>
    <t>DTL00289</t>
  </si>
  <si>
    <t>DTL00290</t>
  </si>
  <si>
    <t>DTL00291</t>
  </si>
  <si>
    <t>DTL00292</t>
  </si>
  <si>
    <t>DTL00293</t>
  </si>
  <si>
    <t>DTL00294</t>
  </si>
  <si>
    <t>DTL00295</t>
  </si>
  <si>
    <t>DTL00296</t>
  </si>
  <si>
    <t>DTL00297</t>
  </si>
  <si>
    <t>DTL00298</t>
  </si>
  <si>
    <t>DTL00299</t>
  </si>
  <si>
    <t>DTL00300</t>
  </si>
  <si>
    <t>DTL00301</t>
  </si>
  <si>
    <t>DTL00302</t>
  </si>
  <si>
    <t>DTL00303</t>
  </si>
  <si>
    <t>DTL00304</t>
  </si>
  <si>
    <t>DTL00305</t>
  </si>
  <si>
    <t>DTL00306</t>
  </si>
  <si>
    <t>DTL00307</t>
  </si>
  <si>
    <t>DTL00308</t>
  </si>
  <si>
    <t>DTL00309</t>
  </si>
  <si>
    <t>DTL00310</t>
  </si>
  <si>
    <t>DTL00311</t>
  </si>
  <si>
    <t>DTL00312</t>
  </si>
  <si>
    <t>DTL00313</t>
  </si>
  <si>
    <t>DTL00314</t>
  </si>
  <si>
    <t>DTL00315</t>
  </si>
  <si>
    <t>DTL00316</t>
  </si>
  <si>
    <t>DTL00317</t>
  </si>
  <si>
    <t>DTL00318</t>
  </si>
  <si>
    <t>DTL00319</t>
  </si>
  <si>
    <t>DTL00320</t>
  </si>
  <si>
    <t>DTL00321</t>
  </si>
  <si>
    <t>DTL00322</t>
  </si>
  <si>
    <t>DTL00323</t>
  </si>
  <si>
    <t>DTL00324</t>
  </si>
  <si>
    <t>DTL00325</t>
  </si>
  <si>
    <t>DTL00326</t>
  </si>
  <si>
    <t>DTL00327</t>
  </si>
  <si>
    <t>DTL00328</t>
  </si>
  <si>
    <t>DTL00329</t>
  </si>
  <si>
    <t>DTL00330</t>
  </si>
  <si>
    <t>DTL00331</t>
  </si>
  <si>
    <t>DTL00332</t>
  </si>
  <si>
    <t>DTL00333</t>
  </si>
  <si>
    <t>DTL00334</t>
  </si>
  <si>
    <t>DTL00335</t>
  </si>
  <si>
    <t>DTL00336</t>
  </si>
  <si>
    <t>DTL00337</t>
  </si>
  <si>
    <t>DTL00338</t>
  </si>
  <si>
    <t>DTL00339</t>
  </si>
  <si>
    <t>DTL00340</t>
  </si>
  <si>
    <t>DTL00341</t>
  </si>
  <si>
    <t>DTL00342</t>
  </si>
  <si>
    <t>DTL00343</t>
  </si>
  <si>
    <t>DTL00344</t>
  </si>
  <si>
    <t>DTL00345</t>
  </si>
  <si>
    <t>DTL00346</t>
  </si>
  <si>
    <t>DTL00347</t>
  </si>
  <si>
    <t>DTL00348</t>
  </si>
  <si>
    <t>DTL00349</t>
  </si>
  <si>
    <t>DTL00350</t>
  </si>
  <si>
    <t>DTL00351</t>
  </si>
  <si>
    <t>DTL00352</t>
  </si>
  <si>
    <t>DTL00353</t>
  </si>
  <si>
    <t>DTL00354</t>
  </si>
  <si>
    <t>DTL00355</t>
  </si>
  <si>
    <t>DTL00356</t>
  </si>
  <si>
    <t>DTL00357</t>
  </si>
  <si>
    <t>DTL00358</t>
  </si>
  <si>
    <t>DTL00359</t>
  </si>
  <si>
    <t>DTL00360</t>
  </si>
  <si>
    <t>DTL00361</t>
  </si>
  <si>
    <t>DTL00362</t>
  </si>
  <si>
    <t>DTL00363</t>
  </si>
  <si>
    <t>DTL00364</t>
  </si>
  <si>
    <t>DTL00365</t>
  </si>
  <si>
    <t>DTL00366</t>
  </si>
  <si>
    <t>DTL00367</t>
  </si>
  <si>
    <t>DTL00368</t>
  </si>
  <si>
    <t>DTL00369</t>
  </si>
  <si>
    <t>DTL00370</t>
  </si>
  <si>
    <t>DTL00371</t>
  </si>
  <si>
    <t>DTL00372</t>
  </si>
  <si>
    <t>DTL00373</t>
  </si>
  <si>
    <t>DTL00374</t>
  </si>
  <si>
    <t>DTL00375</t>
  </si>
  <si>
    <t>DTL00376</t>
  </si>
  <si>
    <t>DTL00377</t>
  </si>
  <si>
    <t>DTL00378</t>
  </si>
  <si>
    <t>DTL00379</t>
  </si>
  <si>
    <t>DTL00380</t>
  </si>
  <si>
    <t>DTL00381</t>
  </si>
  <si>
    <t>DTL00382</t>
  </si>
  <si>
    <t>DTL00383</t>
  </si>
  <si>
    <t>DTL00384</t>
  </si>
  <si>
    <t>DTL00385</t>
  </si>
  <si>
    <t>DTL00386</t>
  </si>
  <si>
    <t>DTL00387</t>
  </si>
  <si>
    <t>DTL00388</t>
  </si>
  <si>
    <t>DTL00389</t>
  </si>
  <si>
    <t>DTL00390</t>
  </si>
  <si>
    <t>DTL00391</t>
  </si>
  <si>
    <t>DTL00392</t>
  </si>
  <si>
    <t>DTL00393</t>
  </si>
  <si>
    <t>DTL00394</t>
  </si>
  <si>
    <t>DTL00395</t>
  </si>
  <si>
    <t>DTL00396</t>
  </si>
  <si>
    <t>DTL00397</t>
  </si>
  <si>
    <t>DTL00398</t>
  </si>
  <si>
    <t>DTL00399</t>
  </si>
  <si>
    <t>DTL00400</t>
  </si>
  <si>
    <t>DTL00401</t>
  </si>
  <si>
    <t>DTL00402</t>
  </si>
  <si>
    <t>DTL00403</t>
  </si>
  <si>
    <t>DTL00404</t>
  </si>
  <si>
    <t>DTL00405</t>
  </si>
  <si>
    <t>DTL00406</t>
  </si>
  <si>
    <t>DTL00407</t>
  </si>
  <si>
    <t>DTL00408</t>
  </si>
  <si>
    <t>DTL00409</t>
  </si>
  <si>
    <t>DTL00410</t>
  </si>
  <si>
    <t>DTL00411</t>
  </si>
  <si>
    <t>DTL00412</t>
  </si>
  <si>
    <t>DTL00413</t>
  </si>
  <si>
    <t>DTL00414</t>
  </si>
  <si>
    <t>DTL00415</t>
  </si>
  <si>
    <t>DTL00416</t>
  </si>
  <si>
    <t>DTL00417</t>
  </si>
  <si>
    <t>DTL00418</t>
  </si>
  <si>
    <t>DTL00419</t>
  </si>
  <si>
    <t>DTL00420</t>
  </si>
  <si>
    <t>DTL00421</t>
  </si>
  <si>
    <t>DTL00422</t>
  </si>
  <si>
    <t>DTL00423</t>
  </si>
  <si>
    <t>DTL00424</t>
  </si>
  <si>
    <t>DTL00425</t>
  </si>
  <si>
    <t>DTL00426</t>
  </si>
  <si>
    <t>DTL00427</t>
  </si>
  <si>
    <t>DTL00428</t>
  </si>
  <si>
    <t>DTL00429</t>
  </si>
  <si>
    <t>DTL00430</t>
  </si>
  <si>
    <t>DTL00431</t>
  </si>
  <si>
    <t>DTL00432</t>
  </si>
  <si>
    <t>DTL00433</t>
  </si>
  <si>
    <t>DTL00434</t>
  </si>
  <si>
    <t>DTL00435</t>
  </si>
  <si>
    <t>DTL00436</t>
  </si>
  <si>
    <t>DTL00437</t>
  </si>
  <si>
    <t>DTL00438</t>
  </si>
  <si>
    <t>DTL00439</t>
  </si>
  <si>
    <t>DTL00440</t>
  </si>
  <si>
    <t>DTL00441</t>
  </si>
  <si>
    <t>DTL00442</t>
  </si>
  <si>
    <t>DTL00443</t>
  </si>
  <si>
    <t>DTL00444</t>
  </si>
  <si>
    <t>DTL00445</t>
  </si>
  <si>
    <t>DTL00446</t>
  </si>
  <si>
    <t>DTL00447</t>
  </si>
  <si>
    <t>DTL00448</t>
  </si>
  <si>
    <t>DTL00449</t>
  </si>
  <si>
    <t>DTL00450</t>
  </si>
  <si>
    <t>DTL00451</t>
  </si>
  <si>
    <t>DTL00452</t>
  </si>
  <si>
    <t>DTL00453</t>
  </si>
  <si>
    <t>DTL00454</t>
  </si>
  <si>
    <t>DTL00455</t>
  </si>
  <si>
    <t>DTL00456</t>
  </si>
  <si>
    <t>DTL00457</t>
  </si>
  <si>
    <t>DTL00458</t>
  </si>
  <si>
    <t>DTL00459</t>
  </si>
  <si>
    <t>DTL00460</t>
  </si>
  <si>
    <t>DTL00461</t>
  </si>
  <si>
    <t>DTL00462</t>
  </si>
  <si>
    <t>DTL00463</t>
  </si>
  <si>
    <t>DTL00464</t>
  </si>
  <si>
    <t>DTL00465</t>
  </si>
  <si>
    <t>DTL00466</t>
  </si>
  <si>
    <t>DTL00467</t>
  </si>
  <si>
    <t>DTL00468</t>
  </si>
  <si>
    <t>DTL00469</t>
  </si>
  <si>
    <t>DTL00470</t>
  </si>
  <si>
    <t>DTL00471</t>
  </si>
  <si>
    <t>DTL00472</t>
  </si>
  <si>
    <t>DTL00473</t>
  </si>
  <si>
    <t>DTL00474</t>
  </si>
  <si>
    <t>DTL00475</t>
  </si>
  <si>
    <t>DTL00476</t>
  </si>
  <si>
    <t>DTL00477</t>
  </si>
  <si>
    <t>DTL00478</t>
  </si>
  <si>
    <t>DTL00479</t>
  </si>
  <si>
    <t>DTL00480</t>
  </si>
  <si>
    <t>DTL00481</t>
  </si>
  <si>
    <t>DTL00482</t>
  </si>
  <si>
    <t>DTL00483</t>
  </si>
  <si>
    <t>DTL00484</t>
  </si>
  <si>
    <t>DTL00485</t>
  </si>
  <si>
    <t>DTL00486</t>
  </si>
  <si>
    <t>DTL00487</t>
  </si>
  <si>
    <t>DTL00488</t>
  </si>
  <si>
    <t>DTL00489</t>
  </si>
  <si>
    <t>DTL00490</t>
  </si>
  <si>
    <t>DTL00491</t>
  </si>
  <si>
    <t>DTL00492</t>
  </si>
  <si>
    <t>DTL00493</t>
  </si>
  <si>
    <t>DTL00494</t>
  </si>
  <si>
    <t>DTL00495</t>
  </si>
  <si>
    <t>DTL00496</t>
  </si>
  <si>
    <t>DTL00497</t>
  </si>
  <si>
    <t>DTL00498</t>
  </si>
  <si>
    <t>DTL00499</t>
  </si>
  <si>
    <t>DTL00500</t>
  </si>
  <si>
    <t>DTL00501</t>
  </si>
  <si>
    <t>DTL00502</t>
  </si>
  <si>
    <t>DTL00503</t>
  </si>
  <si>
    <t>DTL00504</t>
  </si>
  <si>
    <t>DTL00505</t>
  </si>
  <si>
    <t>DTL00506</t>
  </si>
  <si>
    <t>DTL00507</t>
  </si>
  <si>
    <t>DTL00508</t>
  </si>
  <si>
    <t>DTL00509</t>
  </si>
  <si>
    <t>DTL00510</t>
  </si>
  <si>
    <t>DTL00511</t>
  </si>
  <si>
    <t>DTL00512</t>
  </si>
  <si>
    <t>DTL00513</t>
  </si>
  <si>
    <t>DTL00514</t>
  </si>
  <si>
    <t>DTL00515</t>
  </si>
  <si>
    <t>DTL00516</t>
  </si>
  <si>
    <t>DTL00517</t>
  </si>
  <si>
    <t>DTL00518</t>
  </si>
  <si>
    <t>DTL00519</t>
  </si>
  <si>
    <t>DTL00520</t>
  </si>
  <si>
    <t>DTL00521</t>
  </si>
  <si>
    <t>DTL00522</t>
  </si>
  <si>
    <t>DTL00523</t>
  </si>
  <si>
    <t>DTL00524</t>
  </si>
  <si>
    <t>DTL00525</t>
  </si>
  <si>
    <t>DTL00526</t>
  </si>
  <si>
    <t>DTL00527</t>
  </si>
  <si>
    <t>DTL00528</t>
  </si>
  <si>
    <t>DTL00529</t>
  </si>
  <si>
    <t>DTL00530</t>
  </si>
  <si>
    <t>DTL00531</t>
  </si>
  <si>
    <t>DTL00532</t>
  </si>
  <si>
    <t>DTL00533</t>
  </si>
  <si>
    <t>DTL00534</t>
  </si>
  <si>
    <t>DTL00535</t>
  </si>
  <si>
    <t>DTL00536</t>
  </si>
  <si>
    <t>DTL00537</t>
  </si>
  <si>
    <t>DTL00538</t>
  </si>
  <si>
    <t>DTL00539</t>
  </si>
  <si>
    <t>DTL00540</t>
  </si>
  <si>
    <t>DTL00541</t>
  </si>
  <si>
    <t>DTL00542</t>
  </si>
  <si>
    <t>DTL00543</t>
  </si>
  <si>
    <t>DTL00544</t>
  </si>
  <si>
    <t>DTL00545</t>
  </si>
  <si>
    <t>DTL00546</t>
  </si>
  <si>
    <t>DTL00547</t>
  </si>
  <si>
    <t>DTL00548</t>
  </si>
  <si>
    <t>DTL00549</t>
  </si>
  <si>
    <t>DTL00550</t>
  </si>
  <si>
    <t>DTL00551</t>
  </si>
  <si>
    <t>DTL00552</t>
  </si>
  <si>
    <t>DTL00553</t>
  </si>
  <si>
    <t>DTL00554</t>
  </si>
  <si>
    <t>DTL00555</t>
  </si>
  <si>
    <t>DTL00556</t>
  </si>
  <si>
    <t>DTL00557</t>
  </si>
  <si>
    <t>DTL00558</t>
  </si>
  <si>
    <t>DTL00559</t>
  </si>
  <si>
    <t>DTL00560</t>
  </si>
  <si>
    <t>DTL00561</t>
  </si>
  <si>
    <t>DTL00562</t>
  </si>
  <si>
    <t>DTL00563</t>
  </si>
  <si>
    <t>DTL00564</t>
  </si>
  <si>
    <t>DTL00565</t>
  </si>
  <si>
    <t>DTL00566</t>
  </si>
  <si>
    <t>DTL00567</t>
  </si>
  <si>
    <t>DTL00568</t>
  </si>
  <si>
    <t>DTL00569</t>
  </si>
  <si>
    <t>DTL00570</t>
  </si>
  <si>
    <t>DTL00571</t>
  </si>
  <si>
    <t>DTL00572</t>
  </si>
  <si>
    <t>DTL00573</t>
  </si>
  <si>
    <t>DTL00574</t>
  </si>
  <si>
    <t>DTL00575</t>
  </si>
  <si>
    <t>DTL00576</t>
  </si>
  <si>
    <t>DTL00577</t>
  </si>
  <si>
    <t>DTL00578</t>
  </si>
  <si>
    <t>DTL00579</t>
  </si>
  <si>
    <t>DTL00580</t>
  </si>
  <si>
    <t>DTL00581</t>
  </si>
  <si>
    <t>DTL00582</t>
  </si>
  <si>
    <t>DTL00583</t>
  </si>
  <si>
    <t>DTL00584</t>
  </si>
  <si>
    <t>DTL00585</t>
  </si>
  <si>
    <t>DTL00586</t>
  </si>
  <si>
    <t>DTL00587</t>
  </si>
  <si>
    <t>DTL00588</t>
  </si>
  <si>
    <t>DTL00589</t>
  </si>
  <si>
    <t>DTL00590</t>
  </si>
  <si>
    <t>DTL00591</t>
  </si>
  <si>
    <t>DTL00592</t>
  </si>
  <si>
    <t>DTL00593</t>
  </si>
  <si>
    <t>DTL00594</t>
  </si>
  <si>
    <t>DTL00595</t>
  </si>
  <si>
    <t>DTL00596</t>
  </si>
  <si>
    <t>DTL00597</t>
  </si>
  <si>
    <t>DTL00598</t>
  </si>
  <si>
    <t>DTL00599</t>
  </si>
  <si>
    <t>DTL00600</t>
  </si>
  <si>
    <t>DTL00601</t>
  </si>
  <si>
    <t>DTL00602</t>
  </si>
  <si>
    <t>DTL00603</t>
  </si>
  <si>
    <t>DTL00604</t>
  </si>
  <si>
    <t>DTL00605</t>
  </si>
  <si>
    <t>DTL00606</t>
  </si>
  <si>
    <t>DTL00607</t>
  </si>
  <si>
    <t>DTL00608</t>
  </si>
  <si>
    <t>DTL00609</t>
  </si>
  <si>
    <t>DTL00610</t>
  </si>
  <si>
    <t>DTL00611</t>
  </si>
  <si>
    <t>DTL00612</t>
  </si>
  <si>
    <t>DTL00613</t>
  </si>
  <si>
    <t>DTL00614</t>
  </si>
  <si>
    <t>DTL00615</t>
  </si>
  <si>
    <t>DTL00616</t>
  </si>
  <si>
    <t>DTL00617</t>
  </si>
  <si>
    <t>DTL00618</t>
  </si>
  <si>
    <t>DTL00619</t>
  </si>
  <si>
    <t>DTL00620</t>
  </si>
  <si>
    <t>DTL00621</t>
  </si>
  <si>
    <t>DTL00622</t>
  </si>
  <si>
    <t>DTL00623</t>
  </si>
  <si>
    <t>DTL00624</t>
  </si>
  <si>
    <t>DTL00625</t>
  </si>
  <si>
    <t>DTL00626</t>
  </si>
  <si>
    <t>DTL00627</t>
  </si>
  <si>
    <t>DTL00628</t>
  </si>
  <si>
    <t>DTL00629</t>
  </si>
  <si>
    <t>DTL00630</t>
  </si>
  <si>
    <t>DTL00631</t>
  </si>
  <si>
    <t>DTL00632</t>
  </si>
  <si>
    <t>DTL00633</t>
  </si>
  <si>
    <t>DTL00634</t>
  </si>
  <si>
    <t>DTL00635</t>
  </si>
  <si>
    <t>DTL00636</t>
  </si>
  <si>
    <t>DTL00637</t>
  </si>
  <si>
    <t>DTL00638</t>
  </si>
  <si>
    <t>DTL00639</t>
  </si>
  <si>
    <t>DTL00640</t>
  </si>
  <si>
    <t>DTL00641</t>
  </si>
  <si>
    <t>DTL00642</t>
  </si>
  <si>
    <t>DTL00643</t>
  </si>
  <si>
    <t>DTL00644</t>
  </si>
  <si>
    <t>DTL00645</t>
  </si>
  <si>
    <t>DTL00646</t>
  </si>
  <si>
    <t>DTL00647</t>
  </si>
  <si>
    <t>DTL00648</t>
  </si>
  <si>
    <t>DTL00649</t>
  </si>
  <si>
    <t>DTL00650</t>
  </si>
  <si>
    <t>DTL00651</t>
  </si>
  <si>
    <t>DTL00652</t>
  </si>
  <si>
    <t>DTL00653</t>
  </si>
  <si>
    <t>DTL00654</t>
  </si>
  <si>
    <t>DTL00655</t>
  </si>
  <si>
    <t>DTL00656</t>
  </si>
  <si>
    <t>DTL00657</t>
  </si>
  <si>
    <t>DTL00658</t>
  </si>
  <si>
    <t>DTL00659</t>
  </si>
  <si>
    <t>DTL00660</t>
  </si>
  <si>
    <t>DTL00661</t>
  </si>
  <si>
    <t>DTL00662</t>
  </si>
  <si>
    <t>DTL00663</t>
  </si>
  <si>
    <t>DTL00664</t>
  </si>
  <si>
    <t>DTL00665</t>
  </si>
  <si>
    <t>DTL00666</t>
  </si>
  <si>
    <t>DTL00667</t>
  </si>
  <si>
    <t>DTL00668</t>
  </si>
  <si>
    <t>DTL00669</t>
  </si>
  <si>
    <t>DTL00670</t>
  </si>
  <si>
    <t>DTL00671</t>
  </si>
  <si>
    <t>DTL00672</t>
  </si>
  <si>
    <t>DTL00673</t>
  </si>
  <si>
    <t>DTL00674</t>
  </si>
  <si>
    <t>DTL00675</t>
  </si>
  <si>
    <t>DTL00676</t>
  </si>
  <si>
    <t>DTL00677</t>
  </si>
  <si>
    <t>DTL00678</t>
  </si>
  <si>
    <t>DTL00679</t>
  </si>
  <si>
    <t>DTL00680</t>
  </si>
  <si>
    <t>DTL00681</t>
  </si>
  <si>
    <t>DTL00682</t>
  </si>
  <si>
    <t>DTL00683</t>
  </si>
  <si>
    <t>DTL00684</t>
  </si>
  <si>
    <t>DTL00685</t>
  </si>
  <si>
    <t>DTL00686</t>
  </si>
  <si>
    <t>DTL00687</t>
  </si>
  <si>
    <t>DTL00688</t>
  </si>
  <si>
    <t>DTL00689</t>
  </si>
  <si>
    <t>DTL00690</t>
  </si>
  <si>
    <t>DTL00691</t>
  </si>
  <si>
    <t>DTL00692</t>
  </si>
  <si>
    <t>DTL00693</t>
  </si>
  <si>
    <t>DTL00694</t>
  </si>
  <si>
    <t>DTL00695</t>
  </si>
  <si>
    <t>DTL00696</t>
  </si>
  <si>
    <t>DTL00697</t>
  </si>
  <si>
    <t>DTL00698</t>
  </si>
  <si>
    <t>DTL00699</t>
  </si>
  <si>
    <t>DTL00700</t>
  </si>
  <si>
    <t>DTL00701</t>
  </si>
  <si>
    <t>DTL00702</t>
  </si>
  <si>
    <t>DTL00703</t>
  </si>
  <si>
    <t>DTL00704</t>
  </si>
  <si>
    <t>DTL00705</t>
  </si>
  <si>
    <t>DTL00706</t>
  </si>
  <si>
    <t>DTL00707</t>
  </si>
  <si>
    <t>DTL00708</t>
  </si>
  <si>
    <t>DTL00709</t>
  </si>
  <si>
    <t>DTL00710</t>
  </si>
  <si>
    <t>DTL00711</t>
  </si>
  <si>
    <t>DTL00712</t>
  </si>
  <si>
    <t>DTL00713</t>
  </si>
  <si>
    <t>DTL00714</t>
  </si>
  <si>
    <t>DTL00715</t>
  </si>
  <si>
    <t>DTL00716</t>
  </si>
  <si>
    <t>DTL00717</t>
  </si>
  <si>
    <t>DTL00718</t>
  </si>
  <si>
    <t>DTL00719</t>
  </si>
  <si>
    <t>DTL00720</t>
  </si>
  <si>
    <t>DTL00721</t>
  </si>
  <si>
    <t>DTL00722</t>
  </si>
  <si>
    <t>DTL00723</t>
  </si>
  <si>
    <t>DTL00724</t>
  </si>
  <si>
    <t>DTL00725</t>
  </si>
  <si>
    <t>DTL00726</t>
  </si>
  <si>
    <t>DTL00727</t>
  </si>
  <si>
    <t>DTL00728</t>
  </si>
  <si>
    <t>DTL00729</t>
  </si>
  <si>
    <t>DTL00730</t>
  </si>
  <si>
    <t>DTL00731</t>
  </si>
  <si>
    <t>DTL00732</t>
  </si>
  <si>
    <t>DTL00733</t>
  </si>
  <si>
    <t>DTL00734</t>
  </si>
  <si>
    <t>DTL00735</t>
  </si>
  <si>
    <t>DTL00736</t>
  </si>
  <si>
    <t>DTL00737</t>
  </si>
  <si>
    <t>DTL00738</t>
  </si>
  <si>
    <t>DTL00739</t>
  </si>
  <si>
    <t>DTL00740</t>
  </si>
  <si>
    <t>DTL00741</t>
  </si>
  <si>
    <t>DTL00742</t>
  </si>
  <si>
    <t>DTL00743</t>
  </si>
  <si>
    <t>DTL00744</t>
  </si>
  <si>
    <t>DTL00745</t>
  </si>
  <si>
    <t>DTL00746</t>
  </si>
  <si>
    <t>DTL00747</t>
  </si>
  <si>
    <t>DTL00748</t>
  </si>
  <si>
    <t>DTL00749</t>
  </si>
  <si>
    <t>DTL00750</t>
  </si>
  <si>
    <t>DTL00751</t>
  </si>
  <si>
    <t>DTL00752</t>
  </si>
  <si>
    <t>DTL00753</t>
  </si>
  <si>
    <t>DTL00754</t>
  </si>
  <si>
    <t>DTL00755</t>
  </si>
  <si>
    <t>DTL00756</t>
  </si>
  <si>
    <t>DTL00757</t>
  </si>
  <si>
    <t>DTL00758</t>
  </si>
  <si>
    <t>DTL00759</t>
  </si>
  <si>
    <t>MNU001</t>
  </si>
  <si>
    <t>DTL00760</t>
  </si>
  <si>
    <t>DTL00761</t>
  </si>
  <si>
    <t>DTL00762</t>
  </si>
  <si>
    <t>DTL00763</t>
  </si>
  <si>
    <t>DTL00764</t>
  </si>
  <si>
    <t>DTL00765</t>
  </si>
  <si>
    <t>DTL00766</t>
  </si>
  <si>
    <t>DTL00767</t>
  </si>
  <si>
    <t>DTL00768</t>
  </si>
  <si>
    <t>DTL00769</t>
  </si>
  <si>
    <t>DTL00770</t>
  </si>
  <si>
    <t>DTL00771</t>
  </si>
  <si>
    <t>DTL00772</t>
  </si>
  <si>
    <t>DTL00773</t>
  </si>
  <si>
    <t>DTL00774</t>
  </si>
  <si>
    <t>DTL00775</t>
  </si>
  <si>
    <t>DTL00776</t>
  </si>
  <si>
    <t>DTL00777</t>
  </si>
  <si>
    <t>DTL00778</t>
  </si>
  <si>
    <t>DTL00779</t>
  </si>
  <si>
    <t>DTL00780</t>
  </si>
  <si>
    <t>DTL00781</t>
  </si>
  <si>
    <t>DTL00782</t>
  </si>
  <si>
    <t>DTL00783</t>
  </si>
  <si>
    <t>DTL00784</t>
  </si>
  <si>
    <t>DTL00785</t>
  </si>
  <si>
    <t>DTL00786</t>
  </si>
  <si>
    <t>DTL00787</t>
  </si>
  <si>
    <t>DTL00788</t>
  </si>
  <si>
    <t>DTL00789</t>
  </si>
  <si>
    <t>DTL00790</t>
  </si>
  <si>
    <t>DTL00791</t>
  </si>
  <si>
    <t>DTL00792</t>
  </si>
  <si>
    <t>DTL00793</t>
  </si>
  <si>
    <t>DTL00794</t>
  </si>
  <si>
    <t>DTL00795</t>
  </si>
  <si>
    <t>DTL00796</t>
  </si>
  <si>
    <t>DTL00797</t>
  </si>
  <si>
    <t>DTL00798</t>
  </si>
  <si>
    <t>DTL00799</t>
  </si>
  <si>
    <t>DTL00800</t>
  </si>
  <si>
    <t>DTL00801</t>
  </si>
  <si>
    <t>DTL00802</t>
  </si>
  <si>
    <t>DTL00803</t>
  </si>
  <si>
    <t>DTL00804</t>
  </si>
  <si>
    <t>DTL00805</t>
  </si>
  <si>
    <t>DTL00806</t>
  </si>
  <si>
    <t>DTL00807</t>
  </si>
  <si>
    <t>DTL00808</t>
  </si>
  <si>
    <t>DTL00809</t>
  </si>
  <si>
    <t>DTL00810</t>
  </si>
  <si>
    <t>DTL00811</t>
  </si>
  <si>
    <t>DTL00812</t>
  </si>
  <si>
    <t>DTL00813</t>
  </si>
  <si>
    <t>DTL00814</t>
  </si>
  <si>
    <t>DTL00815</t>
  </si>
  <si>
    <t>DTL00816</t>
  </si>
  <si>
    <t>DTL00817</t>
  </si>
  <si>
    <t>DTL00818</t>
  </si>
  <si>
    <t>DTL00819</t>
  </si>
  <si>
    <t>DTL00820</t>
  </si>
  <si>
    <t>DTL00821</t>
  </si>
  <si>
    <t>DTL00822</t>
  </si>
  <si>
    <t>DTL00823</t>
  </si>
  <si>
    <t>DTL00824</t>
  </si>
  <si>
    <t>DTL00825</t>
  </si>
  <si>
    <t>DTL00826</t>
  </si>
  <si>
    <t>DTL00827</t>
  </si>
  <si>
    <t>DTL00828</t>
  </si>
  <si>
    <t>DTL00829</t>
  </si>
  <si>
    <t>DTL00830</t>
  </si>
  <si>
    <t>DTL00831</t>
  </si>
  <si>
    <t>DTL00832</t>
  </si>
  <si>
    <t>DTL00833</t>
  </si>
  <si>
    <t>DTL00834</t>
  </si>
  <si>
    <t>DTL00835</t>
  </si>
  <si>
    <t>DTL00836</t>
  </si>
  <si>
    <t>DTL00837</t>
  </si>
  <si>
    <t>DTL00838</t>
  </si>
  <si>
    <t>DTL00839</t>
  </si>
  <si>
    <t>DTL00840</t>
  </si>
  <si>
    <t>DTL00841</t>
  </si>
  <si>
    <t>DTL00842</t>
  </si>
  <si>
    <t>DTL00843</t>
  </si>
  <si>
    <t>DTL00844</t>
  </si>
  <si>
    <t>DTL00845</t>
  </si>
  <si>
    <t>DTL00846</t>
  </si>
  <si>
    <t>DTL00847</t>
  </si>
  <si>
    <t>DTL00848</t>
  </si>
  <si>
    <t>DTL00849</t>
  </si>
  <si>
    <t>DTL00850</t>
  </si>
  <si>
    <t>DTL00851</t>
  </si>
  <si>
    <t>DTL00852</t>
  </si>
  <si>
    <t>DTL00853</t>
  </si>
  <si>
    <t>DTL00854</t>
  </si>
  <si>
    <t>DTL00855</t>
  </si>
  <si>
    <t>DTL00856</t>
  </si>
  <si>
    <t>DTL00857</t>
  </si>
  <si>
    <t>DTL00858</t>
  </si>
  <si>
    <t>DTL00859</t>
  </si>
  <si>
    <t>DTL00860</t>
  </si>
  <si>
    <t>DTL00861</t>
  </si>
  <si>
    <t>DTL00862</t>
  </si>
  <si>
    <t>DTL00863</t>
  </si>
  <si>
    <t>DTL00864</t>
  </si>
  <si>
    <t>DTL00865</t>
  </si>
  <si>
    <t>DTL00866</t>
  </si>
  <si>
    <t>DTL00867</t>
  </si>
  <si>
    <t>DTL00868</t>
  </si>
  <si>
    <t>DTL00869</t>
  </si>
  <si>
    <t>DTL00870</t>
  </si>
  <si>
    <t>DTL00871</t>
  </si>
  <si>
    <t>DTL00872</t>
  </si>
  <si>
    <t>DTL00873</t>
  </si>
  <si>
    <t>DTL00874</t>
  </si>
  <si>
    <t>DTL00875</t>
  </si>
  <si>
    <t>DTL00876</t>
  </si>
  <si>
    <t>DTL00877</t>
  </si>
  <si>
    <t>DTL00878</t>
  </si>
  <si>
    <t>DTL00879</t>
  </si>
  <si>
    <t>DTL00880</t>
  </si>
  <si>
    <t>DTL00881</t>
  </si>
  <si>
    <t>DTL00882</t>
  </si>
  <si>
    <t>DTL00883</t>
  </si>
  <si>
    <t>DTL00884</t>
  </si>
  <si>
    <t>DTL00885</t>
  </si>
  <si>
    <t>DTL00886</t>
  </si>
  <si>
    <t>DTL00887</t>
  </si>
  <si>
    <t>DTL00888</t>
  </si>
  <si>
    <t>DTL00889</t>
  </si>
  <si>
    <t>DTL00890</t>
  </si>
  <si>
    <t>DTL00891</t>
  </si>
  <si>
    <t>DTL00892</t>
  </si>
  <si>
    <t>DTL00893</t>
  </si>
  <si>
    <t>DTL00894</t>
  </si>
  <si>
    <t>DTL00895</t>
  </si>
  <si>
    <t>DTL00896</t>
  </si>
  <si>
    <t>DTL00897</t>
  </si>
  <si>
    <t>DTL00898</t>
  </si>
  <si>
    <t>DTL00899</t>
  </si>
  <si>
    <t>DTL00900</t>
  </si>
  <si>
    <t>DTL00901</t>
  </si>
  <si>
    <t>DTL00902</t>
  </si>
  <si>
    <t>DTL00903</t>
  </si>
  <si>
    <t>DTL00904</t>
  </si>
  <si>
    <t>DTL00905</t>
  </si>
  <si>
    <t>DTL00906</t>
  </si>
  <si>
    <t>DTL00907</t>
  </si>
  <si>
    <t>DTL00908</t>
  </si>
  <si>
    <t>DTL00909</t>
  </si>
  <si>
    <t>DTL00910</t>
  </si>
  <si>
    <t>DTL00911</t>
  </si>
  <si>
    <t>DTL00912</t>
  </si>
  <si>
    <t>DTL00913</t>
  </si>
  <si>
    <t>DTL00914</t>
  </si>
  <si>
    <t>DTL00915</t>
  </si>
  <si>
    <t>DTL00916</t>
  </si>
  <si>
    <t>DTL00917</t>
  </si>
  <si>
    <t>DTL00918</t>
  </si>
  <si>
    <t>DTL00919</t>
  </si>
  <si>
    <t>DTL00920</t>
  </si>
  <si>
    <t>DTL00921</t>
  </si>
  <si>
    <t>DTL00922</t>
  </si>
  <si>
    <t>DTL00923</t>
  </si>
  <si>
    <t>DTL00924</t>
  </si>
  <si>
    <t>DTL00925</t>
  </si>
  <si>
    <t>DTL00926</t>
  </si>
  <si>
    <t>DTL00927</t>
  </si>
  <si>
    <t>DTL00928</t>
  </si>
  <si>
    <t>DTL00929</t>
  </si>
  <si>
    <t>DTL00930</t>
  </si>
  <si>
    <t>DTL00931</t>
  </si>
  <si>
    <t>DTL00932</t>
  </si>
  <si>
    <t>DTL00933</t>
  </si>
  <si>
    <t>DTL00934</t>
  </si>
  <si>
    <t>DTL00935</t>
  </si>
  <si>
    <t>DTL00936</t>
  </si>
  <si>
    <t>DTL00937</t>
  </si>
  <si>
    <t>DTL00938</t>
  </si>
  <si>
    <t>DTL00939</t>
  </si>
  <si>
    <t>DTL00940</t>
  </si>
  <si>
    <t>DTL00941</t>
  </si>
  <si>
    <t>DTL00942</t>
  </si>
  <si>
    <t>DTL00943</t>
  </si>
  <si>
    <t>DTL00944</t>
  </si>
  <si>
    <t>DTL00945</t>
  </si>
  <si>
    <t>DTL00946</t>
  </si>
  <si>
    <t>DTL00947</t>
  </si>
  <si>
    <t>DTL00948</t>
  </si>
  <si>
    <t>DTL00949</t>
  </si>
  <si>
    <t>DTL00950</t>
  </si>
  <si>
    <t>DTL00951</t>
  </si>
  <si>
    <t>DTL00952</t>
  </si>
  <si>
    <t>DTL00953</t>
  </si>
  <si>
    <t>DTL00954</t>
  </si>
  <si>
    <t>DTL00955</t>
  </si>
  <si>
    <t>DTL00956</t>
  </si>
  <si>
    <t>DTL00957</t>
  </si>
  <si>
    <t>DTL00958</t>
  </si>
  <si>
    <t>DTL00959</t>
  </si>
  <si>
    <t>DTL00960</t>
  </si>
  <si>
    <t>DTL00961</t>
  </si>
  <si>
    <t>DTL00962</t>
  </si>
  <si>
    <t>DTL00963</t>
  </si>
  <si>
    <t>DTL00964</t>
  </si>
  <si>
    <t>DTL00965</t>
  </si>
  <si>
    <t>DTL00966</t>
  </si>
  <si>
    <t>DTL00967</t>
  </si>
  <si>
    <t>DTL00968</t>
  </si>
  <si>
    <t>DTL00969</t>
  </si>
  <si>
    <t>DTL00970</t>
  </si>
  <si>
    <t>DTL00971</t>
  </si>
  <si>
    <t>DTL00972</t>
  </si>
  <si>
    <t>DTL00973</t>
  </si>
  <si>
    <t>DTL00974</t>
  </si>
  <si>
    <t>DTL00975</t>
  </si>
  <si>
    <t>DTL00976</t>
  </si>
  <si>
    <t>DTL00977</t>
  </si>
  <si>
    <t>DTL00978</t>
  </si>
  <si>
    <t>DTL00979</t>
  </si>
  <si>
    <t>DTL00980</t>
  </si>
  <si>
    <t>DTL00981</t>
  </si>
  <si>
    <t>DTL00982</t>
  </si>
  <si>
    <t>DTL00983</t>
  </si>
  <si>
    <t>DTL00984</t>
  </si>
  <si>
    <t>DTL00985</t>
  </si>
  <si>
    <t>DTL00986</t>
  </si>
  <si>
    <t>DTL00987</t>
  </si>
  <si>
    <t>DTL00988</t>
  </si>
  <si>
    <t>DTL00989</t>
  </si>
  <si>
    <t>DTL00990</t>
  </si>
  <si>
    <t>DTL00991</t>
  </si>
  <si>
    <t>DTL00992</t>
  </si>
  <si>
    <t>DTL00993</t>
  </si>
  <si>
    <t>DTL00994</t>
  </si>
  <si>
    <t>DTL00995</t>
  </si>
  <si>
    <t>DTL00996</t>
  </si>
  <si>
    <t>DTL00997</t>
  </si>
  <si>
    <t>DTL00998</t>
  </si>
  <si>
    <t>DTL00999</t>
  </si>
  <si>
    <t>DTL01000</t>
  </si>
  <si>
    <t>DTL01001</t>
  </si>
  <si>
    <t>DTL01002</t>
  </si>
  <si>
    <t>DTL01003</t>
  </si>
  <si>
    <t>DTL01004</t>
  </si>
  <si>
    <t>DTL01005</t>
  </si>
  <si>
    <t>DTL01006</t>
  </si>
  <si>
    <t>DTL01007</t>
  </si>
  <si>
    <t>DTL01008</t>
  </si>
  <si>
    <t>DTL01009</t>
  </si>
  <si>
    <t>DTL01010</t>
  </si>
  <si>
    <t>DTL01011</t>
  </si>
  <si>
    <t>DTL01012</t>
  </si>
  <si>
    <t>DTL01013</t>
  </si>
  <si>
    <t>DTL01014</t>
  </si>
  <si>
    <t>DTL01015</t>
  </si>
  <si>
    <t>DTL01016</t>
  </si>
  <si>
    <t>DTL01017</t>
  </si>
  <si>
    <t>DTL01018</t>
  </si>
  <si>
    <t>DTL01019</t>
  </si>
  <si>
    <t>DTL01020</t>
  </si>
  <si>
    <t>DTL01021</t>
  </si>
  <si>
    <t>DTL01022</t>
  </si>
  <si>
    <t>DTL01023</t>
  </si>
  <si>
    <t>DTL01024</t>
  </si>
  <si>
    <t>DTL01025</t>
  </si>
  <si>
    <t>DTL01026</t>
  </si>
  <si>
    <t>DTL01027</t>
  </si>
  <si>
    <t>DTL01028</t>
  </si>
  <si>
    <t>DTL01029</t>
  </si>
  <si>
    <t>DTL01030</t>
  </si>
  <si>
    <t>DTL01031</t>
  </si>
  <si>
    <t>DTL01032</t>
  </si>
  <si>
    <t>DTL01033</t>
  </si>
  <si>
    <t>DTL01034</t>
  </si>
  <si>
    <t>DTL01035</t>
  </si>
  <si>
    <t>DTL01036</t>
  </si>
  <si>
    <t>DTL01037</t>
  </si>
  <si>
    <t>DTL01038</t>
  </si>
  <si>
    <t>DTL01039</t>
  </si>
  <si>
    <t>DTL01040</t>
  </si>
  <si>
    <t>DTL01041</t>
  </si>
  <si>
    <t>DTL01042</t>
  </si>
  <si>
    <t>DTL01043</t>
  </si>
  <si>
    <t>DTL01044</t>
  </si>
  <si>
    <t>DTL01045</t>
  </si>
  <si>
    <t>DTL01046</t>
  </si>
  <si>
    <t>DTL01047</t>
  </si>
  <si>
    <t>DTL01048</t>
  </si>
  <si>
    <t>DTL01049</t>
  </si>
  <si>
    <t>DTL01050</t>
  </si>
  <si>
    <t>DTL01051</t>
  </si>
  <si>
    <t>DTL01052</t>
  </si>
  <si>
    <t>DTL01053</t>
  </si>
  <si>
    <t>DTL01054</t>
  </si>
  <si>
    <t>DTL01055</t>
  </si>
  <si>
    <t>DTL01056</t>
  </si>
  <si>
    <t>DTL01057</t>
  </si>
  <si>
    <t>DTL01058</t>
  </si>
  <si>
    <t>DTL01059</t>
  </si>
  <si>
    <t>DTL01060</t>
  </si>
  <si>
    <t>DTL01061</t>
  </si>
  <si>
    <t>DTL01062</t>
  </si>
  <si>
    <t>DTL01063</t>
  </si>
  <si>
    <t>DTL01064</t>
  </si>
  <si>
    <t>DTL01065</t>
  </si>
  <si>
    <t>DTL01066</t>
  </si>
  <si>
    <t>DTL01067</t>
  </si>
  <si>
    <t>DTL01068</t>
  </si>
  <si>
    <t>DTL01069</t>
  </si>
  <si>
    <t>DTL01070</t>
  </si>
  <si>
    <t>DTL01071</t>
  </si>
  <si>
    <t>DTL01072</t>
  </si>
  <si>
    <t>DTL01073</t>
  </si>
  <si>
    <t>DTL01074</t>
  </si>
  <si>
    <t>DTL01075</t>
  </si>
  <si>
    <t>DTL01076</t>
  </si>
  <si>
    <t>DTL01077</t>
  </si>
  <si>
    <t>DTL01078</t>
  </si>
  <si>
    <t>DTL01079</t>
  </si>
  <si>
    <t>DTL01080</t>
  </si>
  <si>
    <t>DTL01081</t>
  </si>
  <si>
    <t>DTL01082</t>
  </si>
  <si>
    <t>DTL01083</t>
  </si>
  <si>
    <t>DTL01084</t>
  </si>
  <si>
    <t>DTL01085</t>
  </si>
  <si>
    <t>DTL01086</t>
  </si>
  <si>
    <t>DTL01087</t>
  </si>
  <si>
    <t>DTL01088</t>
  </si>
  <si>
    <t>DTL01089</t>
  </si>
  <si>
    <t>DTL01090</t>
  </si>
  <si>
    <t>DTL01091</t>
  </si>
  <si>
    <t>DTL01092</t>
  </si>
  <si>
    <t>DTL01093</t>
  </si>
  <si>
    <t>DTL01094</t>
  </si>
  <si>
    <t>DTL01095</t>
  </si>
  <si>
    <t>DTL01096</t>
  </si>
  <si>
    <t>DTL01097</t>
  </si>
  <si>
    <t>DTL01098</t>
  </si>
  <si>
    <t>DTL01099</t>
  </si>
  <si>
    <t>DTL01100</t>
  </si>
  <si>
    <t>DTL01101</t>
  </si>
  <si>
    <t>DTL01102</t>
  </si>
  <si>
    <t>DTL01103</t>
  </si>
  <si>
    <t>DTL01104</t>
  </si>
  <si>
    <t>DTL01105</t>
  </si>
  <si>
    <t>DTL01106</t>
  </si>
  <si>
    <t>DTL01107</t>
  </si>
  <si>
    <t>DTL01108</t>
  </si>
  <si>
    <t>DTL01109</t>
  </si>
  <si>
    <t>DTL01110</t>
  </si>
  <si>
    <t>DTL01111</t>
  </si>
  <si>
    <t>DTL01112</t>
  </si>
  <si>
    <t>DTL01113</t>
  </si>
  <si>
    <t>DTL01114</t>
  </si>
  <si>
    <t>DTL01115</t>
  </si>
  <si>
    <t>DTL01116</t>
  </si>
  <si>
    <t>DTL01117</t>
  </si>
  <si>
    <t>DTL01118</t>
  </si>
  <si>
    <t>DTL01119</t>
  </si>
  <si>
    <t>DTL01120</t>
  </si>
  <si>
    <t>DTL01121</t>
  </si>
  <si>
    <t>DTL01122</t>
  </si>
  <si>
    <t>DTL01123</t>
  </si>
  <si>
    <t>DTL01124</t>
  </si>
  <si>
    <t>DTL01125</t>
  </si>
  <si>
    <t>DTL01126</t>
  </si>
  <si>
    <t>DTL01127</t>
  </si>
  <si>
    <t>DTL01128</t>
  </si>
  <si>
    <t>DTL01129</t>
  </si>
  <si>
    <t>DTL01130</t>
  </si>
  <si>
    <t>DTL01131</t>
  </si>
  <si>
    <t>DTL01132</t>
  </si>
  <si>
    <t>DTL01133</t>
  </si>
  <si>
    <t>DTL01134</t>
  </si>
  <si>
    <t>DTL01135</t>
  </si>
  <si>
    <t>DTL01136</t>
  </si>
  <si>
    <t>DTL01137</t>
  </si>
  <si>
    <t>DTL01138</t>
  </si>
  <si>
    <t>DTL01139</t>
  </si>
  <si>
    <t>DTL01140</t>
  </si>
  <si>
    <t>DTL01141</t>
  </si>
  <si>
    <t>DTL01142</t>
  </si>
  <si>
    <t>DTL01143</t>
  </si>
  <si>
    <t>DTL01144</t>
  </si>
  <si>
    <t>DTL01145</t>
  </si>
  <si>
    <t>DTL01146</t>
  </si>
  <si>
    <t>DTL01147</t>
  </si>
  <si>
    <t>DTL01148</t>
  </si>
  <si>
    <t>DTL01149</t>
  </si>
  <si>
    <t>DTL01150</t>
  </si>
  <si>
    <t>DTL01151</t>
  </si>
  <si>
    <t>DTL01152</t>
  </si>
  <si>
    <t>DTL01153</t>
  </si>
  <si>
    <t>DTL01154</t>
  </si>
  <si>
    <t>DTL01155</t>
  </si>
  <si>
    <t>DTL01156</t>
  </si>
  <si>
    <t>DTL01157</t>
  </si>
  <si>
    <t>DTL01158</t>
  </si>
  <si>
    <t>DTL01159</t>
  </si>
  <si>
    <t>DTL01160</t>
  </si>
  <si>
    <t>DTL01161</t>
  </si>
  <si>
    <t>DTL01162</t>
  </si>
  <si>
    <t>DTL01163</t>
  </si>
  <si>
    <t>DTL01164</t>
  </si>
  <si>
    <t>DTL01165</t>
  </si>
  <si>
    <t>DTL01166</t>
  </si>
  <si>
    <t>DTL01167</t>
  </si>
  <si>
    <t>DTL01168</t>
  </si>
  <si>
    <t>DTL01169</t>
  </si>
  <si>
    <t>DTL01170</t>
  </si>
  <si>
    <t>DTL01171</t>
  </si>
  <si>
    <t>DTL01172</t>
  </si>
  <si>
    <t>DTL01173</t>
  </si>
  <si>
    <t>DTL01174</t>
  </si>
  <si>
    <t>DTL01175</t>
  </si>
  <si>
    <t>DTL01176</t>
  </si>
  <si>
    <t>DTL01177</t>
  </si>
  <si>
    <t>DTL01178</t>
  </si>
  <si>
    <t>DTL01179</t>
  </si>
  <si>
    <t>DTL01180</t>
  </si>
  <si>
    <t>DTL01181</t>
  </si>
  <si>
    <t>DTL01182</t>
  </si>
  <si>
    <t>DTL01183</t>
  </si>
  <si>
    <t>DTL01184</t>
  </si>
  <si>
    <t>DTL01185</t>
  </si>
  <si>
    <t>DTL01186</t>
  </si>
  <si>
    <t>DTL01187</t>
  </si>
  <si>
    <t>DTL01188</t>
  </si>
  <si>
    <t>DTL01189</t>
  </si>
  <si>
    <t>DTL01190</t>
  </si>
  <si>
    <t>DTL01191</t>
  </si>
  <si>
    <t>DTL01192</t>
  </si>
  <si>
    <t>DTL01193</t>
  </si>
  <si>
    <t>DTL01194</t>
  </si>
  <si>
    <t>DTL01195</t>
  </si>
  <si>
    <t>DTL01196</t>
  </si>
  <si>
    <t>DTL01197</t>
  </si>
  <si>
    <t>DTL01198</t>
  </si>
  <si>
    <t>DTL01199</t>
  </si>
  <si>
    <t>DTL01200</t>
  </si>
  <si>
    <t>DTL01201</t>
  </si>
  <si>
    <t>DTL01202</t>
  </si>
  <si>
    <t>DTL01203</t>
  </si>
  <si>
    <t>DTL01204</t>
  </si>
  <si>
    <t>DTL01205</t>
  </si>
  <si>
    <t>DTL01206</t>
  </si>
  <si>
    <t>DTL01207</t>
  </si>
  <si>
    <t>DTL01208</t>
  </si>
  <si>
    <t>DTL01209</t>
  </si>
  <si>
    <t>DTL01210</t>
  </si>
  <si>
    <t>DTL01211</t>
  </si>
  <si>
    <t>DTL01212</t>
  </si>
  <si>
    <t>DTL01213</t>
  </si>
  <si>
    <t>DTL01214</t>
  </si>
  <si>
    <t>DTL01215</t>
  </si>
  <si>
    <t>DTL01216</t>
  </si>
  <si>
    <t>DTL01217</t>
  </si>
  <si>
    <t>DTL01218</t>
  </si>
  <si>
    <t>DTL01219</t>
  </si>
  <si>
    <t>DTL01220</t>
  </si>
  <si>
    <t>DTL01221</t>
  </si>
  <si>
    <t>DTL01222</t>
  </si>
  <si>
    <t>DTL01223</t>
  </si>
  <si>
    <t>DTL01224</t>
  </si>
  <si>
    <t>DTL01225</t>
  </si>
  <si>
    <t>DTL01226</t>
  </si>
  <si>
    <t>DTL01227</t>
  </si>
  <si>
    <t>DTL01228</t>
  </si>
  <si>
    <t>DTL01229</t>
  </si>
  <si>
    <t>DTL01230</t>
  </si>
  <si>
    <t>DTL01231</t>
  </si>
  <si>
    <t>DTL01232</t>
  </si>
  <si>
    <t>DTL01233</t>
  </si>
  <si>
    <t>DTL01234</t>
  </si>
  <si>
    <t>DTL01235</t>
  </si>
  <si>
    <t>DTL01236</t>
  </si>
  <si>
    <t>DTL01237</t>
  </si>
  <si>
    <t>DTL01238</t>
  </si>
  <si>
    <t>DTL01239</t>
  </si>
  <si>
    <t>DTL01240</t>
  </si>
  <si>
    <t>DTL01241</t>
  </si>
  <si>
    <t>DTL01242</t>
  </si>
  <si>
    <t>DTL01243</t>
  </si>
  <si>
    <t>DTL01244</t>
  </si>
  <si>
    <t>DTL01245</t>
  </si>
  <si>
    <t>DTL01246</t>
  </si>
  <si>
    <t>DTL01247</t>
  </si>
  <si>
    <t>DTL01248</t>
  </si>
  <si>
    <t>DTL01249</t>
  </si>
  <si>
    <t>DTL01250</t>
  </si>
  <si>
    <t>DTL01251</t>
  </si>
  <si>
    <t>DTL01252</t>
  </si>
  <si>
    <t>DTL01253</t>
  </si>
  <si>
    <t>DTL01254</t>
  </si>
  <si>
    <t>DTL01255</t>
  </si>
  <si>
    <t>DTL01256</t>
  </si>
  <si>
    <t>DTL01257</t>
  </si>
  <si>
    <t>DTL01258</t>
  </si>
  <si>
    <t>DTL01259</t>
  </si>
  <si>
    <t>DTL01260</t>
  </si>
  <si>
    <t>DTL01261</t>
  </si>
  <si>
    <t>DTL01262</t>
  </si>
  <si>
    <t>DTL01263</t>
  </si>
  <si>
    <t>DTL01264</t>
  </si>
  <si>
    <t>DTL01265</t>
  </si>
  <si>
    <t>DTL01266</t>
  </si>
  <si>
    <t>DTL01267</t>
  </si>
  <si>
    <t>DTL01268</t>
  </si>
  <si>
    <t>DTL01269</t>
  </si>
  <si>
    <t>DTL01270</t>
  </si>
  <si>
    <t>DTL01271</t>
  </si>
  <si>
    <t>DTL01272</t>
  </si>
  <si>
    <t>DTL01273</t>
  </si>
  <si>
    <t>DTL01274</t>
  </si>
  <si>
    <t>DTL01275</t>
  </si>
  <si>
    <t>DTL01276</t>
  </si>
  <si>
    <t>DTL01277</t>
  </si>
  <si>
    <t>DTL01278</t>
  </si>
  <si>
    <t>DTL01279</t>
  </si>
  <si>
    <t>DTL01280</t>
  </si>
  <si>
    <t>DTL01281</t>
  </si>
  <si>
    <t>DTL01282</t>
  </si>
  <si>
    <t>DTL01283</t>
  </si>
  <si>
    <t>DTL01284</t>
  </si>
  <si>
    <t>DTL01285</t>
  </si>
  <si>
    <t>DTL01286</t>
  </si>
  <si>
    <t>DTL01287</t>
  </si>
  <si>
    <t>DTL01288</t>
  </si>
  <si>
    <t>DTL01289</t>
  </si>
  <si>
    <t>DTL01290</t>
  </si>
  <si>
    <t>DTL01291</t>
  </si>
  <si>
    <t>DTL01292</t>
  </si>
  <si>
    <t>DTL01293</t>
  </si>
  <si>
    <t>DTL01294</t>
  </si>
  <si>
    <t>DTL01295</t>
  </si>
  <si>
    <t>DTL01296</t>
  </si>
  <si>
    <t>DTL01297</t>
  </si>
  <si>
    <t>DTL01298</t>
  </si>
  <si>
    <t>DTL01299</t>
  </si>
  <si>
    <t>DTL01300</t>
  </si>
  <si>
    <t>DTL01301</t>
  </si>
  <si>
    <t>DTL01302</t>
  </si>
  <si>
    <t>DTL01303</t>
  </si>
  <si>
    <t>DTL01304</t>
  </si>
  <si>
    <t>DTL01305</t>
  </si>
  <si>
    <t>DTL01306</t>
  </si>
  <si>
    <t>DTL01307</t>
  </si>
  <si>
    <t>DTL01308</t>
  </si>
  <si>
    <t>DTL01309</t>
  </si>
  <si>
    <t>DTL01310</t>
  </si>
  <si>
    <t>DTL01311</t>
  </si>
  <si>
    <t>DTL01312</t>
  </si>
  <si>
    <t>DTL01313</t>
  </si>
  <si>
    <t>DTL01314</t>
  </si>
  <si>
    <t>DTL01315</t>
  </si>
  <si>
    <t>DTL01316</t>
  </si>
  <si>
    <t>DTL01317</t>
  </si>
  <si>
    <t>DTL01318</t>
  </si>
  <si>
    <t>DTL01319</t>
  </si>
  <si>
    <t>DTL01320</t>
  </si>
  <si>
    <t>DTL01321</t>
  </si>
  <si>
    <t>DTL01322</t>
  </si>
  <si>
    <t>DTL01323</t>
  </si>
  <si>
    <t>DTL01324</t>
  </si>
  <si>
    <t>DTL01325</t>
  </si>
  <si>
    <t>DTL01326</t>
  </si>
  <si>
    <t>DTL01327</t>
  </si>
  <si>
    <t>DTL01328</t>
  </si>
  <si>
    <t>DTL01329</t>
  </si>
  <si>
    <t>DTL01330</t>
  </si>
  <si>
    <t>DTL01331</t>
  </si>
  <si>
    <t>DTL01332</t>
  </si>
  <si>
    <t>DTL01333</t>
  </si>
  <si>
    <t>DTL01334</t>
  </si>
  <si>
    <t>DTL01335</t>
  </si>
  <si>
    <t>DTL01336</t>
  </si>
  <si>
    <t>DTL01337</t>
  </si>
  <si>
    <t>DTL01338</t>
  </si>
  <si>
    <t>DTL01339</t>
  </si>
  <si>
    <t>DTL01340</t>
  </si>
  <si>
    <t>DTL01341</t>
  </si>
  <si>
    <t>DTL01342</t>
  </si>
  <si>
    <t>DTL01343</t>
  </si>
  <si>
    <t>DTL01344</t>
  </si>
  <si>
    <t>DTL01345</t>
  </si>
  <si>
    <t>DTL01346</t>
  </si>
  <si>
    <t>DTL01347</t>
  </si>
  <si>
    <t>DTL01348</t>
  </si>
  <si>
    <t>DTL01349</t>
  </si>
  <si>
    <t>DTL01350</t>
  </si>
  <si>
    <t>DTL01351</t>
  </si>
  <si>
    <t>DTL01352</t>
  </si>
  <si>
    <t>DTL01353</t>
  </si>
  <si>
    <t>DTL01354</t>
  </si>
  <si>
    <t>DTL01355</t>
  </si>
  <si>
    <t>DTL01356</t>
  </si>
  <si>
    <t>DTL01357</t>
  </si>
  <si>
    <t>DTL01358</t>
  </si>
  <si>
    <t>DTL01359</t>
  </si>
  <si>
    <t>DTL01360</t>
  </si>
  <si>
    <t>DTL01361</t>
  </si>
  <si>
    <t>DTL01362</t>
  </si>
  <si>
    <t>DTL01363</t>
  </si>
  <si>
    <t>DTL01364</t>
  </si>
  <si>
    <t>DTL01365</t>
  </si>
  <si>
    <t>DTL01366</t>
  </si>
  <si>
    <t>DTL01367</t>
  </si>
  <si>
    <t>DTL01368</t>
  </si>
  <si>
    <t>DTL01369</t>
  </si>
  <si>
    <t>DTL01370</t>
  </si>
  <si>
    <t>DTL01371</t>
  </si>
  <si>
    <t>DTL01372</t>
  </si>
  <si>
    <t>DTL01373</t>
  </si>
  <si>
    <t>DTL01374</t>
  </si>
  <si>
    <t>DTL01375</t>
  </si>
  <si>
    <t>DTL01376</t>
  </si>
  <si>
    <t>DTL01377</t>
  </si>
  <si>
    <t>DTL01378</t>
  </si>
  <si>
    <t>DTL01379</t>
  </si>
  <si>
    <t>DTL01380</t>
  </si>
  <si>
    <t>DTL01381</t>
  </si>
  <si>
    <t>DTL01382</t>
  </si>
  <si>
    <t>DTL01383</t>
  </si>
  <si>
    <t>DTL01384</t>
  </si>
  <si>
    <t>DTL01385</t>
  </si>
  <si>
    <t>DTL01386</t>
  </si>
  <si>
    <t>DTL01387</t>
  </si>
  <si>
    <t>DTL01388</t>
  </si>
  <si>
    <t>DTL01389</t>
  </si>
  <si>
    <t>DTL01390</t>
  </si>
  <si>
    <t>DTL01391</t>
  </si>
  <si>
    <t>DTL01392</t>
  </si>
  <si>
    <t>DTL01393</t>
  </si>
  <si>
    <t>DTL01394</t>
  </si>
  <si>
    <t>DTL01395</t>
  </si>
  <si>
    <t>DTL01396</t>
  </si>
  <si>
    <t>DTL01397</t>
  </si>
  <si>
    <t>DTL01398</t>
  </si>
  <si>
    <t>DTL01399</t>
  </si>
  <si>
    <t>DTL01400</t>
  </si>
  <si>
    <t>DTL01401</t>
  </si>
  <si>
    <t>DTL01402</t>
  </si>
  <si>
    <t>DTL01403</t>
  </si>
  <si>
    <t>DTL01404</t>
  </si>
  <si>
    <t>DTL01405</t>
  </si>
  <si>
    <t>DTL01406</t>
  </si>
  <si>
    <t>DTL01407</t>
  </si>
  <si>
    <t>DTL01408</t>
  </si>
  <si>
    <t>DTL01409</t>
  </si>
  <si>
    <t>DTL01410</t>
  </si>
  <si>
    <t>DTL01411</t>
  </si>
  <si>
    <t>DTL01412</t>
  </si>
  <si>
    <t>DTL01413</t>
  </si>
  <si>
    <t>DTL01414</t>
  </si>
  <si>
    <t>DTL01415</t>
  </si>
  <si>
    <t>DTL01416</t>
  </si>
  <si>
    <t>DTL01417</t>
  </si>
  <si>
    <t>DTL01418</t>
  </si>
  <si>
    <t>DTL01419</t>
  </si>
  <si>
    <t>DTL01420</t>
  </si>
  <si>
    <t>DTL01421</t>
  </si>
  <si>
    <t>DTL01422</t>
  </si>
  <si>
    <t>DTL01423</t>
  </si>
  <si>
    <t>DTL01424</t>
  </si>
  <si>
    <t>DTL01425</t>
  </si>
  <si>
    <t>DTL01426</t>
  </si>
  <si>
    <t>DTL01427</t>
  </si>
  <si>
    <t>DTL01428</t>
  </si>
  <si>
    <t>DTL01429</t>
  </si>
  <si>
    <t>DTL01430</t>
  </si>
  <si>
    <t>DTL01431</t>
  </si>
  <si>
    <t>DTL01432</t>
  </si>
  <si>
    <t>DTL01433</t>
  </si>
  <si>
    <t>DTL01434</t>
  </si>
  <si>
    <t>DTL01435</t>
  </si>
  <si>
    <t>DTL01436</t>
  </si>
  <si>
    <t>DTL01437</t>
  </si>
  <si>
    <t>DTL01438</t>
  </si>
  <si>
    <t>DTL01439</t>
  </si>
  <si>
    <t>DTL01440</t>
  </si>
  <si>
    <t>DTL01441</t>
  </si>
  <si>
    <t>DTL01442</t>
  </si>
  <si>
    <t>DTL01443</t>
  </si>
  <si>
    <t>DTL01444</t>
  </si>
  <si>
    <t>DTL01445</t>
  </si>
  <si>
    <t>DTL01446</t>
  </si>
  <si>
    <t>DTL01447</t>
  </si>
  <si>
    <t>DTL01448</t>
  </si>
  <si>
    <t>DTL01449</t>
  </si>
  <si>
    <t>DTL01450</t>
  </si>
  <si>
    <t>DTL01451</t>
  </si>
  <si>
    <t>DTL01452</t>
  </si>
  <si>
    <t>DTL01453</t>
  </si>
  <si>
    <t>DTL01454</t>
  </si>
  <si>
    <t>DTL01455</t>
  </si>
  <si>
    <t>DTL01456</t>
  </si>
  <si>
    <t>DTL01457</t>
  </si>
  <si>
    <t>DTL01458</t>
  </si>
  <si>
    <t>DTL01459</t>
  </si>
  <si>
    <t>DTL01460</t>
  </si>
  <si>
    <t>DTL01461</t>
  </si>
  <si>
    <t>DTL01462</t>
  </si>
  <si>
    <t>DTL01463</t>
  </si>
  <si>
    <t>DTL01464</t>
  </si>
  <si>
    <t>DTL01465</t>
  </si>
  <si>
    <t>DTL01466</t>
  </si>
  <si>
    <t>DTL01467</t>
  </si>
  <si>
    <t>DTL01468</t>
  </si>
  <si>
    <t>DTL01469</t>
  </si>
  <si>
    <t>DTL01470</t>
  </si>
  <si>
    <t>DTL01471</t>
  </si>
  <si>
    <t>DTL01472</t>
  </si>
  <si>
    <t>DTL01473</t>
  </si>
  <si>
    <t>DTL01474</t>
  </si>
  <si>
    <t>DTL01475</t>
  </si>
  <si>
    <t>DTL01476</t>
  </si>
  <si>
    <t>DTL01477</t>
  </si>
  <si>
    <t>DTL01478</t>
  </si>
  <si>
    <t>DTL01479</t>
  </si>
  <si>
    <t>DTL01480</t>
  </si>
  <si>
    <t>DTL01481</t>
  </si>
  <si>
    <t>DTL01482</t>
  </si>
  <si>
    <t>DTL01483</t>
  </si>
  <si>
    <t>DTL01484</t>
  </si>
  <si>
    <t>DTL01485</t>
  </si>
  <si>
    <t>DTL01486</t>
  </si>
  <si>
    <t>DTL01487</t>
  </si>
  <si>
    <t>DTL01488</t>
  </si>
  <si>
    <t>DTL01489</t>
  </si>
  <si>
    <t>DTL01490</t>
  </si>
  <si>
    <t>DTL01491</t>
  </si>
  <si>
    <t>DTL01492</t>
  </si>
  <si>
    <t>DTL01493</t>
  </si>
  <si>
    <t>DTL01494</t>
  </si>
  <si>
    <t>DTL01495</t>
  </si>
  <si>
    <t>DTL01496</t>
  </si>
  <si>
    <t>DTL01497</t>
  </si>
  <si>
    <t>DTL01498</t>
  </si>
  <si>
    <t>DTL01499</t>
  </si>
  <si>
    <t>DTL01500</t>
  </si>
  <si>
    <t>DTL01501</t>
  </si>
  <si>
    <t>DTL01502</t>
  </si>
  <si>
    <t>DTL01503</t>
  </si>
  <si>
    <t>DTL01504</t>
  </si>
  <si>
    <t>DTL01505</t>
  </si>
  <si>
    <t>DTL01506</t>
  </si>
  <si>
    <t>DTL01507</t>
  </si>
  <si>
    <t>DTL01508</t>
  </si>
  <si>
    <t>DTL01509</t>
  </si>
  <si>
    <t>DTL01510</t>
  </si>
  <si>
    <t>DTL01511</t>
  </si>
  <si>
    <t>DTL01512</t>
  </si>
  <si>
    <t>DTL01513</t>
  </si>
  <si>
    <t>DTL01514</t>
  </si>
  <si>
    <t>DTL01515</t>
  </si>
  <si>
    <t>DTL01516</t>
  </si>
  <si>
    <t>DTL01517</t>
  </si>
  <si>
    <t>DTL01518</t>
  </si>
  <si>
    <t>DTL01519</t>
  </si>
  <si>
    <t>DTL01520</t>
  </si>
  <si>
    <t>DTL01521</t>
  </si>
  <si>
    <t>DTL01522</t>
  </si>
  <si>
    <t>DTL01523</t>
  </si>
  <si>
    <t>DTL01524</t>
  </si>
  <si>
    <t>DTL01525</t>
  </si>
  <si>
    <t>DTL01526</t>
  </si>
  <si>
    <t>DTL01527</t>
  </si>
  <si>
    <t>DTL01528</t>
  </si>
  <si>
    <t>DTL01529</t>
  </si>
  <si>
    <t>DTL01530</t>
  </si>
  <si>
    <t>DTL01531</t>
  </si>
  <si>
    <t>DTL01532</t>
  </si>
  <si>
    <t>DTL01533</t>
  </si>
  <si>
    <t>DTL01534</t>
  </si>
  <si>
    <t>DTL01535</t>
  </si>
  <si>
    <t>DTL01536</t>
  </si>
  <si>
    <t>DTL01537</t>
  </si>
  <si>
    <t>DTL01538</t>
  </si>
  <si>
    <t>DTL01539</t>
  </si>
  <si>
    <t>DTL01540</t>
  </si>
  <si>
    <t>DTL01541</t>
  </si>
  <si>
    <t>DTL01542</t>
  </si>
  <si>
    <t>DTL01543</t>
  </si>
  <si>
    <t>DTL01544</t>
  </si>
  <si>
    <t>DTL01545</t>
  </si>
  <si>
    <t>DTL01546</t>
  </si>
  <si>
    <t>DTL01547</t>
  </si>
  <si>
    <t>DTL01548</t>
  </si>
  <si>
    <t>DTL01549</t>
  </si>
  <si>
    <t>DTL01550</t>
  </si>
  <si>
    <t>DTL01551</t>
  </si>
  <si>
    <t>DTL01552</t>
  </si>
  <si>
    <t>DTL01553</t>
  </si>
  <si>
    <t>DTL01554</t>
  </si>
  <si>
    <t>DTL01555</t>
  </si>
  <si>
    <t>DTL01556</t>
  </si>
  <si>
    <t>DTL01557</t>
  </si>
  <si>
    <t>DTL01558</t>
  </si>
  <si>
    <t>DTL01559</t>
  </si>
  <si>
    <t>DTL01560</t>
  </si>
  <si>
    <t>DTL01561</t>
  </si>
  <si>
    <t>DTL01562</t>
  </si>
  <si>
    <t>DTL01563</t>
  </si>
  <si>
    <t>DTL01564</t>
  </si>
  <si>
    <t>DTL01565</t>
  </si>
  <si>
    <t>DTL01566</t>
  </si>
  <si>
    <t>DTL01567</t>
  </si>
  <si>
    <t>DTL01568</t>
  </si>
  <si>
    <t>DTL01569</t>
  </si>
  <si>
    <t>DTL01570</t>
  </si>
  <si>
    <t>DTL01571</t>
  </si>
  <si>
    <t>DTL01572</t>
  </si>
  <si>
    <t>DTL01573</t>
  </si>
  <si>
    <t>DTL01574</t>
  </si>
  <si>
    <t>DTL01575</t>
  </si>
  <si>
    <t>DTL01576</t>
  </si>
  <si>
    <t>DTL01577</t>
  </si>
  <si>
    <t>DTL01578</t>
  </si>
  <si>
    <t>DTL01579</t>
  </si>
  <si>
    <t>DTL01580</t>
  </si>
  <si>
    <t>DTL01581</t>
  </si>
  <si>
    <t>DTL01582</t>
  </si>
  <si>
    <t>DTL01583</t>
  </si>
  <si>
    <t>DTL01584</t>
  </si>
  <si>
    <t>DTL01585</t>
  </si>
  <si>
    <t>DTL01586</t>
  </si>
  <si>
    <t>DTL01587</t>
  </si>
  <si>
    <t>DTL01588</t>
  </si>
  <si>
    <t>DTL01589</t>
  </si>
  <si>
    <t>DTL01590</t>
  </si>
  <si>
    <t>DTL01591</t>
  </si>
  <si>
    <t>DTL01592</t>
  </si>
  <si>
    <t>DTL01593</t>
  </si>
  <si>
    <t>DTL01594</t>
  </si>
  <si>
    <t>DTL01595</t>
  </si>
  <si>
    <t>DTL01596</t>
  </si>
  <si>
    <t>DTL01597</t>
  </si>
  <si>
    <t>DTL01598</t>
  </si>
  <si>
    <t>DTL01599</t>
  </si>
  <si>
    <t>DTL01600</t>
  </si>
  <si>
    <t>DTL01601</t>
  </si>
  <si>
    <t>DTL01602</t>
  </si>
  <si>
    <t>DTL01603</t>
  </si>
  <si>
    <t>DTL01604</t>
  </si>
  <si>
    <t>DTL01605</t>
  </si>
  <si>
    <t>DTL01606</t>
  </si>
  <si>
    <t>DTL01607</t>
  </si>
  <si>
    <t>DTL01608</t>
  </si>
  <si>
    <t>DTL01609</t>
  </si>
  <si>
    <t>DTL01610</t>
  </si>
  <si>
    <t>DTL01611</t>
  </si>
  <si>
    <t>DTL01612</t>
  </si>
  <si>
    <t>DTL01613</t>
  </si>
  <si>
    <t>DTL01614</t>
  </si>
  <si>
    <t>DTL01615</t>
  </si>
  <si>
    <t>DTL01616</t>
  </si>
  <si>
    <t>DTL01617</t>
  </si>
  <si>
    <t>DTL01618</t>
  </si>
  <si>
    <t>DTL01619</t>
  </si>
  <si>
    <t>DTL01620</t>
  </si>
  <si>
    <t>DTL01621</t>
  </si>
  <si>
    <t>DTL01622</t>
  </si>
  <si>
    <t>DTL01623</t>
  </si>
  <si>
    <t>DTL01624</t>
  </si>
  <si>
    <t>DTL01625</t>
  </si>
  <si>
    <t>DTL01626</t>
  </si>
  <si>
    <t>DTL01627</t>
  </si>
  <si>
    <t>DTL01628</t>
  </si>
  <si>
    <t>DTL01629</t>
  </si>
  <si>
    <t>DTL01630</t>
  </si>
  <si>
    <t>DTL01631</t>
  </si>
  <si>
    <t>DTL01632</t>
  </si>
  <si>
    <t>DTL01633</t>
  </si>
  <si>
    <t>DTL01634</t>
  </si>
  <si>
    <t>DTL01635</t>
  </si>
  <si>
    <t>DTL01636</t>
  </si>
  <si>
    <t>DTL01637</t>
  </si>
  <si>
    <t>DTL01638</t>
  </si>
  <si>
    <t>DTL01639</t>
  </si>
  <si>
    <t>DTL01640</t>
  </si>
  <si>
    <t>DTL01641</t>
  </si>
  <si>
    <t>DTL01642</t>
  </si>
  <si>
    <t>DTL01643</t>
  </si>
  <si>
    <t>DTL01644</t>
  </si>
  <si>
    <t>DTL01645</t>
  </si>
  <si>
    <t>DTL01646</t>
  </si>
  <si>
    <t>DTL01647</t>
  </si>
  <si>
    <t>DTL01648</t>
  </si>
  <si>
    <t>DTL01649</t>
  </si>
  <si>
    <t>DTL01650</t>
  </si>
  <si>
    <t>DTL01651</t>
  </si>
  <si>
    <t>DTL01652</t>
  </si>
  <si>
    <t>DTL01653</t>
  </si>
  <si>
    <t>DTL01654</t>
  </si>
  <si>
    <t>DTL01655</t>
  </si>
  <si>
    <t>DTL01656</t>
  </si>
  <si>
    <t>DTL01657</t>
  </si>
  <si>
    <t>DTL01658</t>
  </si>
  <si>
    <t>DTL01659</t>
  </si>
  <si>
    <t>DTL01660</t>
  </si>
  <si>
    <t>DTL01661</t>
  </si>
  <si>
    <t>DTL01662</t>
  </si>
  <si>
    <t>DTL01663</t>
  </si>
  <si>
    <t>DTL01664</t>
  </si>
  <si>
    <t>DTL01665</t>
  </si>
  <si>
    <t>DTL01666</t>
  </si>
  <si>
    <t>DTL01667</t>
  </si>
  <si>
    <t>DTL01668</t>
  </si>
  <si>
    <t>DTL01669</t>
  </si>
  <si>
    <t>DTL01670</t>
  </si>
  <si>
    <t>DTL01671</t>
  </si>
  <si>
    <t>DTL01672</t>
  </si>
  <si>
    <t>DTL01673</t>
  </si>
  <si>
    <t>DTL01674</t>
  </si>
  <si>
    <t>DTL01675</t>
  </si>
  <si>
    <t>DTL01676</t>
  </si>
  <si>
    <t>DTL01677</t>
  </si>
  <si>
    <t>DTL01678</t>
  </si>
  <si>
    <t>DTL01679</t>
  </si>
  <si>
    <t>DTL01680</t>
  </si>
  <si>
    <t>DTL01681</t>
  </si>
  <si>
    <t>DTL01682</t>
  </si>
  <si>
    <t>DTL01683</t>
  </si>
  <si>
    <t>DTL01684</t>
  </si>
  <si>
    <t>DTL01685</t>
  </si>
  <si>
    <t>DTL01686</t>
  </si>
  <si>
    <t>DTL01687</t>
  </si>
  <si>
    <t>DTL01688</t>
  </si>
  <si>
    <t>DTL01689</t>
  </si>
  <si>
    <t>DTL01690</t>
  </si>
  <si>
    <t>DTL01691</t>
  </si>
  <si>
    <t>DTL01692</t>
  </si>
  <si>
    <t>DTL01693</t>
  </si>
  <si>
    <t>DTL01694</t>
  </si>
  <si>
    <t>DTL01695</t>
  </si>
  <si>
    <t>DTL01696</t>
  </si>
  <si>
    <t>DTL01697</t>
  </si>
  <si>
    <t>DTL01698</t>
  </si>
  <si>
    <t>DTL01699</t>
  </si>
  <si>
    <t>DTL01700</t>
  </si>
  <si>
    <t>DTL01701</t>
  </si>
  <si>
    <t>DTL01702</t>
  </si>
  <si>
    <t>DTL01703</t>
  </si>
  <si>
    <t>DTL01704</t>
  </si>
  <si>
    <t>DTL01705</t>
  </si>
  <si>
    <t>DTL01706</t>
  </si>
  <si>
    <t>DTL01707</t>
  </si>
  <si>
    <t>DTL01708</t>
  </si>
  <si>
    <t>DTL01709</t>
  </si>
  <si>
    <t>DTL01710</t>
  </si>
  <si>
    <t>DTL01711</t>
  </si>
  <si>
    <t>DTL01712</t>
  </si>
  <si>
    <t>DTL01713</t>
  </si>
  <si>
    <t>DTL01714</t>
  </si>
  <si>
    <t>DTL01715</t>
  </si>
  <si>
    <t>DTL01716</t>
  </si>
  <si>
    <t>DTL01717</t>
  </si>
  <si>
    <t>DTL01718</t>
  </si>
  <si>
    <t>DTL01719</t>
  </si>
  <si>
    <t>DTL01720</t>
  </si>
  <si>
    <t>DTL01721</t>
  </si>
  <si>
    <t>DTL01722</t>
  </si>
  <si>
    <t>DTL01723</t>
  </si>
  <si>
    <t>DTL01724</t>
  </si>
  <si>
    <t>DTL01725</t>
  </si>
  <si>
    <t>DTL01726</t>
  </si>
  <si>
    <t>DTL01727</t>
  </si>
  <si>
    <t>DTL01728</t>
  </si>
  <si>
    <t>DTL01729</t>
  </si>
  <si>
    <t>DTL01730</t>
  </si>
  <si>
    <t>DTL01731</t>
  </si>
  <si>
    <t>DTL01732</t>
  </si>
  <si>
    <t>DTL01733</t>
  </si>
  <si>
    <t>DTL01734</t>
  </si>
  <si>
    <t>DTL01735</t>
  </si>
  <si>
    <t>DTL01736</t>
  </si>
  <si>
    <t>DTL01737</t>
  </si>
  <si>
    <t>DTL01738</t>
  </si>
  <si>
    <t>DTL01739</t>
  </si>
  <si>
    <t>DTL01740</t>
  </si>
  <si>
    <t>DTL01741</t>
  </si>
  <si>
    <t>DTL01742</t>
  </si>
  <si>
    <t>DTL01743</t>
  </si>
  <si>
    <t>DTL01744</t>
  </si>
  <si>
    <t>DTL01745</t>
  </si>
  <si>
    <t>DTL01746</t>
  </si>
  <si>
    <t>DTL01747</t>
  </si>
  <si>
    <t>DTL01748</t>
  </si>
  <si>
    <t>DTL01749</t>
  </si>
  <si>
    <t>DTL01750</t>
  </si>
  <si>
    <t>DTL01751</t>
  </si>
  <si>
    <t>DTL01752</t>
  </si>
  <si>
    <t>DTL01753</t>
  </si>
  <si>
    <t>DTL01754</t>
  </si>
  <si>
    <t>DTL01755</t>
  </si>
  <si>
    <t>DTL01756</t>
  </si>
  <si>
    <t>DTL01757</t>
  </si>
  <si>
    <t>DTL01758</t>
  </si>
  <si>
    <t>DTL01759</t>
  </si>
  <si>
    <t>DTL01760</t>
  </si>
  <si>
    <t>DTL01761</t>
  </si>
  <si>
    <t>DTL01762</t>
  </si>
  <si>
    <t>DTL01763</t>
  </si>
  <si>
    <t>DTL01764</t>
  </si>
  <si>
    <t>DTL01765</t>
  </si>
  <si>
    <t>DTL01766</t>
  </si>
  <si>
    <t>DTL01767</t>
  </si>
  <si>
    <t>DTL01768</t>
  </si>
  <si>
    <t>DTL01769</t>
  </si>
  <si>
    <t>DTL01770</t>
  </si>
  <si>
    <t>DTL01771</t>
  </si>
  <si>
    <t>DTL01772</t>
  </si>
  <si>
    <t>DTL01773</t>
  </si>
  <si>
    <t>DTL01774</t>
  </si>
  <si>
    <t>DTL01775</t>
  </si>
  <si>
    <t>DTL01776</t>
  </si>
  <si>
    <t>DTL01777</t>
  </si>
  <si>
    <t>DTL01778</t>
  </si>
  <si>
    <t>DTL01779</t>
  </si>
  <si>
    <t>DTL01780</t>
  </si>
  <si>
    <t>DTL01781</t>
  </si>
  <si>
    <t>DTL01782</t>
  </si>
  <si>
    <t>DTL01783</t>
  </si>
  <si>
    <t>DTL01784</t>
  </si>
  <si>
    <t>DTL01785</t>
  </si>
  <si>
    <t>DTL01786</t>
  </si>
  <si>
    <t>DTL01787</t>
  </si>
  <si>
    <t>DTL01788</t>
  </si>
  <si>
    <t>DTL01789</t>
  </si>
  <si>
    <t>DTL01790</t>
  </si>
  <si>
    <t>DTL01791</t>
  </si>
  <si>
    <t>DTL01792</t>
  </si>
  <si>
    <t>DTL01793</t>
  </si>
  <si>
    <t>DTL01794</t>
  </si>
  <si>
    <t>DTL01795</t>
  </si>
  <si>
    <t>DTL01796</t>
  </si>
  <si>
    <t>DTL01797</t>
  </si>
  <si>
    <t>DTL01798</t>
  </si>
  <si>
    <t>DTL01799</t>
  </si>
  <si>
    <t>DTL01800</t>
  </si>
  <si>
    <t>DTL01801</t>
  </si>
  <si>
    <t>DTL01802</t>
  </si>
  <si>
    <t>DTL01803</t>
  </si>
  <si>
    <t>DTL01804</t>
  </si>
  <si>
    <t>DTL01805</t>
  </si>
  <si>
    <t>DTL01806</t>
  </si>
  <si>
    <t>DTL01807</t>
  </si>
  <si>
    <t>DTL01808</t>
  </si>
  <si>
    <t>DTL01809</t>
  </si>
  <si>
    <t>DTL01810</t>
  </si>
  <si>
    <t>DTL01811</t>
  </si>
  <si>
    <t>DTL01812</t>
  </si>
  <si>
    <t>DTL01813</t>
  </si>
  <si>
    <t>DTL01814</t>
  </si>
  <si>
    <t>DTL01815</t>
  </si>
  <si>
    <t>DTL01816</t>
  </si>
  <si>
    <t>DTL01817</t>
  </si>
  <si>
    <t>DTL01818</t>
  </si>
  <si>
    <t>DTL01819</t>
  </si>
  <si>
    <t>DTL01820</t>
  </si>
  <si>
    <t>DTL01821</t>
  </si>
  <si>
    <t>DTL01822</t>
  </si>
  <si>
    <t>DTL01823</t>
  </si>
  <si>
    <t>DTL01824</t>
  </si>
  <si>
    <t>DTL01825</t>
  </si>
  <si>
    <t>DTL01826</t>
  </si>
  <si>
    <t>DTL01827</t>
  </si>
  <si>
    <t>DTL01828</t>
  </si>
  <si>
    <t>DTL01829</t>
  </si>
  <si>
    <t>DTL01830</t>
  </si>
  <si>
    <t>DTL01831</t>
  </si>
  <si>
    <t>DTL01832</t>
  </si>
  <si>
    <t>DTL01833</t>
  </si>
  <si>
    <t>DTL01834</t>
  </si>
  <si>
    <t>DTL01835</t>
  </si>
  <si>
    <t>DTL01836</t>
  </si>
  <si>
    <t>DTL01837</t>
  </si>
  <si>
    <t>DTL01838</t>
  </si>
  <si>
    <t>DTL01839</t>
  </si>
  <si>
    <t>DTL01840</t>
  </si>
  <si>
    <t>DTL01841</t>
  </si>
  <si>
    <t>DTL01842</t>
  </si>
  <si>
    <t>DTL01843</t>
  </si>
  <si>
    <t>DTL01844</t>
  </si>
  <si>
    <t>DTL01845</t>
  </si>
  <si>
    <t>DTL01846</t>
  </si>
  <si>
    <t>DTL01847</t>
  </si>
  <si>
    <t>DTL01848</t>
  </si>
  <si>
    <t>DTL01849</t>
  </si>
  <si>
    <t>DTL01850</t>
  </si>
  <si>
    <t>DTL01851</t>
  </si>
  <si>
    <t>DTL01852</t>
  </si>
  <si>
    <t>DTL01853</t>
  </si>
  <si>
    <t>DTL01854</t>
  </si>
  <si>
    <t>DTL01855</t>
  </si>
  <si>
    <t>DTL01856</t>
  </si>
  <si>
    <t>DTL01857</t>
  </si>
  <si>
    <t>DTL01858</t>
  </si>
  <si>
    <t>DTL01859</t>
  </si>
  <si>
    <t>DTL01860</t>
  </si>
  <si>
    <t>DTL01861</t>
  </si>
  <si>
    <t>DTL01862</t>
  </si>
  <si>
    <t>DTL01863</t>
  </si>
  <si>
    <t>DTL01864</t>
  </si>
  <si>
    <t>DTL01865</t>
  </si>
  <si>
    <t>DTL01866</t>
  </si>
  <si>
    <t>DTL01867</t>
  </si>
  <si>
    <t>DTL01868</t>
  </si>
  <si>
    <t>DTL01869</t>
  </si>
  <si>
    <t>DTL01870</t>
  </si>
  <si>
    <t>DTL01871</t>
  </si>
  <si>
    <t>DTL01872</t>
  </si>
  <si>
    <t>DTL01873</t>
  </si>
  <si>
    <t>DTL01874</t>
  </si>
  <si>
    <t>DTL01875</t>
  </si>
  <si>
    <t>DTL01876</t>
  </si>
  <si>
    <t>DTL01877</t>
  </si>
  <si>
    <t>DTL01878</t>
  </si>
  <si>
    <t>DTL01879</t>
  </si>
  <si>
    <t>DTL01880</t>
  </si>
  <si>
    <t>DTL01881</t>
  </si>
  <si>
    <t>DTL01882</t>
  </si>
  <si>
    <t>DTL01883</t>
  </si>
  <si>
    <t>DTL01884</t>
  </si>
  <si>
    <t>DTL01885</t>
  </si>
  <si>
    <t>DTL01886</t>
  </si>
  <si>
    <t>DTL01887</t>
  </si>
  <si>
    <t>DTL01888</t>
  </si>
  <si>
    <t>DTL01889</t>
  </si>
  <si>
    <t>DTL01890</t>
  </si>
  <si>
    <t>DTL01891</t>
  </si>
  <si>
    <t>DTL01892</t>
  </si>
  <si>
    <t>DTL01893</t>
  </si>
  <si>
    <t>DTL01894</t>
  </si>
  <si>
    <t>DTL01895</t>
  </si>
  <si>
    <t>DTL01896</t>
  </si>
  <si>
    <t>DTL01897</t>
  </si>
  <si>
    <t>DTL01898</t>
  </si>
  <si>
    <t>DTL01899</t>
  </si>
  <si>
    <t>DTL01900</t>
  </si>
  <si>
    <t>DTL01901</t>
  </si>
  <si>
    <t>DTL01902</t>
  </si>
  <si>
    <t>DTL01903</t>
  </si>
  <si>
    <t>DTL01904</t>
  </si>
  <si>
    <t>DTL01905</t>
  </si>
  <si>
    <t>DTL01906</t>
  </si>
  <si>
    <t>DTL01907</t>
  </si>
  <si>
    <t>DTL01908</t>
  </si>
  <si>
    <t>DTL01909</t>
  </si>
  <si>
    <t>DTL01910</t>
  </si>
  <si>
    <t>DTL01911</t>
  </si>
  <si>
    <t>DTL01912</t>
  </si>
  <si>
    <t>DTL01913</t>
  </si>
  <si>
    <t>DTL01914</t>
  </si>
  <si>
    <t>DTL01915</t>
  </si>
  <si>
    <t>DTL01916</t>
  </si>
  <si>
    <t>DTL01917</t>
  </si>
  <si>
    <t>DTL01918</t>
  </si>
  <si>
    <t>DTL01919</t>
  </si>
  <si>
    <t>DTL01920</t>
  </si>
  <si>
    <t>DTL01921</t>
  </si>
  <si>
    <t>DTL01922</t>
  </si>
  <si>
    <t>DTL01923</t>
  </si>
  <si>
    <t>DTL01924</t>
  </si>
  <si>
    <t>DTL01925</t>
  </si>
  <si>
    <t>DTL01926</t>
  </si>
  <si>
    <t>DTL01927</t>
  </si>
  <si>
    <t>DTL01928</t>
  </si>
  <si>
    <t>DTL01929</t>
  </si>
  <si>
    <t>DTL01930</t>
  </si>
  <si>
    <t>DTL01931</t>
  </si>
  <si>
    <t>DTL01932</t>
  </si>
  <si>
    <t>DTL01933</t>
  </si>
  <si>
    <t>DTL01934</t>
  </si>
  <si>
    <t>DTL01935</t>
  </si>
  <si>
    <t>DTL01936</t>
  </si>
  <si>
    <t>DTL01937</t>
  </si>
  <si>
    <t>DTL01938</t>
  </si>
  <si>
    <t>DTL01939</t>
  </si>
  <si>
    <t>DTL01940</t>
  </si>
  <si>
    <t>DTL01941</t>
  </si>
  <si>
    <t>DTL01942</t>
  </si>
  <si>
    <t>DTL01943</t>
  </si>
  <si>
    <t>DTL01944</t>
  </si>
  <si>
    <t>DTL01945</t>
  </si>
  <si>
    <t>DTL01946</t>
  </si>
  <si>
    <t>DTL01947</t>
  </si>
  <si>
    <t>DTL01948</t>
  </si>
  <si>
    <t>DTL01949</t>
  </si>
  <si>
    <t>DTL01950</t>
  </si>
  <si>
    <t>DTL01951</t>
  </si>
  <si>
    <t>DTL01952</t>
  </si>
  <si>
    <t>DTL01953</t>
  </si>
  <si>
    <t>DTL01954</t>
  </si>
  <si>
    <t>DTL01955</t>
  </si>
  <si>
    <t>DTL01956</t>
  </si>
  <si>
    <t>DTL01957</t>
  </si>
  <si>
    <t>DTL01958</t>
  </si>
  <si>
    <t>DTL01959</t>
  </si>
  <si>
    <t>DTL01960</t>
  </si>
  <si>
    <t>DTL01961</t>
  </si>
  <si>
    <t>DTL01962</t>
  </si>
  <si>
    <t>DTL01963</t>
  </si>
  <si>
    <t>DTL01964</t>
  </si>
  <si>
    <t>DTL01965</t>
  </si>
  <si>
    <t>DTL01966</t>
  </si>
  <si>
    <t>DTL01967</t>
  </si>
  <si>
    <t>DTL01968</t>
  </si>
  <si>
    <t>DTL01969</t>
  </si>
  <si>
    <t>DTL01970</t>
  </si>
  <si>
    <t>DTL01971</t>
  </si>
  <si>
    <t>DTL01972</t>
  </si>
  <si>
    <t>DTL01973</t>
  </si>
  <si>
    <t>DTL01974</t>
  </si>
  <si>
    <t>DTL01975</t>
  </si>
  <si>
    <t>DTL01976</t>
  </si>
  <si>
    <t>DTL01977</t>
  </si>
  <si>
    <t>DTL01978</t>
  </si>
  <si>
    <t>DTL01979</t>
  </si>
  <si>
    <t>DTL01980</t>
  </si>
  <si>
    <t>DTL01981</t>
  </si>
  <si>
    <t>DTL01982</t>
  </si>
  <si>
    <t>DTL01983</t>
  </si>
  <si>
    <t>DTL01984</t>
  </si>
  <si>
    <t>DTL01985</t>
  </si>
  <si>
    <t>DTL01986</t>
  </si>
  <si>
    <t>DTL01987</t>
  </si>
  <si>
    <t>DTL01988</t>
  </si>
  <si>
    <t>DTL01989</t>
  </si>
  <si>
    <t>DTL01990</t>
  </si>
  <si>
    <t>DTL01991</t>
  </si>
  <si>
    <t>DTL01992</t>
  </si>
  <si>
    <t>DTL01993</t>
  </si>
  <si>
    <t>DTL01994</t>
  </si>
  <si>
    <t>DTL01995</t>
  </si>
  <si>
    <t>DTL01996</t>
  </si>
  <si>
    <t>DTL01997</t>
  </si>
  <si>
    <t>DTL01998</t>
  </si>
  <si>
    <t>DTL01999</t>
  </si>
  <si>
    <t>DTL02000</t>
  </si>
  <si>
    <t>DTL02001</t>
  </si>
  <si>
    <t>DTL02002</t>
  </si>
  <si>
    <t>DTL02003</t>
  </si>
  <si>
    <t>DTL02004</t>
  </si>
  <si>
    <t>DTL02005</t>
  </si>
  <si>
    <t>DTL02006</t>
  </si>
  <si>
    <t>DTL02007</t>
  </si>
  <si>
    <t>DTL02008</t>
  </si>
  <si>
    <t>DTL02009</t>
  </si>
  <si>
    <t>DTL02010</t>
  </si>
  <si>
    <t>DTL02011</t>
  </si>
  <si>
    <t>DTL02012</t>
  </si>
  <si>
    <t>DTL02013</t>
  </si>
  <si>
    <t>DTL02014</t>
  </si>
  <si>
    <t>DTL02015</t>
  </si>
  <si>
    <t>DTL02016</t>
  </si>
  <si>
    <t>DTL02017</t>
  </si>
  <si>
    <t>DTL02018</t>
  </si>
  <si>
    <t>DTL02019</t>
  </si>
  <si>
    <t>DTL02020</t>
  </si>
  <si>
    <t>DTL02021</t>
  </si>
  <si>
    <t>DTL02022</t>
  </si>
  <si>
    <t>DTL02023</t>
  </si>
  <si>
    <t>DTL02024</t>
  </si>
  <si>
    <t>DTL02025</t>
  </si>
  <si>
    <t>DTL02026</t>
  </si>
  <si>
    <t>DTL02027</t>
  </si>
  <si>
    <t>DTL02028</t>
  </si>
  <si>
    <t>DTL02029</t>
  </si>
  <si>
    <t>DTL02030</t>
  </si>
  <si>
    <t>DTL02031</t>
  </si>
  <si>
    <t>DTL02032</t>
  </si>
  <si>
    <t>DTL02033</t>
  </si>
  <si>
    <t>DTL02034</t>
  </si>
  <si>
    <t>DTL02035</t>
  </si>
  <si>
    <t>DTL02036</t>
  </si>
  <si>
    <t>DTL02037</t>
  </si>
  <si>
    <t>DTL02038</t>
  </si>
  <si>
    <t>DTL02039</t>
  </si>
  <si>
    <t>DTL02040</t>
  </si>
  <si>
    <t>DTL02041</t>
  </si>
  <si>
    <t>DTL02042</t>
  </si>
  <si>
    <t>DTL02043</t>
  </si>
  <si>
    <t>DTL02044</t>
  </si>
  <si>
    <t>DTL02045</t>
  </si>
  <si>
    <t>DTL02046</t>
  </si>
  <si>
    <t>DTL02047</t>
  </si>
  <si>
    <t>DTL02048</t>
  </si>
  <si>
    <t>DTL02049</t>
  </si>
  <si>
    <t>DTL02050</t>
  </si>
  <si>
    <t>DTL02051</t>
  </si>
  <si>
    <t>DTL02052</t>
  </si>
  <si>
    <t>DTL02053</t>
  </si>
  <si>
    <t>DTL02054</t>
  </si>
  <si>
    <t>DTL02055</t>
  </si>
  <si>
    <t>DTL02056</t>
  </si>
  <si>
    <t>DTL02057</t>
  </si>
  <si>
    <t>DTL02058</t>
  </si>
  <si>
    <t>DTL02059</t>
  </si>
  <si>
    <t>DTL02060</t>
  </si>
  <si>
    <t>DTL02061</t>
  </si>
  <si>
    <t>DTL02062</t>
  </si>
  <si>
    <t>DTL02063</t>
  </si>
  <si>
    <t>DTL02064</t>
  </si>
  <si>
    <t>DTL02065</t>
  </si>
  <si>
    <t>DTL02066</t>
  </si>
  <si>
    <t>DTL02067</t>
  </si>
  <si>
    <t>DTL02068</t>
  </si>
  <si>
    <t>DTL02069</t>
  </si>
  <si>
    <t>DTL02070</t>
  </si>
  <si>
    <t>DTL02071</t>
  </si>
  <si>
    <t>DTL02072</t>
  </si>
  <si>
    <t>DTL02073</t>
  </si>
  <si>
    <t>DTL02074</t>
  </si>
  <si>
    <t>DTL02075</t>
  </si>
  <si>
    <t>DTL02076</t>
  </si>
  <si>
    <t>DTL02077</t>
  </si>
  <si>
    <t>DTL02078</t>
  </si>
  <si>
    <t>DTL02079</t>
  </si>
  <si>
    <t>DTL02080</t>
  </si>
  <si>
    <t>DTL02081</t>
  </si>
  <si>
    <t>DTL02082</t>
  </si>
  <si>
    <t>DTL02083</t>
  </si>
  <si>
    <t>DTL02084</t>
  </si>
  <si>
    <t>DTL02085</t>
  </si>
  <si>
    <t>DTL02086</t>
  </si>
  <si>
    <t>DTL02087</t>
  </si>
  <si>
    <t>DTL02088</t>
  </si>
  <si>
    <t>DTL02089</t>
  </si>
  <si>
    <t>DTL02090</t>
  </si>
  <si>
    <t>DTL02091</t>
  </si>
  <si>
    <t>DTL02092</t>
  </si>
  <si>
    <t>DTL02093</t>
  </si>
  <si>
    <t>DTL02094</t>
  </si>
  <si>
    <t>DTL02095</t>
  </si>
  <si>
    <t>DTL02096</t>
  </si>
  <si>
    <t>DTL02097</t>
  </si>
  <si>
    <t>DTL02098</t>
  </si>
  <si>
    <t>DTL02099</t>
  </si>
  <si>
    <t>nama_menu</t>
  </si>
  <si>
    <t>kategori</t>
  </si>
  <si>
    <t>harga_modal</t>
  </si>
  <si>
    <t>harga_jual</t>
  </si>
  <si>
    <t>Nasi Goreng Spesial</t>
  </si>
  <si>
    <t>Makanan</t>
  </si>
  <si>
    <t>Mie Goreng Jawa</t>
  </si>
  <si>
    <t>Ayam Geprek Sambal Bawang</t>
  </si>
  <si>
    <t>Soto Ayam Lamongan</t>
  </si>
  <si>
    <t>Nasi Padang Rendang</t>
  </si>
  <si>
    <t>Gado-Gado Jakarta</t>
  </si>
  <si>
    <t>Sate Ayam 10 Tusuk</t>
  </si>
  <si>
    <t>Bakso Urat Spesial</t>
  </si>
  <si>
    <t>Nasi Uduk Komplit</t>
  </si>
  <si>
    <t>Pecel Lele</t>
  </si>
  <si>
    <t>Capcay Seafood</t>
  </si>
  <si>
    <t>Nasi Campur Bali</t>
  </si>
  <si>
    <t>Es Teh Manis</t>
  </si>
  <si>
    <t>Minuman</t>
  </si>
  <si>
    <t>Es Jeruk Peras</t>
  </si>
  <si>
    <t>Kopi Hitam Tubruk</t>
  </si>
  <si>
    <t>Es Kopi Susu Gula Aren</t>
  </si>
  <si>
    <t>Jus Alpukat</t>
  </si>
  <si>
    <t>Teh Tarik</t>
  </si>
  <si>
    <t>Air Mineral Botol</t>
  </si>
  <si>
    <t>Es Campur</t>
  </si>
  <si>
    <t>Tahu Isi Goreng (5pcs)</t>
  </si>
  <si>
    <t>Snack</t>
  </si>
  <si>
    <t>Pisang Goreng Keju (4pcs)</t>
  </si>
  <si>
    <t>Kerupuk Udang</t>
  </si>
  <si>
    <t>Tempe Mendoan (5pcs)</t>
  </si>
  <si>
    <t>nama_cabang</t>
  </si>
  <si>
    <t>kota</t>
  </si>
  <si>
    <t>Warung Selera Nusantara - Margonda</t>
  </si>
  <si>
    <t>Depok</t>
  </si>
  <si>
    <t>Warung Selera Nusantara - Dago</t>
  </si>
  <si>
    <t>Bandung</t>
  </si>
  <si>
    <t>Warung Selera Nusantara - Sudirman</t>
  </si>
  <si>
    <t>Jakarta</t>
  </si>
  <si>
    <t>Warung Selera Nusantara - Tunjungan</t>
  </si>
  <si>
    <t>Surabaya</t>
  </si>
  <si>
    <t>Row Labels</t>
  </si>
  <si>
    <t>Grand Total</t>
  </si>
  <si>
    <t>Count of transaction_id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</si>
  <si>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</si>
  <si>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</si>
  <si>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</si>
  <si>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</si>
  <si>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</si>
  <si>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</si>
  <si>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</si>
  <si>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</si>
  <si>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</si>
  <si>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</si>
  <si>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</si>
  <si>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</si>
  <si>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</si>
  <si>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</si>
  <si>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</si>
  <si>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nama_hari</t>
  </si>
  <si>
    <t>Friday</t>
  </si>
  <si>
    <t>Monday</t>
  </si>
  <si>
    <t>Saturday</t>
  </si>
  <si>
    <t>Sunday</t>
  </si>
  <si>
    <t>Thursday</t>
  </si>
  <si>
    <t>Tuesday</t>
  </si>
  <si>
    <t>Wednesday</t>
  </si>
  <si>
    <t>revenue</t>
  </si>
  <si>
    <t>harga modal</t>
  </si>
  <si>
    <t>profit</t>
  </si>
  <si>
    <t>Sum of revenue</t>
  </si>
  <si>
    <t>Sum of qty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</si>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</sst>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B565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5651D"/>
        <bgColor rgb="FFB5651D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165" fontId="2" fillId="0" borderId="8" xfId="0" applyNumberFormat="1" applyFont="1" applyBorder="1"/>
    <xf numFmtId="0" fontId="2" fillId="0" borderId="9" xfId="0" applyFont="1" applyBorder="1"/>
    <xf numFmtId="0" fontId="0" fillId="0" borderId="0" xfId="0" pivotButton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B5651D"/>
          <bgColor rgb="FFB5651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yyyy\-mm\-dd\ hh:mm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880889814813" createdVersion="7" refreshedVersion="7" minRefreshableVersion="3" recordCount="2100" xr:uid="{11188DE7-0B01-46FD-A7D8-9F72C8050284}">
  <cacheSource type="worksheet">
    <worksheetSource ref="A1:I2101" sheet="transaksi_detail"/>
  </cacheSource>
  <cacheFields count="9">
    <cacheField name="detail_id" numFmtId="0">
      <sharedItems/>
    </cacheField>
    <cacheField name="transaction_id" numFmtId="0">
      <sharedItems/>
    </cacheField>
    <cacheField name="menu_id" numFmtId="0">
      <sharedItems/>
    </cacheField>
    <cacheField name="qty" numFmtId="0">
      <sharedItems containsSemiMixedTypes="0" containsString="0" containsNumber="1" containsInteger="1" minValue="1" maxValue="3"/>
    </cacheField>
    <cacheField name="harga_satuan" numFmtId="3">
      <sharedItems containsSemiMixedTypes="0" containsString="0" containsNumber="1" containsInteger="1" minValue="5000" maxValue="32000"/>
    </cacheField>
    <cacheField name="nama_menu" numFmtId="0">
      <sharedItems count="24">
        <s v="Es Kopi Susu Gula Aren"/>
        <s v="Tempe Mendoan (5pcs)"/>
        <s v="Air Mineral Botol"/>
        <s v="Nasi Uduk Komplit"/>
        <s v="Ayam Geprek Sambal Bawang"/>
        <s v="Es Jeruk Peras"/>
        <s v="Teh Tarik"/>
        <s v="Pecel Lele"/>
        <s v="Sate Ayam 10 Tusuk"/>
        <s v="Jus Alpukat"/>
        <s v="Kopi Hitam Tubruk"/>
        <s v="Gado-Gado Jakarta"/>
        <s v="Mie Goreng Jawa"/>
        <s v="Kerupuk Udang"/>
        <s v="Soto Ayam Lamongan"/>
        <s v="Nasi Campur Bali"/>
        <s v="Tahu Isi Goreng (5pcs)"/>
        <s v="Pisang Goreng Keju (4pcs)"/>
        <s v="Nasi Padang Rendang"/>
        <s v="Es Campur"/>
        <s v="Capcay Seafood"/>
        <s v="Bakso Urat Spesial"/>
        <s v="Es Teh Manis"/>
        <s v="Nasi Goreng Spesial"/>
      </sharedItems>
    </cacheField>
    <cacheField name="revenue" numFmtId="0">
      <sharedItems containsSemiMixedTypes="0" containsString="0" containsNumber="1" containsInteger="1" minValue="5000" maxValue="96000"/>
    </cacheField>
    <cacheField name="harga modal" numFmtId="0">
      <sharedItems containsSemiMixedTypes="0" containsString="0" containsNumber="1" containsInteger="1" minValue="1500" maxValue="14000"/>
    </cacheField>
    <cacheField name="profit" numFmtId="0">
      <sharedItems containsSemiMixedTypes="0" containsString="0" containsNumber="1" containsInteger="1" minValue="3000" maxValue="5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4.880890162036" createdVersion="7" refreshedVersion="7" minRefreshableVersion="3" recordCount="850" xr:uid="{1EC3D7FC-267A-4C7B-84CA-4DF9840C6FAE}">
  <cacheSource type="worksheet">
    <worksheetSource name="Table1"/>
  </cacheSource>
  <cacheFields count="7">
    <cacheField name="transaction_id" numFmtId="0">
      <sharedItems/>
    </cacheField>
    <cacheField name="cabang_id" numFmtId="0">
      <sharedItems/>
    </cacheField>
    <cacheField name="tanggal" numFmtId="165">
      <sharedItems containsSemiMixedTypes="0" containsNonDate="0" containsDate="1" containsString="0" minDate="2025-01-01T08:48:00" maxDate="2025-12-31T13:50:00" count="849">
        <d v="2025-01-01T08:48:00"/>
        <d v="2025-01-01T11:21:00"/>
        <d v="2025-01-01T17:05:00"/>
        <d v="2025-01-01T19:34:00"/>
        <d v="2025-01-03T19:52:00"/>
        <d v="2025-01-03T19:59:00"/>
        <d v="2025-01-04T09:27:00"/>
        <d v="2025-01-04T13:20:00"/>
        <d v="2025-01-04T13:47:00"/>
        <d v="2025-01-05T16:07:00"/>
        <d v="2025-01-06T11:52:00"/>
        <d v="2025-01-06T12:16:00"/>
        <d v="2025-01-06T15:04:00"/>
        <d v="2025-01-07T10:37:00"/>
        <d v="2025-01-08T12:09:00"/>
        <d v="2025-01-08T14:57:00"/>
        <d v="2025-01-08T18:47:00"/>
        <d v="2025-01-09T12:37:00"/>
        <d v="2025-01-09T14:32:00"/>
        <d v="2025-01-10T12:24:00"/>
        <d v="2025-01-11T12:46:00"/>
        <d v="2025-01-11T20:56:00"/>
        <d v="2025-01-11T21:43:00"/>
        <d v="2025-01-12T18:28:00"/>
        <d v="2025-01-12T19:27:00"/>
        <d v="2025-01-12T19:36:00"/>
        <d v="2025-01-12T20:56:00"/>
        <d v="2025-01-13T10:19:00"/>
        <d v="2025-01-13T20:15:00"/>
        <d v="2025-01-16T13:40:00"/>
        <d v="2025-01-16T20:59:00"/>
        <d v="2025-01-16T21:14:00"/>
        <d v="2025-01-16T21:33:00"/>
        <d v="2025-01-17T14:06:00"/>
        <d v="2025-01-17T17:00:00"/>
        <d v="2025-01-18T14:55:00"/>
        <d v="2025-01-18T20:18:00"/>
        <d v="2025-01-19T15:16:00"/>
        <d v="2025-01-19T19:46:00"/>
        <d v="2025-01-19T20:06:00"/>
        <d v="2025-01-20T19:09:00"/>
        <d v="2025-01-21T10:40:00"/>
        <d v="2025-01-21T11:35:00"/>
        <d v="2025-01-21T11:38:00"/>
        <d v="2025-01-21T18:41:00"/>
        <d v="2025-01-21T19:08:00"/>
        <d v="2025-01-22T11:09:00"/>
        <d v="2025-01-22T12:19:00"/>
        <d v="2025-01-22T18:33:00"/>
        <d v="2025-01-23T12:16:00"/>
        <d v="2025-01-23T12:45:00"/>
        <d v="2025-01-23T15:39:00"/>
        <d v="2025-01-24T12:08:00"/>
        <d v="2025-01-24T12:37:00"/>
        <d v="2025-01-24T17:10:00"/>
        <d v="2025-01-24T20:58:00"/>
        <d v="2025-01-25T09:23:00"/>
        <d v="2025-01-25T09:32:00"/>
        <d v="2025-01-25T11:13:00"/>
        <d v="2025-01-25T13:43:00"/>
        <d v="2025-01-25T17:23:00"/>
        <d v="2025-01-25T18:33:00"/>
        <d v="2025-01-25T20:03:00"/>
        <d v="2025-01-25T20:14:00"/>
        <d v="2025-01-26T12:40:00"/>
        <d v="2025-01-28T10:33:00"/>
        <d v="2025-01-28T20:55:00"/>
        <d v="2025-01-28T21:31:00"/>
        <d v="2025-01-29T19:22:00"/>
        <d v="2025-01-30T11:17:00"/>
        <d v="2025-01-30T13:28:00"/>
        <d v="2025-01-31T16:28:00"/>
        <d v="2025-02-01T08:25:00"/>
        <d v="2025-02-01T09:13:00"/>
        <d v="2025-02-01T11:26:00"/>
        <d v="2025-02-01T17:43:00"/>
        <d v="2025-02-01T18:41:00"/>
        <d v="2025-02-01T20:06:00"/>
        <d v="2025-02-01T20:47:00"/>
        <d v="2025-02-02T12:40:00"/>
        <d v="2025-02-02T16:39:00"/>
        <d v="2025-02-02T19:39:00"/>
        <d v="2025-02-02T20:21:00"/>
        <d v="2025-02-02T20:37:00"/>
        <d v="2025-02-03T07:44:00"/>
        <d v="2025-02-03T13:30:00"/>
        <d v="2025-02-03T16:14:00"/>
        <d v="2025-02-04T11:31:00"/>
        <d v="2025-02-04T18:24:00"/>
        <d v="2025-02-06T11:45:00"/>
        <d v="2025-02-07T20:01:00"/>
        <d v="2025-02-08T08:33:00"/>
        <d v="2025-02-09T09:43:00"/>
        <d v="2025-02-09T12:28:00"/>
        <d v="2025-02-09T21:36:00"/>
        <d v="2025-02-10T12:19:00"/>
        <d v="2025-02-10T18:22:00"/>
        <d v="2025-02-11T12:46:00"/>
        <d v="2025-02-11T13:14:00"/>
        <d v="2025-02-11T17:44:00"/>
        <d v="2025-02-11T19:11:00"/>
        <d v="2025-02-11T19:38:00"/>
        <d v="2025-02-13T13:33:00"/>
        <d v="2025-02-13T13:35:00"/>
        <d v="2025-02-13T19:47:00"/>
        <d v="2025-02-14T18:41:00"/>
        <d v="2025-02-14T19:30:00"/>
        <d v="2025-02-14T19:47:00"/>
        <d v="2025-02-15T17:37:00"/>
        <d v="2025-02-15T20:07:00"/>
        <d v="2025-02-16T11:40:00"/>
        <d v="2025-02-16T13:16:00"/>
        <d v="2025-02-16T17:18:00"/>
        <d v="2025-02-16T17:32:00"/>
        <d v="2025-02-16T18:17:00"/>
        <d v="2025-02-16T19:57:00"/>
        <d v="2025-02-16T20:03:00"/>
        <d v="2025-02-17T10:20:00"/>
        <d v="2025-02-17T11:34:00"/>
        <d v="2025-02-17T20:19:00"/>
        <d v="2025-02-18T13:03:00"/>
        <d v="2025-02-18T19:50:00"/>
        <d v="2025-02-18T21:31:00"/>
        <d v="2025-02-19T11:45:00"/>
        <d v="2025-02-19T13:24:00"/>
        <d v="2025-02-20T12:07:00"/>
        <d v="2025-02-20T12:32:00"/>
        <d v="2025-02-20T12:45:00"/>
        <d v="2025-02-21T12:55:00"/>
        <d v="2025-02-21T16:02:00"/>
        <d v="2025-02-21T19:54:00"/>
        <d v="2025-02-22T11:42:00"/>
        <d v="2025-02-22T12:35:00"/>
        <d v="2025-02-22T13:09:00"/>
        <d v="2025-02-22T13:49:00"/>
        <d v="2025-02-22T18:56:00"/>
        <d v="2025-02-23T11:35:00"/>
        <d v="2025-02-23T12:25:00"/>
        <d v="2025-02-23T12:34:00"/>
        <d v="2025-02-23T19:17:00"/>
        <d v="2025-02-24T11:56:00"/>
        <d v="2025-02-24T15:34:00"/>
        <d v="2025-02-24T18:13:00"/>
        <d v="2025-02-24T19:29:00"/>
        <d v="2025-02-25T17:58:00"/>
        <d v="2025-02-25T18:47:00"/>
        <d v="2025-02-25T19:43:00"/>
        <d v="2025-02-25T20:04:00"/>
        <d v="2025-02-26T13:56:00"/>
        <d v="2025-02-26T17:28:00"/>
        <d v="2025-02-26T20:20:00"/>
        <d v="2025-02-27T13:59:00"/>
        <d v="2025-02-27T17:19:00"/>
        <d v="2025-02-27T21:54:00"/>
        <d v="2025-02-28T18:55:00"/>
        <d v="2025-03-01T19:41:00"/>
        <d v="2025-03-01T20:16:00"/>
        <d v="2025-03-02T07:35:00"/>
        <d v="2025-03-02T16:10:00"/>
        <d v="2025-03-03T16:12:00"/>
        <d v="2025-03-04T13:27:00"/>
        <d v="2025-03-04T13:31:00"/>
        <d v="2025-03-04T15:33:00"/>
        <d v="2025-03-04T19:21:00"/>
        <d v="2025-03-05T17:48:00"/>
        <d v="2025-03-05T21:47:00"/>
        <d v="2025-03-06T10:48:00"/>
        <d v="2025-03-07T08:12:00"/>
        <d v="2025-03-07T18:23:00"/>
        <d v="2025-03-07T20:29:00"/>
        <d v="2025-03-08T08:04:00"/>
        <d v="2025-03-08T13:17:00"/>
        <d v="2025-03-09T15:02:00"/>
        <d v="2025-03-09T19:40:00"/>
        <d v="2025-03-09T19:58:00"/>
        <d v="2025-03-10T12:03:00"/>
        <d v="2025-03-10T13:05:00"/>
        <d v="2025-03-11T21:04:00"/>
        <d v="2025-03-12T16:25:00"/>
        <d v="2025-03-12T20:45:00"/>
        <d v="2025-03-13T18:55:00"/>
        <d v="2025-03-13T20:22:00"/>
        <d v="2025-03-14T11:33:00"/>
        <d v="2025-03-14T14:15:00"/>
        <d v="2025-03-14T20:24:00"/>
        <d v="2025-03-14T21:45:00"/>
        <d v="2025-03-15T09:08:00"/>
        <d v="2025-03-15T10:45:00"/>
        <d v="2025-03-15T12:47:00"/>
        <d v="2025-03-16T11:23:00"/>
        <d v="2025-03-16T11:50:00"/>
        <d v="2025-03-16T12:38:00"/>
        <d v="2025-03-16T17:24:00"/>
        <d v="2025-03-16T19:03:00"/>
        <d v="2025-03-16T21:40:00"/>
        <d v="2025-03-17T11:32:00"/>
        <d v="2025-03-18T09:17:00"/>
        <d v="2025-03-18T13:26:00"/>
        <d v="2025-03-18T13:30:00"/>
        <d v="2025-03-18T19:46:00"/>
        <d v="2025-03-19T13:09:00"/>
        <d v="2025-03-21T10:42:00"/>
        <d v="2025-03-21T10:45:00"/>
        <d v="2025-03-21T12:08:00"/>
        <d v="2025-03-22T11:07:00"/>
        <d v="2025-03-22T16:14:00"/>
        <d v="2025-03-22T18:52:00"/>
        <d v="2025-03-23T11:54:00"/>
        <d v="2025-03-23T12:38:00"/>
        <d v="2025-03-23T19:49:00"/>
        <d v="2025-03-24T11:11:00"/>
        <d v="2025-03-24T12:32:00"/>
        <d v="2025-03-24T15:59:00"/>
        <d v="2025-03-24T18:13:00"/>
        <d v="2025-03-24T19:29:00"/>
        <d v="2025-03-24T20:48:00"/>
        <d v="2025-03-24T21:09:00"/>
        <d v="2025-03-25T10:46:00"/>
        <d v="2025-03-26T14:55:00"/>
        <d v="2025-03-26T18:11:00"/>
        <d v="2025-03-28T12:26:00"/>
        <d v="2025-03-29T11:01:00"/>
        <d v="2025-03-29T11:33:00"/>
        <d v="2025-03-29T12:01:00"/>
        <d v="2025-03-29T13:18:00"/>
        <d v="2025-03-30T20:57:00"/>
        <d v="2025-03-31T16:04:00"/>
        <d v="2025-04-01T17:43:00"/>
        <d v="2025-04-02T18:07:00"/>
        <d v="2025-04-03T12:08:00"/>
        <d v="2025-04-04T09:00:00"/>
        <d v="2025-04-05T08:51:00"/>
        <d v="2025-04-05T12:37:00"/>
        <d v="2025-04-05T16:04:00"/>
        <d v="2025-04-05T21:48:00"/>
        <d v="2025-04-06T18:23:00"/>
        <d v="2025-04-06T21:09:00"/>
        <d v="2025-04-07T15:25:00"/>
        <d v="2025-04-07T19:24:00"/>
        <d v="2025-04-08T20:22:00"/>
        <d v="2025-04-09T08:51:00"/>
        <d v="2025-04-09T09:11:00"/>
        <d v="2025-04-09T13:14:00"/>
        <d v="2025-04-09T16:35:00"/>
        <d v="2025-04-10T16:14:00"/>
        <d v="2025-04-11T08:49:00"/>
        <d v="2025-04-11T09:58:00"/>
        <d v="2025-04-11T10:05:00"/>
        <d v="2025-04-11T21:57:00"/>
        <d v="2025-04-12T14:19:00"/>
        <d v="2025-04-12T18:53:00"/>
        <d v="2025-04-12T20:09:00"/>
        <d v="2025-04-13T08:52:00"/>
        <d v="2025-04-13T10:49:00"/>
        <d v="2025-04-13T13:06:00"/>
        <d v="2025-04-13T15:22:00"/>
        <d v="2025-04-13T17:28:00"/>
        <d v="2025-04-14T19:48:00"/>
        <d v="2025-04-15T10:31:00"/>
        <d v="2025-04-15T19:53:00"/>
        <d v="2025-04-16T11:32:00"/>
        <d v="2025-04-16T12:41:00"/>
        <d v="2025-04-16T13:34:00"/>
        <d v="2025-04-16T16:32:00"/>
        <d v="2025-04-17T12:49:00"/>
        <d v="2025-04-17T14:12:00"/>
        <d v="2025-04-17T17:30:00"/>
        <d v="2025-04-18T10:21:00"/>
        <d v="2025-04-18T12:05:00"/>
        <d v="2025-04-19T19:13:00"/>
        <d v="2025-04-20T13:38:00"/>
        <d v="2025-04-20T14:49:00"/>
        <d v="2025-04-20T21:47:00"/>
        <d v="2025-04-21T18:57:00"/>
        <d v="2025-04-22T11:50:00"/>
        <d v="2025-04-22T14:11:00"/>
        <d v="2025-04-22T19:32:00"/>
        <d v="2025-04-24T11:55:00"/>
        <d v="2025-04-24T15:22:00"/>
        <d v="2025-04-24T18:16:00"/>
        <d v="2025-04-25T08:33:00"/>
        <d v="2025-04-25T12:10:00"/>
        <d v="2025-04-25T13:27:00"/>
        <d v="2025-04-25T18:58:00"/>
        <d v="2025-04-28T19:24:00"/>
        <d v="2025-04-29T17:42:00"/>
        <d v="2025-04-30T11:12:00"/>
        <d v="2025-04-30T14:03:00"/>
        <d v="2025-04-30T19:28:00"/>
        <d v="2025-05-01T08:12:00"/>
        <d v="2025-05-02T12:10:00"/>
        <d v="2025-05-02T13:17:00"/>
        <d v="2025-05-03T09:51:00"/>
        <d v="2025-05-03T10:06:00"/>
        <d v="2025-05-03T14:02:00"/>
        <d v="2025-05-03T16:22:00"/>
        <d v="2025-05-03T18:06:00"/>
        <d v="2025-05-04T12:13:00"/>
        <d v="2025-05-05T13:15:00"/>
        <d v="2025-05-05T13:19:00"/>
        <d v="2025-05-05T19:10:00"/>
        <d v="2025-05-07T07:17:00"/>
        <d v="2025-05-07T09:31:00"/>
        <d v="2025-05-07T17:43:00"/>
        <d v="2025-05-08T17:41:00"/>
        <d v="2025-05-09T11:30:00"/>
        <d v="2025-05-10T10:54:00"/>
        <d v="2025-05-10T12:31:00"/>
        <d v="2025-05-10T19:25:00"/>
        <d v="2025-05-10T21:55:00"/>
        <d v="2025-05-11T12:03:00"/>
        <d v="2025-05-11T13:03:00"/>
        <d v="2025-05-11T17:42:00"/>
        <d v="2025-05-11T19:41:00"/>
        <d v="2025-05-12T10:14:00"/>
        <d v="2025-05-12T13:27:00"/>
        <d v="2025-05-14T08:15:00"/>
        <d v="2025-05-14T12:02:00"/>
        <d v="2025-05-14T12:38:00"/>
        <d v="2025-05-14T18:15:00"/>
        <d v="2025-05-15T19:34:00"/>
        <d v="2025-05-16T11:33:00"/>
        <d v="2025-05-16T13:13:00"/>
        <d v="2025-05-16T18:48:00"/>
        <d v="2025-05-17T13:36:00"/>
        <d v="2025-05-17T13:45:00"/>
        <d v="2025-05-17T19:43:00"/>
        <d v="2025-05-18T12:02:00"/>
        <d v="2025-05-18T16:16:00"/>
        <d v="2025-05-18T20:47:00"/>
        <d v="2025-05-18T21:58:00"/>
        <d v="2025-05-19T12:16:00"/>
        <d v="2025-05-19T12:42:00"/>
        <d v="2025-05-19T20:13:00"/>
        <d v="2025-05-21T13:05:00"/>
        <d v="2025-05-21T13:08:00"/>
        <d v="2025-05-23T12:57:00"/>
        <d v="2025-05-24T08:22:00"/>
        <d v="2025-05-24T12:07:00"/>
        <d v="2025-05-24T12:28:00"/>
        <d v="2025-05-24T12:41:00"/>
        <d v="2025-05-24T15:07:00"/>
        <d v="2025-05-24T16:12:00"/>
        <d v="2025-05-24T17:38:00"/>
        <d v="2025-05-25T18:37:00"/>
        <d v="2025-05-27T14:58:00"/>
        <d v="2025-05-28T14:15:00"/>
        <d v="2025-05-28T19:22:00"/>
        <d v="2025-05-29T19:04:00"/>
        <d v="2025-05-29T19:34:00"/>
        <d v="2025-05-29T19:52:00"/>
        <d v="2025-05-29T20:23:00"/>
        <d v="2025-05-30T18:48:00"/>
        <d v="2025-05-31T12:36:00"/>
        <d v="2025-05-31T12:40:00"/>
        <d v="2025-06-01T10:39:00"/>
        <d v="2025-06-01T12:09:00"/>
        <d v="2025-06-01T20:01:00"/>
        <d v="2025-06-01T20:57:00"/>
        <d v="2025-06-01T21:04:00"/>
        <d v="2025-06-02T11:48:00"/>
        <d v="2025-06-02T18:44:00"/>
        <d v="2025-06-02T19:12:00"/>
        <d v="2025-06-02T20:45:00"/>
        <d v="2025-06-03T21:40:00"/>
        <d v="2025-06-04T10:02:00"/>
        <d v="2025-06-04T10:42:00"/>
        <d v="2025-06-04T20:31:00"/>
        <d v="2025-06-05T12:47:00"/>
        <d v="2025-06-06T20:19:00"/>
        <d v="2025-06-07T11:35:00"/>
        <d v="2025-06-07T12:25:00"/>
        <d v="2025-06-07T15:14:00"/>
        <d v="2025-06-08T08:43:00"/>
        <d v="2025-06-08T14:27:00"/>
        <d v="2025-06-08T15:11:00"/>
        <d v="2025-06-09T07:07:00"/>
        <d v="2025-06-09T13:27:00"/>
        <d v="2025-06-09T18:18:00"/>
        <d v="2025-06-10T11:22:00"/>
        <d v="2025-06-10T11:44:00"/>
        <d v="2025-06-11T13:21:00"/>
        <d v="2025-06-13T21:36:00"/>
        <d v="2025-06-14T13:38:00"/>
        <d v="2025-06-14T13:55:00"/>
        <d v="2025-06-14T17:54:00"/>
        <d v="2025-06-14T18:27:00"/>
        <d v="2025-06-14T20:58:00"/>
        <d v="2025-06-15T08:31:00"/>
        <d v="2025-06-15T08:38:00"/>
        <d v="2025-06-15T12:17:00"/>
        <d v="2025-06-15T13:28:00"/>
        <d v="2025-06-16T19:32:00"/>
        <d v="2025-06-17T10:55:00"/>
        <d v="2025-06-17T12:24:00"/>
        <d v="2025-06-17T19:03:00"/>
        <d v="2025-06-19T12:53:00"/>
        <d v="2025-06-19T17:45:00"/>
        <d v="2025-06-19T19:47:00"/>
        <d v="2025-06-20T19:07:00"/>
        <d v="2025-06-21T12:16:00"/>
        <d v="2025-06-21T19:53:00"/>
        <d v="2025-06-21T21:40:00"/>
        <d v="2025-06-22T11:01:00"/>
        <d v="2025-06-23T17:11:00"/>
        <d v="2025-06-23T18:53:00"/>
        <d v="2025-06-23T21:14:00"/>
        <d v="2025-06-24T19:28:00"/>
        <d v="2025-06-25T07:56:00"/>
        <d v="2025-06-25T18:31:00"/>
        <d v="2025-06-25T21:20:00"/>
        <d v="2025-06-27T13:30:00"/>
        <d v="2025-06-28T11:03:00"/>
        <d v="2025-06-28T12:23:00"/>
        <d v="2025-06-29T14:24:00"/>
        <d v="2025-06-29T18:00:00"/>
        <d v="2025-06-29T19:45:00"/>
        <d v="2025-06-29T20:18:00"/>
        <d v="2025-06-30T13:12:00"/>
        <d v="2025-06-30T13:15:00"/>
        <d v="2025-06-30T13:35:00"/>
        <d v="2025-06-30T19:25:00"/>
        <d v="2025-06-30T19:27:00"/>
        <d v="2025-07-01T12:07:00"/>
        <d v="2025-07-01T21:33:00"/>
        <d v="2025-07-02T21:01:00"/>
        <d v="2025-07-02T21:26:00"/>
        <d v="2025-07-03T15:43:00"/>
        <d v="2025-07-03T18:00:00"/>
        <d v="2025-07-04T18:01:00"/>
        <d v="2025-07-05T12:12:00"/>
        <d v="2025-07-05T19:39:00"/>
        <d v="2025-07-05T21:48:00"/>
        <d v="2025-07-06T13:52:00"/>
        <d v="2025-07-06T17:04:00"/>
        <d v="2025-07-06T18:16:00"/>
        <d v="2025-07-06T20:25:00"/>
        <d v="2025-07-07T10:35:00"/>
        <d v="2025-07-07T19:44:00"/>
        <d v="2025-07-07T20:49:00"/>
        <d v="2025-07-08T21:25:00"/>
        <d v="2025-07-09T11:02:00"/>
        <d v="2025-07-09T20:26:00"/>
        <d v="2025-07-10T07:07:00"/>
        <d v="2025-07-10T07:45:00"/>
        <d v="2025-07-10T12:23:00"/>
        <d v="2025-07-10T13:11:00"/>
        <d v="2025-07-10T20:11:00"/>
        <d v="2025-07-10T20:54:00"/>
        <d v="2025-07-11T19:10:00"/>
        <d v="2025-07-11T19:18:00"/>
        <d v="2025-07-12T12:50:00"/>
        <d v="2025-07-12T14:35:00"/>
        <d v="2025-07-12T19:37:00"/>
        <d v="2025-07-12T20:57:00"/>
        <d v="2025-07-13T14:21:00"/>
        <d v="2025-07-13T15:03:00"/>
        <d v="2025-07-15T13:48:00"/>
        <d v="2025-07-16T08:39:00"/>
        <d v="2025-07-17T09:45:00"/>
        <d v="2025-07-17T12:41:00"/>
        <d v="2025-07-17T18:52:00"/>
        <d v="2025-07-17T19:05:00"/>
        <d v="2025-07-18T17:00:00"/>
        <d v="2025-07-19T12:44:00"/>
        <d v="2025-07-19T16:57:00"/>
        <d v="2025-07-19T21:58:00"/>
        <d v="2025-07-20T11:10:00"/>
        <d v="2025-07-20T16:15:00"/>
        <d v="2025-07-20T18:25:00"/>
        <d v="2025-07-21T11:41:00"/>
        <d v="2025-07-21T15:55:00"/>
        <d v="2025-07-22T20:47:00"/>
        <d v="2025-07-23T10:39:00"/>
        <d v="2025-07-23T12:55:00"/>
        <d v="2025-07-23T14:59:00"/>
        <d v="2025-07-24T12:25:00"/>
        <d v="2025-07-24T20:00:00"/>
        <d v="2025-07-25T09:59:00"/>
        <d v="2025-07-25T13:56:00"/>
        <d v="2025-07-25T18:40:00"/>
        <d v="2025-07-25T19:14:00"/>
        <d v="2025-07-26T21:59:00"/>
        <d v="2025-07-27T07:00:00"/>
        <d v="2025-07-27T16:58:00"/>
        <d v="2025-07-27T18:03:00"/>
        <d v="2025-07-27T19:02:00"/>
        <d v="2025-07-27T19:15:00"/>
        <d v="2025-07-27T19:23:00"/>
        <d v="2025-07-27T19:34:00"/>
        <d v="2025-07-27T21:00:00"/>
        <d v="2025-07-27T21:07:00"/>
        <d v="2025-07-28T18:02:00"/>
        <d v="2025-07-29T18:42:00"/>
        <d v="2025-07-30T13:00:00"/>
        <d v="2025-07-30T13:48:00"/>
        <d v="2025-07-31T11:47:00"/>
        <d v="2025-07-31T12:56:00"/>
        <d v="2025-07-31T14:18:00"/>
        <d v="2025-07-31T17:45:00"/>
        <d v="2025-07-31T19:40:00"/>
        <d v="2025-07-31T20:33:00"/>
        <d v="2025-08-01T11:19:00"/>
        <d v="2025-08-01T15:21:00"/>
        <d v="2025-08-02T07:57:00"/>
        <d v="2025-08-02T13:57:00"/>
        <d v="2025-08-02T18:49:00"/>
        <d v="2025-08-03T12:03:00"/>
        <d v="2025-08-03T12:08:00"/>
        <d v="2025-08-04T11:28:00"/>
        <d v="2025-08-04T12:42:00"/>
        <d v="2025-08-05T12:05:00"/>
        <d v="2025-08-05T13:03:00"/>
        <d v="2025-08-06T12:21:00"/>
        <d v="2025-08-08T20:05:00"/>
        <d v="2025-08-09T12:37:00"/>
        <d v="2025-08-09T18:08:00"/>
        <d v="2025-08-11T11:15:00"/>
        <d v="2025-08-11T12:26:00"/>
        <d v="2025-08-12T14:12:00"/>
        <d v="2025-08-13T08:10:00"/>
        <d v="2025-08-13T12:00:00"/>
        <d v="2025-08-14T10:21:00"/>
        <d v="2025-08-14T19:09:00"/>
        <d v="2025-08-15T17:42:00"/>
        <d v="2025-08-15T19:00:00"/>
        <d v="2025-08-17T11:46:00"/>
        <d v="2025-08-17T13:19:00"/>
        <d v="2025-08-17T15:23:00"/>
        <d v="2025-08-17T17:08:00"/>
        <d v="2025-08-17T19:24:00"/>
        <d v="2025-08-17T19:52:00"/>
        <d v="2025-08-18T18:04:00"/>
        <d v="2025-08-19T13:40:00"/>
        <d v="2025-08-19T16:35:00"/>
        <d v="2025-08-20T07:37:00"/>
        <d v="2025-08-20T21:06:00"/>
        <d v="2025-08-21T19:15:00"/>
        <d v="2025-08-22T11:43:00"/>
        <d v="2025-08-22T12:05:00"/>
        <d v="2025-08-22T14:38:00"/>
        <d v="2025-08-22T16:32:00"/>
        <d v="2025-08-22T16:54:00"/>
        <d v="2025-08-22T20:40:00"/>
        <d v="2025-08-23T09:01:00"/>
        <d v="2025-08-23T15:51:00"/>
        <d v="2025-08-23T19:49:00"/>
        <d v="2025-08-24T08:08:00"/>
        <d v="2025-08-24T12:24:00"/>
        <d v="2025-08-24T17:50:00"/>
        <d v="2025-08-26T13:58:00"/>
        <d v="2025-08-27T08:26:00"/>
        <d v="2025-08-27T13:32:00"/>
        <d v="2025-08-27T13:41:00"/>
        <d v="2025-08-27T19:48:00"/>
        <d v="2025-08-27T20:19:00"/>
        <d v="2025-08-28T12:06:00"/>
        <d v="2025-08-28T21:42:00"/>
        <d v="2025-08-29T12:33:00"/>
        <d v="2025-08-29T17:54:00"/>
        <d v="2025-08-29T19:13:00"/>
        <d v="2025-08-30T18:09:00"/>
        <d v="2025-08-31T13:04:00"/>
        <d v="2025-08-31T13:22:00"/>
        <d v="2025-08-31T17:13:00"/>
        <d v="2025-08-31T18:03:00"/>
        <d v="2025-08-31T19:26:00"/>
        <d v="2025-08-31T20:29:00"/>
        <d v="2025-09-01T09:40:00"/>
        <d v="2025-09-01T14:00:00"/>
        <d v="2025-09-01T19:41:00"/>
        <d v="2025-09-01T20:40:00"/>
        <d v="2025-09-02T12:06:00"/>
        <d v="2025-09-02T13:23:00"/>
        <d v="2025-09-02T13:42:00"/>
        <d v="2025-09-02T18:27:00"/>
        <d v="2025-09-03T11:16:00"/>
        <d v="2025-09-04T19:20:00"/>
        <d v="2025-09-05T11:09:00"/>
        <d v="2025-09-05T11:57:00"/>
        <d v="2025-09-05T16:32:00"/>
        <d v="2025-09-05T16:38:00"/>
        <d v="2025-09-05T20:09:00"/>
        <d v="2025-09-06T07:43:00"/>
        <d v="2025-09-06T13:10:00"/>
        <d v="2025-09-06T16:45:00"/>
        <d v="2025-09-07T15:20:00"/>
        <d v="2025-09-07T16:15:00"/>
        <d v="2025-09-07T19:03:00"/>
        <d v="2025-09-08T08:34:00"/>
        <d v="2025-09-08T16:29:00"/>
        <d v="2025-09-08T19:25:00"/>
        <d v="2025-09-09T07:29:00"/>
        <d v="2025-09-09T17:51:00"/>
        <d v="2025-09-10T11:32:00"/>
        <d v="2025-09-10T12:26:00"/>
        <d v="2025-09-10T13:49:00"/>
        <d v="2025-09-10T18:57:00"/>
        <d v="2025-09-11T07:01:00"/>
        <d v="2025-09-11T07:46:00"/>
        <d v="2025-09-12T10:51:00"/>
        <d v="2025-09-12T12:28:00"/>
        <d v="2025-09-12T14:53:00"/>
        <d v="2025-09-12T20:28:00"/>
        <d v="2025-09-13T11:05:00"/>
        <d v="2025-09-13T12:23:00"/>
        <d v="2025-09-13T14:19:00"/>
        <d v="2025-09-14T11:09:00"/>
        <d v="2025-09-14T14:56:00"/>
        <d v="2025-09-15T20:18:00"/>
        <d v="2025-09-16T09:12:00"/>
        <d v="2025-09-16T20:31:00"/>
        <d v="2025-09-16T20:54:00"/>
        <d v="2025-09-17T12:05:00"/>
        <d v="2025-09-17T14:41:00"/>
        <d v="2025-09-17T19:01:00"/>
        <d v="2025-09-18T10:44:00"/>
        <d v="2025-09-18T12:07:00"/>
        <d v="2025-09-18T12:30:00"/>
        <d v="2025-09-18T20:06:00"/>
        <d v="2025-09-19T12:48:00"/>
        <d v="2025-09-19T20:02:00"/>
        <d v="2025-09-20T09:46:00"/>
        <d v="2025-09-21T13:10:00"/>
        <d v="2025-09-21T16:44:00"/>
        <d v="2025-09-21T16:59:00"/>
        <d v="2025-09-21T18:05:00"/>
        <d v="2025-09-21T18:26:00"/>
        <d v="2025-09-22T17:29:00"/>
        <d v="2025-09-22T18:28:00"/>
        <d v="2025-09-22T18:58:00"/>
        <d v="2025-09-23T10:10:00"/>
        <d v="2025-09-23T10:30:00"/>
        <d v="2025-09-23T16:54:00"/>
        <d v="2025-09-24T20:46:00"/>
        <d v="2025-09-25T21:32:00"/>
        <d v="2025-09-26T10:55:00"/>
        <d v="2025-09-26T11:32:00"/>
        <d v="2025-09-26T13:17:00"/>
        <d v="2025-09-26T14:21:00"/>
        <d v="2025-09-27T10:58:00"/>
        <d v="2025-09-27T11:24:00"/>
        <d v="2025-09-27T18:07:00"/>
        <d v="2025-09-27T19:51:00"/>
        <d v="2025-09-27T20:23:00"/>
        <d v="2025-09-28T08:44:00"/>
        <d v="2025-09-28T19:28:00"/>
        <d v="2025-09-28T19:41:00"/>
        <d v="2025-09-28T20:55:00"/>
        <d v="2025-09-30T13:32:00"/>
        <d v="2025-10-01T08:10:00"/>
        <d v="2025-10-01T12:57:00"/>
        <d v="2025-10-04T13:51:00"/>
        <d v="2025-10-07T09:29:00"/>
        <d v="2025-10-08T07:26:00"/>
        <d v="2025-10-08T10:26:00"/>
        <d v="2025-10-08T12:10:00"/>
        <d v="2025-10-08T12:30:00"/>
        <d v="2025-10-08T16:02:00"/>
        <d v="2025-10-08T21:41:00"/>
        <d v="2025-10-09T12:26:00"/>
        <d v="2025-10-09T18:05:00"/>
        <d v="2025-10-09T19:31:00"/>
        <d v="2025-10-09T21:30:00"/>
        <d v="2025-10-11T12:55:00"/>
        <d v="2025-10-11T13:58:00"/>
        <d v="2025-10-11T20:46:00"/>
        <d v="2025-10-11T21:28:00"/>
        <d v="2025-10-12T12:43:00"/>
        <d v="2025-10-13T18:00:00"/>
        <d v="2025-10-14T19:18:00"/>
        <d v="2025-10-14T20:34:00"/>
        <d v="2025-10-15T17:33:00"/>
        <d v="2025-10-16T20:41:00"/>
        <d v="2025-10-16T20:49:00"/>
        <d v="2025-10-17T09:14:00"/>
        <d v="2025-10-17T12:22:00"/>
        <d v="2025-10-17T21:36:00"/>
        <d v="2025-10-18T17:17:00"/>
        <d v="2025-10-18T21:00:00"/>
        <d v="2025-10-18T21:06:00"/>
        <d v="2025-10-19T08:01:00"/>
        <d v="2025-10-19T14:10:00"/>
        <d v="2025-10-19T16:33:00"/>
        <d v="2025-10-19T18:46:00"/>
        <d v="2025-10-20T18:54:00"/>
        <d v="2025-10-20T19:54:00"/>
        <d v="2025-10-21T11:12:00"/>
        <d v="2025-10-22T09:38:00"/>
        <d v="2025-10-22T14:13:00"/>
        <d v="2025-10-23T12:21:00"/>
        <d v="2025-10-24T15:21:00"/>
        <d v="2025-10-24T19:45:00"/>
        <d v="2025-10-25T10:52:00"/>
        <d v="2025-10-26T11:08:00"/>
        <d v="2025-10-26T11:24:00"/>
        <d v="2025-10-26T12:00:00"/>
        <d v="2025-10-26T18:12:00"/>
        <d v="2025-10-26T19:04:00"/>
        <d v="2025-10-27T12:56:00"/>
        <d v="2025-10-27T18:59:00"/>
        <d v="2025-10-28T08:34:00"/>
        <d v="2025-10-28T18:01:00"/>
        <d v="2025-10-29T18:13:00"/>
        <d v="2025-10-29T19:59:00"/>
        <d v="2025-10-31T17:14:00"/>
        <d v="2025-11-01T13:28:00"/>
        <d v="2025-11-01T17:58:00"/>
        <d v="2025-11-01T18:40:00"/>
        <d v="2025-11-01T20:51:00"/>
        <d v="2025-11-02T11:12:00"/>
        <d v="2025-11-02T19:20:00"/>
        <d v="2025-11-02T19:37:00"/>
        <d v="2025-11-03T20:18:00"/>
        <d v="2025-11-04T08:34:00"/>
        <d v="2025-11-04T10:00:00"/>
        <d v="2025-11-04T17:55:00"/>
        <d v="2025-11-05T08:10:00"/>
        <d v="2025-11-05T19:25:00"/>
        <d v="2025-11-07T14:02:00"/>
        <d v="2025-11-08T07:51:00"/>
        <d v="2025-11-08T09:20:00"/>
        <d v="2025-11-08T11:08:00"/>
        <d v="2025-11-08T16:41:00"/>
        <d v="2025-11-08T18:48:00"/>
        <d v="2025-11-09T15:08:00"/>
        <d v="2025-11-09T18:10:00"/>
        <d v="2025-11-09T18:30:00"/>
        <d v="2025-11-09T19:14:00"/>
        <d v="2025-11-10T19:51:00"/>
        <d v="2025-11-11T13:03:00"/>
        <d v="2025-11-11T19:53:00"/>
        <d v="2025-11-12T09:43:00"/>
        <d v="2025-11-12T19:20:00"/>
        <d v="2025-11-13T12:09:00"/>
        <d v="2025-11-14T12:43:00"/>
        <d v="2025-11-15T12:36:00"/>
        <d v="2025-11-16T12:37:00"/>
        <d v="2025-11-16T18:34:00"/>
        <d v="2025-11-17T18:00:00"/>
        <d v="2025-11-17T21:40:00"/>
        <d v="2025-11-18T19:48:00"/>
        <d v="2025-11-18T20:06:00"/>
        <d v="2025-11-19T18:29:00"/>
        <d v="2025-11-20T21:56:00"/>
        <d v="2025-11-21T10:42:00"/>
        <d v="2025-11-21T11:41:00"/>
        <d v="2025-11-21T18:48:00"/>
        <d v="2025-11-21T20:04:00"/>
        <d v="2025-11-21T21:16:00"/>
        <d v="2025-11-22T08:51:00"/>
        <d v="2025-11-22T13:44:00"/>
        <d v="2025-11-22T18:57:00"/>
        <d v="2025-11-22T21:59:00"/>
        <d v="2025-11-23T12:33:00"/>
        <d v="2025-11-23T21:16:00"/>
        <d v="2025-11-25T09:58:00"/>
        <d v="2025-11-25T10:27:00"/>
        <d v="2025-11-25T11:19:00"/>
        <d v="2025-11-25T13:39:00"/>
        <d v="2025-11-27T07:20:00"/>
        <d v="2025-11-27T18:37:00"/>
        <d v="2025-11-28T08:14:00"/>
        <d v="2025-11-28T12:50:00"/>
        <d v="2025-11-28T17:03:00"/>
        <d v="2025-11-29T08:31:00"/>
        <d v="2025-11-29T16:47:00"/>
        <d v="2025-11-29T19:35:00"/>
        <d v="2025-11-30T17:52:00"/>
        <d v="2025-11-30T18:39:00"/>
        <d v="2025-12-01T13:41:00"/>
        <d v="2025-12-01T17:08:00"/>
        <d v="2025-12-01T17:20:00"/>
        <d v="2025-12-02T07:07:00"/>
        <d v="2025-12-02T08:02:00"/>
        <d v="2025-12-02T14:38:00"/>
        <d v="2025-12-02T19:55:00"/>
        <d v="2025-12-03T19:32:00"/>
        <d v="2025-12-04T13:32:00"/>
        <d v="2025-12-05T19:59:00"/>
        <d v="2025-12-06T11:23:00"/>
        <d v="2025-12-06T13:57:00"/>
        <d v="2025-12-06T17:57:00"/>
        <d v="2025-12-06T19:40:00"/>
        <d v="2025-12-07T12:38:00"/>
        <d v="2025-12-07T13:49:00"/>
        <d v="2025-12-07T18:34:00"/>
        <d v="2025-12-07T19:51:00"/>
        <d v="2025-12-08T21:03:00"/>
        <d v="2025-12-09T09:11:00"/>
        <d v="2025-12-09T12:29:00"/>
        <d v="2025-12-09T18:07:00"/>
        <d v="2025-12-09T19:08:00"/>
        <d v="2025-12-11T12:22:00"/>
        <d v="2025-12-11T20:53:00"/>
        <d v="2025-12-12T12:34:00"/>
        <d v="2025-12-12T13:05:00"/>
        <d v="2025-12-12T13:14:00"/>
        <d v="2025-12-12T18:16:00"/>
        <d v="2025-12-12T20:45:00"/>
        <d v="2025-12-13T09:45:00"/>
        <d v="2025-12-13T11:38:00"/>
        <d v="2025-12-13T12:16:00"/>
        <d v="2025-12-13T12:40:00"/>
        <d v="2025-12-13T14:14:00"/>
        <d v="2025-12-13T18:29:00"/>
        <d v="2025-12-14T19:00:00"/>
        <d v="2025-12-15T11:37:00"/>
        <d v="2025-12-15T18:02:00"/>
        <d v="2025-12-15T18:19:00"/>
        <d v="2025-12-16T13:37:00"/>
        <d v="2025-12-16T13:52:00"/>
        <d v="2025-12-17T20:29:00"/>
        <d v="2025-12-18T18:27:00"/>
        <d v="2025-12-19T07:57:00"/>
        <d v="2025-12-19T14:50:00"/>
        <d v="2025-12-20T07:59:00"/>
        <d v="2025-12-20T13:39:00"/>
        <d v="2025-12-20T14:17:00"/>
        <d v="2025-12-20T21:23:00"/>
        <d v="2025-12-21T12:05:00"/>
        <d v="2025-12-21T12:36:00"/>
        <d v="2025-12-21T14:44:00"/>
        <d v="2025-12-21T16:22:00"/>
        <d v="2025-12-21T17:46:00"/>
        <d v="2025-12-21T18:59:00"/>
        <d v="2025-12-22T12:53:00"/>
        <d v="2025-12-23T08:26:00"/>
        <d v="2025-12-23T12:12:00"/>
        <d v="2025-12-24T15:56:00"/>
        <d v="2025-12-24T21:01:00"/>
        <d v="2025-12-25T14:36:00"/>
        <d v="2025-12-25T15:10:00"/>
        <d v="2025-12-25T18:31:00"/>
        <d v="2025-12-25T20:02:00"/>
        <d v="2025-12-25T20:54:00"/>
        <d v="2025-12-26T08:07:00"/>
        <d v="2025-12-27T11:31:00"/>
        <d v="2025-12-27T11:38:00"/>
        <d v="2025-12-27T12:03:00"/>
        <d v="2025-12-27T13:55:00"/>
        <d v="2025-12-28T13:54:00"/>
        <d v="2025-12-28T16:32:00"/>
        <d v="2025-12-28T20:08:00"/>
        <d v="2025-12-30T11:13:00"/>
        <d v="2025-12-30T12:57:00"/>
        <d v="2025-12-30T19:42:00"/>
        <d v="2025-12-31T13:38:00"/>
        <d v="2025-12-31T13:50:00"/>
      </sharedItems>
      <fieldGroup base="2">
        <rangePr groupBy="hours" startDate="2025-01-01T08:48:00" endDate="2025-12-31T13:50:00"/>
        <groupItems count="26">
          <s v="&lt;1/1/202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2/31/2025"/>
        </groupItems>
      </fieldGroup>
    </cacheField>
    <cacheField name="tipe_order" numFmtId="0">
      <sharedItems/>
    </cacheField>
    <cacheField name="metode_bayar" numFmtId="0">
      <sharedItems containsBlank="1"/>
    </cacheField>
    <cacheField name="nama_hari" numFmtId="0">
      <sharedItems/>
    </cacheField>
    <cacheField name="nama_cab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880881134261" backgroundQuery="1" createdVersion="7" refreshedVersion="7" minRefreshableVersion="3" recordCount="0" supportSubquery="1" supportAdvancedDrill="1" xr:uid="{9ADE99B1-9B5E-4C9C-84CE-CA6ACCDD0FB0}">
  <cacheSource type="external" connectionId="1"/>
  <cacheFields count="2">
    <cacheField name="[Table1].[nama_hari].[nama_hari]" caption="nama_hari" numFmtId="0" hierarchy="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transaction_id]" caption="Count of transaction_id" numFmtId="0" hierarchy="9" level="32767"/>
  </cacheFields>
  <cacheHierarchies count="10">
    <cacheHierarchy uniqueName="[Table1].[transaction_id]" caption="transaction_id" attribute="1" defaultMemberUniqueName="[Table1].[transaction_id].[All]" allUniqueName="[Table1].[transaction_id].[All]" dimensionUniqueName="[Table1]" displayFolder="" count="0" memberValueDatatype="130" unbalanced="0"/>
    <cacheHierarchy uniqueName="[Table1].[cabang_id]" caption="cabang_id" attribute="1" defaultMemberUniqueName="[Table1].[cabang_id].[All]" allUniqueName="[Table1].[cabang_id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0" memberValueDatatype="7" unbalanced="0"/>
    <cacheHierarchy uniqueName="[Table1].[tipe_order]" caption="tipe_order" attribute="1" defaultMemberUniqueName="[Table1].[tipe_order].[All]" allUniqueName="[Table1].[tipe_order].[All]" dimensionUniqueName="[Table1]" displayFolder="" count="0" memberValueDatatype="130" unbalanced="0"/>
    <cacheHierarchy uniqueName="[Table1].[metode_bayar]" caption="metode_bayar" attribute="1" defaultMemberUniqueName="[Table1].[metode_bayar].[All]" allUniqueName="[Table1].[metode_bayar].[All]" dimensionUniqueName="[Table1]" displayFolder="" count="0" memberValueDatatype="130" unbalanced="0"/>
    <cacheHierarchy uniqueName="[Table1].[nama_hari]" caption="nama_hari" attribute="1" defaultMemberUniqueName="[Table1].[nama_hari].[All]" allUniqueName="[Table1].[nama_hari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ama_cabang]" caption="nama_cabang" attribute="1" defaultMemberUniqueName="[Table1].[nama_cabang].[All]" allUniqueName="[Table1].[nama_cabang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4.912437037034" backgroundQuery="1" createdVersion="7" refreshedVersion="7" minRefreshableVersion="3" recordCount="0" supportSubquery="1" supportAdvancedDrill="1" xr:uid="{C47EAF4D-D2B4-4A7B-A7E2-B014A787051F}">
  <cacheSource type="external" connectionId="1"/>
  <cacheFields count="2">
    <cacheField name="[Table1].[nama_cabang].[nama_cabang]" caption="nama_cabang" numFmtId="0" hierarchy="6" level="1">
      <sharedItems count="4">
        <s v="Warung Selera Nusantara - Dago"/>
        <s v="Warung Selera Nusantara - Margonda"/>
        <s v="Warung Selera Nusantara - Sudirman"/>
        <s v="Warung Selera Nusantara - Tunjungan"/>
      </sharedItems>
    </cacheField>
    <cacheField name="[Measures].[Count of transaction_id]" caption="Count of transaction_id" numFmtId="0" hierarchy="9" level="32767"/>
  </cacheFields>
  <cacheHierarchies count="10">
    <cacheHierarchy uniqueName="[Table1].[transaction_id]" caption="transaction_id" attribute="1" defaultMemberUniqueName="[Table1].[transaction_id].[All]" allUniqueName="[Table1].[transaction_id].[All]" dimensionUniqueName="[Table1]" displayFolder="" count="0" memberValueDatatype="130" unbalanced="0"/>
    <cacheHierarchy uniqueName="[Table1].[cabang_id]" caption="cabang_id" attribute="1" defaultMemberUniqueName="[Table1].[cabang_id].[All]" allUniqueName="[Table1].[cabang_id].[All]" dimensionUniqueName="[Table1]" displayFolder="" count="0" memberValueDatatype="130" unbalanced="0"/>
    <cacheHierarchy uniqueName="[Table1].[tanggal]" caption="tanggal" attribute="1" time="1" defaultMemberUniqueName="[Table1].[tanggal].[All]" allUniqueName="[Table1].[tanggal].[All]" dimensionUniqueName="[Table1]" displayFolder="" count="0" memberValueDatatype="7" unbalanced="0"/>
    <cacheHierarchy uniqueName="[Table1].[tipe_order]" caption="tipe_order" attribute="1" defaultMemberUniqueName="[Table1].[tipe_order].[All]" allUniqueName="[Table1].[tipe_order].[All]" dimensionUniqueName="[Table1]" displayFolder="" count="0" memberValueDatatype="130" unbalanced="0"/>
    <cacheHierarchy uniqueName="[Table1].[metode_bayar]" caption="metode_bayar" attribute="1" defaultMemberUniqueName="[Table1].[metode_bayar].[All]" allUniqueName="[Table1].[metode_bayar].[All]" dimensionUniqueName="[Table1]" displayFolder="" count="0" memberValueDatatype="130" unbalanced="0"/>
    <cacheHierarchy uniqueName="[Table1].[nama_hari]" caption="nama_hari" attribute="1" defaultMemberUniqueName="[Table1].[nama_hari].[All]" allUniqueName="[Table1].[nama_hari].[All]" dimensionUniqueName="[Table1]" displayFolder="" count="0" memberValueDatatype="130" unbalanced="0"/>
    <cacheHierarchy uniqueName="[Table1].[nama_cabang]" caption="nama_cabang" attribute="1" defaultMemberUniqueName="[Table1].[nama_cabang].[All]" allUniqueName="[Table1].[nama_cabang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s v="DTL00001"/>
    <s v="TRX00001"/>
    <s v="MNU016"/>
    <n v="1"/>
    <n v="18000"/>
    <x v="0"/>
    <n v="18000"/>
    <n v="4500"/>
    <n v="13500"/>
  </r>
  <r>
    <s v="DTL00002"/>
    <s v="TRX00001"/>
    <s v="MNU024"/>
    <n v="1"/>
    <n v="9000"/>
    <x v="1"/>
    <n v="9000"/>
    <n v="3000"/>
    <n v="6000"/>
  </r>
  <r>
    <s v="DTL00003"/>
    <s v="TRX00002"/>
    <s v="MNU019"/>
    <n v="1"/>
    <n v="5000"/>
    <x v="2"/>
    <n v="5000"/>
    <n v="2000"/>
    <n v="3000"/>
  </r>
  <r>
    <s v="DTL00004"/>
    <s v="TRX00002"/>
    <s v="MNU009"/>
    <n v="1"/>
    <n v="23000"/>
    <x v="3"/>
    <n v="23000"/>
    <n v="9000"/>
    <n v="14000"/>
  </r>
  <r>
    <s v="DTL00005"/>
    <s v="TRX00002"/>
    <s v="MNU003"/>
    <n v="1"/>
    <n v="27000"/>
    <x v="4"/>
    <n v="27000"/>
    <n v="11000"/>
    <n v="16000"/>
  </r>
  <r>
    <s v="DTL00006"/>
    <s v="TRX00002"/>
    <s v="MNU014"/>
    <n v="1"/>
    <n v="8000"/>
    <x v="5"/>
    <n v="8000"/>
    <n v="2500"/>
    <n v="5500"/>
  </r>
  <r>
    <s v="DTL00007"/>
    <s v="TRX00002"/>
    <s v="MNU018"/>
    <n v="1"/>
    <n v="12000"/>
    <x v="6"/>
    <n v="12000"/>
    <n v="3000"/>
    <n v="9000"/>
  </r>
  <r>
    <s v="DTL00008"/>
    <s v="TRX00003"/>
    <s v="MNU010"/>
    <n v="2"/>
    <n v="22000"/>
    <x v="7"/>
    <n v="44000"/>
    <n v="9500"/>
    <n v="25000"/>
  </r>
  <r>
    <s v="DTL00009"/>
    <s v="TRX00003"/>
    <s v="MNU007"/>
    <n v="1"/>
    <n v="28000"/>
    <x v="8"/>
    <n v="28000"/>
    <n v="12000"/>
    <n v="16000"/>
  </r>
  <r>
    <s v="DTL00010"/>
    <s v="TRX00003"/>
    <s v="MNU017"/>
    <n v="2"/>
    <n v="16000"/>
    <x v="9"/>
    <n v="32000"/>
    <n v="5500"/>
    <n v="21000"/>
  </r>
  <r>
    <s v="DTL00011"/>
    <s v="TRX00004"/>
    <s v="MNU018"/>
    <n v="1"/>
    <n v="12000"/>
    <x v="6"/>
    <n v="12000"/>
    <n v="3000"/>
    <n v="9000"/>
  </r>
  <r>
    <s v="DTL00012"/>
    <s v="TRX00004"/>
    <s v="MNU016"/>
    <n v="1"/>
    <n v="18000"/>
    <x v="0"/>
    <n v="18000"/>
    <n v="4500"/>
    <n v="13500"/>
  </r>
  <r>
    <s v="DTL00013"/>
    <s v="TRX00005"/>
    <s v="MNU016"/>
    <n v="1"/>
    <n v="18000"/>
    <x v="0"/>
    <n v="18000"/>
    <n v="4500"/>
    <n v="13500"/>
  </r>
  <r>
    <s v="DTL00014"/>
    <s v="TRX00005"/>
    <s v="MNU019"/>
    <n v="1"/>
    <n v="5000"/>
    <x v="2"/>
    <n v="5000"/>
    <n v="2000"/>
    <n v="3000"/>
  </r>
  <r>
    <s v="DTL00015"/>
    <s v="TRX00005"/>
    <s v="MNU017"/>
    <n v="1"/>
    <n v="16000"/>
    <x v="9"/>
    <n v="16000"/>
    <n v="5500"/>
    <n v="10500"/>
  </r>
  <r>
    <s v="DTL00016"/>
    <s v="TRX00006"/>
    <s v="MNU003"/>
    <n v="2"/>
    <n v="27000"/>
    <x v="4"/>
    <n v="54000"/>
    <n v="11000"/>
    <n v="32000"/>
  </r>
  <r>
    <s v="DTL00017"/>
    <s v="TRX00006"/>
    <s v="MNU015"/>
    <n v="1"/>
    <n v="9000"/>
    <x v="10"/>
    <n v="9000"/>
    <n v="2000"/>
    <n v="7000"/>
  </r>
  <r>
    <s v="DTL00018"/>
    <s v="TRX00006"/>
    <s v="MNU016"/>
    <n v="1"/>
    <n v="18000"/>
    <x v="0"/>
    <n v="18000"/>
    <n v="4500"/>
    <n v="13500"/>
  </r>
  <r>
    <s v="DTL00019"/>
    <s v="TRX00006"/>
    <s v="MNU006"/>
    <n v="2"/>
    <n v="20000"/>
    <x v="11"/>
    <n v="40000"/>
    <n v="8000"/>
    <n v="24000"/>
  </r>
  <r>
    <s v="DTL00020"/>
    <s v="TRX00006"/>
    <s v="MNU019"/>
    <n v="3"/>
    <n v="5000"/>
    <x v="2"/>
    <n v="15000"/>
    <n v="2000"/>
    <n v="9000"/>
  </r>
  <r>
    <s v="DTL00021"/>
    <s v="TRX00007"/>
    <s v="MNU006"/>
    <n v="1"/>
    <n v="20000"/>
    <x v="11"/>
    <n v="20000"/>
    <n v="8000"/>
    <n v="12000"/>
  </r>
  <r>
    <s v="DTL00022"/>
    <s v="TRX00008"/>
    <s v="MNU003"/>
    <n v="2"/>
    <n v="27000"/>
    <x v="4"/>
    <n v="54000"/>
    <n v="11000"/>
    <n v="32000"/>
  </r>
  <r>
    <s v="DTL00023"/>
    <s v="TRX00008"/>
    <s v="MNU009"/>
    <n v="1"/>
    <n v="23000"/>
    <x v="3"/>
    <n v="23000"/>
    <n v="9000"/>
    <n v="14000"/>
  </r>
  <r>
    <s v="DTL00024"/>
    <s v="TRX00009"/>
    <s v="MNU010"/>
    <n v="1"/>
    <n v="22000"/>
    <x v="7"/>
    <n v="22000"/>
    <n v="9500"/>
    <n v="12500"/>
  </r>
  <r>
    <s v="DTL00025"/>
    <s v="TRX00010"/>
    <s v="MNU024"/>
    <n v="1"/>
    <n v="9000"/>
    <x v="1"/>
    <n v="9000"/>
    <n v="3000"/>
    <n v="6000"/>
  </r>
  <r>
    <s v="DTL00026"/>
    <s v="TRX00010"/>
    <s v="MNU003"/>
    <n v="2"/>
    <n v="27000"/>
    <x v="4"/>
    <n v="54000"/>
    <n v="11000"/>
    <n v="32000"/>
  </r>
  <r>
    <s v="DTL00027"/>
    <s v="TRX00010"/>
    <s v="MNU002"/>
    <n v="2"/>
    <n v="23000"/>
    <x v="12"/>
    <n v="46000"/>
    <n v="8500"/>
    <n v="29000"/>
  </r>
  <r>
    <s v="DTL00028"/>
    <s v="TRX00010"/>
    <s v="MNU019"/>
    <n v="1"/>
    <n v="5000"/>
    <x v="2"/>
    <n v="5000"/>
    <n v="2000"/>
    <n v="3000"/>
  </r>
  <r>
    <s v="DTL00029"/>
    <s v="TRX00010"/>
    <s v="MNU023"/>
    <n v="2"/>
    <n v="5000"/>
    <x v="13"/>
    <n v="10000"/>
    <n v="1500"/>
    <n v="7000"/>
  </r>
  <r>
    <s v="DTL00030"/>
    <s v="TRX00011"/>
    <s v="MNU003"/>
    <n v="1"/>
    <n v="27000"/>
    <x v="4"/>
    <n v="27000"/>
    <n v="11000"/>
    <n v="16000"/>
  </r>
  <r>
    <s v="DTL00031"/>
    <s v="TRX00011"/>
    <s v="MNU016"/>
    <n v="1"/>
    <n v="18000"/>
    <x v="0"/>
    <n v="18000"/>
    <n v="4500"/>
    <n v="13500"/>
  </r>
  <r>
    <s v="DTL00032"/>
    <s v="TRX00011"/>
    <s v="MNU004"/>
    <n v="1"/>
    <n v="22000"/>
    <x v="14"/>
    <n v="22000"/>
    <n v="9500"/>
    <n v="12500"/>
  </r>
  <r>
    <s v="DTL00033"/>
    <s v="TRX00011"/>
    <s v="MNU012"/>
    <n v="1"/>
    <n v="26000"/>
    <x v="15"/>
    <n v="26000"/>
    <n v="11500"/>
    <n v="14500"/>
  </r>
  <r>
    <s v="DTL00034"/>
    <s v="TRX00012"/>
    <s v="MNU003"/>
    <n v="2"/>
    <n v="27000"/>
    <x v="4"/>
    <n v="54000"/>
    <n v="11000"/>
    <n v="32000"/>
  </r>
  <r>
    <s v="DTL00035"/>
    <s v="TRX00012"/>
    <s v="MNU021"/>
    <n v="1"/>
    <n v="10000"/>
    <x v="16"/>
    <n v="10000"/>
    <n v="3500"/>
    <n v="6500"/>
  </r>
  <r>
    <s v="DTL00036"/>
    <s v="TRX00013"/>
    <s v="MNU022"/>
    <n v="1"/>
    <n v="13000"/>
    <x v="17"/>
    <n v="13000"/>
    <n v="4000"/>
    <n v="9000"/>
  </r>
  <r>
    <s v="DTL00037"/>
    <s v="TRX00013"/>
    <s v="MNU005"/>
    <n v="1"/>
    <n v="32000"/>
    <x v="18"/>
    <n v="32000"/>
    <n v="14000"/>
    <n v="18000"/>
  </r>
  <r>
    <s v="DTL00038"/>
    <s v="TRX00014"/>
    <s v="MNU003"/>
    <n v="1"/>
    <n v="27000"/>
    <x v="4"/>
    <n v="27000"/>
    <n v="11000"/>
    <n v="16000"/>
  </r>
  <r>
    <s v="DTL00039"/>
    <s v="TRX00014"/>
    <s v="MNU016"/>
    <n v="3"/>
    <n v="18000"/>
    <x v="0"/>
    <n v="54000"/>
    <n v="4500"/>
    <n v="40500"/>
  </r>
  <r>
    <s v="DTL00040"/>
    <s v="TRX00014"/>
    <s v="MNU018"/>
    <n v="3"/>
    <n v="12000"/>
    <x v="6"/>
    <n v="36000"/>
    <n v="3000"/>
    <n v="27000"/>
  </r>
  <r>
    <s v="DTL00041"/>
    <s v="TRX00015"/>
    <s v="MNU014"/>
    <n v="1"/>
    <n v="8000"/>
    <x v="5"/>
    <n v="8000"/>
    <n v="2500"/>
    <n v="5500"/>
  </r>
  <r>
    <s v="DTL00042"/>
    <s v="TRX00015"/>
    <s v="MNU017"/>
    <n v="1"/>
    <n v="16000"/>
    <x v="9"/>
    <n v="16000"/>
    <n v="5500"/>
    <n v="10500"/>
  </r>
  <r>
    <s v="DTL00043"/>
    <s v="TRX00015"/>
    <s v="MNU003"/>
    <n v="2"/>
    <n v="27000"/>
    <x v="4"/>
    <n v="54000"/>
    <n v="11000"/>
    <n v="32000"/>
  </r>
  <r>
    <s v="DTL00044"/>
    <s v="TRX00015"/>
    <s v="MNU009"/>
    <n v="1"/>
    <n v="23000"/>
    <x v="3"/>
    <n v="23000"/>
    <n v="9000"/>
    <n v="14000"/>
  </r>
  <r>
    <s v="DTL00045"/>
    <s v="TRX00016"/>
    <s v="MNU003"/>
    <n v="1"/>
    <n v="27000"/>
    <x v="4"/>
    <n v="27000"/>
    <n v="11000"/>
    <n v="16000"/>
  </r>
  <r>
    <s v="DTL00046"/>
    <s v="TRX00016"/>
    <s v="MNU017"/>
    <n v="1"/>
    <n v="16000"/>
    <x v="9"/>
    <n v="16000"/>
    <n v="5500"/>
    <n v="10500"/>
  </r>
  <r>
    <s v="DTL00047"/>
    <s v="TRX00016"/>
    <s v="MNU020"/>
    <n v="1"/>
    <n v="15000"/>
    <x v="19"/>
    <n v="15000"/>
    <n v="6000"/>
    <n v="9000"/>
  </r>
  <r>
    <s v="DTL00048"/>
    <s v="TRX00017"/>
    <s v="MNU019"/>
    <n v="1"/>
    <n v="5000"/>
    <x v="2"/>
    <n v="5000"/>
    <n v="2000"/>
    <n v="3000"/>
  </r>
  <r>
    <s v="DTL00049"/>
    <s v="TRX00017"/>
    <s v="MNU003"/>
    <n v="1"/>
    <n v="27000"/>
    <x v="4"/>
    <n v="27000"/>
    <n v="11000"/>
    <n v="16000"/>
  </r>
  <r>
    <s v="DTL00050"/>
    <s v="TRX00017"/>
    <s v="MNU015"/>
    <n v="2"/>
    <n v="9000"/>
    <x v="10"/>
    <n v="18000"/>
    <n v="2000"/>
    <n v="14000"/>
  </r>
  <r>
    <s v="DTL00051"/>
    <s v="TRX00017"/>
    <s v="MNU018"/>
    <n v="1"/>
    <n v="12000"/>
    <x v="6"/>
    <n v="12000"/>
    <n v="3000"/>
    <n v="9000"/>
  </r>
  <r>
    <s v="DTL00052"/>
    <s v="TRX00018"/>
    <s v="MNU020"/>
    <n v="3"/>
    <n v="15000"/>
    <x v="19"/>
    <n v="45000"/>
    <n v="6000"/>
    <n v="27000"/>
  </r>
  <r>
    <s v="DTL00053"/>
    <s v="TRX00018"/>
    <s v="MNU012"/>
    <n v="1"/>
    <n v="26000"/>
    <x v="15"/>
    <n v="26000"/>
    <n v="11500"/>
    <n v="14500"/>
  </r>
  <r>
    <s v="DTL00054"/>
    <s v="TRX00018"/>
    <s v="MNU003"/>
    <n v="1"/>
    <n v="27000"/>
    <x v="4"/>
    <n v="27000"/>
    <n v="11000"/>
    <n v="16000"/>
  </r>
  <r>
    <s v="DTL00055"/>
    <s v="TRX00019"/>
    <s v="MNU020"/>
    <n v="1"/>
    <n v="15000"/>
    <x v="19"/>
    <n v="15000"/>
    <n v="6000"/>
    <n v="9000"/>
  </r>
  <r>
    <s v="DTL00056"/>
    <s v="TRX00019"/>
    <s v="MNU014"/>
    <n v="1"/>
    <n v="8000"/>
    <x v="5"/>
    <n v="8000"/>
    <n v="2500"/>
    <n v="5500"/>
  </r>
  <r>
    <s v="DTL00057"/>
    <s v="TRX00020"/>
    <s v="MNU021"/>
    <n v="2"/>
    <n v="10000"/>
    <x v="16"/>
    <n v="20000"/>
    <n v="3500"/>
    <n v="13000"/>
  </r>
  <r>
    <s v="DTL00058"/>
    <s v="TRX00020"/>
    <s v="MNU003"/>
    <n v="1"/>
    <n v="27000"/>
    <x v="4"/>
    <n v="27000"/>
    <n v="11000"/>
    <n v="16000"/>
  </r>
  <r>
    <s v="DTL00059"/>
    <s v="TRX00021"/>
    <s v="MNU016"/>
    <n v="1"/>
    <n v="18000"/>
    <x v="0"/>
    <n v="18000"/>
    <n v="4500"/>
    <n v="13500"/>
  </r>
  <r>
    <s v="DTL00060"/>
    <s v="TRX00021"/>
    <s v="MNU010"/>
    <n v="1"/>
    <n v="22000"/>
    <x v="7"/>
    <n v="22000"/>
    <n v="9500"/>
    <n v="12500"/>
  </r>
  <r>
    <s v="DTL00061"/>
    <s v="TRX00022"/>
    <s v="MNU003"/>
    <n v="1"/>
    <n v="27000"/>
    <x v="4"/>
    <n v="27000"/>
    <n v="11000"/>
    <n v="16000"/>
  </r>
  <r>
    <s v="DTL00062"/>
    <s v="TRX00022"/>
    <s v="MNU009"/>
    <n v="3"/>
    <n v="23000"/>
    <x v="3"/>
    <n v="69000"/>
    <n v="9000"/>
    <n v="42000"/>
  </r>
  <r>
    <s v="DTL00063"/>
    <s v="TRX00022"/>
    <s v="MNU017"/>
    <n v="1"/>
    <n v="16000"/>
    <x v="9"/>
    <n v="16000"/>
    <n v="5500"/>
    <n v="10500"/>
  </r>
  <r>
    <s v="DTL00064"/>
    <s v="TRX00022"/>
    <s v="MNU024"/>
    <n v="1"/>
    <n v="9000"/>
    <x v="1"/>
    <n v="9000"/>
    <n v="3000"/>
    <n v="6000"/>
  </r>
  <r>
    <s v="DTL00065"/>
    <s v="TRX00022"/>
    <s v="MNU014"/>
    <n v="1"/>
    <n v="8000"/>
    <x v="5"/>
    <n v="8000"/>
    <n v="2500"/>
    <n v="5500"/>
  </r>
  <r>
    <s v="DTL00066"/>
    <s v="TRX00023"/>
    <s v="MNU019"/>
    <n v="1"/>
    <n v="5000"/>
    <x v="2"/>
    <n v="5000"/>
    <n v="2000"/>
    <n v="3000"/>
  </r>
  <r>
    <s v="DTL00067"/>
    <s v="TRX00023"/>
    <s v="MNU020"/>
    <n v="1"/>
    <n v="15000"/>
    <x v="19"/>
    <n v="15000"/>
    <n v="6000"/>
    <n v="9000"/>
  </r>
  <r>
    <s v="DTL00068"/>
    <s v="TRX00023"/>
    <s v="MNU016"/>
    <n v="1"/>
    <n v="18000"/>
    <x v="0"/>
    <n v="18000"/>
    <n v="4500"/>
    <n v="13500"/>
  </r>
  <r>
    <s v="DTL00069"/>
    <s v="TRX00023"/>
    <s v="MNU003"/>
    <n v="2"/>
    <n v="27000"/>
    <x v="4"/>
    <n v="54000"/>
    <n v="11000"/>
    <n v="32000"/>
  </r>
  <r>
    <s v="DTL00070"/>
    <s v="TRX00024"/>
    <s v="MNU009"/>
    <n v="1"/>
    <n v="23000"/>
    <x v="3"/>
    <n v="23000"/>
    <n v="9000"/>
    <n v="14000"/>
  </r>
  <r>
    <s v="DTL00071"/>
    <s v="TRX00025"/>
    <s v="MNU003"/>
    <n v="1"/>
    <n v="27000"/>
    <x v="4"/>
    <n v="27000"/>
    <n v="11000"/>
    <n v="16000"/>
  </r>
  <r>
    <s v="DTL00072"/>
    <s v="TRX00025"/>
    <s v="MNU018"/>
    <n v="2"/>
    <n v="12000"/>
    <x v="6"/>
    <n v="24000"/>
    <n v="3000"/>
    <n v="18000"/>
  </r>
  <r>
    <s v="DTL00073"/>
    <s v="TRX00026"/>
    <s v="MNU009"/>
    <n v="2"/>
    <n v="23000"/>
    <x v="3"/>
    <n v="46000"/>
    <n v="9000"/>
    <n v="28000"/>
  </r>
  <r>
    <s v="DTL00074"/>
    <s v="TRX00026"/>
    <s v="MNU015"/>
    <n v="1"/>
    <n v="9000"/>
    <x v="10"/>
    <n v="9000"/>
    <n v="2000"/>
    <n v="7000"/>
  </r>
  <r>
    <s v="DTL00075"/>
    <s v="TRX00026"/>
    <s v="MNU016"/>
    <n v="1"/>
    <n v="18000"/>
    <x v="0"/>
    <n v="18000"/>
    <n v="4500"/>
    <n v="13500"/>
  </r>
  <r>
    <s v="DTL00076"/>
    <s v="TRX00026"/>
    <s v="MNU003"/>
    <n v="1"/>
    <n v="27000"/>
    <x v="4"/>
    <n v="27000"/>
    <n v="11000"/>
    <n v="16000"/>
  </r>
  <r>
    <s v="DTL00077"/>
    <s v="TRX00026"/>
    <s v="MNU019"/>
    <n v="1"/>
    <n v="5000"/>
    <x v="2"/>
    <n v="5000"/>
    <n v="2000"/>
    <n v="3000"/>
  </r>
  <r>
    <s v="DTL00078"/>
    <s v="TRX00027"/>
    <s v="MNU019"/>
    <n v="1"/>
    <n v="5000"/>
    <x v="2"/>
    <n v="5000"/>
    <n v="2000"/>
    <n v="3000"/>
  </r>
  <r>
    <s v="DTL00079"/>
    <s v="TRX00028"/>
    <s v="MNU016"/>
    <n v="1"/>
    <n v="18000"/>
    <x v="0"/>
    <n v="18000"/>
    <n v="4500"/>
    <n v="13500"/>
  </r>
  <r>
    <s v="DTL00080"/>
    <s v="TRX00028"/>
    <s v="MNU024"/>
    <n v="1"/>
    <n v="9000"/>
    <x v="1"/>
    <n v="9000"/>
    <n v="3000"/>
    <n v="6000"/>
  </r>
  <r>
    <s v="DTL00081"/>
    <s v="TRX00028"/>
    <s v="MNU003"/>
    <n v="1"/>
    <n v="27000"/>
    <x v="4"/>
    <n v="27000"/>
    <n v="11000"/>
    <n v="16000"/>
  </r>
  <r>
    <s v="DTL00082"/>
    <s v="TRX00028"/>
    <s v="MNU006"/>
    <n v="1"/>
    <n v="20000"/>
    <x v="11"/>
    <n v="20000"/>
    <n v="8000"/>
    <n v="12000"/>
  </r>
  <r>
    <s v="DTL00083"/>
    <s v="TRX00029"/>
    <s v="MNU023"/>
    <n v="1"/>
    <n v="5000"/>
    <x v="13"/>
    <n v="5000"/>
    <n v="1500"/>
    <n v="3500"/>
  </r>
  <r>
    <s v="DTL00084"/>
    <s v="TRX00029"/>
    <s v="MNU003"/>
    <n v="1"/>
    <n v="27000"/>
    <x v="4"/>
    <n v="27000"/>
    <n v="11000"/>
    <n v="16000"/>
  </r>
  <r>
    <s v="DTL00085"/>
    <s v="TRX00030"/>
    <s v="MNU019"/>
    <n v="1"/>
    <n v="5000"/>
    <x v="2"/>
    <n v="5000"/>
    <n v="2000"/>
    <n v="3000"/>
  </r>
  <r>
    <s v="DTL00086"/>
    <s v="TRX00030"/>
    <s v="MNU004"/>
    <n v="1"/>
    <n v="22000"/>
    <x v="14"/>
    <n v="22000"/>
    <n v="9500"/>
    <n v="12500"/>
  </r>
  <r>
    <s v="DTL00087"/>
    <s v="TRX00030"/>
    <s v="MNU024"/>
    <n v="1"/>
    <n v="9000"/>
    <x v="1"/>
    <n v="9000"/>
    <n v="3000"/>
    <n v="6000"/>
  </r>
  <r>
    <s v="DTL00088"/>
    <s v="TRX00031"/>
    <s v="MNU003"/>
    <n v="2"/>
    <n v="27000"/>
    <x v="4"/>
    <n v="54000"/>
    <n v="11000"/>
    <n v="32000"/>
  </r>
  <r>
    <s v="DTL00089"/>
    <s v="TRX00031"/>
    <s v="MNU006"/>
    <n v="2"/>
    <n v="20000"/>
    <x v="11"/>
    <n v="40000"/>
    <n v="8000"/>
    <n v="24000"/>
  </r>
  <r>
    <s v="DTL00090"/>
    <s v="TRX00032"/>
    <s v="MNU020"/>
    <n v="2"/>
    <n v="15000"/>
    <x v="19"/>
    <n v="30000"/>
    <n v="6000"/>
    <n v="18000"/>
  </r>
  <r>
    <s v="DTL00091"/>
    <s v="TRX00033"/>
    <s v="MNU024"/>
    <n v="1"/>
    <n v="9000"/>
    <x v="1"/>
    <n v="9000"/>
    <n v="3000"/>
    <n v="6000"/>
  </r>
  <r>
    <s v="DTL00092"/>
    <s v="TRX00033"/>
    <s v="MNU003"/>
    <n v="1"/>
    <n v="27000"/>
    <x v="4"/>
    <n v="27000"/>
    <n v="11000"/>
    <n v="16000"/>
  </r>
  <r>
    <s v="DTL00093"/>
    <s v="TRX00033"/>
    <s v="MNU009"/>
    <n v="2"/>
    <n v="23000"/>
    <x v="3"/>
    <n v="46000"/>
    <n v="9000"/>
    <n v="28000"/>
  </r>
  <r>
    <s v="DTL00094"/>
    <s v="TRX00033"/>
    <s v="MNU011"/>
    <n v="2"/>
    <n v="29000"/>
    <x v="20"/>
    <n v="58000"/>
    <n v="13000"/>
    <n v="32000"/>
  </r>
  <r>
    <s v="DTL00095"/>
    <s v="TRX00033"/>
    <s v="MNU017"/>
    <n v="3"/>
    <n v="16000"/>
    <x v="9"/>
    <n v="48000"/>
    <n v="5500"/>
    <n v="31500"/>
  </r>
  <r>
    <s v="DTL00096"/>
    <s v="TRX00034"/>
    <s v="MNU003"/>
    <n v="3"/>
    <n v="27000"/>
    <x v="4"/>
    <n v="81000"/>
    <n v="11000"/>
    <n v="48000"/>
  </r>
  <r>
    <s v="DTL00097"/>
    <s v="TRX00034"/>
    <s v="MNU007"/>
    <n v="1"/>
    <n v="28000"/>
    <x v="8"/>
    <n v="28000"/>
    <n v="12000"/>
    <n v="16000"/>
  </r>
  <r>
    <s v="DTL00098"/>
    <s v="TRX00035"/>
    <s v="MNU003"/>
    <n v="1"/>
    <n v="27000"/>
    <x v="4"/>
    <n v="27000"/>
    <n v="11000"/>
    <n v="16000"/>
  </r>
  <r>
    <s v="DTL00099"/>
    <s v="TRX00036"/>
    <s v="MNU019"/>
    <n v="1"/>
    <n v="5000"/>
    <x v="2"/>
    <n v="5000"/>
    <n v="2000"/>
    <n v="3000"/>
  </r>
  <r>
    <s v="DTL00100"/>
    <s v="TRX00036"/>
    <s v="MNU003"/>
    <n v="1"/>
    <n v="27000"/>
    <x v="4"/>
    <n v="27000"/>
    <n v="11000"/>
    <n v="16000"/>
  </r>
  <r>
    <s v="DTL00101"/>
    <s v="TRX00036"/>
    <s v="MNU006"/>
    <n v="1"/>
    <n v="20000"/>
    <x v="11"/>
    <n v="20000"/>
    <n v="8000"/>
    <n v="12000"/>
  </r>
  <r>
    <s v="DTL00102"/>
    <s v="TRX00036"/>
    <s v="MNU015"/>
    <n v="2"/>
    <n v="9000"/>
    <x v="10"/>
    <n v="18000"/>
    <n v="2000"/>
    <n v="14000"/>
  </r>
  <r>
    <s v="DTL00103"/>
    <s v="TRX00036"/>
    <s v="MNU012"/>
    <n v="1"/>
    <n v="26000"/>
    <x v="15"/>
    <n v="26000"/>
    <n v="11500"/>
    <n v="14500"/>
  </r>
  <r>
    <s v="DTL00104"/>
    <s v="TRX00037"/>
    <s v="MNU009"/>
    <n v="2"/>
    <n v="23000"/>
    <x v="3"/>
    <n v="46000"/>
    <n v="9000"/>
    <n v="28000"/>
  </r>
  <r>
    <s v="DTL00105"/>
    <s v="TRX00037"/>
    <s v="MNU024"/>
    <n v="2"/>
    <n v="9000"/>
    <x v="1"/>
    <n v="18000"/>
    <n v="3000"/>
    <n v="12000"/>
  </r>
  <r>
    <s v="DTL00106"/>
    <s v="TRX00038"/>
    <s v="MNU003"/>
    <n v="1"/>
    <n v="27000"/>
    <x v="4"/>
    <n v="27000"/>
    <n v="11000"/>
    <n v="16000"/>
  </r>
  <r>
    <s v="DTL00107"/>
    <s v="TRX00038"/>
    <s v="MNU019"/>
    <n v="1"/>
    <n v="5000"/>
    <x v="2"/>
    <n v="5000"/>
    <n v="2000"/>
    <n v="3000"/>
  </r>
  <r>
    <s v="DTL00108"/>
    <s v="TRX00039"/>
    <s v="MNU024"/>
    <n v="2"/>
    <n v="9000"/>
    <x v="1"/>
    <n v="18000"/>
    <n v="3000"/>
    <n v="12000"/>
  </r>
  <r>
    <s v="DTL00109"/>
    <s v="TRX00040"/>
    <s v="MNU008"/>
    <n v="1"/>
    <n v="21000"/>
    <x v="21"/>
    <n v="21000"/>
    <n v="8500"/>
    <n v="12500"/>
  </r>
  <r>
    <s v="DTL00110"/>
    <s v="TRX00040"/>
    <s v="MNU003"/>
    <n v="1"/>
    <n v="27000"/>
    <x v="4"/>
    <n v="27000"/>
    <n v="11000"/>
    <n v="16000"/>
  </r>
  <r>
    <s v="DTL00111"/>
    <s v="TRX00041"/>
    <s v="MNU003"/>
    <n v="1"/>
    <n v="27000"/>
    <x v="4"/>
    <n v="27000"/>
    <n v="11000"/>
    <n v="16000"/>
  </r>
  <r>
    <s v="DTL00112"/>
    <s v="TRX00041"/>
    <s v="MNU009"/>
    <n v="2"/>
    <n v="23000"/>
    <x v="3"/>
    <n v="46000"/>
    <n v="9000"/>
    <n v="28000"/>
  </r>
  <r>
    <s v="DTL00113"/>
    <s v="TRX00041"/>
    <s v="MNU014"/>
    <n v="1"/>
    <n v="8000"/>
    <x v="5"/>
    <n v="8000"/>
    <n v="2500"/>
    <n v="5500"/>
  </r>
  <r>
    <s v="DTL00114"/>
    <s v="TRX00041"/>
    <s v="MNU024"/>
    <n v="2"/>
    <n v="9000"/>
    <x v="1"/>
    <n v="18000"/>
    <n v="3000"/>
    <n v="12000"/>
  </r>
  <r>
    <s v="DTL00115"/>
    <s v="TRX00041"/>
    <s v="MNU015"/>
    <n v="1"/>
    <n v="9000"/>
    <x v="10"/>
    <n v="9000"/>
    <n v="2000"/>
    <n v="7000"/>
  </r>
  <r>
    <s v="DTL00116"/>
    <s v="TRX00042"/>
    <s v="MNU004"/>
    <n v="2"/>
    <n v="22000"/>
    <x v="14"/>
    <n v="44000"/>
    <n v="9500"/>
    <n v="25000"/>
  </r>
  <r>
    <s v="DTL00117"/>
    <s v="TRX00042"/>
    <s v="MNU024"/>
    <n v="1"/>
    <n v="9000"/>
    <x v="1"/>
    <n v="9000"/>
    <n v="3000"/>
    <n v="6000"/>
  </r>
  <r>
    <s v="DTL00118"/>
    <s v="TRX00043"/>
    <s v="MNU003"/>
    <n v="3"/>
    <n v="27000"/>
    <x v="4"/>
    <n v="81000"/>
    <n v="11000"/>
    <n v="48000"/>
  </r>
  <r>
    <s v="DTL00119"/>
    <s v="TRX00043"/>
    <s v="MNU002"/>
    <n v="1"/>
    <n v="23000"/>
    <x v="12"/>
    <n v="23000"/>
    <n v="8500"/>
    <n v="14500"/>
  </r>
  <r>
    <s v="DTL00120"/>
    <s v="TRX00043"/>
    <s v="MNU024"/>
    <n v="1"/>
    <n v="9000"/>
    <x v="1"/>
    <n v="9000"/>
    <n v="3000"/>
    <n v="6000"/>
  </r>
  <r>
    <s v="DTL00121"/>
    <s v="TRX00044"/>
    <s v="MNU003"/>
    <n v="1"/>
    <n v="27000"/>
    <x v="4"/>
    <n v="27000"/>
    <n v="11000"/>
    <n v="16000"/>
  </r>
  <r>
    <s v="DTL00122"/>
    <s v="TRX00045"/>
    <s v="MNU019"/>
    <n v="1"/>
    <n v="5000"/>
    <x v="2"/>
    <n v="5000"/>
    <n v="2000"/>
    <n v="3000"/>
  </r>
  <r>
    <s v="DTL00123"/>
    <s v="TRX00045"/>
    <s v="MNU016"/>
    <n v="2"/>
    <n v="18000"/>
    <x v="0"/>
    <n v="36000"/>
    <n v="4500"/>
    <n v="27000"/>
  </r>
  <r>
    <s v="DTL00124"/>
    <s v="TRX00046"/>
    <s v="MNU017"/>
    <n v="1"/>
    <n v="16000"/>
    <x v="9"/>
    <n v="16000"/>
    <n v="5500"/>
    <n v="10500"/>
  </r>
  <r>
    <s v="DTL00125"/>
    <s v="TRX00047"/>
    <s v="MNU006"/>
    <n v="1"/>
    <n v="20000"/>
    <x v="11"/>
    <n v="20000"/>
    <n v="8000"/>
    <n v="12000"/>
  </r>
  <r>
    <s v="DTL00126"/>
    <s v="TRX00047"/>
    <s v="MNU003"/>
    <n v="1"/>
    <n v="27000"/>
    <x v="4"/>
    <n v="27000"/>
    <n v="11000"/>
    <n v="16000"/>
  </r>
  <r>
    <s v="DTL00127"/>
    <s v="TRX00047"/>
    <s v="MNU002"/>
    <n v="1"/>
    <n v="23000"/>
    <x v="12"/>
    <n v="23000"/>
    <n v="8500"/>
    <n v="14500"/>
  </r>
  <r>
    <s v="DTL00128"/>
    <s v="TRX00047"/>
    <s v="MNU004"/>
    <n v="1"/>
    <n v="22000"/>
    <x v="14"/>
    <n v="22000"/>
    <n v="9500"/>
    <n v="12500"/>
  </r>
  <r>
    <s v="DTL00129"/>
    <s v="TRX00048"/>
    <s v="MNU003"/>
    <n v="2"/>
    <n v="27000"/>
    <x v="4"/>
    <n v="54000"/>
    <n v="11000"/>
    <n v="32000"/>
  </r>
  <r>
    <s v="DTL00130"/>
    <s v="TRX00048"/>
    <s v="MNU006"/>
    <n v="1"/>
    <n v="20000"/>
    <x v="11"/>
    <n v="20000"/>
    <n v="8000"/>
    <n v="12000"/>
  </r>
  <r>
    <s v="DTL00131"/>
    <s v="TRX00049"/>
    <s v="MNU020"/>
    <n v="2"/>
    <n v="15000"/>
    <x v="19"/>
    <n v="30000"/>
    <n v="6000"/>
    <n v="18000"/>
  </r>
  <r>
    <s v="DTL00132"/>
    <s v="TRX00049"/>
    <s v="MNU003"/>
    <n v="1"/>
    <n v="27000"/>
    <x v="4"/>
    <n v="27000"/>
    <n v="11000"/>
    <n v="16000"/>
  </r>
  <r>
    <s v="DTL00133"/>
    <s v="TRX00049"/>
    <s v="MNU018"/>
    <n v="1"/>
    <n v="12000"/>
    <x v="6"/>
    <n v="12000"/>
    <n v="3000"/>
    <n v="9000"/>
  </r>
  <r>
    <s v="DTL00134"/>
    <s v="TRX00050"/>
    <s v="MNU007"/>
    <n v="3"/>
    <n v="28000"/>
    <x v="8"/>
    <n v="84000"/>
    <n v="12000"/>
    <n v="48000"/>
  </r>
  <r>
    <s v="DTL00135"/>
    <s v="TRX00050"/>
    <s v="MNU010"/>
    <n v="1"/>
    <n v="22000"/>
    <x v="7"/>
    <n v="22000"/>
    <n v="9500"/>
    <n v="12500"/>
  </r>
  <r>
    <s v="DTL00136"/>
    <s v="TRX00050"/>
    <s v="MNU003"/>
    <n v="1"/>
    <n v="27000"/>
    <x v="4"/>
    <n v="27000"/>
    <n v="11000"/>
    <n v="16000"/>
  </r>
  <r>
    <s v="DTL00137"/>
    <s v="TRX00050"/>
    <s v="MNU019"/>
    <n v="1"/>
    <n v="5000"/>
    <x v="2"/>
    <n v="5000"/>
    <n v="2000"/>
    <n v="3000"/>
  </r>
  <r>
    <s v="DTL00138"/>
    <s v="TRX00051"/>
    <s v="MNU019"/>
    <n v="1"/>
    <n v="5000"/>
    <x v="2"/>
    <n v="5000"/>
    <n v="2000"/>
    <n v="3000"/>
  </r>
  <r>
    <s v="DTL00139"/>
    <s v="TRX00051"/>
    <s v="MNU003"/>
    <n v="1"/>
    <n v="27000"/>
    <x v="4"/>
    <n v="27000"/>
    <n v="11000"/>
    <n v="16000"/>
  </r>
  <r>
    <s v="DTL00140"/>
    <s v="TRX00052"/>
    <s v="MNU011"/>
    <n v="2"/>
    <n v="29000"/>
    <x v="20"/>
    <n v="58000"/>
    <n v="13000"/>
    <n v="32000"/>
  </r>
  <r>
    <s v="DTL00141"/>
    <s v="TRX00053"/>
    <s v="MNU012"/>
    <n v="1"/>
    <n v="26000"/>
    <x v="15"/>
    <n v="26000"/>
    <n v="11500"/>
    <n v="14500"/>
  </r>
  <r>
    <s v="DTL00142"/>
    <s v="TRX00053"/>
    <s v="MNU024"/>
    <n v="1"/>
    <n v="9000"/>
    <x v="1"/>
    <n v="9000"/>
    <n v="3000"/>
    <n v="6000"/>
  </r>
  <r>
    <s v="DTL00143"/>
    <s v="TRX00053"/>
    <s v="MNU014"/>
    <n v="1"/>
    <n v="8000"/>
    <x v="5"/>
    <n v="8000"/>
    <n v="2500"/>
    <n v="5500"/>
  </r>
  <r>
    <s v="DTL00144"/>
    <s v="TRX00054"/>
    <s v="MNU015"/>
    <n v="1"/>
    <n v="9000"/>
    <x v="10"/>
    <n v="9000"/>
    <n v="2000"/>
    <n v="7000"/>
  </r>
  <r>
    <s v="DTL00145"/>
    <s v="TRX00055"/>
    <s v="MNU006"/>
    <n v="1"/>
    <n v="20000"/>
    <x v="11"/>
    <n v="20000"/>
    <n v="8000"/>
    <n v="12000"/>
  </r>
  <r>
    <s v="DTL00146"/>
    <s v="TRX00055"/>
    <s v="MNU003"/>
    <n v="1"/>
    <n v="27000"/>
    <x v="4"/>
    <n v="27000"/>
    <n v="11000"/>
    <n v="16000"/>
  </r>
  <r>
    <s v="DTL00147"/>
    <s v="TRX00056"/>
    <s v="MNU019"/>
    <n v="1"/>
    <n v="5000"/>
    <x v="2"/>
    <n v="5000"/>
    <n v="2000"/>
    <n v="3000"/>
  </r>
  <r>
    <s v="DTL00148"/>
    <s v="TRX00056"/>
    <s v="MNU013"/>
    <n v="1"/>
    <n v="6000"/>
    <x v="22"/>
    <n v="6000"/>
    <n v="1500"/>
    <n v="4500"/>
  </r>
  <r>
    <s v="DTL00149"/>
    <s v="TRX00057"/>
    <s v="MNU018"/>
    <n v="1"/>
    <n v="12000"/>
    <x v="6"/>
    <n v="12000"/>
    <n v="3000"/>
    <n v="9000"/>
  </r>
  <r>
    <s v="DTL00150"/>
    <s v="TRX00058"/>
    <s v="MNU003"/>
    <n v="1"/>
    <n v="27000"/>
    <x v="4"/>
    <n v="27000"/>
    <n v="11000"/>
    <n v="16000"/>
  </r>
  <r>
    <s v="DTL00151"/>
    <s v="TRX00058"/>
    <s v="MNU016"/>
    <n v="2"/>
    <n v="18000"/>
    <x v="0"/>
    <n v="36000"/>
    <n v="4500"/>
    <n v="27000"/>
  </r>
  <r>
    <s v="DTL00152"/>
    <s v="TRX00058"/>
    <s v="MNU006"/>
    <n v="2"/>
    <n v="20000"/>
    <x v="11"/>
    <n v="40000"/>
    <n v="8000"/>
    <n v="24000"/>
  </r>
  <r>
    <s v="DTL00153"/>
    <s v="TRX00059"/>
    <s v="MNU007"/>
    <n v="1"/>
    <n v="28000"/>
    <x v="8"/>
    <n v="28000"/>
    <n v="12000"/>
    <n v="16000"/>
  </r>
  <r>
    <s v="DTL00154"/>
    <s v="TRX00059"/>
    <s v="MNU017"/>
    <n v="1"/>
    <n v="16000"/>
    <x v="9"/>
    <n v="16000"/>
    <n v="5500"/>
    <n v="10500"/>
  </r>
  <r>
    <s v="DTL00155"/>
    <s v="TRX00060"/>
    <s v="MNU019"/>
    <n v="1"/>
    <n v="5000"/>
    <x v="2"/>
    <n v="5000"/>
    <n v="2000"/>
    <n v="3000"/>
  </r>
  <r>
    <s v="DTL00156"/>
    <s v="TRX00060"/>
    <s v="MNU003"/>
    <n v="1"/>
    <n v="27000"/>
    <x v="4"/>
    <n v="27000"/>
    <n v="11000"/>
    <n v="16000"/>
  </r>
  <r>
    <s v="DTL00157"/>
    <s v="TRX00060"/>
    <s v="MNU017"/>
    <n v="1"/>
    <n v="16000"/>
    <x v="9"/>
    <n v="16000"/>
    <n v="5500"/>
    <n v="10500"/>
  </r>
  <r>
    <s v="DTL00158"/>
    <s v="TRX00060"/>
    <s v="MNU015"/>
    <n v="2"/>
    <n v="9000"/>
    <x v="10"/>
    <n v="18000"/>
    <n v="2000"/>
    <n v="14000"/>
  </r>
  <r>
    <s v="DTL00159"/>
    <s v="TRX00061"/>
    <s v="MNU003"/>
    <n v="1"/>
    <n v="27000"/>
    <x v="4"/>
    <n v="27000"/>
    <n v="11000"/>
    <n v="16000"/>
  </r>
  <r>
    <s v="DTL00160"/>
    <s v="TRX00061"/>
    <s v="MNU021"/>
    <n v="1"/>
    <n v="10000"/>
    <x v="16"/>
    <n v="10000"/>
    <n v="3500"/>
    <n v="6500"/>
  </r>
  <r>
    <s v="DTL00161"/>
    <s v="TRX00062"/>
    <s v="MNU003"/>
    <n v="1"/>
    <n v="27000"/>
    <x v="4"/>
    <n v="27000"/>
    <n v="11000"/>
    <n v="16000"/>
  </r>
  <r>
    <s v="DTL00162"/>
    <s v="TRX00062"/>
    <s v="MNU017"/>
    <n v="3"/>
    <n v="16000"/>
    <x v="9"/>
    <n v="48000"/>
    <n v="5500"/>
    <n v="31500"/>
  </r>
  <r>
    <s v="DTL00163"/>
    <s v="TRX00063"/>
    <s v="MNU023"/>
    <n v="1"/>
    <n v="5000"/>
    <x v="13"/>
    <n v="5000"/>
    <n v="1500"/>
    <n v="3500"/>
  </r>
  <r>
    <s v="DTL00164"/>
    <s v="TRX00063"/>
    <s v="MNU003"/>
    <n v="1"/>
    <n v="27000"/>
    <x v="4"/>
    <n v="27000"/>
    <n v="11000"/>
    <n v="16000"/>
  </r>
  <r>
    <s v="DTL00165"/>
    <s v="TRX00064"/>
    <s v="MNU012"/>
    <n v="3"/>
    <n v="26000"/>
    <x v="15"/>
    <n v="78000"/>
    <n v="11500"/>
    <n v="43500"/>
  </r>
  <r>
    <s v="DTL00166"/>
    <s v="TRX00064"/>
    <s v="MNU003"/>
    <n v="1"/>
    <n v="27000"/>
    <x v="4"/>
    <n v="27000"/>
    <n v="11000"/>
    <n v="16000"/>
  </r>
  <r>
    <s v="DTL00167"/>
    <s v="TRX00064"/>
    <s v="MNU006"/>
    <n v="2"/>
    <n v="20000"/>
    <x v="11"/>
    <n v="40000"/>
    <n v="8000"/>
    <n v="24000"/>
  </r>
  <r>
    <s v="DTL00168"/>
    <s v="TRX00065"/>
    <s v="MNU018"/>
    <n v="1"/>
    <n v="12000"/>
    <x v="6"/>
    <n v="12000"/>
    <n v="3000"/>
    <n v="9000"/>
  </r>
  <r>
    <s v="DTL00169"/>
    <s v="TRX00065"/>
    <s v="MNU016"/>
    <n v="2"/>
    <n v="18000"/>
    <x v="0"/>
    <n v="36000"/>
    <n v="4500"/>
    <n v="27000"/>
  </r>
  <r>
    <s v="DTL00170"/>
    <s v="TRX00065"/>
    <s v="MNU021"/>
    <n v="1"/>
    <n v="10000"/>
    <x v="16"/>
    <n v="10000"/>
    <n v="3500"/>
    <n v="6500"/>
  </r>
  <r>
    <s v="DTL00171"/>
    <s v="TRX00066"/>
    <s v="MNU012"/>
    <n v="1"/>
    <n v="26000"/>
    <x v="15"/>
    <n v="26000"/>
    <n v="11500"/>
    <n v="14500"/>
  </r>
  <r>
    <s v="DTL00172"/>
    <s v="TRX00067"/>
    <s v="MNU012"/>
    <n v="2"/>
    <n v="26000"/>
    <x v="15"/>
    <n v="52000"/>
    <n v="11500"/>
    <n v="29000"/>
  </r>
  <r>
    <s v="DTL00173"/>
    <s v="TRX00068"/>
    <s v="MNU009"/>
    <n v="1"/>
    <n v="23000"/>
    <x v="3"/>
    <n v="23000"/>
    <n v="9000"/>
    <n v="14000"/>
  </r>
  <r>
    <s v="DTL00174"/>
    <s v="TRX00068"/>
    <s v="MNU020"/>
    <n v="2"/>
    <n v="15000"/>
    <x v="19"/>
    <n v="30000"/>
    <n v="6000"/>
    <n v="18000"/>
  </r>
  <r>
    <s v="DTL00175"/>
    <s v="TRX00068"/>
    <s v="MNU003"/>
    <n v="1"/>
    <n v="27000"/>
    <x v="4"/>
    <n v="27000"/>
    <n v="11000"/>
    <n v="16000"/>
  </r>
  <r>
    <s v="DTL00176"/>
    <s v="TRX00068"/>
    <s v="MNU011"/>
    <n v="1"/>
    <n v="29000"/>
    <x v="20"/>
    <n v="29000"/>
    <n v="13000"/>
    <n v="16000"/>
  </r>
  <r>
    <s v="DTL00177"/>
    <s v="TRX00069"/>
    <s v="MNU013"/>
    <n v="1"/>
    <n v="6000"/>
    <x v="22"/>
    <n v="6000"/>
    <n v="1500"/>
    <n v="4500"/>
  </r>
  <r>
    <s v="DTL00178"/>
    <s v="TRX00070"/>
    <s v="MNU020"/>
    <n v="1"/>
    <n v="15000"/>
    <x v="19"/>
    <n v="15000"/>
    <n v="6000"/>
    <n v="9000"/>
  </r>
  <r>
    <s v="DTL00179"/>
    <s v="TRX00070"/>
    <s v="MNU006"/>
    <n v="1"/>
    <n v="20000"/>
    <x v="11"/>
    <n v="20000"/>
    <n v="8000"/>
    <n v="12000"/>
  </r>
  <r>
    <s v="DTL00180"/>
    <s v="TRX00070"/>
    <s v="MNU016"/>
    <n v="3"/>
    <n v="18000"/>
    <x v="0"/>
    <n v="54000"/>
    <n v="4500"/>
    <n v="40500"/>
  </r>
  <r>
    <s v="DTL00181"/>
    <s v="TRX00071"/>
    <s v="MNU024"/>
    <n v="1"/>
    <n v="9000"/>
    <x v="1"/>
    <n v="9000"/>
    <n v="3000"/>
    <n v="6000"/>
  </r>
  <r>
    <s v="DTL00182"/>
    <s v="TRX00071"/>
    <s v="MNU023"/>
    <n v="1"/>
    <n v="5000"/>
    <x v="13"/>
    <n v="5000"/>
    <n v="1500"/>
    <n v="3500"/>
  </r>
  <r>
    <s v="DTL00183"/>
    <s v="TRX00071"/>
    <s v="MNU007"/>
    <n v="1"/>
    <n v="28000"/>
    <x v="8"/>
    <n v="28000"/>
    <n v="12000"/>
    <n v="16000"/>
  </r>
  <r>
    <s v="DTL00184"/>
    <s v="TRX00072"/>
    <s v="MNU016"/>
    <n v="1"/>
    <n v="18000"/>
    <x v="0"/>
    <n v="18000"/>
    <n v="4500"/>
    <n v="13500"/>
  </r>
  <r>
    <s v="DTL00185"/>
    <s v="TRX00072"/>
    <s v="MNU003"/>
    <n v="1"/>
    <n v="27000"/>
    <x v="4"/>
    <n v="27000"/>
    <n v="11000"/>
    <n v="16000"/>
  </r>
  <r>
    <s v="DTL00186"/>
    <s v="TRX00072"/>
    <s v="MNU019"/>
    <n v="1"/>
    <n v="5000"/>
    <x v="2"/>
    <n v="5000"/>
    <n v="2000"/>
    <n v="3000"/>
  </r>
  <r>
    <s v="DTL00187"/>
    <s v="TRX00073"/>
    <s v="MNU007"/>
    <n v="1"/>
    <n v="28000"/>
    <x v="8"/>
    <n v="28000"/>
    <n v="12000"/>
    <n v="16000"/>
  </r>
  <r>
    <s v="DTL00188"/>
    <s v="TRX00073"/>
    <s v="MNU019"/>
    <n v="1"/>
    <n v="5000"/>
    <x v="2"/>
    <n v="5000"/>
    <n v="2000"/>
    <n v="3000"/>
  </r>
  <r>
    <s v="DTL00189"/>
    <s v="TRX00073"/>
    <s v="MNU003"/>
    <n v="2"/>
    <n v="27000"/>
    <x v="4"/>
    <n v="54000"/>
    <n v="11000"/>
    <n v="32000"/>
  </r>
  <r>
    <s v="DTL00190"/>
    <s v="TRX00073"/>
    <s v="MNU016"/>
    <n v="1"/>
    <n v="18000"/>
    <x v="0"/>
    <n v="18000"/>
    <n v="4500"/>
    <n v="13500"/>
  </r>
  <r>
    <s v="DTL00191"/>
    <s v="TRX00074"/>
    <s v="MNU012"/>
    <n v="2"/>
    <n v="26000"/>
    <x v="15"/>
    <n v="52000"/>
    <n v="11500"/>
    <n v="29000"/>
  </r>
  <r>
    <s v="DTL00192"/>
    <s v="TRX00075"/>
    <s v="MNU019"/>
    <n v="2"/>
    <n v="5000"/>
    <x v="2"/>
    <n v="10000"/>
    <n v="2000"/>
    <n v="6000"/>
  </r>
  <r>
    <s v="DTL00193"/>
    <s v="TRX00075"/>
    <s v="MNU009"/>
    <n v="1"/>
    <n v="23000"/>
    <x v="3"/>
    <n v="23000"/>
    <n v="9000"/>
    <n v="14000"/>
  </r>
  <r>
    <s v="DTL00194"/>
    <s v="TRX00075"/>
    <s v="MNU014"/>
    <n v="1"/>
    <n v="8000"/>
    <x v="5"/>
    <n v="8000"/>
    <n v="2500"/>
    <n v="5500"/>
  </r>
  <r>
    <s v="DTL00195"/>
    <s v="TRX00075"/>
    <s v="MNU003"/>
    <n v="1"/>
    <n v="27000"/>
    <x v="4"/>
    <n v="27000"/>
    <n v="11000"/>
    <n v="16000"/>
  </r>
  <r>
    <s v="DTL00196"/>
    <s v="TRX00075"/>
    <s v="MNU010"/>
    <n v="1"/>
    <n v="22000"/>
    <x v="7"/>
    <n v="22000"/>
    <n v="9500"/>
    <n v="12500"/>
  </r>
  <r>
    <s v="DTL00197"/>
    <s v="TRX00076"/>
    <s v="MNU003"/>
    <n v="1"/>
    <n v="27000"/>
    <x v="4"/>
    <n v="27000"/>
    <n v="11000"/>
    <n v="16000"/>
  </r>
  <r>
    <s v="DTL00198"/>
    <s v="TRX00076"/>
    <s v="MNU011"/>
    <n v="1"/>
    <n v="29000"/>
    <x v="20"/>
    <n v="29000"/>
    <n v="13000"/>
    <n v="16000"/>
  </r>
  <r>
    <s v="DTL00199"/>
    <s v="TRX00077"/>
    <s v="MNU012"/>
    <n v="1"/>
    <n v="26000"/>
    <x v="15"/>
    <n v="26000"/>
    <n v="11500"/>
    <n v="14500"/>
  </r>
  <r>
    <s v="DTL00200"/>
    <s v="TRX00077"/>
    <s v="MNU003"/>
    <n v="3"/>
    <n v="27000"/>
    <x v="4"/>
    <n v="81000"/>
    <n v="11000"/>
    <n v="48000"/>
  </r>
  <r>
    <s v="DTL00201"/>
    <s v="TRX00078"/>
    <s v="MNU011"/>
    <n v="1"/>
    <n v="29000"/>
    <x v="20"/>
    <n v="29000"/>
    <n v="13000"/>
    <n v="16000"/>
  </r>
  <r>
    <s v="DTL00202"/>
    <s v="TRX00078"/>
    <s v="MNU003"/>
    <n v="2"/>
    <n v="27000"/>
    <x v="4"/>
    <n v="54000"/>
    <n v="11000"/>
    <n v="32000"/>
  </r>
  <r>
    <s v="DTL00203"/>
    <s v="TRX00078"/>
    <s v="MNU014"/>
    <n v="1"/>
    <n v="8000"/>
    <x v="5"/>
    <n v="8000"/>
    <n v="2500"/>
    <n v="5500"/>
  </r>
  <r>
    <s v="DTL00204"/>
    <s v="TRX00078"/>
    <s v="MNU019"/>
    <n v="3"/>
    <n v="5000"/>
    <x v="2"/>
    <n v="15000"/>
    <n v="2000"/>
    <n v="9000"/>
  </r>
  <r>
    <s v="DTL00205"/>
    <s v="TRX00078"/>
    <s v="MNU012"/>
    <n v="1"/>
    <n v="26000"/>
    <x v="15"/>
    <n v="26000"/>
    <n v="11500"/>
    <n v="14500"/>
  </r>
  <r>
    <s v="DTL00206"/>
    <s v="TRX00079"/>
    <s v="MNU016"/>
    <n v="1"/>
    <n v="18000"/>
    <x v="0"/>
    <n v="18000"/>
    <n v="4500"/>
    <n v="13500"/>
  </r>
  <r>
    <s v="DTL00207"/>
    <s v="TRX00079"/>
    <s v="MNU003"/>
    <n v="1"/>
    <n v="27000"/>
    <x v="4"/>
    <n v="27000"/>
    <n v="11000"/>
    <n v="16000"/>
  </r>
  <r>
    <s v="DTL00208"/>
    <s v="TRX00080"/>
    <s v="MNU004"/>
    <n v="1"/>
    <n v="22000"/>
    <x v="14"/>
    <n v="22000"/>
    <n v="9500"/>
    <n v="12500"/>
  </r>
  <r>
    <s v="DTL00209"/>
    <s v="TRX00080"/>
    <s v="MNU012"/>
    <n v="1"/>
    <n v="26000"/>
    <x v="15"/>
    <n v="26000"/>
    <n v="11500"/>
    <n v="14500"/>
  </r>
  <r>
    <s v="DTL00210"/>
    <s v="TRX00081"/>
    <s v="MNU011"/>
    <n v="2"/>
    <n v="29000"/>
    <x v="20"/>
    <n v="58000"/>
    <n v="13000"/>
    <n v="32000"/>
  </r>
  <r>
    <s v="DTL00211"/>
    <s v="TRX00081"/>
    <s v="MNU003"/>
    <n v="1"/>
    <n v="27000"/>
    <x v="4"/>
    <n v="27000"/>
    <n v="11000"/>
    <n v="16000"/>
  </r>
  <r>
    <s v="DTL00212"/>
    <s v="TRX00081"/>
    <s v="MNU012"/>
    <n v="1"/>
    <n v="26000"/>
    <x v="15"/>
    <n v="26000"/>
    <n v="11500"/>
    <n v="14500"/>
  </r>
  <r>
    <s v="DTL00213"/>
    <s v="TRX00081"/>
    <s v="MNU016"/>
    <n v="1"/>
    <n v="18000"/>
    <x v="0"/>
    <n v="18000"/>
    <n v="4500"/>
    <n v="13500"/>
  </r>
  <r>
    <s v="DTL00214"/>
    <s v="TRX00082"/>
    <s v="MNU003"/>
    <n v="1"/>
    <n v="27000"/>
    <x v="4"/>
    <n v="27000"/>
    <n v="11000"/>
    <n v="16000"/>
  </r>
  <r>
    <s v="DTL00215"/>
    <s v="TRX00082"/>
    <s v="MNU009"/>
    <n v="1"/>
    <n v="23000"/>
    <x v="3"/>
    <n v="23000"/>
    <n v="9000"/>
    <n v="14000"/>
  </r>
  <r>
    <s v="DTL00216"/>
    <s v="TRX00083"/>
    <s v="MNU006"/>
    <n v="2"/>
    <n v="20000"/>
    <x v="11"/>
    <n v="40000"/>
    <n v="8000"/>
    <n v="24000"/>
  </r>
  <r>
    <s v="DTL00217"/>
    <s v="TRX00083"/>
    <s v="MNU003"/>
    <n v="1"/>
    <n v="27000"/>
    <x v="4"/>
    <n v="27000"/>
    <n v="11000"/>
    <n v="16000"/>
  </r>
  <r>
    <s v="DTL00218"/>
    <s v="TRX00084"/>
    <s v="MNU012"/>
    <n v="2"/>
    <n v="26000"/>
    <x v="15"/>
    <n v="52000"/>
    <n v="11500"/>
    <n v="29000"/>
  </r>
  <r>
    <s v="DTL00219"/>
    <s v="TRX00085"/>
    <s v="MNU005"/>
    <n v="1"/>
    <n v="32000"/>
    <x v="18"/>
    <n v="32000"/>
    <n v="14000"/>
    <n v="18000"/>
  </r>
  <r>
    <s v="DTL00220"/>
    <s v="TRX00085"/>
    <s v="MNU015"/>
    <n v="1"/>
    <n v="9000"/>
    <x v="10"/>
    <n v="9000"/>
    <n v="2000"/>
    <n v="7000"/>
  </r>
  <r>
    <s v="DTL00221"/>
    <s v="TRX00086"/>
    <s v="MNU003"/>
    <n v="1"/>
    <n v="27000"/>
    <x v="4"/>
    <n v="27000"/>
    <n v="11000"/>
    <n v="16000"/>
  </r>
  <r>
    <s v="DTL00222"/>
    <s v="TRX00086"/>
    <s v="MNU006"/>
    <n v="3"/>
    <n v="20000"/>
    <x v="11"/>
    <n v="60000"/>
    <n v="8000"/>
    <n v="36000"/>
  </r>
  <r>
    <s v="DTL00223"/>
    <s v="TRX00086"/>
    <s v="MNU020"/>
    <n v="2"/>
    <n v="15000"/>
    <x v="19"/>
    <n v="30000"/>
    <n v="6000"/>
    <n v="18000"/>
  </r>
  <r>
    <s v="DTL00224"/>
    <s v="TRX00087"/>
    <s v="MNU006"/>
    <n v="2"/>
    <n v="20000"/>
    <x v="11"/>
    <n v="40000"/>
    <n v="8000"/>
    <n v="24000"/>
  </r>
  <r>
    <s v="DTL00225"/>
    <s v="TRX00087"/>
    <s v="MNU018"/>
    <n v="2"/>
    <n v="12000"/>
    <x v="6"/>
    <n v="24000"/>
    <n v="3000"/>
    <n v="18000"/>
  </r>
  <r>
    <s v="DTL00226"/>
    <s v="TRX00087"/>
    <s v="MNU003"/>
    <n v="1"/>
    <n v="27000"/>
    <x v="4"/>
    <n v="27000"/>
    <n v="11000"/>
    <n v="16000"/>
  </r>
  <r>
    <s v="DTL00227"/>
    <s v="TRX00088"/>
    <s v="MNU009"/>
    <n v="1"/>
    <n v="23000"/>
    <x v="3"/>
    <n v="23000"/>
    <n v="9000"/>
    <n v="14000"/>
  </r>
  <r>
    <s v="DTL00228"/>
    <s v="TRX00088"/>
    <s v="MNU017"/>
    <n v="2"/>
    <n v="16000"/>
    <x v="9"/>
    <n v="32000"/>
    <n v="5500"/>
    <n v="21000"/>
  </r>
  <r>
    <s v="DTL00229"/>
    <s v="TRX00088"/>
    <s v="MNU003"/>
    <n v="3"/>
    <n v="27000"/>
    <x v="4"/>
    <n v="81000"/>
    <n v="11000"/>
    <n v="48000"/>
  </r>
  <r>
    <s v="DTL00230"/>
    <s v="TRX00089"/>
    <s v="MNU003"/>
    <n v="1"/>
    <n v="27000"/>
    <x v="4"/>
    <n v="27000"/>
    <n v="11000"/>
    <n v="16000"/>
  </r>
  <r>
    <s v="DTL00231"/>
    <s v="TRX00089"/>
    <s v="MNU004"/>
    <n v="1"/>
    <n v="22000"/>
    <x v="14"/>
    <n v="22000"/>
    <n v="9500"/>
    <n v="12500"/>
  </r>
  <r>
    <s v="DTL00232"/>
    <s v="TRX00089"/>
    <s v="MNU024"/>
    <n v="1"/>
    <n v="9000"/>
    <x v="1"/>
    <n v="9000"/>
    <n v="3000"/>
    <n v="6000"/>
  </r>
  <r>
    <s v="DTL00233"/>
    <s v="TRX00090"/>
    <s v="MNU003"/>
    <n v="1"/>
    <n v="27000"/>
    <x v="4"/>
    <n v="27000"/>
    <n v="11000"/>
    <n v="16000"/>
  </r>
  <r>
    <s v="DTL00234"/>
    <s v="TRX00091"/>
    <s v="MNU009"/>
    <n v="3"/>
    <n v="23000"/>
    <x v="3"/>
    <n v="69000"/>
    <n v="9000"/>
    <n v="42000"/>
  </r>
  <r>
    <s v="DTL00235"/>
    <s v="TRX00092"/>
    <s v="MNU003"/>
    <n v="2"/>
    <n v="27000"/>
    <x v="4"/>
    <n v="54000"/>
    <n v="11000"/>
    <n v="32000"/>
  </r>
  <r>
    <s v="DTL00236"/>
    <s v="TRX00092"/>
    <s v="MNU017"/>
    <n v="1"/>
    <n v="16000"/>
    <x v="9"/>
    <n v="16000"/>
    <n v="5500"/>
    <n v="10500"/>
  </r>
  <r>
    <s v="DTL00237"/>
    <s v="TRX00093"/>
    <s v="MNU003"/>
    <n v="3"/>
    <n v="27000"/>
    <x v="4"/>
    <n v="81000"/>
    <n v="11000"/>
    <n v="48000"/>
  </r>
  <r>
    <s v="DTL00238"/>
    <s v="TRX00093"/>
    <s v="MNU012"/>
    <n v="1"/>
    <n v="26000"/>
    <x v="15"/>
    <n v="26000"/>
    <n v="11500"/>
    <n v="14500"/>
  </r>
  <r>
    <s v="DTL00239"/>
    <s v="TRX00093"/>
    <s v="MNU008"/>
    <n v="1"/>
    <n v="21000"/>
    <x v="21"/>
    <n v="21000"/>
    <n v="8500"/>
    <n v="12500"/>
  </r>
  <r>
    <s v="DTL00240"/>
    <s v="TRX00093"/>
    <s v="MNU017"/>
    <n v="2"/>
    <n v="16000"/>
    <x v="9"/>
    <n v="32000"/>
    <n v="5500"/>
    <n v="21000"/>
  </r>
  <r>
    <s v="DTL00241"/>
    <s v="TRX00094"/>
    <s v="MNU003"/>
    <n v="1"/>
    <n v="27000"/>
    <x v="4"/>
    <n v="27000"/>
    <n v="11000"/>
    <n v="16000"/>
  </r>
  <r>
    <s v="DTL00242"/>
    <s v="TRX00095"/>
    <s v="MNU006"/>
    <n v="1"/>
    <n v="20000"/>
    <x v="11"/>
    <n v="20000"/>
    <n v="8000"/>
    <n v="12000"/>
  </r>
  <r>
    <s v="DTL00243"/>
    <s v="TRX00096"/>
    <s v="MNU009"/>
    <n v="1"/>
    <n v="23000"/>
    <x v="3"/>
    <n v="23000"/>
    <n v="9000"/>
    <n v="14000"/>
  </r>
  <r>
    <s v="DTL00244"/>
    <s v="TRX00096"/>
    <s v="MNU021"/>
    <n v="1"/>
    <n v="10000"/>
    <x v="16"/>
    <n v="10000"/>
    <n v="3500"/>
    <n v="6500"/>
  </r>
  <r>
    <s v="DTL00245"/>
    <s v="TRX00097"/>
    <s v="MNU003"/>
    <n v="2"/>
    <n v="27000"/>
    <x v="4"/>
    <n v="54000"/>
    <n v="11000"/>
    <n v="32000"/>
  </r>
  <r>
    <s v="DTL00246"/>
    <s v="TRX00097"/>
    <s v="MNU018"/>
    <n v="1"/>
    <n v="12000"/>
    <x v="6"/>
    <n v="12000"/>
    <n v="3000"/>
    <n v="9000"/>
  </r>
  <r>
    <s v="DTL00247"/>
    <s v="TRX00098"/>
    <s v="MNU023"/>
    <n v="2"/>
    <n v="5000"/>
    <x v="13"/>
    <n v="10000"/>
    <n v="1500"/>
    <n v="7000"/>
  </r>
  <r>
    <s v="DTL00248"/>
    <s v="TRX00099"/>
    <s v="MNU016"/>
    <n v="2"/>
    <n v="18000"/>
    <x v="0"/>
    <n v="36000"/>
    <n v="4500"/>
    <n v="27000"/>
  </r>
  <r>
    <s v="DTL00249"/>
    <s v="TRX00099"/>
    <s v="MNU003"/>
    <n v="1"/>
    <n v="27000"/>
    <x v="4"/>
    <n v="27000"/>
    <n v="11000"/>
    <n v="16000"/>
  </r>
  <r>
    <s v="DTL00250"/>
    <s v="TRX00099"/>
    <s v="MNU006"/>
    <n v="3"/>
    <n v="20000"/>
    <x v="11"/>
    <n v="60000"/>
    <n v="8000"/>
    <n v="36000"/>
  </r>
  <r>
    <s v="DTL00251"/>
    <s v="TRX00100"/>
    <s v="MNU014"/>
    <n v="1"/>
    <n v="8000"/>
    <x v="5"/>
    <n v="8000"/>
    <n v="2500"/>
    <n v="5500"/>
  </r>
  <r>
    <s v="DTL00252"/>
    <s v="TRX00100"/>
    <s v="MNU019"/>
    <n v="2"/>
    <n v="5000"/>
    <x v="2"/>
    <n v="10000"/>
    <n v="2000"/>
    <n v="6000"/>
  </r>
  <r>
    <s v="DTL00253"/>
    <s v="TRX00101"/>
    <s v="MNU011"/>
    <n v="1"/>
    <n v="29000"/>
    <x v="20"/>
    <n v="29000"/>
    <n v="13000"/>
    <n v="16000"/>
  </r>
  <r>
    <s v="DTL00254"/>
    <s v="TRX00101"/>
    <s v="MNU004"/>
    <n v="1"/>
    <n v="22000"/>
    <x v="14"/>
    <n v="22000"/>
    <n v="9500"/>
    <n v="12500"/>
  </r>
  <r>
    <s v="DTL00255"/>
    <s v="TRX00101"/>
    <s v="MNU024"/>
    <n v="1"/>
    <n v="9000"/>
    <x v="1"/>
    <n v="9000"/>
    <n v="3000"/>
    <n v="6000"/>
  </r>
  <r>
    <s v="DTL00256"/>
    <s v="TRX00101"/>
    <s v="MNU002"/>
    <n v="1"/>
    <n v="23000"/>
    <x v="12"/>
    <n v="23000"/>
    <n v="8500"/>
    <n v="14500"/>
  </r>
  <r>
    <s v="DTL00257"/>
    <s v="TRX00101"/>
    <s v="MNU003"/>
    <n v="1"/>
    <n v="27000"/>
    <x v="4"/>
    <n v="27000"/>
    <n v="11000"/>
    <n v="16000"/>
  </r>
  <r>
    <s v="DTL00258"/>
    <s v="TRX00102"/>
    <s v="MNU003"/>
    <n v="1"/>
    <n v="27000"/>
    <x v="4"/>
    <n v="27000"/>
    <n v="11000"/>
    <n v="16000"/>
  </r>
  <r>
    <s v="DTL00259"/>
    <s v="TRX00102"/>
    <s v="MNU017"/>
    <n v="1"/>
    <n v="16000"/>
    <x v="9"/>
    <n v="16000"/>
    <n v="5500"/>
    <n v="10500"/>
  </r>
  <r>
    <s v="DTL00260"/>
    <s v="TRX00103"/>
    <s v="MNU017"/>
    <n v="1"/>
    <n v="16000"/>
    <x v="9"/>
    <n v="16000"/>
    <n v="5500"/>
    <n v="10500"/>
  </r>
  <r>
    <s v="DTL00261"/>
    <s v="TRX00103"/>
    <s v="MNU020"/>
    <n v="1"/>
    <n v="15000"/>
    <x v="19"/>
    <n v="15000"/>
    <n v="6000"/>
    <n v="9000"/>
  </r>
  <r>
    <s v="DTL00262"/>
    <s v="TRX00103"/>
    <s v="MNU016"/>
    <n v="1"/>
    <n v="18000"/>
    <x v="0"/>
    <n v="18000"/>
    <n v="4500"/>
    <n v="13500"/>
  </r>
  <r>
    <s v="DTL00263"/>
    <s v="TRX00104"/>
    <s v="MNU003"/>
    <n v="2"/>
    <n v="27000"/>
    <x v="4"/>
    <n v="54000"/>
    <n v="11000"/>
    <n v="32000"/>
  </r>
  <r>
    <s v="DTL00264"/>
    <s v="TRX00105"/>
    <s v="MNU011"/>
    <n v="2"/>
    <n v="29000"/>
    <x v="20"/>
    <n v="58000"/>
    <n v="13000"/>
    <n v="32000"/>
  </r>
  <r>
    <s v="DTL00265"/>
    <s v="TRX00105"/>
    <s v="MNU009"/>
    <n v="1"/>
    <n v="23000"/>
    <x v="3"/>
    <n v="23000"/>
    <n v="9000"/>
    <n v="14000"/>
  </r>
  <r>
    <s v="DTL00266"/>
    <s v="TRX00105"/>
    <s v="MNU024"/>
    <n v="1"/>
    <n v="9000"/>
    <x v="1"/>
    <n v="9000"/>
    <n v="3000"/>
    <n v="6000"/>
  </r>
  <r>
    <s v="DTL00267"/>
    <s v="TRX00106"/>
    <s v="MNU021"/>
    <n v="1"/>
    <n v="10000"/>
    <x v="16"/>
    <n v="10000"/>
    <n v="3500"/>
    <n v="6500"/>
  </r>
  <r>
    <s v="DTL00268"/>
    <s v="TRX00106"/>
    <s v="MNU011"/>
    <n v="1"/>
    <n v="29000"/>
    <x v="20"/>
    <n v="29000"/>
    <n v="13000"/>
    <n v="16000"/>
  </r>
  <r>
    <s v="DTL00269"/>
    <s v="TRX00107"/>
    <s v="MNU006"/>
    <n v="1"/>
    <n v="20000"/>
    <x v="11"/>
    <n v="20000"/>
    <n v="8000"/>
    <n v="12000"/>
  </r>
  <r>
    <s v="DTL00270"/>
    <s v="TRX00107"/>
    <s v="MNU002"/>
    <n v="1"/>
    <n v="23000"/>
    <x v="12"/>
    <n v="23000"/>
    <n v="8500"/>
    <n v="14500"/>
  </r>
  <r>
    <s v="DTL00271"/>
    <s v="TRX00108"/>
    <s v="MNU012"/>
    <n v="1"/>
    <n v="26000"/>
    <x v="15"/>
    <n v="26000"/>
    <n v="11500"/>
    <n v="14500"/>
  </r>
  <r>
    <s v="DTL00272"/>
    <s v="TRX00108"/>
    <s v="MNU006"/>
    <n v="1"/>
    <n v="20000"/>
    <x v="11"/>
    <n v="20000"/>
    <n v="8000"/>
    <n v="12000"/>
  </r>
  <r>
    <s v="DTL00273"/>
    <s v="TRX00108"/>
    <s v="MNU018"/>
    <n v="1"/>
    <n v="12000"/>
    <x v="6"/>
    <n v="12000"/>
    <n v="3000"/>
    <n v="9000"/>
  </r>
  <r>
    <s v="DTL00274"/>
    <s v="TRX00109"/>
    <s v="MNU003"/>
    <n v="1"/>
    <n v="27000"/>
    <x v="4"/>
    <n v="27000"/>
    <n v="11000"/>
    <n v="16000"/>
  </r>
  <r>
    <s v="DTL00275"/>
    <s v="TRX00109"/>
    <s v="MNU006"/>
    <n v="1"/>
    <n v="20000"/>
    <x v="11"/>
    <n v="20000"/>
    <n v="8000"/>
    <n v="12000"/>
  </r>
  <r>
    <s v="DTL00276"/>
    <s v="TRX00109"/>
    <s v="MNU021"/>
    <n v="1"/>
    <n v="10000"/>
    <x v="16"/>
    <n v="10000"/>
    <n v="3500"/>
    <n v="6500"/>
  </r>
  <r>
    <s v="DTL00277"/>
    <s v="TRX00109"/>
    <s v="MNU019"/>
    <n v="1"/>
    <n v="5000"/>
    <x v="2"/>
    <n v="5000"/>
    <n v="2000"/>
    <n v="3000"/>
  </r>
  <r>
    <s v="DTL00278"/>
    <s v="TRX00110"/>
    <s v="MNU018"/>
    <n v="1"/>
    <n v="12000"/>
    <x v="6"/>
    <n v="12000"/>
    <n v="3000"/>
    <n v="9000"/>
  </r>
  <r>
    <s v="DTL00279"/>
    <s v="TRX00111"/>
    <s v="MNU016"/>
    <n v="3"/>
    <n v="18000"/>
    <x v="0"/>
    <n v="54000"/>
    <n v="4500"/>
    <n v="40500"/>
  </r>
  <r>
    <s v="DTL00280"/>
    <s v="TRX00111"/>
    <s v="MNU017"/>
    <n v="1"/>
    <n v="16000"/>
    <x v="9"/>
    <n v="16000"/>
    <n v="5500"/>
    <n v="10500"/>
  </r>
  <r>
    <s v="DTL00281"/>
    <s v="TRX00111"/>
    <s v="MNU005"/>
    <n v="1"/>
    <n v="32000"/>
    <x v="18"/>
    <n v="32000"/>
    <n v="14000"/>
    <n v="18000"/>
  </r>
  <r>
    <s v="DTL00282"/>
    <s v="TRX00112"/>
    <s v="MNU003"/>
    <n v="1"/>
    <n v="27000"/>
    <x v="4"/>
    <n v="27000"/>
    <n v="11000"/>
    <n v="16000"/>
  </r>
  <r>
    <s v="DTL00283"/>
    <s v="TRX00112"/>
    <s v="MNU012"/>
    <n v="1"/>
    <n v="26000"/>
    <x v="15"/>
    <n v="26000"/>
    <n v="11500"/>
    <n v="14500"/>
  </r>
  <r>
    <s v="DTL00284"/>
    <s v="TRX00112"/>
    <s v="MNU016"/>
    <n v="2"/>
    <n v="18000"/>
    <x v="0"/>
    <n v="36000"/>
    <n v="4500"/>
    <n v="27000"/>
  </r>
  <r>
    <s v="DTL00285"/>
    <s v="TRX00113"/>
    <s v="MNU019"/>
    <n v="2"/>
    <n v="5000"/>
    <x v="2"/>
    <n v="10000"/>
    <n v="2000"/>
    <n v="6000"/>
  </r>
  <r>
    <s v="DTL00286"/>
    <s v="TRX00113"/>
    <s v="MNU003"/>
    <n v="2"/>
    <n v="27000"/>
    <x v="4"/>
    <n v="54000"/>
    <n v="11000"/>
    <n v="32000"/>
  </r>
  <r>
    <s v="DTL00287"/>
    <s v="TRX00113"/>
    <s v="MNU016"/>
    <n v="1"/>
    <n v="18000"/>
    <x v="0"/>
    <n v="18000"/>
    <n v="4500"/>
    <n v="13500"/>
  </r>
  <r>
    <s v="DTL00288"/>
    <s v="TRX00114"/>
    <s v="MNU018"/>
    <n v="1"/>
    <n v="12000"/>
    <x v="6"/>
    <n v="12000"/>
    <n v="3000"/>
    <n v="9000"/>
  </r>
  <r>
    <s v="DTL00289"/>
    <s v="TRX00114"/>
    <s v="MNU019"/>
    <n v="1"/>
    <n v="5000"/>
    <x v="2"/>
    <n v="5000"/>
    <n v="2000"/>
    <n v="3000"/>
  </r>
  <r>
    <s v="DTL00290"/>
    <s v="TRX00115"/>
    <s v="MNU016"/>
    <n v="1"/>
    <n v="18000"/>
    <x v="0"/>
    <n v="18000"/>
    <n v="4500"/>
    <n v="13500"/>
  </r>
  <r>
    <s v="DTL00291"/>
    <s v="TRX00115"/>
    <s v="MNU006"/>
    <n v="1"/>
    <n v="20000"/>
    <x v="11"/>
    <n v="20000"/>
    <n v="8000"/>
    <n v="12000"/>
  </r>
  <r>
    <s v="DTL00292"/>
    <s v="TRX00115"/>
    <s v="MNU020"/>
    <n v="1"/>
    <n v="15000"/>
    <x v="19"/>
    <n v="15000"/>
    <n v="6000"/>
    <n v="9000"/>
  </r>
  <r>
    <s v="DTL00293"/>
    <s v="TRX00116"/>
    <s v="MNU004"/>
    <n v="1"/>
    <n v="22000"/>
    <x v="14"/>
    <n v="22000"/>
    <n v="9500"/>
    <n v="12500"/>
  </r>
  <r>
    <s v="DTL00294"/>
    <s v="TRX00116"/>
    <s v="MNU012"/>
    <n v="1"/>
    <n v="26000"/>
    <x v="15"/>
    <n v="26000"/>
    <n v="11500"/>
    <n v="14500"/>
  </r>
  <r>
    <s v="DTL00295"/>
    <s v="TRX00116"/>
    <s v="MNU003"/>
    <n v="1"/>
    <n v="27000"/>
    <x v="4"/>
    <n v="27000"/>
    <n v="11000"/>
    <n v="16000"/>
  </r>
  <r>
    <s v="DTL00296"/>
    <s v="TRX00117"/>
    <s v="MNU019"/>
    <n v="1"/>
    <n v="5000"/>
    <x v="2"/>
    <n v="5000"/>
    <n v="2000"/>
    <n v="3000"/>
  </r>
  <r>
    <s v="DTL00297"/>
    <s v="TRX00117"/>
    <s v="MNU003"/>
    <n v="1"/>
    <n v="27000"/>
    <x v="4"/>
    <n v="27000"/>
    <n v="11000"/>
    <n v="16000"/>
  </r>
  <r>
    <s v="DTL00298"/>
    <s v="TRX00117"/>
    <s v="MNU006"/>
    <n v="2"/>
    <n v="20000"/>
    <x v="11"/>
    <n v="40000"/>
    <n v="8000"/>
    <n v="24000"/>
  </r>
  <r>
    <s v="DTL00299"/>
    <s v="TRX00117"/>
    <s v="MNU007"/>
    <n v="1"/>
    <n v="28000"/>
    <x v="8"/>
    <n v="28000"/>
    <n v="12000"/>
    <n v="16000"/>
  </r>
  <r>
    <s v="DTL00300"/>
    <s v="TRX00117"/>
    <s v="MNU009"/>
    <n v="1"/>
    <n v="23000"/>
    <x v="3"/>
    <n v="23000"/>
    <n v="9000"/>
    <n v="14000"/>
  </r>
  <r>
    <s v="DTL00301"/>
    <s v="TRX00118"/>
    <s v="MNU003"/>
    <n v="1"/>
    <n v="27000"/>
    <x v="4"/>
    <n v="27000"/>
    <n v="11000"/>
    <n v="16000"/>
  </r>
  <r>
    <s v="DTL00302"/>
    <s v="TRX00119"/>
    <s v="MNU003"/>
    <n v="1"/>
    <n v="27000"/>
    <x v="4"/>
    <n v="27000"/>
    <n v="11000"/>
    <n v="16000"/>
  </r>
  <r>
    <s v="DTL00303"/>
    <s v="TRX00119"/>
    <s v="MNU024"/>
    <n v="1"/>
    <n v="9000"/>
    <x v="1"/>
    <n v="9000"/>
    <n v="3000"/>
    <n v="6000"/>
  </r>
  <r>
    <s v="DTL00304"/>
    <s v="TRX00119"/>
    <s v="MNU006"/>
    <n v="1"/>
    <n v="20000"/>
    <x v="11"/>
    <n v="20000"/>
    <n v="8000"/>
    <n v="12000"/>
  </r>
  <r>
    <s v="DTL00305"/>
    <s v="TRX00120"/>
    <s v="MNU016"/>
    <n v="2"/>
    <n v="18000"/>
    <x v="0"/>
    <n v="36000"/>
    <n v="4500"/>
    <n v="27000"/>
  </r>
  <r>
    <s v="DTL00306"/>
    <s v="TRX00120"/>
    <s v="MNU003"/>
    <n v="2"/>
    <n v="27000"/>
    <x v="4"/>
    <n v="54000"/>
    <n v="11000"/>
    <n v="32000"/>
  </r>
  <r>
    <s v="DTL00307"/>
    <s v="TRX00120"/>
    <s v="MNU004"/>
    <n v="1"/>
    <n v="22000"/>
    <x v="14"/>
    <n v="22000"/>
    <n v="9500"/>
    <n v="12500"/>
  </r>
  <r>
    <s v="DTL00308"/>
    <s v="TRX00121"/>
    <s v="MNU016"/>
    <n v="1"/>
    <n v="18000"/>
    <x v="0"/>
    <n v="18000"/>
    <n v="4500"/>
    <n v="13500"/>
  </r>
  <r>
    <s v="DTL00309"/>
    <s v="TRX00121"/>
    <s v="MNU003"/>
    <n v="1"/>
    <n v="27000"/>
    <x v="4"/>
    <n v="27000"/>
    <n v="11000"/>
    <n v="16000"/>
  </r>
  <r>
    <s v="DTL00310"/>
    <s v="TRX00121"/>
    <s v="MNU019"/>
    <n v="1"/>
    <n v="5000"/>
    <x v="2"/>
    <n v="5000"/>
    <n v="2000"/>
    <n v="3000"/>
  </r>
  <r>
    <s v="DTL00311"/>
    <s v="TRX00122"/>
    <s v="MNU014"/>
    <n v="1"/>
    <n v="8000"/>
    <x v="5"/>
    <n v="8000"/>
    <n v="2500"/>
    <n v="5500"/>
  </r>
  <r>
    <s v="DTL00312"/>
    <s v="TRX00123"/>
    <s v="MNU020"/>
    <n v="1"/>
    <n v="15000"/>
    <x v="19"/>
    <n v="15000"/>
    <n v="6000"/>
    <n v="9000"/>
  </r>
  <r>
    <s v="DTL00313"/>
    <s v="TRX00123"/>
    <s v="MNU002"/>
    <n v="1"/>
    <n v="23000"/>
    <x v="12"/>
    <n v="23000"/>
    <n v="8500"/>
    <n v="14500"/>
  </r>
  <r>
    <s v="DTL00314"/>
    <s v="TRX00124"/>
    <s v="MNU003"/>
    <n v="1"/>
    <n v="27000"/>
    <x v="4"/>
    <n v="27000"/>
    <n v="11000"/>
    <n v="16000"/>
  </r>
  <r>
    <s v="DTL00315"/>
    <s v="TRX00124"/>
    <s v="MNU012"/>
    <n v="3"/>
    <n v="26000"/>
    <x v="15"/>
    <n v="78000"/>
    <n v="11500"/>
    <n v="43500"/>
  </r>
  <r>
    <s v="DTL00316"/>
    <s v="TRX00125"/>
    <s v="MNU002"/>
    <n v="1"/>
    <n v="23000"/>
    <x v="12"/>
    <n v="23000"/>
    <n v="8500"/>
    <n v="14500"/>
  </r>
  <r>
    <s v="DTL00317"/>
    <s v="TRX00126"/>
    <s v="MNU011"/>
    <n v="1"/>
    <n v="29000"/>
    <x v="20"/>
    <n v="29000"/>
    <n v="13000"/>
    <n v="16000"/>
  </r>
  <r>
    <s v="DTL00318"/>
    <s v="TRX00127"/>
    <s v="MNU019"/>
    <n v="1"/>
    <n v="5000"/>
    <x v="2"/>
    <n v="5000"/>
    <n v="2000"/>
    <n v="3000"/>
  </r>
  <r>
    <s v="DTL00319"/>
    <s v="TRX00127"/>
    <s v="MNU003"/>
    <n v="1"/>
    <n v="27000"/>
    <x v="4"/>
    <n v="27000"/>
    <n v="11000"/>
    <n v="16000"/>
  </r>
  <r>
    <s v="DTL00320"/>
    <s v="TRX00127"/>
    <s v="MNU024"/>
    <n v="1"/>
    <n v="9000"/>
    <x v="1"/>
    <n v="9000"/>
    <n v="3000"/>
    <n v="6000"/>
  </r>
  <r>
    <s v="DTL00321"/>
    <s v="TRX00128"/>
    <s v="MNU009"/>
    <n v="2"/>
    <n v="23000"/>
    <x v="3"/>
    <n v="46000"/>
    <n v="9000"/>
    <n v="28000"/>
  </r>
  <r>
    <s v="DTL00322"/>
    <s v="TRX00129"/>
    <s v="MNU003"/>
    <n v="1"/>
    <n v="27000"/>
    <x v="4"/>
    <n v="27000"/>
    <n v="11000"/>
    <n v="16000"/>
  </r>
  <r>
    <s v="DTL00323"/>
    <s v="TRX00129"/>
    <s v="MNU004"/>
    <n v="1"/>
    <n v="22000"/>
    <x v="14"/>
    <n v="22000"/>
    <n v="9500"/>
    <n v="12500"/>
  </r>
  <r>
    <s v="DTL00324"/>
    <s v="TRX00130"/>
    <s v="MNU020"/>
    <n v="1"/>
    <n v="15000"/>
    <x v="19"/>
    <n v="15000"/>
    <n v="6000"/>
    <n v="9000"/>
  </r>
  <r>
    <s v="DTL00325"/>
    <s v="TRX00130"/>
    <s v="MNU006"/>
    <n v="2"/>
    <n v="20000"/>
    <x v="11"/>
    <n v="40000"/>
    <n v="8000"/>
    <n v="24000"/>
  </r>
  <r>
    <s v="DTL00326"/>
    <s v="TRX00131"/>
    <s v="MNU003"/>
    <n v="1"/>
    <n v="27000"/>
    <x v="4"/>
    <n v="27000"/>
    <n v="11000"/>
    <n v="16000"/>
  </r>
  <r>
    <s v="DTL00327"/>
    <s v="TRX00132"/>
    <s v="MNU006"/>
    <n v="1"/>
    <n v="20000"/>
    <x v="11"/>
    <n v="20000"/>
    <n v="8000"/>
    <n v="12000"/>
  </r>
  <r>
    <s v="DTL00328"/>
    <s v="TRX00132"/>
    <s v="MNU011"/>
    <n v="1"/>
    <n v="29000"/>
    <x v="20"/>
    <n v="29000"/>
    <n v="13000"/>
    <n v="16000"/>
  </r>
  <r>
    <s v="DTL00329"/>
    <s v="TRX00132"/>
    <s v="MNU003"/>
    <n v="1"/>
    <n v="27000"/>
    <x v="4"/>
    <n v="27000"/>
    <n v="11000"/>
    <n v="16000"/>
  </r>
  <r>
    <s v="DTL00330"/>
    <s v="TRX00132"/>
    <s v="MNU019"/>
    <n v="1"/>
    <n v="5000"/>
    <x v="2"/>
    <n v="5000"/>
    <n v="2000"/>
    <n v="3000"/>
  </r>
  <r>
    <s v="DTL00331"/>
    <s v="TRX00133"/>
    <s v="MNU018"/>
    <n v="2"/>
    <n v="12000"/>
    <x v="6"/>
    <n v="24000"/>
    <n v="3000"/>
    <n v="18000"/>
  </r>
  <r>
    <s v="DTL00332"/>
    <s v="TRX00133"/>
    <s v="MNU016"/>
    <n v="2"/>
    <n v="18000"/>
    <x v="0"/>
    <n v="36000"/>
    <n v="4500"/>
    <n v="27000"/>
  </r>
  <r>
    <s v="DTL00333"/>
    <s v="TRX00134"/>
    <s v="MNU023"/>
    <n v="1"/>
    <n v="5000"/>
    <x v="13"/>
    <n v="5000"/>
    <n v="1500"/>
    <n v="3500"/>
  </r>
  <r>
    <s v="DTL00334"/>
    <s v="TRX00134"/>
    <s v="MNU006"/>
    <n v="1"/>
    <n v="20000"/>
    <x v="11"/>
    <n v="20000"/>
    <n v="8000"/>
    <n v="12000"/>
  </r>
  <r>
    <s v="DTL00335"/>
    <s v="TRX00134"/>
    <s v="MNU002"/>
    <n v="1"/>
    <n v="23000"/>
    <x v="12"/>
    <n v="23000"/>
    <n v="8500"/>
    <n v="14500"/>
  </r>
  <r>
    <s v="DTL00336"/>
    <s v="TRX00135"/>
    <s v="MNU003"/>
    <n v="2"/>
    <n v="27000"/>
    <x v="4"/>
    <n v="54000"/>
    <n v="11000"/>
    <n v="32000"/>
  </r>
  <r>
    <s v="DTL00337"/>
    <s v="TRX00135"/>
    <s v="MNU020"/>
    <n v="1"/>
    <n v="15000"/>
    <x v="19"/>
    <n v="15000"/>
    <n v="6000"/>
    <n v="9000"/>
  </r>
  <r>
    <s v="DTL00338"/>
    <s v="TRX00136"/>
    <s v="MNU013"/>
    <n v="1"/>
    <n v="6000"/>
    <x v="22"/>
    <n v="6000"/>
    <n v="1500"/>
    <n v="4500"/>
  </r>
  <r>
    <s v="DTL00339"/>
    <s v="TRX00137"/>
    <s v="MNU016"/>
    <n v="3"/>
    <n v="18000"/>
    <x v="0"/>
    <n v="54000"/>
    <n v="4500"/>
    <n v="40500"/>
  </r>
  <r>
    <s v="DTL00340"/>
    <s v="TRX00137"/>
    <s v="MNU024"/>
    <n v="1"/>
    <n v="9000"/>
    <x v="1"/>
    <n v="9000"/>
    <n v="3000"/>
    <n v="6000"/>
  </r>
  <r>
    <s v="DTL00341"/>
    <s v="TRX00137"/>
    <s v="MNU003"/>
    <n v="1"/>
    <n v="27000"/>
    <x v="4"/>
    <n v="27000"/>
    <n v="11000"/>
    <n v="16000"/>
  </r>
  <r>
    <s v="DTL00342"/>
    <s v="TRX00138"/>
    <s v="MNU016"/>
    <n v="1"/>
    <n v="18000"/>
    <x v="0"/>
    <n v="18000"/>
    <n v="4500"/>
    <n v="13500"/>
  </r>
  <r>
    <s v="DTL00343"/>
    <s v="TRX00138"/>
    <s v="MNU014"/>
    <n v="1"/>
    <n v="8000"/>
    <x v="5"/>
    <n v="8000"/>
    <n v="2500"/>
    <n v="5500"/>
  </r>
  <r>
    <s v="DTL00344"/>
    <s v="TRX00139"/>
    <s v="MNU003"/>
    <n v="2"/>
    <n v="27000"/>
    <x v="4"/>
    <n v="54000"/>
    <n v="11000"/>
    <n v="32000"/>
  </r>
  <r>
    <s v="DTL00345"/>
    <s v="TRX00139"/>
    <s v="MNU024"/>
    <n v="1"/>
    <n v="9000"/>
    <x v="1"/>
    <n v="9000"/>
    <n v="3000"/>
    <n v="6000"/>
  </r>
  <r>
    <s v="DTL00346"/>
    <s v="TRX00139"/>
    <s v="MNU023"/>
    <n v="1"/>
    <n v="5000"/>
    <x v="13"/>
    <n v="5000"/>
    <n v="1500"/>
    <n v="3500"/>
  </r>
  <r>
    <s v="DTL00347"/>
    <s v="TRX00139"/>
    <s v="MNU016"/>
    <n v="1"/>
    <n v="18000"/>
    <x v="0"/>
    <n v="18000"/>
    <n v="4500"/>
    <n v="13500"/>
  </r>
  <r>
    <s v="DTL00348"/>
    <s v="TRX00139"/>
    <s v="MNU021"/>
    <n v="1"/>
    <n v="10000"/>
    <x v="16"/>
    <n v="10000"/>
    <n v="3500"/>
    <n v="6500"/>
  </r>
  <r>
    <s v="DTL00349"/>
    <s v="TRX00140"/>
    <s v="MNU012"/>
    <n v="1"/>
    <n v="26000"/>
    <x v="15"/>
    <n v="26000"/>
    <n v="11500"/>
    <n v="14500"/>
  </r>
  <r>
    <s v="DTL00350"/>
    <s v="TRX00140"/>
    <s v="MNU024"/>
    <n v="1"/>
    <n v="9000"/>
    <x v="1"/>
    <n v="9000"/>
    <n v="3000"/>
    <n v="6000"/>
  </r>
  <r>
    <s v="DTL00351"/>
    <s v="TRX00141"/>
    <s v="MNU023"/>
    <n v="1"/>
    <n v="5000"/>
    <x v="13"/>
    <n v="5000"/>
    <n v="1500"/>
    <n v="3500"/>
  </r>
  <r>
    <s v="DTL00352"/>
    <s v="TRX00142"/>
    <s v="MNU003"/>
    <n v="1"/>
    <n v="27000"/>
    <x v="4"/>
    <n v="27000"/>
    <n v="11000"/>
    <n v="16000"/>
  </r>
  <r>
    <s v="DTL00353"/>
    <s v="TRX00142"/>
    <s v="MNU012"/>
    <n v="1"/>
    <n v="26000"/>
    <x v="15"/>
    <n v="26000"/>
    <n v="11500"/>
    <n v="14500"/>
  </r>
  <r>
    <s v="DTL00354"/>
    <s v="TRX00143"/>
    <s v="MNU012"/>
    <n v="1"/>
    <n v="26000"/>
    <x v="15"/>
    <n v="26000"/>
    <n v="11500"/>
    <n v="14500"/>
  </r>
  <r>
    <s v="DTL00355"/>
    <s v="TRX00143"/>
    <s v="MNU011"/>
    <n v="1"/>
    <n v="29000"/>
    <x v="20"/>
    <n v="29000"/>
    <n v="13000"/>
    <n v="16000"/>
  </r>
  <r>
    <s v="DTL00356"/>
    <s v="TRX00144"/>
    <s v="MNU017"/>
    <n v="1"/>
    <n v="16000"/>
    <x v="9"/>
    <n v="16000"/>
    <n v="5500"/>
    <n v="10500"/>
  </r>
  <r>
    <s v="DTL00357"/>
    <s v="TRX00144"/>
    <s v="MNU003"/>
    <n v="3"/>
    <n v="27000"/>
    <x v="4"/>
    <n v="81000"/>
    <n v="11000"/>
    <n v="48000"/>
  </r>
  <r>
    <s v="DTL00358"/>
    <s v="TRX00144"/>
    <s v="MNU016"/>
    <n v="1"/>
    <n v="18000"/>
    <x v="0"/>
    <n v="18000"/>
    <n v="4500"/>
    <n v="13500"/>
  </r>
  <r>
    <s v="DTL00359"/>
    <s v="TRX00144"/>
    <s v="MNU006"/>
    <n v="1"/>
    <n v="20000"/>
    <x v="11"/>
    <n v="20000"/>
    <n v="8000"/>
    <n v="12000"/>
  </r>
  <r>
    <s v="DTL00360"/>
    <s v="TRX00145"/>
    <s v="MNU003"/>
    <n v="3"/>
    <n v="27000"/>
    <x v="4"/>
    <n v="81000"/>
    <n v="11000"/>
    <n v="48000"/>
  </r>
  <r>
    <s v="DTL00361"/>
    <s v="TRX00145"/>
    <s v="MNU016"/>
    <n v="1"/>
    <n v="18000"/>
    <x v="0"/>
    <n v="18000"/>
    <n v="4500"/>
    <n v="13500"/>
  </r>
  <r>
    <s v="DTL00362"/>
    <s v="TRX00146"/>
    <s v="MNU007"/>
    <n v="1"/>
    <n v="28000"/>
    <x v="8"/>
    <n v="28000"/>
    <n v="12000"/>
    <n v="16000"/>
  </r>
  <r>
    <s v="DTL00363"/>
    <s v="TRX00147"/>
    <s v="MNU009"/>
    <n v="1"/>
    <n v="23000"/>
    <x v="3"/>
    <n v="23000"/>
    <n v="9000"/>
    <n v="14000"/>
  </r>
  <r>
    <s v="DTL00364"/>
    <s v="TRX00148"/>
    <s v="MNU003"/>
    <n v="1"/>
    <n v="27000"/>
    <x v="4"/>
    <n v="27000"/>
    <n v="11000"/>
    <n v="16000"/>
  </r>
  <r>
    <s v="DTL00365"/>
    <s v="TRX00148"/>
    <s v="MNU023"/>
    <n v="3"/>
    <n v="5000"/>
    <x v="13"/>
    <n v="15000"/>
    <n v="1500"/>
    <n v="10500"/>
  </r>
  <r>
    <s v="DTL00366"/>
    <s v="TRX00149"/>
    <s v="MNU019"/>
    <n v="1"/>
    <n v="5000"/>
    <x v="2"/>
    <n v="5000"/>
    <n v="2000"/>
    <n v="3000"/>
  </r>
  <r>
    <s v="DTL00367"/>
    <s v="TRX00149"/>
    <s v="MNU016"/>
    <n v="1"/>
    <n v="18000"/>
    <x v="0"/>
    <n v="18000"/>
    <n v="4500"/>
    <n v="13500"/>
  </r>
  <r>
    <s v="DTL00368"/>
    <s v="TRX00150"/>
    <s v="MNU012"/>
    <n v="2"/>
    <n v="26000"/>
    <x v="15"/>
    <n v="52000"/>
    <n v="11500"/>
    <n v="29000"/>
  </r>
  <r>
    <s v="DTL00369"/>
    <s v="TRX00151"/>
    <s v="MNU006"/>
    <n v="1"/>
    <n v="20000"/>
    <x v="11"/>
    <n v="20000"/>
    <n v="8000"/>
    <n v="12000"/>
  </r>
  <r>
    <s v="DTL00370"/>
    <s v="TRX00151"/>
    <s v="MNU003"/>
    <n v="1"/>
    <n v="27000"/>
    <x v="4"/>
    <n v="27000"/>
    <n v="11000"/>
    <n v="16000"/>
  </r>
  <r>
    <s v="DTL00371"/>
    <s v="TRX00151"/>
    <s v="MNU012"/>
    <n v="1"/>
    <n v="26000"/>
    <x v="15"/>
    <n v="26000"/>
    <n v="11500"/>
    <n v="14500"/>
  </r>
  <r>
    <s v="DTL00372"/>
    <s v="TRX00152"/>
    <s v="MNU012"/>
    <n v="2"/>
    <n v="26000"/>
    <x v="15"/>
    <n v="52000"/>
    <n v="11500"/>
    <n v="29000"/>
  </r>
  <r>
    <s v="DTL00373"/>
    <s v="TRX00152"/>
    <s v="MNU006"/>
    <n v="1"/>
    <n v="20000"/>
    <x v="11"/>
    <n v="20000"/>
    <n v="8000"/>
    <n v="12000"/>
  </r>
  <r>
    <s v="DTL00374"/>
    <s v="TRX00153"/>
    <s v="MNU016"/>
    <n v="1"/>
    <n v="18000"/>
    <x v="0"/>
    <n v="18000"/>
    <n v="4500"/>
    <n v="13500"/>
  </r>
  <r>
    <s v="DTL00375"/>
    <s v="TRX00153"/>
    <s v="MNU012"/>
    <n v="1"/>
    <n v="26000"/>
    <x v="15"/>
    <n v="26000"/>
    <n v="11500"/>
    <n v="14500"/>
  </r>
  <r>
    <s v="DTL00376"/>
    <s v="TRX00153"/>
    <s v="MNU023"/>
    <n v="1"/>
    <n v="5000"/>
    <x v="13"/>
    <n v="5000"/>
    <n v="1500"/>
    <n v="3500"/>
  </r>
  <r>
    <s v="DTL00377"/>
    <s v="TRX00153"/>
    <s v="MNU013"/>
    <n v="1"/>
    <n v="6000"/>
    <x v="22"/>
    <n v="6000"/>
    <n v="1500"/>
    <n v="4500"/>
  </r>
  <r>
    <s v="DTL00378"/>
    <s v="TRX00154"/>
    <s v="MNU012"/>
    <n v="3"/>
    <n v="26000"/>
    <x v="15"/>
    <n v="78000"/>
    <n v="11500"/>
    <n v="43500"/>
  </r>
  <r>
    <s v="DTL00379"/>
    <s v="TRX00154"/>
    <s v="MNU021"/>
    <n v="1"/>
    <n v="10000"/>
    <x v="16"/>
    <n v="10000"/>
    <n v="3500"/>
    <n v="6500"/>
  </r>
  <r>
    <s v="DTL00380"/>
    <s v="TRX00155"/>
    <s v="MNU019"/>
    <n v="2"/>
    <n v="5000"/>
    <x v="2"/>
    <n v="10000"/>
    <n v="2000"/>
    <n v="6000"/>
  </r>
  <r>
    <s v="DTL00381"/>
    <s v="TRX00156"/>
    <s v="MNU016"/>
    <n v="1"/>
    <n v="18000"/>
    <x v="0"/>
    <n v="18000"/>
    <n v="4500"/>
    <n v="13500"/>
  </r>
  <r>
    <s v="DTL00382"/>
    <s v="TRX00156"/>
    <s v="MNU020"/>
    <n v="1"/>
    <n v="15000"/>
    <x v="19"/>
    <n v="15000"/>
    <n v="6000"/>
    <n v="9000"/>
  </r>
  <r>
    <s v="DTL00383"/>
    <s v="TRX00156"/>
    <s v="MNU017"/>
    <n v="3"/>
    <n v="16000"/>
    <x v="9"/>
    <n v="48000"/>
    <n v="5500"/>
    <n v="31500"/>
  </r>
  <r>
    <s v="DTL00384"/>
    <s v="TRX00157"/>
    <s v="MNU003"/>
    <n v="1"/>
    <n v="27000"/>
    <x v="4"/>
    <n v="27000"/>
    <n v="11000"/>
    <n v="16000"/>
  </r>
  <r>
    <s v="DTL00385"/>
    <s v="TRX00157"/>
    <s v="MNU006"/>
    <n v="2"/>
    <n v="20000"/>
    <x v="11"/>
    <n v="40000"/>
    <n v="8000"/>
    <n v="24000"/>
  </r>
  <r>
    <s v="DTL00386"/>
    <s v="TRX00157"/>
    <s v="MNU012"/>
    <n v="1"/>
    <n v="26000"/>
    <x v="15"/>
    <n v="26000"/>
    <n v="11500"/>
    <n v="14500"/>
  </r>
  <r>
    <s v="DTL00387"/>
    <s v="TRX00158"/>
    <s v="MNU024"/>
    <n v="1"/>
    <n v="9000"/>
    <x v="1"/>
    <n v="9000"/>
    <n v="3000"/>
    <n v="6000"/>
  </r>
  <r>
    <s v="DTL00388"/>
    <s v="TRX00159"/>
    <s v="MNU016"/>
    <n v="3"/>
    <n v="18000"/>
    <x v="0"/>
    <n v="54000"/>
    <n v="4500"/>
    <n v="40500"/>
  </r>
  <r>
    <s v="DTL00389"/>
    <s v="TRX00160"/>
    <s v="MNU016"/>
    <n v="2"/>
    <n v="18000"/>
    <x v="0"/>
    <n v="36000"/>
    <n v="4500"/>
    <n v="27000"/>
  </r>
  <r>
    <s v="DTL00390"/>
    <s v="TRX00161"/>
    <s v="MNU015"/>
    <n v="1"/>
    <n v="9000"/>
    <x v="10"/>
    <n v="9000"/>
    <n v="2000"/>
    <n v="7000"/>
  </r>
  <r>
    <s v="DTL00391"/>
    <s v="TRX00162"/>
    <s v="MNU003"/>
    <n v="1"/>
    <n v="27000"/>
    <x v="4"/>
    <n v="27000"/>
    <n v="11000"/>
    <n v="16000"/>
  </r>
  <r>
    <s v="DTL00392"/>
    <s v="TRX00162"/>
    <s v="MNU012"/>
    <n v="1"/>
    <n v="26000"/>
    <x v="15"/>
    <n v="26000"/>
    <n v="11500"/>
    <n v="14500"/>
  </r>
  <r>
    <s v="DTL00393"/>
    <s v="TRX00162"/>
    <s v="MNU009"/>
    <n v="2"/>
    <n v="23000"/>
    <x v="3"/>
    <n v="46000"/>
    <n v="9000"/>
    <n v="28000"/>
  </r>
  <r>
    <s v="DTL00394"/>
    <s v="TRX00163"/>
    <s v="MNU013"/>
    <n v="2"/>
    <n v="6000"/>
    <x v="22"/>
    <n v="12000"/>
    <n v="1500"/>
    <n v="9000"/>
  </r>
  <r>
    <s v="DTL00395"/>
    <s v="TRX00163"/>
    <s v="MNU004"/>
    <n v="1"/>
    <n v="22000"/>
    <x v="14"/>
    <n v="22000"/>
    <n v="9500"/>
    <n v="12500"/>
  </r>
  <r>
    <s v="DTL00396"/>
    <s v="TRX00163"/>
    <s v="MNU016"/>
    <n v="1"/>
    <n v="18000"/>
    <x v="0"/>
    <n v="18000"/>
    <n v="4500"/>
    <n v="13500"/>
  </r>
  <r>
    <s v="DTL00397"/>
    <s v="TRX00164"/>
    <s v="MNU015"/>
    <n v="2"/>
    <n v="9000"/>
    <x v="10"/>
    <n v="18000"/>
    <n v="2000"/>
    <n v="14000"/>
  </r>
  <r>
    <s v="DTL00398"/>
    <s v="TRX00164"/>
    <s v="MNU017"/>
    <n v="2"/>
    <n v="16000"/>
    <x v="9"/>
    <n v="32000"/>
    <n v="5500"/>
    <n v="21000"/>
  </r>
  <r>
    <s v="DTL00399"/>
    <s v="TRX00165"/>
    <s v="MNU003"/>
    <n v="1"/>
    <n v="27000"/>
    <x v="4"/>
    <n v="27000"/>
    <n v="11000"/>
    <n v="16000"/>
  </r>
  <r>
    <s v="DTL00400"/>
    <s v="TRX00165"/>
    <s v="MNU006"/>
    <n v="2"/>
    <n v="20000"/>
    <x v="11"/>
    <n v="40000"/>
    <n v="8000"/>
    <n v="24000"/>
  </r>
  <r>
    <s v="DTL00401"/>
    <s v="TRX00165"/>
    <s v="MNU016"/>
    <n v="1"/>
    <n v="18000"/>
    <x v="0"/>
    <n v="18000"/>
    <n v="4500"/>
    <n v="13500"/>
  </r>
  <r>
    <s v="DTL00402"/>
    <s v="TRX00166"/>
    <s v="MNU006"/>
    <n v="1"/>
    <n v="20000"/>
    <x v="11"/>
    <n v="20000"/>
    <n v="8000"/>
    <n v="12000"/>
  </r>
  <r>
    <s v="DTL00403"/>
    <s v="TRX00166"/>
    <s v="MNU023"/>
    <n v="1"/>
    <n v="5000"/>
    <x v="13"/>
    <n v="5000"/>
    <n v="1500"/>
    <n v="3500"/>
  </r>
  <r>
    <s v="DTL00404"/>
    <s v="TRX00166"/>
    <s v="MNU003"/>
    <n v="1"/>
    <n v="27000"/>
    <x v="4"/>
    <n v="27000"/>
    <n v="11000"/>
    <n v="16000"/>
  </r>
  <r>
    <s v="DTL00405"/>
    <s v="TRX00166"/>
    <s v="MNU009"/>
    <n v="1"/>
    <n v="23000"/>
    <x v="3"/>
    <n v="23000"/>
    <n v="9000"/>
    <n v="14000"/>
  </r>
  <r>
    <s v="DTL00406"/>
    <s v="TRX00166"/>
    <s v="MNU008"/>
    <n v="1"/>
    <n v="21000"/>
    <x v="21"/>
    <n v="21000"/>
    <n v="8500"/>
    <n v="12500"/>
  </r>
  <r>
    <s v="DTL00407"/>
    <s v="TRX00167"/>
    <s v="MNU003"/>
    <n v="1"/>
    <n v="27000"/>
    <x v="4"/>
    <n v="27000"/>
    <n v="11000"/>
    <n v="16000"/>
  </r>
  <r>
    <s v="DTL00408"/>
    <s v="TRX00167"/>
    <s v="MNU016"/>
    <n v="1"/>
    <n v="18000"/>
    <x v="0"/>
    <n v="18000"/>
    <n v="4500"/>
    <n v="13500"/>
  </r>
  <r>
    <s v="DTL00409"/>
    <s v="TRX00168"/>
    <s v="MNU006"/>
    <n v="1"/>
    <n v="20000"/>
    <x v="11"/>
    <n v="20000"/>
    <n v="8000"/>
    <n v="12000"/>
  </r>
  <r>
    <s v="DTL00410"/>
    <s v="TRX00168"/>
    <s v="MNU003"/>
    <n v="1"/>
    <n v="27000"/>
    <x v="4"/>
    <n v="27000"/>
    <n v="11000"/>
    <n v="16000"/>
  </r>
  <r>
    <s v="DTL00411"/>
    <s v="TRX00169"/>
    <s v="MNU016"/>
    <n v="1"/>
    <n v="18000"/>
    <x v="0"/>
    <n v="18000"/>
    <n v="4500"/>
    <n v="13500"/>
  </r>
  <r>
    <s v="DTL00412"/>
    <s v="TRX00169"/>
    <s v="MNU020"/>
    <n v="1"/>
    <n v="15000"/>
    <x v="19"/>
    <n v="15000"/>
    <n v="6000"/>
    <n v="9000"/>
  </r>
  <r>
    <s v="DTL00413"/>
    <s v="TRX00169"/>
    <s v="MNU011"/>
    <n v="1"/>
    <n v="29000"/>
    <x v="20"/>
    <n v="29000"/>
    <n v="13000"/>
    <n v="16000"/>
  </r>
  <r>
    <s v="DTL00414"/>
    <s v="TRX00170"/>
    <s v="MNU004"/>
    <n v="2"/>
    <n v="22000"/>
    <x v="14"/>
    <n v="44000"/>
    <n v="9500"/>
    <n v="25000"/>
  </r>
  <r>
    <s v="DTL00415"/>
    <s v="TRX00170"/>
    <s v="MNU003"/>
    <n v="2"/>
    <n v="27000"/>
    <x v="4"/>
    <n v="54000"/>
    <n v="11000"/>
    <n v="32000"/>
  </r>
  <r>
    <s v="DTL00416"/>
    <s v="TRX00171"/>
    <s v="MNU016"/>
    <n v="1"/>
    <n v="18000"/>
    <x v="0"/>
    <n v="18000"/>
    <n v="4500"/>
    <n v="13500"/>
  </r>
  <r>
    <s v="DTL00417"/>
    <s v="TRX00171"/>
    <s v="MNU006"/>
    <n v="1"/>
    <n v="20000"/>
    <x v="11"/>
    <n v="20000"/>
    <n v="8000"/>
    <n v="12000"/>
  </r>
  <r>
    <s v="DTL00418"/>
    <s v="TRX00172"/>
    <s v="MNU016"/>
    <n v="1"/>
    <n v="18000"/>
    <x v="0"/>
    <n v="18000"/>
    <n v="4500"/>
    <n v="13500"/>
  </r>
  <r>
    <s v="DTL00419"/>
    <s v="TRX00172"/>
    <s v="MNU003"/>
    <n v="1"/>
    <n v="27000"/>
    <x v="4"/>
    <n v="27000"/>
    <n v="11000"/>
    <n v="16000"/>
  </r>
  <r>
    <s v="DTL00420"/>
    <s v="TRX00173"/>
    <s v="MNU016"/>
    <n v="1"/>
    <n v="18000"/>
    <x v="0"/>
    <n v="18000"/>
    <n v="4500"/>
    <n v="13500"/>
  </r>
  <r>
    <s v="DTL00421"/>
    <s v="TRX00173"/>
    <s v="MNU021"/>
    <n v="1"/>
    <n v="10000"/>
    <x v="16"/>
    <n v="10000"/>
    <n v="3500"/>
    <n v="6500"/>
  </r>
  <r>
    <s v="DTL00422"/>
    <s v="TRX00173"/>
    <s v="MNU009"/>
    <n v="1"/>
    <n v="23000"/>
    <x v="3"/>
    <n v="23000"/>
    <n v="9000"/>
    <n v="14000"/>
  </r>
  <r>
    <s v="DTL00423"/>
    <s v="TRX00173"/>
    <s v="MNU018"/>
    <n v="1"/>
    <n v="12000"/>
    <x v="6"/>
    <n v="12000"/>
    <n v="3000"/>
    <n v="9000"/>
  </r>
  <r>
    <s v="DTL00424"/>
    <s v="TRX00174"/>
    <s v="MNU003"/>
    <n v="1"/>
    <n v="27000"/>
    <x v="4"/>
    <n v="27000"/>
    <n v="11000"/>
    <n v="16000"/>
  </r>
  <r>
    <s v="DTL00425"/>
    <s v="TRX00174"/>
    <s v="MNU024"/>
    <n v="1"/>
    <n v="9000"/>
    <x v="1"/>
    <n v="9000"/>
    <n v="3000"/>
    <n v="6000"/>
  </r>
  <r>
    <s v="DTL00426"/>
    <s v="TRX00175"/>
    <s v="MNU007"/>
    <n v="2"/>
    <n v="28000"/>
    <x v="8"/>
    <n v="56000"/>
    <n v="12000"/>
    <n v="32000"/>
  </r>
  <r>
    <s v="DTL00427"/>
    <s v="TRX00175"/>
    <s v="MNU019"/>
    <n v="2"/>
    <n v="5000"/>
    <x v="2"/>
    <n v="10000"/>
    <n v="2000"/>
    <n v="6000"/>
  </r>
  <r>
    <s v="DTL00428"/>
    <s v="TRX00176"/>
    <s v="MNU011"/>
    <n v="1"/>
    <n v="29000"/>
    <x v="20"/>
    <n v="29000"/>
    <n v="13000"/>
    <n v="16000"/>
  </r>
  <r>
    <s v="DTL00429"/>
    <s v="TRX00176"/>
    <s v="MNU017"/>
    <n v="3"/>
    <n v="16000"/>
    <x v="9"/>
    <n v="48000"/>
    <n v="5500"/>
    <n v="31500"/>
  </r>
  <r>
    <s v="DTL00430"/>
    <s v="TRX00176"/>
    <s v="MNU021"/>
    <n v="1"/>
    <n v="10000"/>
    <x v="16"/>
    <n v="10000"/>
    <n v="3500"/>
    <n v="6500"/>
  </r>
  <r>
    <s v="DTL00431"/>
    <s v="TRX00176"/>
    <s v="MNU003"/>
    <n v="1"/>
    <n v="27000"/>
    <x v="4"/>
    <n v="27000"/>
    <n v="11000"/>
    <n v="16000"/>
  </r>
  <r>
    <s v="DTL00432"/>
    <s v="TRX00177"/>
    <s v="MNU016"/>
    <n v="1"/>
    <n v="18000"/>
    <x v="0"/>
    <n v="18000"/>
    <n v="4500"/>
    <n v="13500"/>
  </r>
  <r>
    <s v="DTL00433"/>
    <s v="TRX00177"/>
    <s v="MNU012"/>
    <n v="1"/>
    <n v="26000"/>
    <x v="15"/>
    <n v="26000"/>
    <n v="11500"/>
    <n v="14500"/>
  </r>
  <r>
    <s v="DTL00434"/>
    <s v="TRX00177"/>
    <s v="MNU010"/>
    <n v="1"/>
    <n v="22000"/>
    <x v="7"/>
    <n v="22000"/>
    <n v="9500"/>
    <n v="12500"/>
  </r>
  <r>
    <s v="DTL00435"/>
    <s v="TRX00178"/>
    <s v="MNU003"/>
    <n v="1"/>
    <n v="27000"/>
    <x v="4"/>
    <n v="27000"/>
    <n v="11000"/>
    <n v="16000"/>
  </r>
  <r>
    <s v="DTL00436"/>
    <s v="TRX00178"/>
    <s v="MNU022"/>
    <n v="2"/>
    <n v="13000"/>
    <x v="17"/>
    <n v="26000"/>
    <n v="4000"/>
    <n v="18000"/>
  </r>
  <r>
    <s v="DTL00437"/>
    <s v="TRX00178"/>
    <s v="MNU016"/>
    <n v="1"/>
    <n v="18000"/>
    <x v="0"/>
    <n v="18000"/>
    <n v="4500"/>
    <n v="13500"/>
  </r>
  <r>
    <s v="DTL00438"/>
    <s v="TRX00178"/>
    <s v="MNU006"/>
    <n v="2"/>
    <n v="20000"/>
    <x v="11"/>
    <n v="40000"/>
    <n v="8000"/>
    <n v="24000"/>
  </r>
  <r>
    <s v="DTL00439"/>
    <s v="TRX00178"/>
    <s v="MNU004"/>
    <n v="2"/>
    <n v="22000"/>
    <x v="14"/>
    <n v="44000"/>
    <n v="9500"/>
    <n v="25000"/>
  </r>
  <r>
    <s v="DTL00440"/>
    <s v="TRX00179"/>
    <s v="MNU023"/>
    <n v="1"/>
    <n v="5000"/>
    <x v="13"/>
    <n v="5000"/>
    <n v="1500"/>
    <n v="3500"/>
  </r>
  <r>
    <s v="DTL00441"/>
    <s v="TRX00179"/>
    <s v="MNU006"/>
    <n v="1"/>
    <n v="20000"/>
    <x v="11"/>
    <n v="20000"/>
    <n v="8000"/>
    <n v="12000"/>
  </r>
  <r>
    <s v="DTL00442"/>
    <s v="TRX00179"/>
    <s v="MNU009"/>
    <n v="1"/>
    <n v="23000"/>
    <x v="3"/>
    <n v="23000"/>
    <n v="9000"/>
    <n v="14000"/>
  </r>
  <r>
    <s v="DTL00443"/>
    <s v="TRX00179"/>
    <s v="MNU018"/>
    <n v="1"/>
    <n v="12000"/>
    <x v="6"/>
    <n v="12000"/>
    <n v="3000"/>
    <n v="9000"/>
  </r>
  <r>
    <s v="DTL00444"/>
    <s v="TRX00180"/>
    <s v="MNU007"/>
    <n v="1"/>
    <n v="28000"/>
    <x v="8"/>
    <n v="28000"/>
    <n v="12000"/>
    <n v="16000"/>
  </r>
  <r>
    <s v="DTL00445"/>
    <s v="TRX00180"/>
    <s v="MNU003"/>
    <n v="1"/>
    <n v="27000"/>
    <x v="4"/>
    <n v="27000"/>
    <n v="11000"/>
    <n v="16000"/>
  </r>
  <r>
    <s v="DTL00446"/>
    <s v="TRX00180"/>
    <s v="MNU022"/>
    <n v="1"/>
    <n v="13000"/>
    <x v="17"/>
    <n v="13000"/>
    <n v="4000"/>
    <n v="9000"/>
  </r>
  <r>
    <s v="DTL00447"/>
    <s v="TRX00181"/>
    <s v="MNU016"/>
    <n v="1"/>
    <n v="18000"/>
    <x v="0"/>
    <n v="18000"/>
    <n v="4500"/>
    <n v="13500"/>
  </r>
  <r>
    <s v="DTL00448"/>
    <s v="TRX00181"/>
    <s v="MNU003"/>
    <n v="1"/>
    <n v="27000"/>
    <x v="4"/>
    <n v="27000"/>
    <n v="11000"/>
    <n v="16000"/>
  </r>
  <r>
    <s v="DTL00449"/>
    <s v="TRX00182"/>
    <s v="MNU004"/>
    <n v="1"/>
    <n v="22000"/>
    <x v="14"/>
    <n v="22000"/>
    <n v="9500"/>
    <n v="12500"/>
  </r>
  <r>
    <s v="DTL00450"/>
    <s v="TRX00182"/>
    <s v="MNU017"/>
    <n v="1"/>
    <n v="16000"/>
    <x v="9"/>
    <n v="16000"/>
    <n v="5500"/>
    <n v="10500"/>
  </r>
  <r>
    <s v="DTL00451"/>
    <s v="TRX00183"/>
    <s v="MNU004"/>
    <n v="1"/>
    <n v="22000"/>
    <x v="14"/>
    <n v="22000"/>
    <n v="9500"/>
    <n v="12500"/>
  </r>
  <r>
    <s v="DTL00452"/>
    <s v="TRX00183"/>
    <s v="MNU011"/>
    <n v="1"/>
    <n v="29000"/>
    <x v="20"/>
    <n v="29000"/>
    <n v="13000"/>
    <n v="16000"/>
  </r>
  <r>
    <s v="DTL00453"/>
    <s v="TRX00184"/>
    <s v="MNU003"/>
    <n v="1"/>
    <n v="27000"/>
    <x v="4"/>
    <n v="27000"/>
    <n v="11000"/>
    <n v="16000"/>
  </r>
  <r>
    <s v="DTL00454"/>
    <s v="TRX00185"/>
    <s v="MNU021"/>
    <n v="1"/>
    <n v="10000"/>
    <x v="16"/>
    <n v="10000"/>
    <n v="3500"/>
    <n v="6500"/>
  </r>
  <r>
    <s v="DTL00455"/>
    <s v="TRX00185"/>
    <s v="MNU003"/>
    <n v="1"/>
    <n v="27000"/>
    <x v="4"/>
    <n v="27000"/>
    <n v="11000"/>
    <n v="16000"/>
  </r>
  <r>
    <s v="DTL00456"/>
    <s v="TRX00185"/>
    <s v="MNU004"/>
    <n v="1"/>
    <n v="22000"/>
    <x v="14"/>
    <n v="22000"/>
    <n v="9500"/>
    <n v="12500"/>
  </r>
  <r>
    <s v="DTL00457"/>
    <s v="TRX00186"/>
    <s v="MNU002"/>
    <n v="1"/>
    <n v="23000"/>
    <x v="12"/>
    <n v="23000"/>
    <n v="8500"/>
    <n v="14500"/>
  </r>
  <r>
    <s v="DTL00458"/>
    <s v="TRX00186"/>
    <s v="MNU019"/>
    <n v="1"/>
    <n v="5000"/>
    <x v="2"/>
    <n v="5000"/>
    <n v="2000"/>
    <n v="3000"/>
  </r>
  <r>
    <s v="DTL00459"/>
    <s v="TRX00187"/>
    <s v="MNU020"/>
    <n v="1"/>
    <n v="15000"/>
    <x v="19"/>
    <n v="15000"/>
    <n v="6000"/>
    <n v="9000"/>
  </r>
  <r>
    <s v="DTL00460"/>
    <s v="TRX00187"/>
    <s v="MNU003"/>
    <n v="1"/>
    <n v="27000"/>
    <x v="4"/>
    <n v="27000"/>
    <n v="11000"/>
    <n v="16000"/>
  </r>
  <r>
    <s v="DTL00461"/>
    <s v="TRX00187"/>
    <s v="MNU019"/>
    <n v="2"/>
    <n v="5000"/>
    <x v="2"/>
    <n v="10000"/>
    <n v="2000"/>
    <n v="6000"/>
  </r>
  <r>
    <s v="DTL00462"/>
    <s v="TRX00187"/>
    <s v="MNU012"/>
    <n v="1"/>
    <n v="26000"/>
    <x v="15"/>
    <n v="26000"/>
    <n v="11500"/>
    <n v="14500"/>
  </r>
  <r>
    <s v="DTL00463"/>
    <s v="TRX00187"/>
    <s v="MNU023"/>
    <n v="3"/>
    <n v="5000"/>
    <x v="13"/>
    <n v="15000"/>
    <n v="1500"/>
    <n v="10500"/>
  </r>
  <r>
    <s v="DTL00464"/>
    <s v="TRX00188"/>
    <s v="MNU012"/>
    <n v="1"/>
    <n v="26000"/>
    <x v="15"/>
    <n v="26000"/>
    <n v="11500"/>
    <n v="14500"/>
  </r>
  <r>
    <s v="DTL00465"/>
    <s v="TRX00189"/>
    <s v="MNU006"/>
    <n v="3"/>
    <n v="20000"/>
    <x v="11"/>
    <n v="60000"/>
    <n v="8000"/>
    <n v="36000"/>
  </r>
  <r>
    <s v="DTL00466"/>
    <s v="TRX00189"/>
    <s v="MNU010"/>
    <n v="1"/>
    <n v="22000"/>
    <x v="7"/>
    <n v="22000"/>
    <n v="9500"/>
    <n v="12500"/>
  </r>
  <r>
    <s v="DTL00467"/>
    <s v="TRX00189"/>
    <s v="MNU004"/>
    <n v="1"/>
    <n v="22000"/>
    <x v="14"/>
    <n v="22000"/>
    <n v="9500"/>
    <n v="12500"/>
  </r>
  <r>
    <s v="DTL00468"/>
    <s v="TRX00189"/>
    <s v="MNU024"/>
    <n v="1"/>
    <n v="9000"/>
    <x v="1"/>
    <n v="9000"/>
    <n v="3000"/>
    <n v="6000"/>
  </r>
  <r>
    <s v="DTL00469"/>
    <s v="TRX00189"/>
    <s v="MNU019"/>
    <n v="1"/>
    <n v="5000"/>
    <x v="2"/>
    <n v="5000"/>
    <n v="2000"/>
    <n v="3000"/>
  </r>
  <r>
    <s v="DTL00470"/>
    <s v="TRX00190"/>
    <s v="MNU003"/>
    <n v="1"/>
    <n v="27000"/>
    <x v="4"/>
    <n v="27000"/>
    <n v="11000"/>
    <n v="16000"/>
  </r>
  <r>
    <s v="DTL00471"/>
    <s v="TRX00190"/>
    <s v="MNU015"/>
    <n v="1"/>
    <n v="9000"/>
    <x v="10"/>
    <n v="9000"/>
    <n v="2000"/>
    <n v="7000"/>
  </r>
  <r>
    <s v="DTL00472"/>
    <s v="TRX00190"/>
    <s v="MNU012"/>
    <n v="2"/>
    <n v="26000"/>
    <x v="15"/>
    <n v="52000"/>
    <n v="11500"/>
    <n v="29000"/>
  </r>
  <r>
    <s v="DTL00473"/>
    <s v="TRX00190"/>
    <s v="MNU016"/>
    <n v="1"/>
    <n v="18000"/>
    <x v="0"/>
    <n v="18000"/>
    <n v="4500"/>
    <n v="13500"/>
  </r>
  <r>
    <s v="DTL00474"/>
    <s v="TRX00190"/>
    <s v="MNU019"/>
    <n v="1"/>
    <n v="5000"/>
    <x v="2"/>
    <n v="5000"/>
    <n v="2000"/>
    <n v="3000"/>
  </r>
  <r>
    <s v="DTL00475"/>
    <s v="TRX00191"/>
    <s v="MNU024"/>
    <n v="1"/>
    <n v="9000"/>
    <x v="1"/>
    <n v="9000"/>
    <n v="3000"/>
    <n v="6000"/>
  </r>
  <r>
    <s v="DTL00476"/>
    <s v="TRX00191"/>
    <s v="MNU007"/>
    <n v="1"/>
    <n v="28000"/>
    <x v="8"/>
    <n v="28000"/>
    <n v="12000"/>
    <n v="16000"/>
  </r>
  <r>
    <s v="DTL00477"/>
    <s v="TRX00191"/>
    <s v="MNU006"/>
    <n v="1"/>
    <n v="20000"/>
    <x v="11"/>
    <n v="20000"/>
    <n v="8000"/>
    <n v="12000"/>
  </r>
  <r>
    <s v="DTL00478"/>
    <s v="TRX00191"/>
    <s v="MNU004"/>
    <n v="3"/>
    <n v="22000"/>
    <x v="14"/>
    <n v="66000"/>
    <n v="9500"/>
    <n v="37500"/>
  </r>
  <r>
    <s v="DTL00479"/>
    <s v="TRX00192"/>
    <s v="MNU003"/>
    <n v="1"/>
    <n v="27000"/>
    <x v="4"/>
    <n v="27000"/>
    <n v="11000"/>
    <n v="16000"/>
  </r>
  <r>
    <s v="DTL00480"/>
    <s v="TRX00193"/>
    <s v="MNU016"/>
    <n v="1"/>
    <n v="18000"/>
    <x v="0"/>
    <n v="18000"/>
    <n v="4500"/>
    <n v="13500"/>
  </r>
  <r>
    <s v="DTL00481"/>
    <s v="TRX00194"/>
    <s v="MNU012"/>
    <n v="3"/>
    <n v="26000"/>
    <x v="15"/>
    <n v="78000"/>
    <n v="11500"/>
    <n v="43500"/>
  </r>
  <r>
    <s v="DTL00482"/>
    <s v="TRX00194"/>
    <s v="MNU003"/>
    <n v="2"/>
    <n v="27000"/>
    <x v="4"/>
    <n v="54000"/>
    <n v="11000"/>
    <n v="32000"/>
  </r>
  <r>
    <s v="DTL00483"/>
    <s v="TRX00195"/>
    <s v="MNU009"/>
    <n v="1"/>
    <n v="23000"/>
    <x v="3"/>
    <n v="23000"/>
    <n v="9000"/>
    <n v="14000"/>
  </r>
  <r>
    <s v="DTL00484"/>
    <s v="TRX00195"/>
    <s v="MNU002"/>
    <n v="2"/>
    <n v="23000"/>
    <x v="12"/>
    <n v="46000"/>
    <n v="8500"/>
    <n v="29000"/>
  </r>
  <r>
    <s v="DTL00485"/>
    <s v="TRX00195"/>
    <s v="MNU012"/>
    <n v="1"/>
    <n v="26000"/>
    <x v="15"/>
    <n v="26000"/>
    <n v="11500"/>
    <n v="14500"/>
  </r>
  <r>
    <s v="DTL00486"/>
    <s v="TRX00196"/>
    <s v="MNU003"/>
    <n v="2"/>
    <n v="27000"/>
    <x v="4"/>
    <n v="54000"/>
    <n v="11000"/>
    <n v="32000"/>
  </r>
  <r>
    <s v="DTL00487"/>
    <s v="TRX00196"/>
    <s v="MNU006"/>
    <n v="1"/>
    <n v="20000"/>
    <x v="11"/>
    <n v="20000"/>
    <n v="8000"/>
    <n v="12000"/>
  </r>
  <r>
    <s v="DTL00488"/>
    <s v="TRX00197"/>
    <s v="MNU006"/>
    <n v="1"/>
    <n v="20000"/>
    <x v="11"/>
    <n v="20000"/>
    <n v="8000"/>
    <n v="12000"/>
  </r>
  <r>
    <s v="DTL00489"/>
    <s v="TRX00197"/>
    <s v="MNU003"/>
    <n v="1"/>
    <n v="27000"/>
    <x v="4"/>
    <n v="27000"/>
    <n v="11000"/>
    <n v="16000"/>
  </r>
  <r>
    <s v="DTL00490"/>
    <s v="TRX00197"/>
    <s v="MNU005"/>
    <n v="1"/>
    <n v="32000"/>
    <x v="18"/>
    <n v="32000"/>
    <n v="14000"/>
    <n v="18000"/>
  </r>
  <r>
    <s v="DTL00491"/>
    <s v="TRX00198"/>
    <s v="MNU003"/>
    <n v="1"/>
    <n v="27000"/>
    <x v="4"/>
    <n v="27000"/>
    <n v="11000"/>
    <n v="16000"/>
  </r>
  <r>
    <s v="DTL00492"/>
    <s v="TRX00198"/>
    <s v="MNU024"/>
    <n v="1"/>
    <n v="9000"/>
    <x v="1"/>
    <n v="9000"/>
    <n v="3000"/>
    <n v="6000"/>
  </r>
  <r>
    <s v="DTL00493"/>
    <s v="TRX00199"/>
    <s v="MNU003"/>
    <n v="1"/>
    <n v="27000"/>
    <x v="4"/>
    <n v="27000"/>
    <n v="11000"/>
    <n v="16000"/>
  </r>
  <r>
    <s v="DTL00494"/>
    <s v="TRX00200"/>
    <s v="MNU003"/>
    <n v="1"/>
    <n v="27000"/>
    <x v="4"/>
    <n v="27000"/>
    <n v="11000"/>
    <n v="16000"/>
  </r>
  <r>
    <s v="DTL00495"/>
    <s v="TRX00200"/>
    <s v="MNU012"/>
    <n v="2"/>
    <n v="26000"/>
    <x v="15"/>
    <n v="52000"/>
    <n v="11500"/>
    <n v="29000"/>
  </r>
  <r>
    <s v="DTL00496"/>
    <s v="TRX00201"/>
    <s v="MNU006"/>
    <n v="1"/>
    <n v="20000"/>
    <x v="11"/>
    <n v="20000"/>
    <n v="8000"/>
    <n v="12000"/>
  </r>
  <r>
    <s v="DTL00497"/>
    <s v="TRX00201"/>
    <s v="MNU003"/>
    <n v="1"/>
    <n v="27000"/>
    <x v="4"/>
    <n v="27000"/>
    <n v="11000"/>
    <n v="16000"/>
  </r>
  <r>
    <s v="DTL00498"/>
    <s v="TRX00201"/>
    <s v="MNU014"/>
    <n v="1"/>
    <n v="8000"/>
    <x v="5"/>
    <n v="8000"/>
    <n v="2500"/>
    <n v="5500"/>
  </r>
  <r>
    <s v="DTL00499"/>
    <s v="TRX00202"/>
    <s v="MNU002"/>
    <n v="1"/>
    <n v="23000"/>
    <x v="12"/>
    <n v="23000"/>
    <n v="8500"/>
    <n v="14500"/>
  </r>
  <r>
    <s v="DTL00500"/>
    <s v="TRX00202"/>
    <s v="MNU016"/>
    <n v="1"/>
    <n v="18000"/>
    <x v="0"/>
    <n v="18000"/>
    <n v="4500"/>
    <n v="13500"/>
  </r>
  <r>
    <s v="DTL00501"/>
    <s v="TRX00202"/>
    <s v="MNU004"/>
    <n v="2"/>
    <n v="22000"/>
    <x v="14"/>
    <n v="44000"/>
    <n v="9500"/>
    <n v="25000"/>
  </r>
  <r>
    <s v="DTL00502"/>
    <s v="TRX00202"/>
    <s v="MNU009"/>
    <n v="2"/>
    <n v="23000"/>
    <x v="3"/>
    <n v="46000"/>
    <n v="9000"/>
    <n v="28000"/>
  </r>
  <r>
    <s v="DTL00503"/>
    <s v="TRX00202"/>
    <s v="MNU003"/>
    <n v="3"/>
    <n v="27000"/>
    <x v="4"/>
    <n v="81000"/>
    <n v="11000"/>
    <n v="48000"/>
  </r>
  <r>
    <s v="DTL00504"/>
    <s v="TRX00203"/>
    <s v="MNU016"/>
    <n v="1"/>
    <n v="18000"/>
    <x v="0"/>
    <n v="18000"/>
    <n v="4500"/>
    <n v="13500"/>
  </r>
  <r>
    <s v="DTL00505"/>
    <s v="TRX00204"/>
    <s v="MNU022"/>
    <n v="1"/>
    <n v="13000"/>
    <x v="17"/>
    <n v="13000"/>
    <n v="4000"/>
    <n v="9000"/>
  </r>
  <r>
    <s v="DTL00506"/>
    <s v="TRX00205"/>
    <s v="MNU015"/>
    <n v="1"/>
    <n v="9000"/>
    <x v="10"/>
    <n v="9000"/>
    <n v="2000"/>
    <n v="7000"/>
  </r>
  <r>
    <s v="DTL00507"/>
    <s v="TRX00205"/>
    <s v="MNU005"/>
    <n v="1"/>
    <n v="32000"/>
    <x v="18"/>
    <n v="32000"/>
    <n v="14000"/>
    <n v="18000"/>
  </r>
  <r>
    <s v="DTL00508"/>
    <s v="TRX00205"/>
    <s v="MNU016"/>
    <n v="1"/>
    <n v="18000"/>
    <x v="0"/>
    <n v="18000"/>
    <n v="4500"/>
    <n v="13500"/>
  </r>
  <r>
    <s v="DTL00509"/>
    <s v="TRX00206"/>
    <s v="MNU015"/>
    <n v="1"/>
    <n v="9000"/>
    <x v="10"/>
    <n v="9000"/>
    <n v="2000"/>
    <n v="7000"/>
  </r>
  <r>
    <s v="DTL00510"/>
    <s v="TRX00206"/>
    <s v="MNU016"/>
    <n v="3"/>
    <n v="18000"/>
    <x v="0"/>
    <n v="54000"/>
    <n v="4500"/>
    <n v="40500"/>
  </r>
  <r>
    <s v="DTL00511"/>
    <s v="TRX00206"/>
    <s v="MNU003"/>
    <n v="1"/>
    <n v="27000"/>
    <x v="4"/>
    <n v="27000"/>
    <n v="11000"/>
    <n v="16000"/>
  </r>
  <r>
    <s v="DTL00512"/>
    <s v="TRX00206"/>
    <s v="MNU023"/>
    <n v="1"/>
    <n v="5000"/>
    <x v="13"/>
    <n v="5000"/>
    <n v="1500"/>
    <n v="3500"/>
  </r>
  <r>
    <s v="DTL00513"/>
    <s v="TRX00207"/>
    <s v="MNU009"/>
    <n v="2"/>
    <n v="23000"/>
    <x v="3"/>
    <n v="46000"/>
    <n v="9000"/>
    <n v="28000"/>
  </r>
  <r>
    <s v="DTL00514"/>
    <s v="TRX00207"/>
    <s v="MNU003"/>
    <n v="1"/>
    <n v="27000"/>
    <x v="4"/>
    <n v="27000"/>
    <n v="11000"/>
    <n v="16000"/>
  </r>
  <r>
    <s v="DTL00515"/>
    <s v="TRX00208"/>
    <s v="MNU020"/>
    <n v="1"/>
    <n v="15000"/>
    <x v="19"/>
    <n v="15000"/>
    <n v="6000"/>
    <n v="9000"/>
  </r>
  <r>
    <s v="DTL00516"/>
    <s v="TRX00209"/>
    <s v="MNU006"/>
    <n v="1"/>
    <n v="20000"/>
    <x v="11"/>
    <n v="20000"/>
    <n v="8000"/>
    <n v="12000"/>
  </r>
  <r>
    <s v="DTL00517"/>
    <s v="TRX00209"/>
    <s v="MNU012"/>
    <n v="1"/>
    <n v="26000"/>
    <x v="15"/>
    <n v="26000"/>
    <n v="11500"/>
    <n v="14500"/>
  </r>
  <r>
    <s v="DTL00518"/>
    <s v="TRX00210"/>
    <s v="MNU024"/>
    <n v="2"/>
    <n v="9000"/>
    <x v="1"/>
    <n v="18000"/>
    <n v="3000"/>
    <n v="12000"/>
  </r>
  <r>
    <s v="DTL00519"/>
    <s v="TRX00210"/>
    <s v="MNU003"/>
    <n v="1"/>
    <n v="27000"/>
    <x v="4"/>
    <n v="27000"/>
    <n v="11000"/>
    <n v="16000"/>
  </r>
  <r>
    <s v="DTL00520"/>
    <s v="TRX00210"/>
    <s v="MNU016"/>
    <n v="3"/>
    <n v="18000"/>
    <x v="0"/>
    <n v="54000"/>
    <n v="4500"/>
    <n v="40500"/>
  </r>
  <r>
    <s v="DTL00521"/>
    <s v="TRX00210"/>
    <s v="MNU019"/>
    <n v="1"/>
    <n v="5000"/>
    <x v="2"/>
    <n v="5000"/>
    <n v="2000"/>
    <n v="3000"/>
  </r>
  <r>
    <s v="DTL00522"/>
    <s v="TRX00211"/>
    <s v="MNU006"/>
    <n v="1"/>
    <n v="20000"/>
    <x v="11"/>
    <n v="20000"/>
    <n v="8000"/>
    <n v="12000"/>
  </r>
  <r>
    <s v="DTL00523"/>
    <s v="TRX00211"/>
    <s v="MNU017"/>
    <n v="1"/>
    <n v="16000"/>
    <x v="9"/>
    <n v="16000"/>
    <n v="5500"/>
    <n v="10500"/>
  </r>
  <r>
    <s v="DTL00524"/>
    <s v="TRX00212"/>
    <s v="MNU003"/>
    <n v="1"/>
    <n v="27000"/>
    <x v="4"/>
    <n v="27000"/>
    <n v="11000"/>
    <n v="16000"/>
  </r>
  <r>
    <s v="DTL00525"/>
    <s v="TRX00212"/>
    <s v="MNU011"/>
    <n v="2"/>
    <n v="29000"/>
    <x v="20"/>
    <n v="58000"/>
    <n v="13000"/>
    <n v="32000"/>
  </r>
  <r>
    <s v="DTL00526"/>
    <s v="TRX00212"/>
    <s v="MNU002"/>
    <n v="1"/>
    <n v="23000"/>
    <x v="12"/>
    <n v="23000"/>
    <n v="8500"/>
    <n v="14500"/>
  </r>
  <r>
    <s v="DTL00527"/>
    <s v="TRX00212"/>
    <s v="MNU004"/>
    <n v="1"/>
    <n v="22000"/>
    <x v="14"/>
    <n v="22000"/>
    <n v="9500"/>
    <n v="12500"/>
  </r>
  <r>
    <s v="DTL00528"/>
    <s v="TRX00212"/>
    <s v="MNU016"/>
    <n v="1"/>
    <n v="18000"/>
    <x v="0"/>
    <n v="18000"/>
    <n v="4500"/>
    <n v="13500"/>
  </r>
  <r>
    <s v="DTL00529"/>
    <s v="TRX00213"/>
    <s v="MNU003"/>
    <n v="1"/>
    <n v="27000"/>
    <x v="4"/>
    <n v="27000"/>
    <n v="11000"/>
    <n v="16000"/>
  </r>
  <r>
    <s v="DTL00530"/>
    <s v="TRX00214"/>
    <s v="MNU003"/>
    <n v="1"/>
    <n v="27000"/>
    <x v="4"/>
    <n v="27000"/>
    <n v="11000"/>
    <n v="16000"/>
  </r>
  <r>
    <s v="DTL00531"/>
    <s v="TRX00214"/>
    <s v="MNU012"/>
    <n v="1"/>
    <n v="26000"/>
    <x v="15"/>
    <n v="26000"/>
    <n v="11500"/>
    <n v="14500"/>
  </r>
  <r>
    <s v="DTL00532"/>
    <s v="TRX00214"/>
    <s v="MNU018"/>
    <n v="1"/>
    <n v="12000"/>
    <x v="6"/>
    <n v="12000"/>
    <n v="3000"/>
    <n v="9000"/>
  </r>
  <r>
    <s v="DTL00533"/>
    <s v="TRX00215"/>
    <s v="MNU018"/>
    <n v="3"/>
    <n v="12000"/>
    <x v="6"/>
    <n v="36000"/>
    <n v="3000"/>
    <n v="27000"/>
  </r>
  <r>
    <s v="DTL00534"/>
    <s v="TRX00215"/>
    <s v="MNU003"/>
    <n v="1"/>
    <n v="27000"/>
    <x v="4"/>
    <n v="27000"/>
    <n v="11000"/>
    <n v="16000"/>
  </r>
  <r>
    <s v="DTL00535"/>
    <s v="TRX00216"/>
    <s v="MNU016"/>
    <n v="1"/>
    <n v="18000"/>
    <x v="0"/>
    <n v="18000"/>
    <n v="4500"/>
    <n v="13500"/>
  </r>
  <r>
    <s v="DTL00536"/>
    <s v="TRX00216"/>
    <s v="MNU003"/>
    <n v="3"/>
    <n v="27000"/>
    <x v="4"/>
    <n v="81000"/>
    <n v="11000"/>
    <n v="48000"/>
  </r>
  <r>
    <s v="DTL00537"/>
    <s v="TRX00216"/>
    <s v="MNU012"/>
    <n v="1"/>
    <n v="26000"/>
    <x v="15"/>
    <n v="26000"/>
    <n v="11500"/>
    <n v="14500"/>
  </r>
  <r>
    <s v="DTL00538"/>
    <s v="TRX00216"/>
    <s v="MNU008"/>
    <n v="1"/>
    <n v="21000"/>
    <x v="21"/>
    <n v="21000"/>
    <n v="8500"/>
    <n v="12500"/>
  </r>
  <r>
    <s v="DTL00539"/>
    <s v="TRX00217"/>
    <s v="MNU016"/>
    <n v="1"/>
    <n v="18000"/>
    <x v="0"/>
    <n v="18000"/>
    <n v="4500"/>
    <n v="13500"/>
  </r>
  <r>
    <s v="DTL00540"/>
    <s v="TRX00218"/>
    <s v="MNU003"/>
    <n v="1"/>
    <n v="27000"/>
    <x v="4"/>
    <n v="27000"/>
    <n v="11000"/>
    <n v="16000"/>
  </r>
  <r>
    <s v="DTL00541"/>
    <s v="TRX00218"/>
    <s v="MNU019"/>
    <n v="1"/>
    <n v="5000"/>
    <x v="2"/>
    <n v="5000"/>
    <n v="2000"/>
    <n v="3000"/>
  </r>
  <r>
    <s v="DTL00542"/>
    <s v="TRX00219"/>
    <s v="MNU014"/>
    <n v="3"/>
    <n v="8000"/>
    <x v="5"/>
    <n v="24000"/>
    <n v="2500"/>
    <n v="16500"/>
  </r>
  <r>
    <s v="DTL00543"/>
    <s v="TRX00219"/>
    <s v="MNU003"/>
    <n v="1"/>
    <n v="27000"/>
    <x v="4"/>
    <n v="27000"/>
    <n v="11000"/>
    <n v="16000"/>
  </r>
  <r>
    <s v="DTL00544"/>
    <s v="TRX00220"/>
    <s v="MNU003"/>
    <n v="1"/>
    <n v="27000"/>
    <x v="4"/>
    <n v="27000"/>
    <n v="11000"/>
    <n v="16000"/>
  </r>
  <r>
    <s v="DTL00545"/>
    <s v="TRX00221"/>
    <s v="MNU019"/>
    <n v="1"/>
    <n v="5000"/>
    <x v="2"/>
    <n v="5000"/>
    <n v="2000"/>
    <n v="3000"/>
  </r>
  <r>
    <s v="DTL00546"/>
    <s v="TRX00221"/>
    <s v="MNU013"/>
    <n v="1"/>
    <n v="6000"/>
    <x v="22"/>
    <n v="6000"/>
    <n v="1500"/>
    <n v="4500"/>
  </r>
  <r>
    <s v="DTL00547"/>
    <s v="TRX00222"/>
    <s v="MNU003"/>
    <n v="3"/>
    <n v="27000"/>
    <x v="4"/>
    <n v="81000"/>
    <n v="11000"/>
    <n v="48000"/>
  </r>
  <r>
    <s v="DTL00548"/>
    <s v="TRX00222"/>
    <s v="MNU009"/>
    <n v="1"/>
    <n v="23000"/>
    <x v="3"/>
    <n v="23000"/>
    <n v="9000"/>
    <n v="14000"/>
  </r>
  <r>
    <s v="DTL00549"/>
    <s v="TRX00222"/>
    <s v="MNU002"/>
    <n v="1"/>
    <n v="23000"/>
    <x v="12"/>
    <n v="23000"/>
    <n v="8500"/>
    <n v="14500"/>
  </r>
  <r>
    <s v="DTL00550"/>
    <s v="TRX00223"/>
    <s v="MNU006"/>
    <n v="1"/>
    <n v="20000"/>
    <x v="11"/>
    <n v="20000"/>
    <n v="8000"/>
    <n v="12000"/>
  </r>
  <r>
    <s v="DTL00551"/>
    <s v="TRX00223"/>
    <s v="MNU003"/>
    <n v="2"/>
    <n v="27000"/>
    <x v="4"/>
    <n v="54000"/>
    <n v="11000"/>
    <n v="32000"/>
  </r>
  <r>
    <s v="DTL00552"/>
    <s v="TRX00224"/>
    <s v="MNU002"/>
    <n v="1"/>
    <n v="23000"/>
    <x v="12"/>
    <n v="23000"/>
    <n v="8500"/>
    <n v="14500"/>
  </r>
  <r>
    <s v="DTL00553"/>
    <s v="TRX00224"/>
    <s v="MNU013"/>
    <n v="3"/>
    <n v="6000"/>
    <x v="22"/>
    <n v="18000"/>
    <n v="1500"/>
    <n v="13500"/>
  </r>
  <r>
    <s v="DTL00554"/>
    <s v="TRX00225"/>
    <s v="MNU008"/>
    <n v="1"/>
    <n v="21000"/>
    <x v="21"/>
    <n v="21000"/>
    <n v="8500"/>
    <n v="12500"/>
  </r>
  <r>
    <s v="DTL00555"/>
    <s v="TRX00226"/>
    <s v="MNU003"/>
    <n v="1"/>
    <n v="27000"/>
    <x v="4"/>
    <n v="27000"/>
    <n v="11000"/>
    <n v="16000"/>
  </r>
  <r>
    <s v="DTL00556"/>
    <s v="TRX00227"/>
    <s v="MNU010"/>
    <n v="1"/>
    <n v="22000"/>
    <x v="7"/>
    <n v="22000"/>
    <n v="9500"/>
    <n v="12500"/>
  </r>
  <r>
    <s v="DTL00557"/>
    <s v="TRX00227"/>
    <s v="MNU019"/>
    <n v="1"/>
    <n v="5000"/>
    <x v="2"/>
    <n v="5000"/>
    <n v="2000"/>
    <n v="3000"/>
  </r>
  <r>
    <s v="DTL00558"/>
    <s v="TRX00228"/>
    <s v="MNU003"/>
    <n v="1"/>
    <n v="27000"/>
    <x v="4"/>
    <n v="27000"/>
    <n v="11000"/>
    <n v="16000"/>
  </r>
  <r>
    <s v="DTL00559"/>
    <s v="TRX00228"/>
    <s v="MNU021"/>
    <n v="1"/>
    <n v="10000"/>
    <x v="16"/>
    <n v="10000"/>
    <n v="3500"/>
    <n v="6500"/>
  </r>
  <r>
    <s v="DTL00560"/>
    <s v="TRX00229"/>
    <s v="MNU006"/>
    <n v="2"/>
    <n v="20000"/>
    <x v="11"/>
    <n v="40000"/>
    <n v="8000"/>
    <n v="24000"/>
  </r>
  <r>
    <s v="DTL00561"/>
    <s v="TRX00230"/>
    <s v="MNU017"/>
    <n v="1"/>
    <n v="16000"/>
    <x v="9"/>
    <n v="16000"/>
    <n v="5500"/>
    <n v="10500"/>
  </r>
  <r>
    <s v="DTL00562"/>
    <s v="TRX00230"/>
    <s v="MNU003"/>
    <n v="3"/>
    <n v="27000"/>
    <x v="4"/>
    <n v="81000"/>
    <n v="11000"/>
    <n v="48000"/>
  </r>
  <r>
    <s v="DTL00563"/>
    <s v="TRX00231"/>
    <s v="MNU003"/>
    <n v="1"/>
    <n v="27000"/>
    <x v="4"/>
    <n v="27000"/>
    <n v="11000"/>
    <n v="16000"/>
  </r>
  <r>
    <s v="DTL00564"/>
    <s v="TRX00231"/>
    <s v="MNU016"/>
    <n v="1"/>
    <n v="18000"/>
    <x v="0"/>
    <n v="18000"/>
    <n v="4500"/>
    <n v="13500"/>
  </r>
  <r>
    <s v="DTL00565"/>
    <s v="TRX00232"/>
    <s v="MNU003"/>
    <n v="2"/>
    <n v="27000"/>
    <x v="4"/>
    <n v="54000"/>
    <n v="11000"/>
    <n v="32000"/>
  </r>
  <r>
    <s v="DTL00566"/>
    <s v="TRX00232"/>
    <s v="MNU014"/>
    <n v="1"/>
    <n v="8000"/>
    <x v="5"/>
    <n v="8000"/>
    <n v="2500"/>
    <n v="5500"/>
  </r>
  <r>
    <s v="DTL00567"/>
    <s v="TRX00232"/>
    <s v="MNU017"/>
    <n v="1"/>
    <n v="16000"/>
    <x v="9"/>
    <n v="16000"/>
    <n v="5500"/>
    <n v="10500"/>
  </r>
  <r>
    <s v="DTL00568"/>
    <s v="TRX00232"/>
    <s v="MNU012"/>
    <n v="1"/>
    <n v="26000"/>
    <x v="15"/>
    <n v="26000"/>
    <n v="11500"/>
    <n v="14500"/>
  </r>
  <r>
    <s v="DTL00569"/>
    <s v="TRX00233"/>
    <s v="MNU003"/>
    <n v="1"/>
    <n v="27000"/>
    <x v="4"/>
    <n v="27000"/>
    <n v="11000"/>
    <n v="16000"/>
  </r>
  <r>
    <s v="DTL00570"/>
    <s v="TRX00234"/>
    <s v="MNU020"/>
    <n v="1"/>
    <n v="15000"/>
    <x v="19"/>
    <n v="15000"/>
    <n v="6000"/>
    <n v="9000"/>
  </r>
  <r>
    <s v="DTL00571"/>
    <s v="TRX00235"/>
    <s v="MNU003"/>
    <n v="1"/>
    <n v="27000"/>
    <x v="4"/>
    <n v="27000"/>
    <n v="11000"/>
    <n v="16000"/>
  </r>
  <r>
    <s v="DTL00572"/>
    <s v="TRX00236"/>
    <s v="MNU009"/>
    <n v="1"/>
    <n v="23000"/>
    <x v="3"/>
    <n v="23000"/>
    <n v="9000"/>
    <n v="14000"/>
  </r>
  <r>
    <s v="DTL00573"/>
    <s v="TRX00237"/>
    <s v="MNU016"/>
    <n v="1"/>
    <n v="18000"/>
    <x v="0"/>
    <n v="18000"/>
    <n v="4500"/>
    <n v="13500"/>
  </r>
  <r>
    <s v="DTL00574"/>
    <s v="TRX00237"/>
    <s v="MNU003"/>
    <n v="1"/>
    <n v="27000"/>
    <x v="4"/>
    <n v="27000"/>
    <n v="11000"/>
    <n v="16000"/>
  </r>
  <r>
    <s v="DTL00575"/>
    <s v="TRX00237"/>
    <s v="MNU012"/>
    <n v="1"/>
    <n v="26000"/>
    <x v="15"/>
    <n v="26000"/>
    <n v="11500"/>
    <n v="14500"/>
  </r>
  <r>
    <s v="DTL00576"/>
    <s v="TRX00238"/>
    <s v="MNU003"/>
    <n v="1"/>
    <n v="27000"/>
    <x v="4"/>
    <n v="27000"/>
    <n v="11000"/>
    <n v="16000"/>
  </r>
  <r>
    <s v="DTL00577"/>
    <s v="TRX00238"/>
    <s v="MNU019"/>
    <n v="1"/>
    <n v="5000"/>
    <x v="2"/>
    <n v="5000"/>
    <n v="2000"/>
    <n v="3000"/>
  </r>
  <r>
    <s v="DTL00578"/>
    <s v="TRX00238"/>
    <s v="MNU005"/>
    <n v="2"/>
    <n v="32000"/>
    <x v="18"/>
    <n v="64000"/>
    <n v="14000"/>
    <n v="36000"/>
  </r>
  <r>
    <s v="DTL00579"/>
    <s v="TRX00238"/>
    <s v="MNU006"/>
    <n v="2"/>
    <n v="20000"/>
    <x v="11"/>
    <n v="40000"/>
    <n v="8000"/>
    <n v="24000"/>
  </r>
  <r>
    <s v="DTL00580"/>
    <s v="TRX00239"/>
    <s v="MNU012"/>
    <n v="1"/>
    <n v="26000"/>
    <x v="15"/>
    <n v="26000"/>
    <n v="11500"/>
    <n v="14500"/>
  </r>
  <r>
    <s v="DTL00581"/>
    <s v="TRX00239"/>
    <s v="MNU015"/>
    <n v="1"/>
    <n v="9000"/>
    <x v="10"/>
    <n v="9000"/>
    <n v="2000"/>
    <n v="7000"/>
  </r>
  <r>
    <s v="DTL00582"/>
    <s v="TRX00240"/>
    <s v="MNU002"/>
    <n v="1"/>
    <n v="23000"/>
    <x v="12"/>
    <n v="23000"/>
    <n v="8500"/>
    <n v="14500"/>
  </r>
  <r>
    <s v="DTL00583"/>
    <s v="TRX00240"/>
    <s v="MNU021"/>
    <n v="1"/>
    <n v="10000"/>
    <x v="16"/>
    <n v="10000"/>
    <n v="3500"/>
    <n v="6500"/>
  </r>
  <r>
    <s v="DTL00584"/>
    <s v="TRX00241"/>
    <s v="MNU003"/>
    <n v="1"/>
    <n v="27000"/>
    <x v="4"/>
    <n v="27000"/>
    <n v="11000"/>
    <n v="16000"/>
  </r>
  <r>
    <s v="DTL00585"/>
    <s v="TRX00241"/>
    <s v="MNU020"/>
    <n v="1"/>
    <n v="15000"/>
    <x v="19"/>
    <n v="15000"/>
    <n v="6000"/>
    <n v="9000"/>
  </r>
  <r>
    <s v="DTL00586"/>
    <s v="TRX00242"/>
    <s v="MNU009"/>
    <n v="1"/>
    <n v="23000"/>
    <x v="3"/>
    <n v="23000"/>
    <n v="9000"/>
    <n v="14000"/>
  </r>
  <r>
    <s v="DTL00587"/>
    <s v="TRX00242"/>
    <s v="MNU017"/>
    <n v="2"/>
    <n v="16000"/>
    <x v="9"/>
    <n v="32000"/>
    <n v="5500"/>
    <n v="21000"/>
  </r>
  <r>
    <s v="DTL00588"/>
    <s v="TRX00242"/>
    <s v="MNU003"/>
    <n v="1"/>
    <n v="27000"/>
    <x v="4"/>
    <n v="27000"/>
    <n v="11000"/>
    <n v="16000"/>
  </r>
  <r>
    <s v="DTL00589"/>
    <s v="TRX00243"/>
    <s v="MNU013"/>
    <n v="1"/>
    <n v="6000"/>
    <x v="22"/>
    <n v="6000"/>
    <n v="1500"/>
    <n v="4500"/>
  </r>
  <r>
    <s v="DTL00590"/>
    <s v="TRX00243"/>
    <s v="MNU003"/>
    <n v="2"/>
    <n v="27000"/>
    <x v="4"/>
    <n v="54000"/>
    <n v="11000"/>
    <n v="32000"/>
  </r>
  <r>
    <s v="DTL00591"/>
    <s v="TRX00244"/>
    <s v="MNU003"/>
    <n v="1"/>
    <n v="27000"/>
    <x v="4"/>
    <n v="27000"/>
    <n v="11000"/>
    <n v="16000"/>
  </r>
  <r>
    <s v="DTL00592"/>
    <s v="TRX00244"/>
    <s v="MNU014"/>
    <n v="1"/>
    <n v="8000"/>
    <x v="5"/>
    <n v="8000"/>
    <n v="2500"/>
    <n v="5500"/>
  </r>
  <r>
    <s v="DTL00593"/>
    <s v="TRX00245"/>
    <s v="MNU020"/>
    <n v="1"/>
    <n v="15000"/>
    <x v="19"/>
    <n v="15000"/>
    <n v="6000"/>
    <n v="9000"/>
  </r>
  <r>
    <s v="DTL00594"/>
    <s v="TRX00245"/>
    <s v="MNU006"/>
    <n v="1"/>
    <n v="20000"/>
    <x v="11"/>
    <n v="20000"/>
    <n v="8000"/>
    <n v="12000"/>
  </r>
  <r>
    <s v="DTL00595"/>
    <s v="TRX00245"/>
    <s v="MNU003"/>
    <n v="1"/>
    <n v="27000"/>
    <x v="4"/>
    <n v="27000"/>
    <n v="11000"/>
    <n v="16000"/>
  </r>
  <r>
    <s v="DTL00596"/>
    <s v="TRX00246"/>
    <s v="MNU016"/>
    <n v="1"/>
    <n v="18000"/>
    <x v="0"/>
    <n v="18000"/>
    <n v="4500"/>
    <n v="13500"/>
  </r>
  <r>
    <s v="DTL00597"/>
    <s v="TRX00246"/>
    <s v="MNU021"/>
    <n v="1"/>
    <n v="10000"/>
    <x v="16"/>
    <n v="10000"/>
    <n v="3500"/>
    <n v="6500"/>
  </r>
  <r>
    <s v="DTL00598"/>
    <s v="TRX00247"/>
    <s v="MNU023"/>
    <n v="1"/>
    <n v="5000"/>
    <x v="13"/>
    <n v="5000"/>
    <n v="1500"/>
    <n v="3500"/>
  </r>
  <r>
    <s v="DTL00599"/>
    <s v="TRX00248"/>
    <s v="MNU012"/>
    <n v="1"/>
    <n v="26000"/>
    <x v="15"/>
    <n v="26000"/>
    <n v="11500"/>
    <n v="14500"/>
  </r>
  <r>
    <s v="DTL00600"/>
    <s v="TRX00248"/>
    <s v="MNU003"/>
    <n v="2"/>
    <n v="27000"/>
    <x v="4"/>
    <n v="54000"/>
    <n v="11000"/>
    <n v="32000"/>
  </r>
  <r>
    <s v="DTL00601"/>
    <s v="TRX00248"/>
    <s v="MNU007"/>
    <n v="1"/>
    <n v="28000"/>
    <x v="8"/>
    <n v="28000"/>
    <n v="12000"/>
    <n v="16000"/>
  </r>
  <r>
    <s v="DTL00602"/>
    <s v="TRX00249"/>
    <s v="MNU016"/>
    <n v="3"/>
    <n v="18000"/>
    <x v="0"/>
    <n v="54000"/>
    <n v="4500"/>
    <n v="40500"/>
  </r>
  <r>
    <s v="DTL00603"/>
    <s v="TRX00249"/>
    <s v="MNU012"/>
    <n v="1"/>
    <n v="26000"/>
    <x v="15"/>
    <n v="26000"/>
    <n v="11500"/>
    <n v="14500"/>
  </r>
  <r>
    <s v="DTL00604"/>
    <s v="TRX00250"/>
    <s v="MNU003"/>
    <n v="1"/>
    <n v="27000"/>
    <x v="4"/>
    <n v="27000"/>
    <n v="11000"/>
    <n v="16000"/>
  </r>
  <r>
    <s v="DTL00605"/>
    <s v="TRX00251"/>
    <s v="MNU021"/>
    <n v="1"/>
    <n v="10000"/>
    <x v="16"/>
    <n v="10000"/>
    <n v="3500"/>
    <n v="6500"/>
  </r>
  <r>
    <s v="DTL00606"/>
    <s v="TRX00251"/>
    <s v="MNU024"/>
    <n v="3"/>
    <n v="9000"/>
    <x v="1"/>
    <n v="27000"/>
    <n v="3000"/>
    <n v="18000"/>
  </r>
  <r>
    <s v="DTL00607"/>
    <s v="TRX00252"/>
    <s v="MNU003"/>
    <n v="1"/>
    <n v="27000"/>
    <x v="4"/>
    <n v="27000"/>
    <n v="11000"/>
    <n v="16000"/>
  </r>
  <r>
    <s v="DTL00608"/>
    <s v="TRX00253"/>
    <s v="MNU004"/>
    <n v="1"/>
    <n v="22000"/>
    <x v="14"/>
    <n v="22000"/>
    <n v="9500"/>
    <n v="12500"/>
  </r>
  <r>
    <s v="DTL00609"/>
    <s v="TRX00253"/>
    <s v="MNU003"/>
    <n v="1"/>
    <n v="27000"/>
    <x v="4"/>
    <n v="27000"/>
    <n v="11000"/>
    <n v="16000"/>
  </r>
  <r>
    <s v="DTL00610"/>
    <s v="TRX00253"/>
    <s v="MNU017"/>
    <n v="1"/>
    <n v="16000"/>
    <x v="9"/>
    <n v="16000"/>
    <n v="5500"/>
    <n v="10500"/>
  </r>
  <r>
    <s v="DTL00611"/>
    <s v="TRX00254"/>
    <s v="MNU015"/>
    <n v="2"/>
    <n v="9000"/>
    <x v="10"/>
    <n v="18000"/>
    <n v="2000"/>
    <n v="14000"/>
  </r>
  <r>
    <s v="DTL00612"/>
    <s v="TRX00254"/>
    <s v="MNU003"/>
    <n v="1"/>
    <n v="27000"/>
    <x v="4"/>
    <n v="27000"/>
    <n v="11000"/>
    <n v="16000"/>
  </r>
  <r>
    <s v="DTL00613"/>
    <s v="TRX00255"/>
    <s v="MNU024"/>
    <n v="1"/>
    <n v="9000"/>
    <x v="1"/>
    <n v="9000"/>
    <n v="3000"/>
    <n v="6000"/>
  </r>
  <r>
    <s v="DTL00614"/>
    <s v="TRX00255"/>
    <s v="MNU016"/>
    <n v="1"/>
    <n v="18000"/>
    <x v="0"/>
    <n v="18000"/>
    <n v="4500"/>
    <n v="13500"/>
  </r>
  <r>
    <s v="DTL00615"/>
    <s v="TRX00255"/>
    <s v="MNU015"/>
    <n v="1"/>
    <n v="9000"/>
    <x v="10"/>
    <n v="9000"/>
    <n v="2000"/>
    <n v="7000"/>
  </r>
  <r>
    <s v="DTL00616"/>
    <s v="TRX00256"/>
    <s v="MNU004"/>
    <n v="1"/>
    <n v="22000"/>
    <x v="14"/>
    <n v="22000"/>
    <n v="9500"/>
    <n v="12500"/>
  </r>
  <r>
    <s v="DTL00617"/>
    <s v="TRX00256"/>
    <s v="MNU024"/>
    <n v="1"/>
    <n v="9000"/>
    <x v="1"/>
    <n v="9000"/>
    <n v="3000"/>
    <n v="6000"/>
  </r>
  <r>
    <s v="DTL00618"/>
    <s v="TRX00256"/>
    <s v="MNU003"/>
    <n v="2"/>
    <n v="27000"/>
    <x v="4"/>
    <n v="54000"/>
    <n v="11000"/>
    <n v="32000"/>
  </r>
  <r>
    <s v="DTL00619"/>
    <s v="TRX00256"/>
    <s v="MNU011"/>
    <n v="2"/>
    <n v="29000"/>
    <x v="20"/>
    <n v="58000"/>
    <n v="13000"/>
    <n v="32000"/>
  </r>
  <r>
    <s v="DTL00620"/>
    <s v="TRX00257"/>
    <s v="MNU016"/>
    <n v="1"/>
    <n v="18000"/>
    <x v="0"/>
    <n v="18000"/>
    <n v="4500"/>
    <n v="13500"/>
  </r>
  <r>
    <s v="DTL00621"/>
    <s v="TRX00258"/>
    <s v="MNU017"/>
    <n v="1"/>
    <n v="16000"/>
    <x v="9"/>
    <n v="16000"/>
    <n v="5500"/>
    <n v="10500"/>
  </r>
  <r>
    <s v="DTL00622"/>
    <s v="TRX00258"/>
    <s v="MNU023"/>
    <n v="1"/>
    <n v="5000"/>
    <x v="13"/>
    <n v="5000"/>
    <n v="1500"/>
    <n v="3500"/>
  </r>
  <r>
    <s v="DTL00623"/>
    <s v="TRX00258"/>
    <s v="MNU006"/>
    <n v="1"/>
    <n v="20000"/>
    <x v="11"/>
    <n v="20000"/>
    <n v="8000"/>
    <n v="12000"/>
  </r>
  <r>
    <s v="DTL00624"/>
    <s v="TRX00258"/>
    <s v="MNU004"/>
    <n v="1"/>
    <n v="22000"/>
    <x v="14"/>
    <n v="22000"/>
    <n v="9500"/>
    <n v="12500"/>
  </r>
  <r>
    <s v="DTL00625"/>
    <s v="TRX00259"/>
    <s v="MNU006"/>
    <n v="2"/>
    <n v="20000"/>
    <x v="11"/>
    <n v="40000"/>
    <n v="8000"/>
    <n v="24000"/>
  </r>
  <r>
    <s v="DTL00626"/>
    <s v="TRX00260"/>
    <s v="MNU024"/>
    <n v="1"/>
    <n v="9000"/>
    <x v="1"/>
    <n v="9000"/>
    <n v="3000"/>
    <n v="6000"/>
  </r>
  <r>
    <s v="DTL00627"/>
    <s v="TRX00260"/>
    <s v="MNU015"/>
    <n v="2"/>
    <n v="9000"/>
    <x v="10"/>
    <n v="18000"/>
    <n v="2000"/>
    <n v="14000"/>
  </r>
  <r>
    <s v="DTL00628"/>
    <s v="TRX00261"/>
    <s v="MNU016"/>
    <n v="1"/>
    <n v="18000"/>
    <x v="0"/>
    <n v="18000"/>
    <n v="4500"/>
    <n v="13500"/>
  </r>
  <r>
    <s v="DTL00629"/>
    <s v="TRX00261"/>
    <s v="MNU017"/>
    <n v="3"/>
    <n v="16000"/>
    <x v="9"/>
    <n v="48000"/>
    <n v="5500"/>
    <n v="31500"/>
  </r>
  <r>
    <s v="DTL00630"/>
    <s v="TRX00261"/>
    <s v="MNU003"/>
    <n v="2"/>
    <n v="27000"/>
    <x v="4"/>
    <n v="54000"/>
    <n v="11000"/>
    <n v="32000"/>
  </r>
  <r>
    <s v="DTL00631"/>
    <s v="TRX00261"/>
    <s v="MNU018"/>
    <n v="1"/>
    <n v="12000"/>
    <x v="6"/>
    <n v="12000"/>
    <n v="3000"/>
    <n v="9000"/>
  </r>
  <r>
    <s v="DTL00632"/>
    <s v="TRX00262"/>
    <s v="MNU003"/>
    <n v="1"/>
    <n v="27000"/>
    <x v="4"/>
    <n v="27000"/>
    <n v="11000"/>
    <n v="16000"/>
  </r>
  <r>
    <s v="DTL00633"/>
    <s v="TRX00262"/>
    <s v="MNU012"/>
    <n v="1"/>
    <n v="26000"/>
    <x v="15"/>
    <n v="26000"/>
    <n v="11500"/>
    <n v="14500"/>
  </r>
  <r>
    <s v="DTL00634"/>
    <s v="TRX00263"/>
    <s v="MNU009"/>
    <n v="2"/>
    <n v="23000"/>
    <x v="3"/>
    <n v="46000"/>
    <n v="9000"/>
    <n v="28000"/>
  </r>
  <r>
    <s v="DTL00635"/>
    <s v="TRX00263"/>
    <s v="MNU020"/>
    <n v="1"/>
    <n v="15000"/>
    <x v="19"/>
    <n v="15000"/>
    <n v="6000"/>
    <n v="9000"/>
  </r>
  <r>
    <s v="DTL00636"/>
    <s v="TRX00263"/>
    <s v="MNU003"/>
    <n v="1"/>
    <n v="27000"/>
    <x v="4"/>
    <n v="27000"/>
    <n v="11000"/>
    <n v="16000"/>
  </r>
  <r>
    <s v="DTL00637"/>
    <s v="TRX00264"/>
    <s v="MNU010"/>
    <n v="2"/>
    <n v="22000"/>
    <x v="7"/>
    <n v="44000"/>
    <n v="9500"/>
    <n v="25000"/>
  </r>
  <r>
    <s v="DTL00638"/>
    <s v="TRX00264"/>
    <s v="MNU003"/>
    <n v="1"/>
    <n v="27000"/>
    <x v="4"/>
    <n v="27000"/>
    <n v="11000"/>
    <n v="16000"/>
  </r>
  <r>
    <s v="DTL00639"/>
    <s v="TRX00265"/>
    <s v="MNU003"/>
    <n v="1"/>
    <n v="27000"/>
    <x v="4"/>
    <n v="27000"/>
    <n v="11000"/>
    <n v="16000"/>
  </r>
  <r>
    <s v="DTL00640"/>
    <s v="TRX00265"/>
    <s v="MNU019"/>
    <n v="1"/>
    <n v="5000"/>
    <x v="2"/>
    <n v="5000"/>
    <n v="2000"/>
    <n v="3000"/>
  </r>
  <r>
    <s v="DTL00641"/>
    <s v="TRX00265"/>
    <s v="MNU016"/>
    <n v="1"/>
    <n v="18000"/>
    <x v="0"/>
    <n v="18000"/>
    <n v="4500"/>
    <n v="13500"/>
  </r>
  <r>
    <s v="DTL00642"/>
    <s v="TRX00266"/>
    <s v="MNU003"/>
    <n v="2"/>
    <n v="27000"/>
    <x v="4"/>
    <n v="54000"/>
    <n v="11000"/>
    <n v="32000"/>
  </r>
  <r>
    <s v="DTL00643"/>
    <s v="TRX00266"/>
    <s v="MNU006"/>
    <n v="1"/>
    <n v="20000"/>
    <x v="11"/>
    <n v="20000"/>
    <n v="8000"/>
    <n v="12000"/>
  </r>
  <r>
    <s v="DTL00644"/>
    <s v="TRX00267"/>
    <s v="MNU003"/>
    <n v="2"/>
    <n v="27000"/>
    <x v="4"/>
    <n v="54000"/>
    <n v="11000"/>
    <n v="32000"/>
  </r>
  <r>
    <s v="DTL00645"/>
    <s v="TRX00267"/>
    <s v="MNU019"/>
    <n v="1"/>
    <n v="5000"/>
    <x v="2"/>
    <n v="5000"/>
    <n v="2000"/>
    <n v="3000"/>
  </r>
  <r>
    <s v="DTL00646"/>
    <s v="TRX00267"/>
    <s v="MNU023"/>
    <n v="3"/>
    <n v="5000"/>
    <x v="13"/>
    <n v="15000"/>
    <n v="1500"/>
    <n v="10500"/>
  </r>
  <r>
    <s v="DTL00647"/>
    <s v="TRX00267"/>
    <s v="MNU011"/>
    <n v="1"/>
    <n v="29000"/>
    <x v="20"/>
    <n v="29000"/>
    <n v="13000"/>
    <n v="16000"/>
  </r>
  <r>
    <s v="DTL00648"/>
    <s v="TRX00268"/>
    <s v="MNU018"/>
    <n v="1"/>
    <n v="12000"/>
    <x v="6"/>
    <n v="12000"/>
    <n v="3000"/>
    <n v="9000"/>
  </r>
  <r>
    <s v="DTL00649"/>
    <s v="TRX00268"/>
    <s v="MNU011"/>
    <n v="1"/>
    <n v="29000"/>
    <x v="20"/>
    <n v="29000"/>
    <n v="13000"/>
    <n v="16000"/>
  </r>
  <r>
    <s v="DTL00650"/>
    <s v="TRX00269"/>
    <s v="MNU003"/>
    <n v="1"/>
    <n v="27000"/>
    <x v="4"/>
    <n v="27000"/>
    <n v="11000"/>
    <n v="16000"/>
  </r>
  <r>
    <s v="DTL00651"/>
    <s v="TRX00270"/>
    <s v="MNU012"/>
    <n v="1"/>
    <n v="26000"/>
    <x v="15"/>
    <n v="26000"/>
    <n v="11500"/>
    <n v="14500"/>
  </r>
  <r>
    <s v="DTL00652"/>
    <s v="TRX00270"/>
    <s v="MNU019"/>
    <n v="1"/>
    <n v="5000"/>
    <x v="2"/>
    <n v="5000"/>
    <n v="2000"/>
    <n v="3000"/>
  </r>
  <r>
    <s v="DTL00653"/>
    <s v="TRX00270"/>
    <s v="MNU004"/>
    <n v="1"/>
    <n v="22000"/>
    <x v="14"/>
    <n v="22000"/>
    <n v="9500"/>
    <n v="12500"/>
  </r>
  <r>
    <s v="DTL00654"/>
    <s v="TRX00270"/>
    <s v="MNU003"/>
    <n v="1"/>
    <n v="27000"/>
    <x v="4"/>
    <n v="27000"/>
    <n v="11000"/>
    <n v="16000"/>
  </r>
  <r>
    <s v="DTL00655"/>
    <s v="TRX00270"/>
    <s v="MNU020"/>
    <n v="1"/>
    <n v="15000"/>
    <x v="19"/>
    <n v="15000"/>
    <n v="6000"/>
    <n v="9000"/>
  </r>
  <r>
    <s v="DTL00656"/>
    <s v="TRX00271"/>
    <s v="MNU003"/>
    <n v="1"/>
    <n v="27000"/>
    <x v="4"/>
    <n v="27000"/>
    <n v="11000"/>
    <n v="16000"/>
  </r>
  <r>
    <s v="DTL00657"/>
    <s v="TRX00271"/>
    <s v="MNU012"/>
    <n v="1"/>
    <n v="26000"/>
    <x v="15"/>
    <n v="26000"/>
    <n v="11500"/>
    <n v="14500"/>
  </r>
  <r>
    <s v="DTL00658"/>
    <s v="TRX00272"/>
    <s v="MNU003"/>
    <n v="1"/>
    <n v="27000"/>
    <x v="4"/>
    <n v="27000"/>
    <n v="11000"/>
    <n v="16000"/>
  </r>
  <r>
    <s v="DTL00659"/>
    <s v="TRX00272"/>
    <s v="MNU009"/>
    <n v="1"/>
    <n v="23000"/>
    <x v="3"/>
    <n v="23000"/>
    <n v="9000"/>
    <n v="14000"/>
  </r>
  <r>
    <s v="DTL00660"/>
    <s v="TRX00273"/>
    <s v="MNU024"/>
    <n v="1"/>
    <n v="9000"/>
    <x v="1"/>
    <n v="9000"/>
    <n v="3000"/>
    <n v="6000"/>
  </r>
  <r>
    <s v="DTL00661"/>
    <s v="TRX00273"/>
    <s v="MNU009"/>
    <n v="1"/>
    <n v="23000"/>
    <x v="3"/>
    <n v="23000"/>
    <n v="9000"/>
    <n v="14000"/>
  </r>
  <r>
    <s v="DTL00662"/>
    <s v="TRX00273"/>
    <s v="MNU019"/>
    <n v="1"/>
    <n v="5000"/>
    <x v="2"/>
    <n v="5000"/>
    <n v="2000"/>
    <n v="3000"/>
  </r>
  <r>
    <s v="DTL00663"/>
    <s v="TRX00273"/>
    <s v="MNU013"/>
    <n v="1"/>
    <n v="6000"/>
    <x v="22"/>
    <n v="6000"/>
    <n v="1500"/>
    <n v="4500"/>
  </r>
  <r>
    <s v="DTL00664"/>
    <s v="TRX00274"/>
    <s v="MNU003"/>
    <n v="1"/>
    <n v="27000"/>
    <x v="4"/>
    <n v="27000"/>
    <n v="11000"/>
    <n v="16000"/>
  </r>
  <r>
    <s v="DTL00665"/>
    <s v="TRX00274"/>
    <s v="MNU009"/>
    <n v="1"/>
    <n v="23000"/>
    <x v="3"/>
    <n v="23000"/>
    <n v="9000"/>
    <n v="14000"/>
  </r>
  <r>
    <s v="DTL00666"/>
    <s v="TRX00274"/>
    <s v="MNU016"/>
    <n v="2"/>
    <n v="18000"/>
    <x v="0"/>
    <n v="36000"/>
    <n v="4500"/>
    <n v="27000"/>
  </r>
  <r>
    <s v="DTL00667"/>
    <s v="TRX00275"/>
    <s v="MNU020"/>
    <n v="1"/>
    <n v="15000"/>
    <x v="19"/>
    <n v="15000"/>
    <n v="6000"/>
    <n v="9000"/>
  </r>
  <r>
    <s v="DTL00668"/>
    <s v="TRX00276"/>
    <s v="MNU009"/>
    <n v="1"/>
    <n v="23000"/>
    <x v="3"/>
    <n v="23000"/>
    <n v="9000"/>
    <n v="14000"/>
  </r>
  <r>
    <s v="DTL00669"/>
    <s v="TRX00276"/>
    <s v="MNU024"/>
    <n v="1"/>
    <n v="9000"/>
    <x v="1"/>
    <n v="9000"/>
    <n v="3000"/>
    <n v="6000"/>
  </r>
  <r>
    <s v="DTL00670"/>
    <s v="TRX00276"/>
    <s v="MNU014"/>
    <n v="2"/>
    <n v="8000"/>
    <x v="5"/>
    <n v="16000"/>
    <n v="2500"/>
    <n v="11000"/>
  </r>
  <r>
    <s v="DTL00671"/>
    <s v="TRX00276"/>
    <s v="MNU012"/>
    <n v="1"/>
    <n v="26000"/>
    <x v="15"/>
    <n v="26000"/>
    <n v="11500"/>
    <n v="14500"/>
  </r>
  <r>
    <s v="DTL00672"/>
    <s v="TRX00277"/>
    <s v="MNU007"/>
    <n v="2"/>
    <n v="28000"/>
    <x v="8"/>
    <n v="56000"/>
    <n v="12000"/>
    <n v="32000"/>
  </r>
  <r>
    <s v="DTL00673"/>
    <s v="TRX00277"/>
    <s v="MNU016"/>
    <n v="1"/>
    <n v="18000"/>
    <x v="0"/>
    <n v="18000"/>
    <n v="4500"/>
    <n v="13500"/>
  </r>
  <r>
    <s v="DTL00674"/>
    <s v="TRX00278"/>
    <s v="MNU024"/>
    <n v="2"/>
    <n v="9000"/>
    <x v="1"/>
    <n v="18000"/>
    <n v="3000"/>
    <n v="12000"/>
  </r>
  <r>
    <s v="DTL00675"/>
    <s v="TRX00278"/>
    <s v="MNU020"/>
    <n v="1"/>
    <n v="15000"/>
    <x v="19"/>
    <n v="15000"/>
    <n v="6000"/>
    <n v="9000"/>
  </r>
  <r>
    <s v="DTL00676"/>
    <s v="TRX00278"/>
    <s v="MNU012"/>
    <n v="1"/>
    <n v="26000"/>
    <x v="15"/>
    <n v="26000"/>
    <n v="11500"/>
    <n v="14500"/>
  </r>
  <r>
    <s v="DTL00677"/>
    <s v="TRX00278"/>
    <s v="MNU016"/>
    <n v="1"/>
    <n v="18000"/>
    <x v="0"/>
    <n v="18000"/>
    <n v="4500"/>
    <n v="13500"/>
  </r>
  <r>
    <s v="DTL00678"/>
    <s v="TRX00279"/>
    <s v="MNU017"/>
    <n v="1"/>
    <n v="16000"/>
    <x v="9"/>
    <n v="16000"/>
    <n v="5500"/>
    <n v="10500"/>
  </r>
  <r>
    <s v="DTL00679"/>
    <s v="TRX00280"/>
    <s v="MNU016"/>
    <n v="1"/>
    <n v="18000"/>
    <x v="0"/>
    <n v="18000"/>
    <n v="4500"/>
    <n v="13500"/>
  </r>
  <r>
    <s v="DTL00680"/>
    <s v="TRX00280"/>
    <s v="MNU003"/>
    <n v="3"/>
    <n v="27000"/>
    <x v="4"/>
    <n v="81000"/>
    <n v="11000"/>
    <n v="48000"/>
  </r>
  <r>
    <s v="DTL00681"/>
    <s v="TRX00280"/>
    <s v="MNU011"/>
    <n v="1"/>
    <n v="29000"/>
    <x v="20"/>
    <n v="29000"/>
    <n v="13000"/>
    <n v="16000"/>
  </r>
  <r>
    <s v="DTL00682"/>
    <s v="TRX00281"/>
    <s v="MNU008"/>
    <n v="2"/>
    <n v="21000"/>
    <x v="21"/>
    <n v="42000"/>
    <n v="8500"/>
    <n v="25000"/>
  </r>
  <r>
    <s v="DTL00683"/>
    <s v="TRX00281"/>
    <s v="MNU003"/>
    <n v="1"/>
    <n v="27000"/>
    <x v="4"/>
    <n v="27000"/>
    <n v="11000"/>
    <n v="16000"/>
  </r>
  <r>
    <s v="DTL00684"/>
    <s v="TRX00281"/>
    <s v="MNU012"/>
    <n v="1"/>
    <n v="26000"/>
    <x v="15"/>
    <n v="26000"/>
    <n v="11500"/>
    <n v="14500"/>
  </r>
  <r>
    <s v="DTL00685"/>
    <s v="TRX00282"/>
    <s v="MNU016"/>
    <n v="1"/>
    <n v="18000"/>
    <x v="0"/>
    <n v="18000"/>
    <n v="4500"/>
    <n v="13500"/>
  </r>
  <r>
    <s v="DTL00686"/>
    <s v="TRX00282"/>
    <s v="MNU003"/>
    <n v="1"/>
    <n v="27000"/>
    <x v="4"/>
    <n v="27000"/>
    <n v="11000"/>
    <n v="16000"/>
  </r>
  <r>
    <s v="DTL00687"/>
    <s v="TRX00283"/>
    <s v="MNU003"/>
    <n v="1"/>
    <n v="27000"/>
    <x v="4"/>
    <n v="27000"/>
    <n v="11000"/>
    <n v="16000"/>
  </r>
  <r>
    <s v="DTL00688"/>
    <s v="TRX00284"/>
    <s v="MNU017"/>
    <n v="1"/>
    <n v="16000"/>
    <x v="9"/>
    <n v="16000"/>
    <n v="5500"/>
    <n v="10500"/>
  </r>
  <r>
    <s v="DTL00689"/>
    <s v="TRX00285"/>
    <s v="MNU024"/>
    <n v="1"/>
    <n v="9000"/>
    <x v="1"/>
    <n v="9000"/>
    <n v="3000"/>
    <n v="6000"/>
  </r>
  <r>
    <s v="DTL00690"/>
    <s v="TRX00286"/>
    <s v="MNU011"/>
    <n v="1"/>
    <n v="29000"/>
    <x v="20"/>
    <n v="29000"/>
    <n v="13000"/>
    <n v="16000"/>
  </r>
  <r>
    <s v="DTL00691"/>
    <s v="TRX00286"/>
    <s v="MNU020"/>
    <n v="1"/>
    <n v="15000"/>
    <x v="19"/>
    <n v="15000"/>
    <n v="6000"/>
    <n v="9000"/>
  </r>
  <r>
    <s v="DTL00692"/>
    <s v="TRX00287"/>
    <s v="MNU003"/>
    <n v="1"/>
    <n v="27000"/>
    <x v="4"/>
    <n v="27000"/>
    <n v="11000"/>
    <n v="16000"/>
  </r>
  <r>
    <s v="DTL00693"/>
    <s v="TRX00287"/>
    <s v="MNU019"/>
    <n v="2"/>
    <n v="5000"/>
    <x v="2"/>
    <n v="10000"/>
    <n v="2000"/>
    <n v="6000"/>
  </r>
  <r>
    <s v="DTL00694"/>
    <s v="TRX00287"/>
    <s v="MNU013"/>
    <n v="1"/>
    <n v="6000"/>
    <x v="22"/>
    <n v="6000"/>
    <n v="1500"/>
    <n v="4500"/>
  </r>
  <r>
    <s v="DTL00695"/>
    <s v="TRX00287"/>
    <s v="MNU024"/>
    <n v="2"/>
    <n v="9000"/>
    <x v="1"/>
    <n v="18000"/>
    <n v="3000"/>
    <n v="12000"/>
  </r>
  <r>
    <s v="DTL00696"/>
    <s v="TRX00288"/>
    <s v="MNU003"/>
    <n v="1"/>
    <n v="27000"/>
    <x v="4"/>
    <n v="27000"/>
    <n v="11000"/>
    <n v="16000"/>
  </r>
  <r>
    <s v="DTL00697"/>
    <s v="TRX00288"/>
    <s v="MNU017"/>
    <n v="1"/>
    <n v="16000"/>
    <x v="9"/>
    <n v="16000"/>
    <n v="5500"/>
    <n v="10500"/>
  </r>
  <r>
    <s v="DTL00698"/>
    <s v="TRX00289"/>
    <s v="MNU012"/>
    <n v="1"/>
    <n v="26000"/>
    <x v="15"/>
    <n v="26000"/>
    <n v="11500"/>
    <n v="14500"/>
  </r>
  <r>
    <s v="DTL00699"/>
    <s v="TRX00289"/>
    <s v="MNU006"/>
    <n v="1"/>
    <n v="20000"/>
    <x v="11"/>
    <n v="20000"/>
    <n v="8000"/>
    <n v="12000"/>
  </r>
  <r>
    <s v="DTL00700"/>
    <s v="TRX00289"/>
    <s v="MNU003"/>
    <n v="1"/>
    <n v="27000"/>
    <x v="4"/>
    <n v="27000"/>
    <n v="11000"/>
    <n v="16000"/>
  </r>
  <r>
    <s v="DTL00701"/>
    <s v="TRX00290"/>
    <s v="MNU003"/>
    <n v="1"/>
    <n v="27000"/>
    <x v="4"/>
    <n v="27000"/>
    <n v="11000"/>
    <n v="16000"/>
  </r>
  <r>
    <s v="DTL00702"/>
    <s v="TRX00290"/>
    <s v="MNU020"/>
    <n v="3"/>
    <n v="15000"/>
    <x v="19"/>
    <n v="45000"/>
    <n v="6000"/>
    <n v="27000"/>
  </r>
  <r>
    <s v="DTL00703"/>
    <s v="TRX00290"/>
    <s v="MNU004"/>
    <n v="1"/>
    <n v="22000"/>
    <x v="14"/>
    <n v="22000"/>
    <n v="9500"/>
    <n v="12500"/>
  </r>
  <r>
    <s v="DTL00704"/>
    <s v="TRX00291"/>
    <s v="MNU003"/>
    <n v="1"/>
    <n v="27000"/>
    <x v="4"/>
    <n v="27000"/>
    <n v="11000"/>
    <n v="16000"/>
  </r>
  <r>
    <s v="DTL00705"/>
    <s v="TRX00291"/>
    <s v="MNU011"/>
    <n v="3"/>
    <n v="29000"/>
    <x v="20"/>
    <n v="87000"/>
    <n v="13000"/>
    <n v="48000"/>
  </r>
  <r>
    <s v="DTL00706"/>
    <s v="TRX00291"/>
    <s v="MNU017"/>
    <n v="1"/>
    <n v="16000"/>
    <x v="9"/>
    <n v="16000"/>
    <n v="5500"/>
    <n v="10500"/>
  </r>
  <r>
    <s v="DTL00707"/>
    <s v="TRX00291"/>
    <s v="MNU006"/>
    <n v="1"/>
    <n v="20000"/>
    <x v="11"/>
    <n v="20000"/>
    <n v="8000"/>
    <n v="12000"/>
  </r>
  <r>
    <s v="DTL00708"/>
    <s v="TRX00292"/>
    <s v="MNU003"/>
    <n v="2"/>
    <n v="27000"/>
    <x v="4"/>
    <n v="54000"/>
    <n v="11000"/>
    <n v="32000"/>
  </r>
  <r>
    <s v="DTL00709"/>
    <s v="TRX00293"/>
    <s v="MNU004"/>
    <n v="1"/>
    <n v="22000"/>
    <x v="14"/>
    <n v="22000"/>
    <n v="9500"/>
    <n v="12500"/>
  </r>
  <r>
    <s v="DTL00710"/>
    <s v="TRX00293"/>
    <s v="MNU003"/>
    <n v="2"/>
    <n v="27000"/>
    <x v="4"/>
    <n v="54000"/>
    <n v="11000"/>
    <n v="32000"/>
  </r>
  <r>
    <s v="DTL00711"/>
    <s v="TRX00293"/>
    <s v="MNU016"/>
    <n v="1"/>
    <n v="18000"/>
    <x v="0"/>
    <n v="18000"/>
    <n v="4500"/>
    <n v="13500"/>
  </r>
  <r>
    <s v="DTL00712"/>
    <s v="TRX00294"/>
    <s v="MNU016"/>
    <n v="1"/>
    <n v="18000"/>
    <x v="0"/>
    <n v="18000"/>
    <n v="4500"/>
    <n v="13500"/>
  </r>
  <r>
    <s v="DTL00713"/>
    <s v="TRX00294"/>
    <s v="MNU003"/>
    <n v="1"/>
    <n v="27000"/>
    <x v="4"/>
    <n v="27000"/>
    <n v="11000"/>
    <n v="16000"/>
  </r>
  <r>
    <s v="DTL00714"/>
    <s v="TRX00294"/>
    <s v="MNU008"/>
    <n v="2"/>
    <n v="21000"/>
    <x v="21"/>
    <n v="42000"/>
    <n v="8500"/>
    <n v="25000"/>
  </r>
  <r>
    <s v="DTL00715"/>
    <s v="TRX00294"/>
    <s v="MNU015"/>
    <n v="3"/>
    <n v="9000"/>
    <x v="10"/>
    <n v="27000"/>
    <n v="2000"/>
    <n v="21000"/>
  </r>
  <r>
    <s v="DTL00716"/>
    <s v="TRX00295"/>
    <s v="MNU013"/>
    <n v="1"/>
    <n v="6000"/>
    <x v="22"/>
    <n v="6000"/>
    <n v="1500"/>
    <n v="4500"/>
  </r>
  <r>
    <s v="DTL00717"/>
    <s v="TRX00296"/>
    <s v="MNU019"/>
    <n v="1"/>
    <n v="5000"/>
    <x v="2"/>
    <n v="5000"/>
    <n v="2000"/>
    <n v="3000"/>
  </r>
  <r>
    <s v="DTL00718"/>
    <s v="TRX00296"/>
    <s v="MNU006"/>
    <n v="1"/>
    <n v="20000"/>
    <x v="11"/>
    <n v="20000"/>
    <n v="8000"/>
    <n v="12000"/>
  </r>
  <r>
    <s v="DTL00719"/>
    <s v="TRX00297"/>
    <s v="MNU012"/>
    <n v="1"/>
    <n v="26000"/>
    <x v="15"/>
    <n v="26000"/>
    <n v="11500"/>
    <n v="14500"/>
  </r>
  <r>
    <s v="DTL00720"/>
    <s v="TRX00297"/>
    <s v="MNU024"/>
    <n v="1"/>
    <n v="9000"/>
    <x v="1"/>
    <n v="9000"/>
    <n v="3000"/>
    <n v="6000"/>
  </r>
  <r>
    <s v="DTL00721"/>
    <s v="TRX00298"/>
    <s v="MNU003"/>
    <n v="1"/>
    <n v="27000"/>
    <x v="4"/>
    <n v="27000"/>
    <n v="11000"/>
    <n v="16000"/>
  </r>
  <r>
    <s v="DTL00722"/>
    <s v="TRX00299"/>
    <s v="MNU006"/>
    <n v="3"/>
    <n v="20000"/>
    <x v="11"/>
    <n v="60000"/>
    <n v="8000"/>
    <n v="36000"/>
  </r>
  <r>
    <s v="DTL00723"/>
    <s v="TRX00299"/>
    <s v="MNU023"/>
    <n v="1"/>
    <n v="5000"/>
    <x v="13"/>
    <n v="5000"/>
    <n v="1500"/>
    <n v="3500"/>
  </r>
  <r>
    <s v="DTL00724"/>
    <s v="TRX00300"/>
    <s v="MNU003"/>
    <n v="2"/>
    <n v="27000"/>
    <x v="4"/>
    <n v="54000"/>
    <n v="11000"/>
    <n v="32000"/>
  </r>
  <r>
    <s v="DTL00725"/>
    <s v="TRX00300"/>
    <s v="MNU012"/>
    <n v="2"/>
    <n v="26000"/>
    <x v="15"/>
    <n v="52000"/>
    <n v="11500"/>
    <n v="29000"/>
  </r>
  <r>
    <s v="DTL00726"/>
    <s v="TRX00300"/>
    <s v="MNU016"/>
    <n v="1"/>
    <n v="18000"/>
    <x v="0"/>
    <n v="18000"/>
    <n v="4500"/>
    <n v="13500"/>
  </r>
  <r>
    <s v="DTL00727"/>
    <s v="TRX00301"/>
    <s v="MNU005"/>
    <n v="1"/>
    <n v="32000"/>
    <x v="18"/>
    <n v="32000"/>
    <n v="14000"/>
    <n v="18000"/>
  </r>
  <r>
    <s v="DTL00728"/>
    <s v="TRX00301"/>
    <s v="MNU003"/>
    <n v="1"/>
    <n v="27000"/>
    <x v="4"/>
    <n v="27000"/>
    <n v="11000"/>
    <n v="16000"/>
  </r>
  <r>
    <s v="DTL00729"/>
    <s v="TRX00302"/>
    <s v="MNU012"/>
    <n v="2"/>
    <n v="26000"/>
    <x v="15"/>
    <n v="52000"/>
    <n v="11500"/>
    <n v="29000"/>
  </r>
  <r>
    <s v="DTL00730"/>
    <s v="TRX00302"/>
    <s v="MNU009"/>
    <n v="1"/>
    <n v="23000"/>
    <x v="3"/>
    <n v="23000"/>
    <n v="9000"/>
    <n v="14000"/>
  </r>
  <r>
    <s v="DTL00731"/>
    <s v="TRX00302"/>
    <s v="MNU016"/>
    <n v="2"/>
    <n v="18000"/>
    <x v="0"/>
    <n v="36000"/>
    <n v="4500"/>
    <n v="27000"/>
  </r>
  <r>
    <s v="DTL00732"/>
    <s v="TRX00303"/>
    <s v="MNU004"/>
    <n v="3"/>
    <n v="22000"/>
    <x v="14"/>
    <n v="66000"/>
    <n v="9500"/>
    <n v="37500"/>
  </r>
  <r>
    <s v="DTL00733"/>
    <s v="TRX00303"/>
    <s v="MNU019"/>
    <n v="1"/>
    <n v="5000"/>
    <x v="2"/>
    <n v="5000"/>
    <n v="2000"/>
    <n v="3000"/>
  </r>
  <r>
    <s v="DTL00734"/>
    <s v="TRX00303"/>
    <s v="MNU017"/>
    <n v="1"/>
    <n v="16000"/>
    <x v="9"/>
    <n v="16000"/>
    <n v="5500"/>
    <n v="10500"/>
  </r>
  <r>
    <s v="DTL00735"/>
    <s v="TRX00303"/>
    <s v="MNU003"/>
    <n v="3"/>
    <n v="27000"/>
    <x v="4"/>
    <n v="81000"/>
    <n v="11000"/>
    <n v="48000"/>
  </r>
  <r>
    <s v="DTL00736"/>
    <s v="TRX00304"/>
    <s v="MNU024"/>
    <n v="1"/>
    <n v="9000"/>
    <x v="1"/>
    <n v="9000"/>
    <n v="3000"/>
    <n v="6000"/>
  </r>
  <r>
    <s v="DTL00737"/>
    <s v="TRX00305"/>
    <s v="MNU003"/>
    <n v="1"/>
    <n v="27000"/>
    <x v="4"/>
    <n v="27000"/>
    <n v="11000"/>
    <n v="16000"/>
  </r>
  <r>
    <s v="DTL00738"/>
    <s v="TRX00305"/>
    <s v="MNU006"/>
    <n v="1"/>
    <n v="20000"/>
    <x v="11"/>
    <n v="20000"/>
    <n v="8000"/>
    <n v="12000"/>
  </r>
  <r>
    <s v="DTL00739"/>
    <s v="TRX00305"/>
    <s v="MNU023"/>
    <n v="1"/>
    <n v="5000"/>
    <x v="13"/>
    <n v="5000"/>
    <n v="1500"/>
    <n v="3500"/>
  </r>
  <r>
    <s v="DTL00740"/>
    <s v="TRX00306"/>
    <s v="MNU018"/>
    <n v="1"/>
    <n v="12000"/>
    <x v="6"/>
    <n v="12000"/>
    <n v="3000"/>
    <n v="9000"/>
  </r>
  <r>
    <s v="DTL00741"/>
    <s v="TRX00307"/>
    <s v="MNU006"/>
    <n v="2"/>
    <n v="20000"/>
    <x v="11"/>
    <n v="40000"/>
    <n v="8000"/>
    <n v="24000"/>
  </r>
  <r>
    <s v="DTL00742"/>
    <s v="TRX00307"/>
    <s v="MNU003"/>
    <n v="1"/>
    <n v="27000"/>
    <x v="4"/>
    <n v="27000"/>
    <n v="11000"/>
    <n v="16000"/>
  </r>
  <r>
    <s v="DTL00743"/>
    <s v="TRX00307"/>
    <s v="MNU012"/>
    <n v="1"/>
    <n v="26000"/>
    <x v="15"/>
    <n v="26000"/>
    <n v="11500"/>
    <n v="14500"/>
  </r>
  <r>
    <s v="DTL00744"/>
    <s v="TRX00307"/>
    <s v="MNU004"/>
    <n v="2"/>
    <n v="22000"/>
    <x v="14"/>
    <n v="44000"/>
    <n v="9500"/>
    <n v="25000"/>
  </r>
  <r>
    <s v="DTL00745"/>
    <s v="TRX00307"/>
    <s v="MNU016"/>
    <n v="1"/>
    <n v="18000"/>
    <x v="0"/>
    <n v="18000"/>
    <n v="4500"/>
    <n v="13500"/>
  </r>
  <r>
    <s v="DTL00746"/>
    <s v="TRX00308"/>
    <s v="MNU003"/>
    <n v="3"/>
    <n v="27000"/>
    <x v="4"/>
    <n v="81000"/>
    <n v="11000"/>
    <n v="48000"/>
  </r>
  <r>
    <s v="DTL00747"/>
    <s v="TRX00308"/>
    <s v="MNU021"/>
    <n v="2"/>
    <n v="10000"/>
    <x v="16"/>
    <n v="20000"/>
    <n v="3500"/>
    <n v="13000"/>
  </r>
  <r>
    <s v="DTL00748"/>
    <s v="TRX00308"/>
    <s v="MNU009"/>
    <n v="1"/>
    <n v="23000"/>
    <x v="3"/>
    <n v="23000"/>
    <n v="9000"/>
    <n v="14000"/>
  </r>
  <r>
    <s v="DTL00749"/>
    <s v="TRX00308"/>
    <s v="MNU011"/>
    <n v="1"/>
    <n v="29000"/>
    <x v="20"/>
    <n v="29000"/>
    <n v="13000"/>
    <n v="16000"/>
  </r>
  <r>
    <s v="DTL00750"/>
    <s v="TRX00308"/>
    <s v="MNU015"/>
    <n v="2"/>
    <n v="9000"/>
    <x v="10"/>
    <n v="18000"/>
    <n v="2000"/>
    <n v="14000"/>
  </r>
  <r>
    <s v="DTL00751"/>
    <s v="TRX00309"/>
    <s v="MNU003"/>
    <n v="2"/>
    <n v="27000"/>
    <x v="4"/>
    <n v="54000"/>
    <n v="11000"/>
    <n v="32000"/>
  </r>
  <r>
    <s v="DTL00752"/>
    <s v="TRX00309"/>
    <s v="MNU024"/>
    <n v="2"/>
    <n v="9000"/>
    <x v="1"/>
    <n v="18000"/>
    <n v="3000"/>
    <n v="12000"/>
  </r>
  <r>
    <s v="DTL00753"/>
    <s v="TRX00309"/>
    <s v="MNU006"/>
    <n v="1"/>
    <n v="20000"/>
    <x v="11"/>
    <n v="20000"/>
    <n v="8000"/>
    <n v="12000"/>
  </r>
  <r>
    <s v="DTL00754"/>
    <s v="TRX00309"/>
    <s v="MNU015"/>
    <n v="1"/>
    <n v="9000"/>
    <x v="10"/>
    <n v="9000"/>
    <n v="2000"/>
    <n v="7000"/>
  </r>
  <r>
    <s v="DTL00755"/>
    <s v="TRX00310"/>
    <s v="MNU016"/>
    <n v="2"/>
    <n v="18000"/>
    <x v="0"/>
    <n v="36000"/>
    <n v="4500"/>
    <n v="27000"/>
  </r>
  <r>
    <s v="DTL00756"/>
    <s v="TRX00310"/>
    <s v="MNU012"/>
    <n v="1"/>
    <n v="26000"/>
    <x v="15"/>
    <n v="26000"/>
    <n v="11500"/>
    <n v="14500"/>
  </r>
  <r>
    <s v="DTL00757"/>
    <s v="TRX00310"/>
    <s v="MNU003"/>
    <n v="1"/>
    <n v="27000"/>
    <x v="4"/>
    <n v="27000"/>
    <n v="11000"/>
    <n v="16000"/>
  </r>
  <r>
    <s v="DTL00758"/>
    <s v="TRX00311"/>
    <s v="MNU017"/>
    <n v="1"/>
    <n v="16000"/>
    <x v="9"/>
    <n v="16000"/>
    <n v="5500"/>
    <n v="10500"/>
  </r>
  <r>
    <s v="DTL00759"/>
    <s v="TRX00311"/>
    <s v="MNU001"/>
    <n v="1"/>
    <n v="25000"/>
    <x v="23"/>
    <n v="25000"/>
    <n v="9000"/>
    <n v="16000"/>
  </r>
  <r>
    <s v="DTL00760"/>
    <s v="TRX00312"/>
    <s v="MNU006"/>
    <n v="1"/>
    <n v="20000"/>
    <x v="11"/>
    <n v="20000"/>
    <n v="8000"/>
    <n v="12000"/>
  </r>
  <r>
    <s v="DTL00761"/>
    <s v="TRX00312"/>
    <s v="MNU004"/>
    <n v="2"/>
    <n v="22000"/>
    <x v="14"/>
    <n v="44000"/>
    <n v="9500"/>
    <n v="25000"/>
  </r>
  <r>
    <s v="DTL00762"/>
    <s v="TRX00312"/>
    <s v="MNU017"/>
    <n v="1"/>
    <n v="16000"/>
    <x v="9"/>
    <n v="16000"/>
    <n v="5500"/>
    <n v="10500"/>
  </r>
  <r>
    <s v="DTL00763"/>
    <s v="TRX00313"/>
    <s v="MNU012"/>
    <n v="1"/>
    <n v="26000"/>
    <x v="15"/>
    <n v="26000"/>
    <n v="11500"/>
    <n v="14500"/>
  </r>
  <r>
    <s v="DTL00764"/>
    <s v="TRX00313"/>
    <s v="MNU004"/>
    <n v="3"/>
    <n v="22000"/>
    <x v="14"/>
    <n v="66000"/>
    <n v="9500"/>
    <n v="37500"/>
  </r>
  <r>
    <s v="DTL00765"/>
    <s v="TRX00313"/>
    <s v="MNU018"/>
    <n v="1"/>
    <n v="12000"/>
    <x v="6"/>
    <n v="12000"/>
    <n v="3000"/>
    <n v="9000"/>
  </r>
  <r>
    <s v="DTL00766"/>
    <s v="TRX00314"/>
    <s v="MNU009"/>
    <n v="1"/>
    <n v="23000"/>
    <x v="3"/>
    <n v="23000"/>
    <n v="9000"/>
    <n v="14000"/>
  </r>
  <r>
    <s v="DTL00767"/>
    <s v="TRX00314"/>
    <s v="MNU024"/>
    <n v="3"/>
    <n v="9000"/>
    <x v="1"/>
    <n v="27000"/>
    <n v="3000"/>
    <n v="18000"/>
  </r>
  <r>
    <s v="DTL00768"/>
    <s v="TRX00314"/>
    <s v="MNU016"/>
    <n v="1"/>
    <n v="18000"/>
    <x v="0"/>
    <n v="18000"/>
    <n v="4500"/>
    <n v="13500"/>
  </r>
  <r>
    <s v="DTL00769"/>
    <s v="TRX00315"/>
    <s v="MNU016"/>
    <n v="1"/>
    <n v="18000"/>
    <x v="0"/>
    <n v="18000"/>
    <n v="4500"/>
    <n v="13500"/>
  </r>
  <r>
    <s v="DTL00770"/>
    <s v="TRX00315"/>
    <s v="MNU024"/>
    <n v="2"/>
    <n v="9000"/>
    <x v="1"/>
    <n v="18000"/>
    <n v="3000"/>
    <n v="12000"/>
  </r>
  <r>
    <s v="DTL00771"/>
    <s v="TRX00315"/>
    <s v="MNU017"/>
    <n v="2"/>
    <n v="16000"/>
    <x v="9"/>
    <n v="32000"/>
    <n v="5500"/>
    <n v="21000"/>
  </r>
  <r>
    <s v="DTL00772"/>
    <s v="TRX00315"/>
    <s v="MNU006"/>
    <n v="1"/>
    <n v="20000"/>
    <x v="11"/>
    <n v="20000"/>
    <n v="8000"/>
    <n v="12000"/>
  </r>
  <r>
    <s v="DTL00773"/>
    <s v="TRX00315"/>
    <s v="MNU003"/>
    <n v="1"/>
    <n v="27000"/>
    <x v="4"/>
    <n v="27000"/>
    <n v="11000"/>
    <n v="16000"/>
  </r>
  <r>
    <s v="DTL00774"/>
    <s v="TRX00316"/>
    <s v="MNU012"/>
    <n v="1"/>
    <n v="26000"/>
    <x v="15"/>
    <n v="26000"/>
    <n v="11500"/>
    <n v="14500"/>
  </r>
  <r>
    <s v="DTL00775"/>
    <s v="TRX00316"/>
    <s v="MNU008"/>
    <n v="3"/>
    <n v="21000"/>
    <x v="21"/>
    <n v="63000"/>
    <n v="8500"/>
    <n v="37500"/>
  </r>
  <r>
    <s v="DTL00776"/>
    <s v="TRX00316"/>
    <s v="MNU002"/>
    <n v="1"/>
    <n v="23000"/>
    <x v="12"/>
    <n v="23000"/>
    <n v="8500"/>
    <n v="14500"/>
  </r>
  <r>
    <s v="DTL00777"/>
    <s v="TRX00316"/>
    <s v="MNU003"/>
    <n v="1"/>
    <n v="27000"/>
    <x v="4"/>
    <n v="27000"/>
    <n v="11000"/>
    <n v="16000"/>
  </r>
  <r>
    <s v="DTL00778"/>
    <s v="TRX00316"/>
    <s v="MNU018"/>
    <n v="2"/>
    <n v="12000"/>
    <x v="6"/>
    <n v="24000"/>
    <n v="3000"/>
    <n v="18000"/>
  </r>
  <r>
    <s v="DTL00779"/>
    <s v="TRX00317"/>
    <s v="MNU003"/>
    <n v="1"/>
    <n v="27000"/>
    <x v="4"/>
    <n v="27000"/>
    <n v="11000"/>
    <n v="16000"/>
  </r>
  <r>
    <s v="DTL00780"/>
    <s v="TRX00317"/>
    <s v="MNU023"/>
    <n v="1"/>
    <n v="5000"/>
    <x v="13"/>
    <n v="5000"/>
    <n v="1500"/>
    <n v="3500"/>
  </r>
  <r>
    <s v="DTL00781"/>
    <s v="TRX00317"/>
    <s v="MNU016"/>
    <n v="1"/>
    <n v="18000"/>
    <x v="0"/>
    <n v="18000"/>
    <n v="4500"/>
    <n v="13500"/>
  </r>
  <r>
    <s v="DTL00782"/>
    <s v="TRX00318"/>
    <s v="MNU003"/>
    <n v="1"/>
    <n v="27000"/>
    <x v="4"/>
    <n v="27000"/>
    <n v="11000"/>
    <n v="16000"/>
  </r>
  <r>
    <s v="DTL00783"/>
    <s v="TRX00319"/>
    <s v="MNU015"/>
    <n v="2"/>
    <n v="9000"/>
    <x v="10"/>
    <n v="18000"/>
    <n v="2000"/>
    <n v="14000"/>
  </r>
  <r>
    <s v="DTL00784"/>
    <s v="TRX00319"/>
    <s v="MNU003"/>
    <n v="1"/>
    <n v="27000"/>
    <x v="4"/>
    <n v="27000"/>
    <n v="11000"/>
    <n v="16000"/>
  </r>
  <r>
    <s v="DTL00785"/>
    <s v="TRX00320"/>
    <s v="MNU003"/>
    <n v="2"/>
    <n v="27000"/>
    <x v="4"/>
    <n v="54000"/>
    <n v="11000"/>
    <n v="32000"/>
  </r>
  <r>
    <s v="DTL00786"/>
    <s v="TRX00320"/>
    <s v="MNU015"/>
    <n v="1"/>
    <n v="9000"/>
    <x v="10"/>
    <n v="9000"/>
    <n v="2000"/>
    <n v="7000"/>
  </r>
  <r>
    <s v="DTL00787"/>
    <s v="TRX00320"/>
    <s v="MNU016"/>
    <n v="1"/>
    <n v="18000"/>
    <x v="0"/>
    <n v="18000"/>
    <n v="4500"/>
    <n v="13500"/>
  </r>
  <r>
    <s v="DTL00788"/>
    <s v="TRX00321"/>
    <s v="MNU003"/>
    <n v="1"/>
    <n v="27000"/>
    <x v="4"/>
    <n v="27000"/>
    <n v="11000"/>
    <n v="16000"/>
  </r>
  <r>
    <s v="DTL00789"/>
    <s v="TRX00321"/>
    <s v="MNU004"/>
    <n v="2"/>
    <n v="22000"/>
    <x v="14"/>
    <n v="44000"/>
    <n v="9500"/>
    <n v="25000"/>
  </r>
  <r>
    <s v="DTL00790"/>
    <s v="TRX00322"/>
    <s v="MNU003"/>
    <n v="1"/>
    <n v="27000"/>
    <x v="4"/>
    <n v="27000"/>
    <n v="11000"/>
    <n v="16000"/>
  </r>
  <r>
    <s v="DTL00791"/>
    <s v="TRX00322"/>
    <s v="MNU012"/>
    <n v="1"/>
    <n v="26000"/>
    <x v="15"/>
    <n v="26000"/>
    <n v="11500"/>
    <n v="14500"/>
  </r>
  <r>
    <s v="DTL00792"/>
    <s v="TRX00322"/>
    <s v="MNU010"/>
    <n v="1"/>
    <n v="22000"/>
    <x v="7"/>
    <n v="22000"/>
    <n v="9500"/>
    <n v="12500"/>
  </r>
  <r>
    <s v="DTL00793"/>
    <s v="TRX00323"/>
    <s v="MNU003"/>
    <n v="2"/>
    <n v="27000"/>
    <x v="4"/>
    <n v="54000"/>
    <n v="11000"/>
    <n v="32000"/>
  </r>
  <r>
    <s v="DTL00794"/>
    <s v="TRX00323"/>
    <s v="MNU009"/>
    <n v="1"/>
    <n v="23000"/>
    <x v="3"/>
    <n v="23000"/>
    <n v="9000"/>
    <n v="14000"/>
  </r>
  <r>
    <s v="DTL00795"/>
    <s v="TRX00323"/>
    <s v="MNU019"/>
    <n v="1"/>
    <n v="5000"/>
    <x v="2"/>
    <n v="5000"/>
    <n v="2000"/>
    <n v="3000"/>
  </r>
  <r>
    <s v="DTL00796"/>
    <s v="TRX00324"/>
    <s v="MNU016"/>
    <n v="1"/>
    <n v="18000"/>
    <x v="0"/>
    <n v="18000"/>
    <n v="4500"/>
    <n v="13500"/>
  </r>
  <r>
    <s v="DTL00797"/>
    <s v="TRX00324"/>
    <s v="MNU024"/>
    <n v="1"/>
    <n v="9000"/>
    <x v="1"/>
    <n v="9000"/>
    <n v="3000"/>
    <n v="6000"/>
  </r>
  <r>
    <s v="DTL00798"/>
    <s v="TRX00324"/>
    <s v="MNU002"/>
    <n v="1"/>
    <n v="23000"/>
    <x v="12"/>
    <n v="23000"/>
    <n v="8500"/>
    <n v="14500"/>
  </r>
  <r>
    <s v="DTL00799"/>
    <s v="TRX00325"/>
    <s v="MNU018"/>
    <n v="1"/>
    <n v="12000"/>
    <x v="6"/>
    <n v="12000"/>
    <n v="3000"/>
    <n v="9000"/>
  </r>
  <r>
    <s v="DTL00800"/>
    <s v="TRX00325"/>
    <s v="MNU003"/>
    <n v="1"/>
    <n v="27000"/>
    <x v="4"/>
    <n v="27000"/>
    <n v="11000"/>
    <n v="16000"/>
  </r>
  <r>
    <s v="DTL00801"/>
    <s v="TRX00326"/>
    <s v="MNU016"/>
    <n v="1"/>
    <n v="18000"/>
    <x v="0"/>
    <n v="18000"/>
    <n v="4500"/>
    <n v="13500"/>
  </r>
  <r>
    <s v="DTL00802"/>
    <s v="TRX00326"/>
    <s v="MNU007"/>
    <n v="1"/>
    <n v="28000"/>
    <x v="8"/>
    <n v="28000"/>
    <n v="12000"/>
    <n v="16000"/>
  </r>
  <r>
    <s v="DTL00803"/>
    <s v="TRX00326"/>
    <s v="MNU015"/>
    <n v="1"/>
    <n v="9000"/>
    <x v="10"/>
    <n v="9000"/>
    <n v="2000"/>
    <n v="7000"/>
  </r>
  <r>
    <s v="DTL00804"/>
    <s v="TRX00326"/>
    <s v="MNU003"/>
    <n v="1"/>
    <n v="27000"/>
    <x v="4"/>
    <n v="27000"/>
    <n v="11000"/>
    <n v="16000"/>
  </r>
  <r>
    <s v="DTL00805"/>
    <s v="TRX00326"/>
    <s v="MNU009"/>
    <n v="2"/>
    <n v="23000"/>
    <x v="3"/>
    <n v="46000"/>
    <n v="9000"/>
    <n v="28000"/>
  </r>
  <r>
    <s v="DTL00806"/>
    <s v="TRX00327"/>
    <s v="MNU017"/>
    <n v="2"/>
    <n v="16000"/>
    <x v="9"/>
    <n v="32000"/>
    <n v="5500"/>
    <n v="21000"/>
  </r>
  <r>
    <s v="DTL00807"/>
    <s v="TRX00327"/>
    <s v="MNU003"/>
    <n v="1"/>
    <n v="27000"/>
    <x v="4"/>
    <n v="27000"/>
    <n v="11000"/>
    <n v="16000"/>
  </r>
  <r>
    <s v="DTL00808"/>
    <s v="TRX00327"/>
    <s v="MNU019"/>
    <n v="1"/>
    <n v="5000"/>
    <x v="2"/>
    <n v="5000"/>
    <n v="2000"/>
    <n v="3000"/>
  </r>
  <r>
    <s v="DTL00809"/>
    <s v="TRX00328"/>
    <s v="MNU011"/>
    <n v="1"/>
    <n v="29000"/>
    <x v="20"/>
    <n v="29000"/>
    <n v="13000"/>
    <n v="16000"/>
  </r>
  <r>
    <s v="DTL00810"/>
    <s v="TRX00328"/>
    <s v="MNU003"/>
    <n v="1"/>
    <n v="27000"/>
    <x v="4"/>
    <n v="27000"/>
    <n v="11000"/>
    <n v="16000"/>
  </r>
  <r>
    <s v="DTL00811"/>
    <s v="TRX00328"/>
    <s v="MNU021"/>
    <n v="1"/>
    <n v="10000"/>
    <x v="16"/>
    <n v="10000"/>
    <n v="3500"/>
    <n v="6500"/>
  </r>
  <r>
    <s v="DTL00812"/>
    <s v="TRX00328"/>
    <s v="MNU006"/>
    <n v="1"/>
    <n v="20000"/>
    <x v="11"/>
    <n v="20000"/>
    <n v="8000"/>
    <n v="12000"/>
  </r>
  <r>
    <s v="DTL00813"/>
    <s v="TRX00329"/>
    <s v="MNU019"/>
    <n v="1"/>
    <n v="5000"/>
    <x v="2"/>
    <n v="5000"/>
    <n v="2000"/>
    <n v="3000"/>
  </r>
  <r>
    <s v="DTL00814"/>
    <s v="TRX00330"/>
    <s v="MNU006"/>
    <n v="1"/>
    <n v="20000"/>
    <x v="11"/>
    <n v="20000"/>
    <n v="8000"/>
    <n v="12000"/>
  </r>
  <r>
    <s v="DTL00815"/>
    <s v="TRX00330"/>
    <s v="MNU012"/>
    <n v="1"/>
    <n v="26000"/>
    <x v="15"/>
    <n v="26000"/>
    <n v="11500"/>
    <n v="14500"/>
  </r>
  <r>
    <s v="DTL00816"/>
    <s v="TRX00330"/>
    <s v="MNU001"/>
    <n v="1"/>
    <n v="25000"/>
    <x v="23"/>
    <n v="25000"/>
    <n v="9000"/>
    <n v="16000"/>
  </r>
  <r>
    <s v="DTL00817"/>
    <s v="TRX00331"/>
    <s v="MNU024"/>
    <n v="1"/>
    <n v="9000"/>
    <x v="1"/>
    <n v="9000"/>
    <n v="3000"/>
    <n v="6000"/>
  </r>
  <r>
    <s v="DTL00818"/>
    <s v="TRX00331"/>
    <s v="MNU003"/>
    <n v="1"/>
    <n v="27000"/>
    <x v="4"/>
    <n v="27000"/>
    <n v="11000"/>
    <n v="16000"/>
  </r>
  <r>
    <s v="DTL00819"/>
    <s v="TRX00331"/>
    <s v="MNU021"/>
    <n v="1"/>
    <n v="10000"/>
    <x v="16"/>
    <n v="10000"/>
    <n v="3500"/>
    <n v="6500"/>
  </r>
  <r>
    <s v="DTL00820"/>
    <s v="TRX00331"/>
    <s v="MNU011"/>
    <n v="1"/>
    <n v="29000"/>
    <x v="20"/>
    <n v="29000"/>
    <n v="13000"/>
    <n v="16000"/>
  </r>
  <r>
    <s v="DTL00821"/>
    <s v="TRX00331"/>
    <s v="MNU006"/>
    <n v="1"/>
    <n v="20000"/>
    <x v="11"/>
    <n v="20000"/>
    <n v="8000"/>
    <n v="12000"/>
  </r>
  <r>
    <s v="DTL00822"/>
    <s v="TRX00332"/>
    <s v="MNU017"/>
    <n v="1"/>
    <n v="16000"/>
    <x v="9"/>
    <n v="16000"/>
    <n v="5500"/>
    <n v="10500"/>
  </r>
  <r>
    <s v="DTL00823"/>
    <s v="TRX00333"/>
    <s v="MNU003"/>
    <n v="1"/>
    <n v="27000"/>
    <x v="4"/>
    <n v="27000"/>
    <n v="11000"/>
    <n v="16000"/>
  </r>
  <r>
    <s v="DTL00824"/>
    <s v="TRX00333"/>
    <s v="MNU021"/>
    <n v="1"/>
    <n v="10000"/>
    <x v="16"/>
    <n v="10000"/>
    <n v="3500"/>
    <n v="6500"/>
  </r>
  <r>
    <s v="DTL00825"/>
    <s v="TRX00334"/>
    <s v="MNU004"/>
    <n v="1"/>
    <n v="22000"/>
    <x v="14"/>
    <n v="22000"/>
    <n v="9500"/>
    <n v="12500"/>
  </r>
  <r>
    <s v="DTL00826"/>
    <s v="TRX00334"/>
    <s v="MNU006"/>
    <n v="1"/>
    <n v="20000"/>
    <x v="11"/>
    <n v="20000"/>
    <n v="8000"/>
    <n v="12000"/>
  </r>
  <r>
    <s v="DTL00827"/>
    <s v="TRX00335"/>
    <s v="MNU003"/>
    <n v="1"/>
    <n v="27000"/>
    <x v="4"/>
    <n v="27000"/>
    <n v="11000"/>
    <n v="16000"/>
  </r>
  <r>
    <s v="DTL00828"/>
    <s v="TRX00336"/>
    <s v="MNU004"/>
    <n v="1"/>
    <n v="22000"/>
    <x v="14"/>
    <n v="22000"/>
    <n v="9500"/>
    <n v="12500"/>
  </r>
  <r>
    <s v="DTL00829"/>
    <s v="TRX00337"/>
    <s v="MNU003"/>
    <n v="1"/>
    <n v="27000"/>
    <x v="4"/>
    <n v="27000"/>
    <n v="11000"/>
    <n v="16000"/>
  </r>
  <r>
    <s v="DTL00830"/>
    <s v="TRX00337"/>
    <s v="MNU018"/>
    <n v="2"/>
    <n v="12000"/>
    <x v="6"/>
    <n v="24000"/>
    <n v="3000"/>
    <n v="18000"/>
  </r>
  <r>
    <s v="DTL00831"/>
    <s v="TRX00337"/>
    <s v="MNU023"/>
    <n v="1"/>
    <n v="5000"/>
    <x v="13"/>
    <n v="5000"/>
    <n v="1500"/>
    <n v="3500"/>
  </r>
  <r>
    <s v="DTL00832"/>
    <s v="TRX00338"/>
    <s v="MNU003"/>
    <n v="1"/>
    <n v="27000"/>
    <x v="4"/>
    <n v="27000"/>
    <n v="11000"/>
    <n v="16000"/>
  </r>
  <r>
    <s v="DTL00833"/>
    <s v="TRX00338"/>
    <s v="MNU002"/>
    <n v="1"/>
    <n v="23000"/>
    <x v="12"/>
    <n v="23000"/>
    <n v="8500"/>
    <n v="14500"/>
  </r>
  <r>
    <s v="DTL00834"/>
    <s v="TRX00338"/>
    <s v="MNU015"/>
    <n v="1"/>
    <n v="9000"/>
    <x v="10"/>
    <n v="9000"/>
    <n v="2000"/>
    <n v="7000"/>
  </r>
  <r>
    <s v="DTL00835"/>
    <s v="TRX00338"/>
    <s v="MNU009"/>
    <n v="1"/>
    <n v="23000"/>
    <x v="3"/>
    <n v="23000"/>
    <n v="9000"/>
    <n v="14000"/>
  </r>
  <r>
    <s v="DTL00836"/>
    <s v="TRX00339"/>
    <s v="MNU003"/>
    <n v="1"/>
    <n v="27000"/>
    <x v="4"/>
    <n v="27000"/>
    <n v="11000"/>
    <n v="16000"/>
  </r>
  <r>
    <s v="DTL00837"/>
    <s v="TRX00339"/>
    <s v="MNU015"/>
    <n v="1"/>
    <n v="9000"/>
    <x v="10"/>
    <n v="9000"/>
    <n v="2000"/>
    <n v="7000"/>
  </r>
  <r>
    <s v="DTL00838"/>
    <s v="TRX00339"/>
    <s v="MNU016"/>
    <n v="1"/>
    <n v="18000"/>
    <x v="0"/>
    <n v="18000"/>
    <n v="4500"/>
    <n v="13500"/>
  </r>
  <r>
    <s v="DTL00839"/>
    <s v="TRX00340"/>
    <s v="MNU019"/>
    <n v="2"/>
    <n v="5000"/>
    <x v="2"/>
    <n v="10000"/>
    <n v="2000"/>
    <n v="6000"/>
  </r>
  <r>
    <s v="DTL00840"/>
    <s v="TRX00340"/>
    <s v="MNU011"/>
    <n v="1"/>
    <n v="29000"/>
    <x v="20"/>
    <n v="29000"/>
    <n v="13000"/>
    <n v="16000"/>
  </r>
  <r>
    <s v="DTL00841"/>
    <s v="TRX00341"/>
    <s v="MNU019"/>
    <n v="1"/>
    <n v="5000"/>
    <x v="2"/>
    <n v="5000"/>
    <n v="2000"/>
    <n v="3000"/>
  </r>
  <r>
    <s v="DTL00842"/>
    <s v="TRX00341"/>
    <s v="MNU003"/>
    <n v="2"/>
    <n v="27000"/>
    <x v="4"/>
    <n v="54000"/>
    <n v="11000"/>
    <n v="32000"/>
  </r>
  <r>
    <s v="DTL00843"/>
    <s v="TRX00341"/>
    <s v="MNU021"/>
    <n v="1"/>
    <n v="10000"/>
    <x v="16"/>
    <n v="10000"/>
    <n v="3500"/>
    <n v="6500"/>
  </r>
  <r>
    <s v="DTL00844"/>
    <s v="TRX00341"/>
    <s v="MNU012"/>
    <n v="1"/>
    <n v="26000"/>
    <x v="15"/>
    <n v="26000"/>
    <n v="11500"/>
    <n v="14500"/>
  </r>
  <r>
    <s v="DTL00845"/>
    <s v="TRX00342"/>
    <s v="MNU003"/>
    <n v="1"/>
    <n v="27000"/>
    <x v="4"/>
    <n v="27000"/>
    <n v="11000"/>
    <n v="16000"/>
  </r>
  <r>
    <s v="DTL00846"/>
    <s v="TRX00342"/>
    <s v="MNU024"/>
    <n v="1"/>
    <n v="9000"/>
    <x v="1"/>
    <n v="9000"/>
    <n v="3000"/>
    <n v="6000"/>
  </r>
  <r>
    <s v="DTL00847"/>
    <s v="TRX00342"/>
    <s v="MNU018"/>
    <n v="1"/>
    <n v="12000"/>
    <x v="6"/>
    <n v="12000"/>
    <n v="3000"/>
    <n v="9000"/>
  </r>
  <r>
    <s v="DTL00848"/>
    <s v="TRX00342"/>
    <s v="MNU009"/>
    <n v="1"/>
    <n v="23000"/>
    <x v="3"/>
    <n v="23000"/>
    <n v="9000"/>
    <n v="14000"/>
  </r>
  <r>
    <s v="DTL00849"/>
    <s v="TRX00343"/>
    <s v="MNU003"/>
    <n v="1"/>
    <n v="27000"/>
    <x v="4"/>
    <n v="27000"/>
    <n v="11000"/>
    <n v="16000"/>
  </r>
  <r>
    <s v="DTL00850"/>
    <s v="TRX00343"/>
    <s v="MNU024"/>
    <n v="1"/>
    <n v="9000"/>
    <x v="1"/>
    <n v="9000"/>
    <n v="3000"/>
    <n v="6000"/>
  </r>
  <r>
    <s v="DTL00851"/>
    <s v="TRX00343"/>
    <s v="MNU002"/>
    <n v="2"/>
    <n v="23000"/>
    <x v="12"/>
    <n v="46000"/>
    <n v="8500"/>
    <n v="29000"/>
  </r>
  <r>
    <s v="DTL00852"/>
    <s v="TRX00344"/>
    <s v="MNU011"/>
    <n v="1"/>
    <n v="29000"/>
    <x v="20"/>
    <n v="29000"/>
    <n v="13000"/>
    <n v="16000"/>
  </r>
  <r>
    <s v="DTL00853"/>
    <s v="TRX00344"/>
    <s v="MNU021"/>
    <n v="1"/>
    <n v="10000"/>
    <x v="16"/>
    <n v="10000"/>
    <n v="3500"/>
    <n v="6500"/>
  </r>
  <r>
    <s v="DTL00854"/>
    <s v="TRX00345"/>
    <s v="MNU017"/>
    <n v="1"/>
    <n v="16000"/>
    <x v="9"/>
    <n v="16000"/>
    <n v="5500"/>
    <n v="10500"/>
  </r>
  <r>
    <s v="DTL00855"/>
    <s v="TRX00345"/>
    <s v="MNU003"/>
    <n v="2"/>
    <n v="27000"/>
    <x v="4"/>
    <n v="54000"/>
    <n v="11000"/>
    <n v="32000"/>
  </r>
  <r>
    <s v="DTL00856"/>
    <s v="TRX00346"/>
    <s v="MNU003"/>
    <n v="1"/>
    <n v="27000"/>
    <x v="4"/>
    <n v="27000"/>
    <n v="11000"/>
    <n v="16000"/>
  </r>
  <r>
    <s v="DTL00857"/>
    <s v="TRX00346"/>
    <s v="MNU015"/>
    <n v="2"/>
    <n v="9000"/>
    <x v="10"/>
    <n v="18000"/>
    <n v="2000"/>
    <n v="14000"/>
  </r>
  <r>
    <s v="DTL00858"/>
    <s v="TRX00346"/>
    <s v="MNU019"/>
    <n v="1"/>
    <n v="5000"/>
    <x v="2"/>
    <n v="5000"/>
    <n v="2000"/>
    <n v="3000"/>
  </r>
  <r>
    <s v="DTL00859"/>
    <s v="TRX00346"/>
    <s v="MNU007"/>
    <n v="1"/>
    <n v="28000"/>
    <x v="8"/>
    <n v="28000"/>
    <n v="12000"/>
    <n v="16000"/>
  </r>
  <r>
    <s v="DTL00860"/>
    <s v="TRX00346"/>
    <s v="MNU024"/>
    <n v="1"/>
    <n v="9000"/>
    <x v="1"/>
    <n v="9000"/>
    <n v="3000"/>
    <n v="6000"/>
  </r>
  <r>
    <s v="DTL00861"/>
    <s v="TRX00347"/>
    <s v="MNU002"/>
    <n v="1"/>
    <n v="23000"/>
    <x v="12"/>
    <n v="23000"/>
    <n v="8500"/>
    <n v="14500"/>
  </r>
  <r>
    <s v="DTL00862"/>
    <s v="TRX00347"/>
    <s v="MNU006"/>
    <n v="1"/>
    <n v="20000"/>
    <x v="11"/>
    <n v="20000"/>
    <n v="8000"/>
    <n v="12000"/>
  </r>
  <r>
    <s v="DTL00863"/>
    <s v="TRX00348"/>
    <s v="MNU018"/>
    <n v="2"/>
    <n v="12000"/>
    <x v="6"/>
    <n v="24000"/>
    <n v="3000"/>
    <n v="18000"/>
  </r>
  <r>
    <s v="DTL00864"/>
    <s v="TRX00348"/>
    <s v="MNU006"/>
    <n v="2"/>
    <n v="20000"/>
    <x v="11"/>
    <n v="40000"/>
    <n v="8000"/>
    <n v="24000"/>
  </r>
  <r>
    <s v="DTL00865"/>
    <s v="TRX00349"/>
    <s v="MNU003"/>
    <n v="2"/>
    <n v="27000"/>
    <x v="4"/>
    <n v="54000"/>
    <n v="11000"/>
    <n v="32000"/>
  </r>
  <r>
    <s v="DTL00866"/>
    <s v="TRX00350"/>
    <s v="MNU003"/>
    <n v="1"/>
    <n v="27000"/>
    <x v="4"/>
    <n v="27000"/>
    <n v="11000"/>
    <n v="16000"/>
  </r>
  <r>
    <s v="DTL00867"/>
    <s v="TRX00350"/>
    <s v="MNU016"/>
    <n v="1"/>
    <n v="18000"/>
    <x v="0"/>
    <n v="18000"/>
    <n v="4500"/>
    <n v="13500"/>
  </r>
  <r>
    <s v="DTL00868"/>
    <s v="TRX00350"/>
    <s v="MNU012"/>
    <n v="2"/>
    <n v="26000"/>
    <x v="15"/>
    <n v="52000"/>
    <n v="11500"/>
    <n v="29000"/>
  </r>
  <r>
    <s v="DTL00869"/>
    <s v="TRX00350"/>
    <s v="MNU011"/>
    <n v="3"/>
    <n v="29000"/>
    <x v="20"/>
    <n v="87000"/>
    <n v="13000"/>
    <n v="48000"/>
  </r>
  <r>
    <s v="DTL00870"/>
    <s v="TRX00351"/>
    <s v="MNU016"/>
    <n v="1"/>
    <n v="18000"/>
    <x v="0"/>
    <n v="18000"/>
    <n v="4500"/>
    <n v="13500"/>
  </r>
  <r>
    <s v="DTL00871"/>
    <s v="TRX00352"/>
    <s v="MNU015"/>
    <n v="3"/>
    <n v="9000"/>
    <x v="10"/>
    <n v="27000"/>
    <n v="2000"/>
    <n v="21000"/>
  </r>
  <r>
    <s v="DTL00872"/>
    <s v="TRX00353"/>
    <s v="MNU006"/>
    <n v="2"/>
    <n v="20000"/>
    <x v="11"/>
    <n v="40000"/>
    <n v="8000"/>
    <n v="24000"/>
  </r>
  <r>
    <s v="DTL00873"/>
    <s v="TRX00353"/>
    <s v="MNU004"/>
    <n v="1"/>
    <n v="22000"/>
    <x v="14"/>
    <n v="22000"/>
    <n v="9500"/>
    <n v="12500"/>
  </r>
  <r>
    <s v="DTL00874"/>
    <s v="TRX00354"/>
    <s v="MNU012"/>
    <n v="1"/>
    <n v="26000"/>
    <x v="15"/>
    <n v="26000"/>
    <n v="11500"/>
    <n v="14500"/>
  </r>
  <r>
    <s v="DTL00875"/>
    <s v="TRX00354"/>
    <s v="MNU016"/>
    <n v="1"/>
    <n v="18000"/>
    <x v="0"/>
    <n v="18000"/>
    <n v="4500"/>
    <n v="13500"/>
  </r>
  <r>
    <s v="DTL00876"/>
    <s v="TRX00355"/>
    <s v="MNU003"/>
    <n v="1"/>
    <n v="27000"/>
    <x v="4"/>
    <n v="27000"/>
    <n v="11000"/>
    <n v="16000"/>
  </r>
  <r>
    <s v="DTL00877"/>
    <s v="TRX00355"/>
    <s v="MNU011"/>
    <n v="1"/>
    <n v="29000"/>
    <x v="20"/>
    <n v="29000"/>
    <n v="13000"/>
    <n v="16000"/>
  </r>
  <r>
    <s v="DTL00878"/>
    <s v="TRX00356"/>
    <s v="MNU012"/>
    <n v="1"/>
    <n v="26000"/>
    <x v="15"/>
    <n v="26000"/>
    <n v="11500"/>
    <n v="14500"/>
  </r>
  <r>
    <s v="DTL00879"/>
    <s v="TRX00357"/>
    <s v="MNU003"/>
    <n v="2"/>
    <n v="27000"/>
    <x v="4"/>
    <n v="54000"/>
    <n v="11000"/>
    <n v="32000"/>
  </r>
  <r>
    <s v="DTL00880"/>
    <s v="TRX00357"/>
    <s v="MNU011"/>
    <n v="2"/>
    <n v="29000"/>
    <x v="20"/>
    <n v="58000"/>
    <n v="13000"/>
    <n v="32000"/>
  </r>
  <r>
    <s v="DTL00881"/>
    <s v="TRX00357"/>
    <s v="MNU009"/>
    <n v="1"/>
    <n v="23000"/>
    <x v="3"/>
    <n v="23000"/>
    <n v="9000"/>
    <n v="14000"/>
  </r>
  <r>
    <s v="DTL00882"/>
    <s v="TRX00358"/>
    <s v="MNU015"/>
    <n v="1"/>
    <n v="9000"/>
    <x v="10"/>
    <n v="9000"/>
    <n v="2000"/>
    <n v="7000"/>
  </r>
  <r>
    <s v="DTL00883"/>
    <s v="TRX00358"/>
    <s v="MNU003"/>
    <n v="1"/>
    <n v="27000"/>
    <x v="4"/>
    <n v="27000"/>
    <n v="11000"/>
    <n v="16000"/>
  </r>
  <r>
    <s v="DTL00884"/>
    <s v="TRX00359"/>
    <s v="MNU004"/>
    <n v="2"/>
    <n v="22000"/>
    <x v="14"/>
    <n v="44000"/>
    <n v="9500"/>
    <n v="25000"/>
  </r>
  <r>
    <s v="DTL00885"/>
    <s v="TRX00359"/>
    <s v="MNU003"/>
    <n v="1"/>
    <n v="27000"/>
    <x v="4"/>
    <n v="27000"/>
    <n v="11000"/>
    <n v="16000"/>
  </r>
  <r>
    <s v="DTL00886"/>
    <s v="TRX00359"/>
    <s v="MNU009"/>
    <n v="1"/>
    <n v="23000"/>
    <x v="3"/>
    <n v="23000"/>
    <n v="9000"/>
    <n v="14000"/>
  </r>
  <r>
    <s v="DTL00887"/>
    <s v="TRX00359"/>
    <s v="MNU019"/>
    <n v="1"/>
    <n v="5000"/>
    <x v="2"/>
    <n v="5000"/>
    <n v="2000"/>
    <n v="3000"/>
  </r>
  <r>
    <s v="DTL00888"/>
    <s v="TRX00359"/>
    <s v="MNU016"/>
    <n v="1"/>
    <n v="18000"/>
    <x v="0"/>
    <n v="18000"/>
    <n v="4500"/>
    <n v="13500"/>
  </r>
  <r>
    <s v="DTL00889"/>
    <s v="TRX00360"/>
    <s v="MNU019"/>
    <n v="1"/>
    <n v="5000"/>
    <x v="2"/>
    <n v="5000"/>
    <n v="2000"/>
    <n v="3000"/>
  </r>
  <r>
    <s v="DTL00890"/>
    <s v="TRX00360"/>
    <s v="MNU012"/>
    <n v="3"/>
    <n v="26000"/>
    <x v="15"/>
    <n v="78000"/>
    <n v="11500"/>
    <n v="43500"/>
  </r>
  <r>
    <s v="DTL00891"/>
    <s v="TRX00361"/>
    <s v="MNU003"/>
    <n v="2"/>
    <n v="27000"/>
    <x v="4"/>
    <n v="54000"/>
    <n v="11000"/>
    <n v="32000"/>
  </r>
  <r>
    <s v="DTL00892"/>
    <s v="TRX00361"/>
    <s v="MNU023"/>
    <n v="1"/>
    <n v="5000"/>
    <x v="13"/>
    <n v="5000"/>
    <n v="1500"/>
    <n v="3500"/>
  </r>
  <r>
    <s v="DTL00893"/>
    <s v="TRX00361"/>
    <s v="MNU024"/>
    <n v="1"/>
    <n v="9000"/>
    <x v="1"/>
    <n v="9000"/>
    <n v="3000"/>
    <n v="6000"/>
  </r>
  <r>
    <s v="DTL00894"/>
    <s v="TRX00362"/>
    <s v="MNU018"/>
    <n v="1"/>
    <n v="12000"/>
    <x v="6"/>
    <n v="12000"/>
    <n v="3000"/>
    <n v="9000"/>
  </r>
  <r>
    <s v="DTL00895"/>
    <s v="TRX00363"/>
    <s v="MNU003"/>
    <n v="1"/>
    <n v="27000"/>
    <x v="4"/>
    <n v="27000"/>
    <n v="11000"/>
    <n v="16000"/>
  </r>
  <r>
    <s v="DTL00896"/>
    <s v="TRX00363"/>
    <s v="MNU016"/>
    <n v="1"/>
    <n v="18000"/>
    <x v="0"/>
    <n v="18000"/>
    <n v="4500"/>
    <n v="13500"/>
  </r>
  <r>
    <s v="DTL00897"/>
    <s v="TRX00364"/>
    <s v="MNU002"/>
    <n v="1"/>
    <n v="23000"/>
    <x v="12"/>
    <n v="23000"/>
    <n v="8500"/>
    <n v="14500"/>
  </r>
  <r>
    <s v="DTL00898"/>
    <s v="TRX00365"/>
    <s v="MNU016"/>
    <n v="2"/>
    <n v="18000"/>
    <x v="0"/>
    <n v="36000"/>
    <n v="4500"/>
    <n v="27000"/>
  </r>
  <r>
    <s v="DTL00899"/>
    <s v="TRX00365"/>
    <s v="MNU003"/>
    <n v="2"/>
    <n v="27000"/>
    <x v="4"/>
    <n v="54000"/>
    <n v="11000"/>
    <n v="32000"/>
  </r>
  <r>
    <s v="DTL00900"/>
    <s v="TRX00365"/>
    <s v="MNU015"/>
    <n v="2"/>
    <n v="9000"/>
    <x v="10"/>
    <n v="18000"/>
    <n v="2000"/>
    <n v="14000"/>
  </r>
  <r>
    <s v="DTL00901"/>
    <s v="TRX00366"/>
    <s v="MNU003"/>
    <n v="1"/>
    <n v="27000"/>
    <x v="4"/>
    <n v="27000"/>
    <n v="11000"/>
    <n v="16000"/>
  </r>
  <r>
    <s v="DTL00902"/>
    <s v="TRX00366"/>
    <s v="MNU012"/>
    <n v="1"/>
    <n v="26000"/>
    <x v="15"/>
    <n v="26000"/>
    <n v="11500"/>
    <n v="14500"/>
  </r>
  <r>
    <s v="DTL00903"/>
    <s v="TRX00367"/>
    <s v="MNU003"/>
    <n v="1"/>
    <n v="27000"/>
    <x v="4"/>
    <n v="27000"/>
    <n v="11000"/>
    <n v="16000"/>
  </r>
  <r>
    <s v="DTL00904"/>
    <s v="TRX00367"/>
    <s v="MNU010"/>
    <n v="1"/>
    <n v="22000"/>
    <x v="7"/>
    <n v="22000"/>
    <n v="9500"/>
    <n v="12500"/>
  </r>
  <r>
    <s v="DTL00905"/>
    <s v="TRX00367"/>
    <s v="MNU016"/>
    <n v="2"/>
    <n v="18000"/>
    <x v="0"/>
    <n v="36000"/>
    <n v="4500"/>
    <n v="27000"/>
  </r>
  <r>
    <s v="DTL00906"/>
    <s v="TRX00368"/>
    <s v="MNU017"/>
    <n v="3"/>
    <n v="16000"/>
    <x v="9"/>
    <n v="48000"/>
    <n v="5500"/>
    <n v="31500"/>
  </r>
  <r>
    <s v="DTL00907"/>
    <s v="TRX00368"/>
    <s v="MNU003"/>
    <n v="1"/>
    <n v="27000"/>
    <x v="4"/>
    <n v="27000"/>
    <n v="11000"/>
    <n v="16000"/>
  </r>
  <r>
    <s v="DTL00908"/>
    <s v="TRX00368"/>
    <s v="MNU012"/>
    <n v="1"/>
    <n v="26000"/>
    <x v="15"/>
    <n v="26000"/>
    <n v="11500"/>
    <n v="14500"/>
  </r>
  <r>
    <s v="DTL00909"/>
    <s v="TRX00368"/>
    <s v="MNU018"/>
    <n v="1"/>
    <n v="12000"/>
    <x v="6"/>
    <n v="12000"/>
    <n v="3000"/>
    <n v="9000"/>
  </r>
  <r>
    <s v="DTL00910"/>
    <s v="TRX00368"/>
    <s v="MNU011"/>
    <n v="3"/>
    <n v="29000"/>
    <x v="20"/>
    <n v="87000"/>
    <n v="13000"/>
    <n v="48000"/>
  </r>
  <r>
    <s v="DTL00911"/>
    <s v="TRX00369"/>
    <s v="MNU003"/>
    <n v="1"/>
    <n v="27000"/>
    <x v="4"/>
    <n v="27000"/>
    <n v="11000"/>
    <n v="16000"/>
  </r>
  <r>
    <s v="DTL00912"/>
    <s v="TRX00369"/>
    <s v="MNU020"/>
    <n v="1"/>
    <n v="15000"/>
    <x v="19"/>
    <n v="15000"/>
    <n v="6000"/>
    <n v="9000"/>
  </r>
  <r>
    <s v="DTL00913"/>
    <s v="TRX00369"/>
    <s v="MNU009"/>
    <n v="1"/>
    <n v="23000"/>
    <x v="3"/>
    <n v="23000"/>
    <n v="9000"/>
    <n v="14000"/>
  </r>
  <r>
    <s v="DTL00914"/>
    <s v="TRX00370"/>
    <s v="MNU016"/>
    <n v="1"/>
    <n v="18000"/>
    <x v="0"/>
    <n v="18000"/>
    <n v="4500"/>
    <n v="13500"/>
  </r>
  <r>
    <s v="DTL00915"/>
    <s v="TRX00370"/>
    <s v="MNU007"/>
    <n v="1"/>
    <n v="28000"/>
    <x v="8"/>
    <n v="28000"/>
    <n v="12000"/>
    <n v="16000"/>
  </r>
  <r>
    <s v="DTL00916"/>
    <s v="TRX00370"/>
    <s v="MNU003"/>
    <n v="1"/>
    <n v="27000"/>
    <x v="4"/>
    <n v="27000"/>
    <n v="11000"/>
    <n v="16000"/>
  </r>
  <r>
    <s v="DTL00917"/>
    <s v="TRX00371"/>
    <s v="MNU023"/>
    <n v="2"/>
    <n v="5000"/>
    <x v="13"/>
    <n v="10000"/>
    <n v="1500"/>
    <n v="7000"/>
  </r>
  <r>
    <s v="DTL00918"/>
    <s v="TRX00371"/>
    <s v="MNU024"/>
    <n v="1"/>
    <n v="9000"/>
    <x v="1"/>
    <n v="9000"/>
    <n v="3000"/>
    <n v="6000"/>
  </r>
  <r>
    <s v="DTL00919"/>
    <s v="TRX00372"/>
    <s v="MNU003"/>
    <n v="1"/>
    <n v="27000"/>
    <x v="4"/>
    <n v="27000"/>
    <n v="11000"/>
    <n v="16000"/>
  </r>
  <r>
    <s v="DTL00920"/>
    <s v="TRX00372"/>
    <s v="MNU010"/>
    <n v="1"/>
    <n v="22000"/>
    <x v="7"/>
    <n v="22000"/>
    <n v="9500"/>
    <n v="12500"/>
  </r>
  <r>
    <s v="DTL00921"/>
    <s v="TRX00373"/>
    <s v="MNU003"/>
    <n v="1"/>
    <n v="27000"/>
    <x v="4"/>
    <n v="27000"/>
    <n v="11000"/>
    <n v="16000"/>
  </r>
  <r>
    <s v="DTL00922"/>
    <s v="TRX00373"/>
    <s v="MNU002"/>
    <n v="2"/>
    <n v="23000"/>
    <x v="12"/>
    <n v="46000"/>
    <n v="8500"/>
    <n v="29000"/>
  </r>
  <r>
    <s v="DTL00923"/>
    <s v="TRX00373"/>
    <s v="MNU024"/>
    <n v="1"/>
    <n v="9000"/>
    <x v="1"/>
    <n v="9000"/>
    <n v="3000"/>
    <n v="6000"/>
  </r>
  <r>
    <s v="DTL00924"/>
    <s v="TRX00374"/>
    <s v="MNU003"/>
    <n v="2"/>
    <n v="27000"/>
    <x v="4"/>
    <n v="54000"/>
    <n v="11000"/>
    <n v="32000"/>
  </r>
  <r>
    <s v="DTL00925"/>
    <s v="TRX00374"/>
    <s v="MNU012"/>
    <n v="2"/>
    <n v="26000"/>
    <x v="15"/>
    <n v="52000"/>
    <n v="11500"/>
    <n v="29000"/>
  </r>
  <r>
    <s v="DTL00926"/>
    <s v="TRX00374"/>
    <s v="MNU004"/>
    <n v="2"/>
    <n v="22000"/>
    <x v="14"/>
    <n v="44000"/>
    <n v="9500"/>
    <n v="25000"/>
  </r>
  <r>
    <s v="DTL00927"/>
    <s v="TRX00375"/>
    <s v="MNU023"/>
    <n v="1"/>
    <n v="5000"/>
    <x v="13"/>
    <n v="5000"/>
    <n v="1500"/>
    <n v="3500"/>
  </r>
  <r>
    <s v="DTL00928"/>
    <s v="TRX00375"/>
    <s v="MNU002"/>
    <n v="1"/>
    <n v="23000"/>
    <x v="12"/>
    <n v="23000"/>
    <n v="8500"/>
    <n v="14500"/>
  </r>
  <r>
    <s v="DTL00929"/>
    <s v="TRX00376"/>
    <s v="MNU003"/>
    <n v="2"/>
    <n v="27000"/>
    <x v="4"/>
    <n v="54000"/>
    <n v="11000"/>
    <n v="32000"/>
  </r>
  <r>
    <s v="DTL00930"/>
    <s v="TRX00376"/>
    <s v="MNU024"/>
    <n v="1"/>
    <n v="9000"/>
    <x v="1"/>
    <n v="9000"/>
    <n v="3000"/>
    <n v="6000"/>
  </r>
  <r>
    <s v="DTL00931"/>
    <s v="TRX00376"/>
    <s v="MNU013"/>
    <n v="2"/>
    <n v="6000"/>
    <x v="22"/>
    <n v="12000"/>
    <n v="1500"/>
    <n v="9000"/>
  </r>
  <r>
    <s v="DTL00932"/>
    <s v="TRX00376"/>
    <s v="MNU011"/>
    <n v="1"/>
    <n v="29000"/>
    <x v="20"/>
    <n v="29000"/>
    <n v="13000"/>
    <n v="16000"/>
  </r>
  <r>
    <s v="DTL00933"/>
    <s v="TRX00377"/>
    <s v="MNU019"/>
    <n v="3"/>
    <n v="5000"/>
    <x v="2"/>
    <n v="15000"/>
    <n v="2000"/>
    <n v="9000"/>
  </r>
  <r>
    <s v="DTL00934"/>
    <s v="TRX00377"/>
    <s v="MNU018"/>
    <n v="1"/>
    <n v="12000"/>
    <x v="6"/>
    <n v="12000"/>
    <n v="3000"/>
    <n v="9000"/>
  </r>
  <r>
    <s v="DTL00935"/>
    <s v="TRX00377"/>
    <s v="MNU014"/>
    <n v="1"/>
    <n v="8000"/>
    <x v="5"/>
    <n v="8000"/>
    <n v="2500"/>
    <n v="5500"/>
  </r>
  <r>
    <s v="DTL00936"/>
    <s v="TRX00378"/>
    <s v="MNU016"/>
    <n v="1"/>
    <n v="18000"/>
    <x v="0"/>
    <n v="18000"/>
    <n v="4500"/>
    <n v="13500"/>
  </r>
  <r>
    <s v="DTL00937"/>
    <s v="TRX00379"/>
    <s v="MNU003"/>
    <n v="1"/>
    <n v="27000"/>
    <x v="4"/>
    <n v="27000"/>
    <n v="11000"/>
    <n v="16000"/>
  </r>
  <r>
    <s v="DTL00938"/>
    <s v="TRX00379"/>
    <s v="MNU016"/>
    <n v="1"/>
    <n v="18000"/>
    <x v="0"/>
    <n v="18000"/>
    <n v="4500"/>
    <n v="13500"/>
  </r>
  <r>
    <s v="DTL00939"/>
    <s v="TRX00379"/>
    <s v="MNU012"/>
    <n v="1"/>
    <n v="26000"/>
    <x v="15"/>
    <n v="26000"/>
    <n v="11500"/>
    <n v="14500"/>
  </r>
  <r>
    <s v="DTL00940"/>
    <s v="TRX00380"/>
    <s v="MNU003"/>
    <n v="1"/>
    <n v="27000"/>
    <x v="4"/>
    <n v="27000"/>
    <n v="11000"/>
    <n v="16000"/>
  </r>
  <r>
    <s v="DTL00941"/>
    <s v="TRX00380"/>
    <s v="MNU014"/>
    <n v="1"/>
    <n v="8000"/>
    <x v="5"/>
    <n v="8000"/>
    <n v="2500"/>
    <n v="5500"/>
  </r>
  <r>
    <s v="DTL00942"/>
    <s v="TRX00380"/>
    <s v="MNU011"/>
    <n v="1"/>
    <n v="29000"/>
    <x v="20"/>
    <n v="29000"/>
    <n v="13000"/>
    <n v="16000"/>
  </r>
  <r>
    <s v="DTL00943"/>
    <s v="TRX00381"/>
    <s v="MNU021"/>
    <n v="3"/>
    <n v="10000"/>
    <x v="16"/>
    <n v="30000"/>
    <n v="3500"/>
    <n v="19500"/>
  </r>
  <r>
    <s v="DTL00944"/>
    <s v="TRX00382"/>
    <s v="MNU012"/>
    <n v="1"/>
    <n v="26000"/>
    <x v="15"/>
    <n v="26000"/>
    <n v="11500"/>
    <n v="14500"/>
  </r>
  <r>
    <s v="DTL00945"/>
    <s v="TRX00382"/>
    <s v="MNU003"/>
    <n v="1"/>
    <n v="27000"/>
    <x v="4"/>
    <n v="27000"/>
    <n v="11000"/>
    <n v="16000"/>
  </r>
  <r>
    <s v="DTL00946"/>
    <s v="TRX00382"/>
    <s v="MNU024"/>
    <n v="1"/>
    <n v="9000"/>
    <x v="1"/>
    <n v="9000"/>
    <n v="3000"/>
    <n v="6000"/>
  </r>
  <r>
    <s v="DTL00947"/>
    <s v="TRX00382"/>
    <s v="MNU011"/>
    <n v="2"/>
    <n v="29000"/>
    <x v="20"/>
    <n v="58000"/>
    <n v="13000"/>
    <n v="32000"/>
  </r>
  <r>
    <s v="DTL00948"/>
    <s v="TRX00383"/>
    <s v="MNU003"/>
    <n v="1"/>
    <n v="27000"/>
    <x v="4"/>
    <n v="27000"/>
    <n v="11000"/>
    <n v="16000"/>
  </r>
  <r>
    <s v="DTL00949"/>
    <s v="TRX00384"/>
    <s v="MNU003"/>
    <n v="1"/>
    <n v="27000"/>
    <x v="4"/>
    <n v="27000"/>
    <n v="11000"/>
    <n v="16000"/>
  </r>
  <r>
    <s v="DTL00950"/>
    <s v="TRX00385"/>
    <s v="MNU002"/>
    <n v="2"/>
    <n v="23000"/>
    <x v="12"/>
    <n v="46000"/>
    <n v="8500"/>
    <n v="29000"/>
  </r>
  <r>
    <s v="DTL00951"/>
    <s v="TRX00386"/>
    <s v="MNU016"/>
    <n v="1"/>
    <n v="18000"/>
    <x v="0"/>
    <n v="18000"/>
    <n v="4500"/>
    <n v="13500"/>
  </r>
  <r>
    <s v="DTL00952"/>
    <s v="TRX00386"/>
    <s v="MNU019"/>
    <n v="1"/>
    <n v="5000"/>
    <x v="2"/>
    <n v="5000"/>
    <n v="2000"/>
    <n v="3000"/>
  </r>
  <r>
    <s v="DTL00953"/>
    <s v="TRX00386"/>
    <s v="MNU024"/>
    <n v="1"/>
    <n v="9000"/>
    <x v="1"/>
    <n v="9000"/>
    <n v="3000"/>
    <n v="6000"/>
  </r>
  <r>
    <s v="DTL00954"/>
    <s v="TRX00387"/>
    <s v="MNU003"/>
    <n v="2"/>
    <n v="27000"/>
    <x v="4"/>
    <n v="54000"/>
    <n v="11000"/>
    <n v="32000"/>
  </r>
  <r>
    <s v="DTL00955"/>
    <s v="TRX00387"/>
    <s v="MNU006"/>
    <n v="1"/>
    <n v="20000"/>
    <x v="11"/>
    <n v="20000"/>
    <n v="8000"/>
    <n v="12000"/>
  </r>
  <r>
    <s v="DTL00956"/>
    <s v="TRX00387"/>
    <s v="MNU016"/>
    <n v="1"/>
    <n v="18000"/>
    <x v="0"/>
    <n v="18000"/>
    <n v="4500"/>
    <n v="13500"/>
  </r>
  <r>
    <s v="DTL00957"/>
    <s v="TRX00387"/>
    <s v="MNU020"/>
    <n v="1"/>
    <n v="15000"/>
    <x v="19"/>
    <n v="15000"/>
    <n v="6000"/>
    <n v="9000"/>
  </r>
  <r>
    <s v="DTL00958"/>
    <s v="TRX00388"/>
    <s v="MNU003"/>
    <n v="2"/>
    <n v="27000"/>
    <x v="4"/>
    <n v="54000"/>
    <n v="11000"/>
    <n v="32000"/>
  </r>
  <r>
    <s v="DTL00959"/>
    <s v="TRX00388"/>
    <s v="MNU004"/>
    <n v="1"/>
    <n v="22000"/>
    <x v="14"/>
    <n v="22000"/>
    <n v="9500"/>
    <n v="12500"/>
  </r>
  <r>
    <s v="DTL00960"/>
    <s v="TRX00388"/>
    <s v="MNU017"/>
    <n v="1"/>
    <n v="16000"/>
    <x v="9"/>
    <n v="16000"/>
    <n v="5500"/>
    <n v="10500"/>
  </r>
  <r>
    <s v="DTL00961"/>
    <s v="TRX00388"/>
    <s v="MNU019"/>
    <n v="1"/>
    <n v="5000"/>
    <x v="2"/>
    <n v="5000"/>
    <n v="2000"/>
    <n v="3000"/>
  </r>
  <r>
    <s v="DTL00962"/>
    <s v="TRX00389"/>
    <s v="MNU024"/>
    <n v="1"/>
    <n v="9000"/>
    <x v="1"/>
    <n v="9000"/>
    <n v="3000"/>
    <n v="6000"/>
  </r>
  <r>
    <s v="DTL00963"/>
    <s v="TRX00389"/>
    <s v="MNU012"/>
    <n v="1"/>
    <n v="26000"/>
    <x v="15"/>
    <n v="26000"/>
    <n v="11500"/>
    <n v="14500"/>
  </r>
  <r>
    <s v="DTL00964"/>
    <s v="TRX00390"/>
    <s v="MNU023"/>
    <n v="1"/>
    <n v="5000"/>
    <x v="13"/>
    <n v="5000"/>
    <n v="1500"/>
    <n v="3500"/>
  </r>
  <r>
    <s v="DTL00965"/>
    <s v="TRX00390"/>
    <s v="MNU003"/>
    <n v="1"/>
    <n v="27000"/>
    <x v="4"/>
    <n v="27000"/>
    <n v="11000"/>
    <n v="16000"/>
  </r>
  <r>
    <s v="DTL00966"/>
    <s v="TRX00390"/>
    <s v="MNU022"/>
    <n v="1"/>
    <n v="13000"/>
    <x v="17"/>
    <n v="13000"/>
    <n v="4000"/>
    <n v="9000"/>
  </r>
  <r>
    <s v="DTL00967"/>
    <s v="TRX00391"/>
    <s v="MNU003"/>
    <n v="2"/>
    <n v="27000"/>
    <x v="4"/>
    <n v="54000"/>
    <n v="11000"/>
    <n v="32000"/>
  </r>
  <r>
    <s v="DTL00968"/>
    <s v="TRX00391"/>
    <s v="MNU023"/>
    <n v="1"/>
    <n v="5000"/>
    <x v="13"/>
    <n v="5000"/>
    <n v="1500"/>
    <n v="3500"/>
  </r>
  <r>
    <s v="DTL00969"/>
    <s v="TRX00392"/>
    <s v="MNU003"/>
    <n v="1"/>
    <n v="27000"/>
    <x v="4"/>
    <n v="27000"/>
    <n v="11000"/>
    <n v="16000"/>
  </r>
  <r>
    <s v="DTL00970"/>
    <s v="TRX00393"/>
    <s v="MNU002"/>
    <n v="1"/>
    <n v="23000"/>
    <x v="12"/>
    <n v="23000"/>
    <n v="8500"/>
    <n v="14500"/>
  </r>
  <r>
    <s v="DTL00971"/>
    <s v="TRX00393"/>
    <s v="MNU003"/>
    <n v="1"/>
    <n v="27000"/>
    <x v="4"/>
    <n v="27000"/>
    <n v="11000"/>
    <n v="16000"/>
  </r>
  <r>
    <s v="DTL00972"/>
    <s v="TRX00393"/>
    <s v="MNU016"/>
    <n v="1"/>
    <n v="18000"/>
    <x v="0"/>
    <n v="18000"/>
    <n v="4500"/>
    <n v="13500"/>
  </r>
  <r>
    <s v="DTL00973"/>
    <s v="TRX00393"/>
    <s v="MNU006"/>
    <n v="2"/>
    <n v="20000"/>
    <x v="11"/>
    <n v="40000"/>
    <n v="8000"/>
    <n v="24000"/>
  </r>
  <r>
    <s v="DTL00974"/>
    <s v="TRX00394"/>
    <s v="MNU005"/>
    <n v="1"/>
    <n v="32000"/>
    <x v="18"/>
    <n v="32000"/>
    <n v="14000"/>
    <n v="18000"/>
  </r>
  <r>
    <s v="DTL00975"/>
    <s v="TRX00394"/>
    <s v="MNU016"/>
    <n v="1"/>
    <n v="18000"/>
    <x v="0"/>
    <n v="18000"/>
    <n v="4500"/>
    <n v="13500"/>
  </r>
  <r>
    <s v="DTL00976"/>
    <s v="TRX00395"/>
    <s v="MNU005"/>
    <n v="1"/>
    <n v="32000"/>
    <x v="18"/>
    <n v="32000"/>
    <n v="14000"/>
    <n v="18000"/>
  </r>
  <r>
    <s v="DTL00977"/>
    <s v="TRX00395"/>
    <s v="MNU003"/>
    <n v="3"/>
    <n v="27000"/>
    <x v="4"/>
    <n v="81000"/>
    <n v="11000"/>
    <n v="48000"/>
  </r>
  <r>
    <s v="DTL00978"/>
    <s v="TRX00395"/>
    <s v="MNU020"/>
    <n v="1"/>
    <n v="15000"/>
    <x v="19"/>
    <n v="15000"/>
    <n v="6000"/>
    <n v="9000"/>
  </r>
  <r>
    <s v="DTL00979"/>
    <s v="TRX00395"/>
    <s v="MNU024"/>
    <n v="1"/>
    <n v="9000"/>
    <x v="1"/>
    <n v="9000"/>
    <n v="3000"/>
    <n v="6000"/>
  </r>
  <r>
    <s v="DTL00980"/>
    <s v="TRX00396"/>
    <s v="MNU016"/>
    <n v="1"/>
    <n v="18000"/>
    <x v="0"/>
    <n v="18000"/>
    <n v="4500"/>
    <n v="13500"/>
  </r>
  <r>
    <s v="DTL00981"/>
    <s v="TRX00396"/>
    <s v="MNU006"/>
    <n v="3"/>
    <n v="20000"/>
    <x v="11"/>
    <n v="60000"/>
    <n v="8000"/>
    <n v="36000"/>
  </r>
  <r>
    <s v="DTL00982"/>
    <s v="TRX00396"/>
    <s v="MNU004"/>
    <n v="1"/>
    <n v="22000"/>
    <x v="14"/>
    <n v="22000"/>
    <n v="9500"/>
    <n v="12500"/>
  </r>
  <r>
    <s v="DTL00983"/>
    <s v="TRX00396"/>
    <s v="MNU024"/>
    <n v="1"/>
    <n v="9000"/>
    <x v="1"/>
    <n v="9000"/>
    <n v="3000"/>
    <n v="6000"/>
  </r>
  <r>
    <s v="DTL00984"/>
    <s v="TRX00396"/>
    <s v="MNU012"/>
    <n v="1"/>
    <n v="26000"/>
    <x v="15"/>
    <n v="26000"/>
    <n v="11500"/>
    <n v="14500"/>
  </r>
  <r>
    <s v="DTL00985"/>
    <s v="TRX00397"/>
    <s v="MNU020"/>
    <n v="1"/>
    <n v="15000"/>
    <x v="19"/>
    <n v="15000"/>
    <n v="6000"/>
    <n v="9000"/>
  </r>
  <r>
    <s v="DTL00986"/>
    <s v="TRX00397"/>
    <s v="MNU003"/>
    <n v="3"/>
    <n v="27000"/>
    <x v="4"/>
    <n v="81000"/>
    <n v="11000"/>
    <n v="48000"/>
  </r>
  <r>
    <s v="DTL00987"/>
    <s v="TRX00397"/>
    <s v="MNU009"/>
    <n v="2"/>
    <n v="23000"/>
    <x v="3"/>
    <n v="46000"/>
    <n v="9000"/>
    <n v="28000"/>
  </r>
  <r>
    <s v="DTL00988"/>
    <s v="TRX00397"/>
    <s v="MNU007"/>
    <n v="1"/>
    <n v="28000"/>
    <x v="8"/>
    <n v="28000"/>
    <n v="12000"/>
    <n v="16000"/>
  </r>
  <r>
    <s v="DTL00989"/>
    <s v="TRX00397"/>
    <s v="MNU006"/>
    <n v="1"/>
    <n v="20000"/>
    <x v="11"/>
    <n v="20000"/>
    <n v="8000"/>
    <n v="12000"/>
  </r>
  <r>
    <s v="DTL00990"/>
    <s v="TRX00398"/>
    <s v="MNU009"/>
    <n v="2"/>
    <n v="23000"/>
    <x v="3"/>
    <n v="46000"/>
    <n v="9000"/>
    <n v="28000"/>
  </r>
  <r>
    <s v="DTL00991"/>
    <s v="TRX00398"/>
    <s v="MNU003"/>
    <n v="2"/>
    <n v="27000"/>
    <x v="4"/>
    <n v="54000"/>
    <n v="11000"/>
    <n v="32000"/>
  </r>
  <r>
    <s v="DTL00992"/>
    <s v="TRX00398"/>
    <s v="MNU016"/>
    <n v="1"/>
    <n v="18000"/>
    <x v="0"/>
    <n v="18000"/>
    <n v="4500"/>
    <n v="13500"/>
  </r>
  <r>
    <s v="DTL00993"/>
    <s v="TRX00398"/>
    <s v="MNU007"/>
    <n v="1"/>
    <n v="28000"/>
    <x v="8"/>
    <n v="28000"/>
    <n v="12000"/>
    <n v="16000"/>
  </r>
  <r>
    <s v="DTL00994"/>
    <s v="TRX00399"/>
    <s v="MNU003"/>
    <n v="1"/>
    <n v="27000"/>
    <x v="4"/>
    <n v="27000"/>
    <n v="11000"/>
    <n v="16000"/>
  </r>
  <r>
    <s v="DTL00995"/>
    <s v="TRX00400"/>
    <s v="MNU016"/>
    <n v="2"/>
    <n v="18000"/>
    <x v="0"/>
    <n v="36000"/>
    <n v="4500"/>
    <n v="27000"/>
  </r>
  <r>
    <s v="DTL00996"/>
    <s v="TRX00400"/>
    <s v="MNU017"/>
    <n v="1"/>
    <n v="16000"/>
    <x v="9"/>
    <n v="16000"/>
    <n v="5500"/>
    <n v="10500"/>
  </r>
  <r>
    <s v="DTL00997"/>
    <s v="TRX00400"/>
    <s v="MNU007"/>
    <n v="2"/>
    <n v="28000"/>
    <x v="8"/>
    <n v="56000"/>
    <n v="12000"/>
    <n v="32000"/>
  </r>
  <r>
    <s v="DTL00998"/>
    <s v="TRX00401"/>
    <s v="MNU016"/>
    <n v="1"/>
    <n v="18000"/>
    <x v="0"/>
    <n v="18000"/>
    <n v="4500"/>
    <n v="13500"/>
  </r>
  <r>
    <s v="DTL00999"/>
    <s v="TRX00401"/>
    <s v="MNU014"/>
    <n v="3"/>
    <n v="8000"/>
    <x v="5"/>
    <n v="24000"/>
    <n v="2500"/>
    <n v="16500"/>
  </r>
  <r>
    <s v="DTL01000"/>
    <s v="TRX00402"/>
    <s v="MNU003"/>
    <n v="2"/>
    <n v="27000"/>
    <x v="4"/>
    <n v="54000"/>
    <n v="11000"/>
    <n v="32000"/>
  </r>
  <r>
    <s v="DTL01001"/>
    <s v="TRX00403"/>
    <s v="MNU006"/>
    <n v="1"/>
    <n v="20000"/>
    <x v="11"/>
    <n v="20000"/>
    <n v="8000"/>
    <n v="12000"/>
  </r>
  <r>
    <s v="DTL01002"/>
    <s v="TRX00403"/>
    <s v="MNU012"/>
    <n v="1"/>
    <n v="26000"/>
    <x v="15"/>
    <n v="26000"/>
    <n v="11500"/>
    <n v="14500"/>
  </r>
  <r>
    <s v="DTL01003"/>
    <s v="TRX00404"/>
    <s v="MNU009"/>
    <n v="1"/>
    <n v="23000"/>
    <x v="3"/>
    <n v="23000"/>
    <n v="9000"/>
    <n v="14000"/>
  </r>
  <r>
    <s v="DTL01004"/>
    <s v="TRX00404"/>
    <s v="MNU003"/>
    <n v="2"/>
    <n v="27000"/>
    <x v="4"/>
    <n v="54000"/>
    <n v="11000"/>
    <n v="32000"/>
  </r>
  <r>
    <s v="DTL01005"/>
    <s v="TRX00404"/>
    <s v="MNU002"/>
    <n v="1"/>
    <n v="23000"/>
    <x v="12"/>
    <n v="23000"/>
    <n v="8500"/>
    <n v="14500"/>
  </r>
  <r>
    <s v="DTL01006"/>
    <s v="TRX00404"/>
    <s v="MNU020"/>
    <n v="2"/>
    <n v="15000"/>
    <x v="19"/>
    <n v="30000"/>
    <n v="6000"/>
    <n v="18000"/>
  </r>
  <r>
    <s v="DTL01007"/>
    <s v="TRX00405"/>
    <s v="MNU003"/>
    <n v="2"/>
    <n v="27000"/>
    <x v="4"/>
    <n v="54000"/>
    <n v="11000"/>
    <n v="32000"/>
  </r>
  <r>
    <s v="DTL01008"/>
    <s v="TRX00405"/>
    <s v="MNU019"/>
    <n v="3"/>
    <n v="5000"/>
    <x v="2"/>
    <n v="15000"/>
    <n v="2000"/>
    <n v="9000"/>
  </r>
  <r>
    <s v="DTL01009"/>
    <s v="TRX00406"/>
    <s v="MNU003"/>
    <n v="1"/>
    <n v="27000"/>
    <x v="4"/>
    <n v="27000"/>
    <n v="11000"/>
    <n v="16000"/>
  </r>
  <r>
    <s v="DTL01010"/>
    <s v="TRX00406"/>
    <s v="MNU009"/>
    <n v="2"/>
    <n v="23000"/>
    <x v="3"/>
    <n v="46000"/>
    <n v="9000"/>
    <n v="28000"/>
  </r>
  <r>
    <s v="DTL01011"/>
    <s v="TRX00406"/>
    <s v="MNU016"/>
    <n v="1"/>
    <n v="18000"/>
    <x v="0"/>
    <n v="18000"/>
    <n v="4500"/>
    <n v="13500"/>
  </r>
  <r>
    <s v="DTL01012"/>
    <s v="TRX00406"/>
    <s v="MNU010"/>
    <n v="1"/>
    <n v="22000"/>
    <x v="7"/>
    <n v="22000"/>
    <n v="9500"/>
    <n v="12500"/>
  </r>
  <r>
    <s v="DTL01013"/>
    <s v="TRX00407"/>
    <s v="MNU023"/>
    <n v="1"/>
    <n v="5000"/>
    <x v="13"/>
    <n v="5000"/>
    <n v="1500"/>
    <n v="3500"/>
  </r>
  <r>
    <s v="DTL01014"/>
    <s v="TRX00407"/>
    <s v="MNU003"/>
    <n v="2"/>
    <n v="27000"/>
    <x v="4"/>
    <n v="54000"/>
    <n v="11000"/>
    <n v="32000"/>
  </r>
  <r>
    <s v="DTL01015"/>
    <s v="TRX00408"/>
    <s v="MNU009"/>
    <n v="1"/>
    <n v="23000"/>
    <x v="3"/>
    <n v="23000"/>
    <n v="9000"/>
    <n v="14000"/>
  </r>
  <r>
    <s v="DTL01016"/>
    <s v="TRX00408"/>
    <s v="MNU016"/>
    <n v="1"/>
    <n v="18000"/>
    <x v="0"/>
    <n v="18000"/>
    <n v="4500"/>
    <n v="13500"/>
  </r>
  <r>
    <s v="DTL01017"/>
    <s v="TRX00408"/>
    <s v="MNU003"/>
    <n v="2"/>
    <n v="27000"/>
    <x v="4"/>
    <n v="54000"/>
    <n v="11000"/>
    <n v="32000"/>
  </r>
  <r>
    <s v="DTL01018"/>
    <s v="TRX00409"/>
    <s v="MNU020"/>
    <n v="1"/>
    <n v="15000"/>
    <x v="19"/>
    <n v="15000"/>
    <n v="6000"/>
    <n v="9000"/>
  </r>
  <r>
    <s v="DTL01019"/>
    <s v="TRX00409"/>
    <s v="MNU019"/>
    <n v="1"/>
    <n v="5000"/>
    <x v="2"/>
    <n v="5000"/>
    <n v="2000"/>
    <n v="3000"/>
  </r>
  <r>
    <s v="DTL01020"/>
    <s v="TRX00409"/>
    <s v="MNU017"/>
    <n v="1"/>
    <n v="16000"/>
    <x v="9"/>
    <n v="16000"/>
    <n v="5500"/>
    <n v="10500"/>
  </r>
  <r>
    <s v="DTL01021"/>
    <s v="TRX00409"/>
    <s v="MNU002"/>
    <n v="1"/>
    <n v="23000"/>
    <x v="12"/>
    <n v="23000"/>
    <n v="8500"/>
    <n v="14500"/>
  </r>
  <r>
    <s v="DTL01022"/>
    <s v="TRX00410"/>
    <s v="MNU003"/>
    <n v="1"/>
    <n v="27000"/>
    <x v="4"/>
    <n v="27000"/>
    <n v="11000"/>
    <n v="16000"/>
  </r>
  <r>
    <s v="DTL01023"/>
    <s v="TRX00410"/>
    <s v="MNU019"/>
    <n v="2"/>
    <n v="5000"/>
    <x v="2"/>
    <n v="10000"/>
    <n v="2000"/>
    <n v="6000"/>
  </r>
  <r>
    <s v="DTL01024"/>
    <s v="TRX00410"/>
    <s v="MNU020"/>
    <n v="1"/>
    <n v="15000"/>
    <x v="19"/>
    <n v="15000"/>
    <n v="6000"/>
    <n v="9000"/>
  </r>
  <r>
    <s v="DTL01025"/>
    <s v="TRX00411"/>
    <s v="MNU018"/>
    <n v="1"/>
    <n v="12000"/>
    <x v="6"/>
    <n v="12000"/>
    <n v="3000"/>
    <n v="9000"/>
  </r>
  <r>
    <s v="DTL01026"/>
    <s v="TRX00411"/>
    <s v="MNU003"/>
    <n v="3"/>
    <n v="27000"/>
    <x v="4"/>
    <n v="81000"/>
    <n v="11000"/>
    <n v="48000"/>
  </r>
  <r>
    <s v="DTL01027"/>
    <s v="TRX00412"/>
    <s v="MNU019"/>
    <n v="2"/>
    <n v="5000"/>
    <x v="2"/>
    <n v="10000"/>
    <n v="2000"/>
    <n v="6000"/>
  </r>
  <r>
    <s v="DTL01028"/>
    <s v="TRX00413"/>
    <s v="MNU009"/>
    <n v="1"/>
    <n v="23000"/>
    <x v="3"/>
    <n v="23000"/>
    <n v="9000"/>
    <n v="14000"/>
  </r>
  <r>
    <s v="DTL01029"/>
    <s v="TRX00413"/>
    <s v="MNU003"/>
    <n v="1"/>
    <n v="27000"/>
    <x v="4"/>
    <n v="27000"/>
    <n v="11000"/>
    <n v="16000"/>
  </r>
  <r>
    <s v="DTL01030"/>
    <s v="TRX00414"/>
    <s v="MNU004"/>
    <n v="1"/>
    <n v="22000"/>
    <x v="14"/>
    <n v="22000"/>
    <n v="9500"/>
    <n v="12500"/>
  </r>
  <r>
    <s v="DTL01031"/>
    <s v="TRX00414"/>
    <s v="MNU012"/>
    <n v="2"/>
    <n v="26000"/>
    <x v="15"/>
    <n v="52000"/>
    <n v="11500"/>
    <n v="29000"/>
  </r>
  <r>
    <s v="DTL01032"/>
    <s v="TRX00414"/>
    <s v="MNU009"/>
    <n v="2"/>
    <n v="23000"/>
    <x v="3"/>
    <n v="46000"/>
    <n v="9000"/>
    <n v="28000"/>
  </r>
  <r>
    <s v="DTL01033"/>
    <s v="TRX00415"/>
    <s v="MNU016"/>
    <n v="1"/>
    <n v="18000"/>
    <x v="0"/>
    <n v="18000"/>
    <n v="4500"/>
    <n v="13500"/>
  </r>
  <r>
    <s v="DTL01034"/>
    <s v="TRX00415"/>
    <s v="MNU018"/>
    <n v="2"/>
    <n v="12000"/>
    <x v="6"/>
    <n v="24000"/>
    <n v="3000"/>
    <n v="18000"/>
  </r>
  <r>
    <s v="DTL01035"/>
    <s v="TRX00415"/>
    <s v="MNU012"/>
    <n v="1"/>
    <n v="26000"/>
    <x v="15"/>
    <n v="26000"/>
    <n v="11500"/>
    <n v="14500"/>
  </r>
  <r>
    <s v="DTL01036"/>
    <s v="TRX00416"/>
    <s v="MNU003"/>
    <n v="1"/>
    <n v="27000"/>
    <x v="4"/>
    <n v="27000"/>
    <n v="11000"/>
    <n v="16000"/>
  </r>
  <r>
    <s v="DTL01037"/>
    <s v="TRX00417"/>
    <s v="MNU024"/>
    <n v="2"/>
    <n v="9000"/>
    <x v="1"/>
    <n v="18000"/>
    <n v="3000"/>
    <n v="12000"/>
  </r>
  <r>
    <s v="DTL01038"/>
    <s v="TRX00417"/>
    <s v="MNU003"/>
    <n v="1"/>
    <n v="27000"/>
    <x v="4"/>
    <n v="27000"/>
    <n v="11000"/>
    <n v="16000"/>
  </r>
  <r>
    <s v="DTL01039"/>
    <s v="TRX00417"/>
    <s v="MNU017"/>
    <n v="1"/>
    <n v="16000"/>
    <x v="9"/>
    <n v="16000"/>
    <n v="5500"/>
    <n v="10500"/>
  </r>
  <r>
    <s v="DTL01040"/>
    <s v="TRX00418"/>
    <s v="MNU024"/>
    <n v="1"/>
    <n v="9000"/>
    <x v="1"/>
    <n v="9000"/>
    <n v="3000"/>
    <n v="6000"/>
  </r>
  <r>
    <s v="DTL01041"/>
    <s v="TRX00419"/>
    <s v="MNU016"/>
    <n v="1"/>
    <n v="18000"/>
    <x v="0"/>
    <n v="18000"/>
    <n v="4500"/>
    <n v="13500"/>
  </r>
  <r>
    <s v="DTL01042"/>
    <s v="TRX00419"/>
    <s v="MNU024"/>
    <n v="1"/>
    <n v="9000"/>
    <x v="1"/>
    <n v="9000"/>
    <n v="3000"/>
    <n v="6000"/>
  </r>
  <r>
    <s v="DTL01043"/>
    <s v="TRX00420"/>
    <s v="MNU023"/>
    <n v="1"/>
    <n v="5000"/>
    <x v="13"/>
    <n v="5000"/>
    <n v="1500"/>
    <n v="3500"/>
  </r>
  <r>
    <s v="DTL01044"/>
    <s v="TRX00420"/>
    <s v="MNU024"/>
    <n v="1"/>
    <n v="9000"/>
    <x v="1"/>
    <n v="9000"/>
    <n v="3000"/>
    <n v="6000"/>
  </r>
  <r>
    <s v="DTL01045"/>
    <s v="TRX00421"/>
    <s v="MNU003"/>
    <n v="1"/>
    <n v="27000"/>
    <x v="4"/>
    <n v="27000"/>
    <n v="11000"/>
    <n v="16000"/>
  </r>
  <r>
    <s v="DTL01046"/>
    <s v="TRX00422"/>
    <s v="MNU006"/>
    <n v="1"/>
    <n v="20000"/>
    <x v="11"/>
    <n v="20000"/>
    <n v="8000"/>
    <n v="12000"/>
  </r>
  <r>
    <s v="DTL01047"/>
    <s v="TRX00422"/>
    <s v="MNU008"/>
    <n v="2"/>
    <n v="21000"/>
    <x v="21"/>
    <n v="42000"/>
    <n v="8500"/>
    <n v="25000"/>
  </r>
  <r>
    <s v="DTL01048"/>
    <s v="TRX00422"/>
    <s v="MNU016"/>
    <n v="1"/>
    <n v="18000"/>
    <x v="0"/>
    <n v="18000"/>
    <n v="4500"/>
    <n v="13500"/>
  </r>
  <r>
    <s v="DTL01049"/>
    <s v="TRX00423"/>
    <s v="MNU020"/>
    <n v="1"/>
    <n v="15000"/>
    <x v="19"/>
    <n v="15000"/>
    <n v="6000"/>
    <n v="9000"/>
  </r>
  <r>
    <s v="DTL01050"/>
    <s v="TRX00423"/>
    <s v="MNU007"/>
    <n v="1"/>
    <n v="28000"/>
    <x v="8"/>
    <n v="28000"/>
    <n v="12000"/>
    <n v="16000"/>
  </r>
  <r>
    <s v="DTL01051"/>
    <s v="TRX00423"/>
    <s v="MNU012"/>
    <n v="1"/>
    <n v="26000"/>
    <x v="15"/>
    <n v="26000"/>
    <n v="11500"/>
    <n v="14500"/>
  </r>
  <r>
    <s v="DTL01052"/>
    <s v="TRX00424"/>
    <s v="MNU024"/>
    <n v="2"/>
    <n v="9000"/>
    <x v="1"/>
    <n v="18000"/>
    <n v="3000"/>
    <n v="12000"/>
  </r>
  <r>
    <s v="DTL01053"/>
    <s v="TRX00424"/>
    <s v="MNU014"/>
    <n v="1"/>
    <n v="8000"/>
    <x v="5"/>
    <n v="8000"/>
    <n v="2500"/>
    <n v="5500"/>
  </r>
  <r>
    <s v="DTL01054"/>
    <s v="TRX00424"/>
    <s v="MNU003"/>
    <n v="1"/>
    <n v="27000"/>
    <x v="4"/>
    <n v="27000"/>
    <n v="11000"/>
    <n v="16000"/>
  </r>
  <r>
    <s v="DTL01055"/>
    <s v="TRX00424"/>
    <s v="MNU006"/>
    <n v="2"/>
    <n v="20000"/>
    <x v="11"/>
    <n v="40000"/>
    <n v="8000"/>
    <n v="24000"/>
  </r>
  <r>
    <s v="DTL01056"/>
    <s v="TRX00425"/>
    <s v="MNU003"/>
    <n v="1"/>
    <n v="27000"/>
    <x v="4"/>
    <n v="27000"/>
    <n v="11000"/>
    <n v="16000"/>
  </r>
  <r>
    <s v="DTL01057"/>
    <s v="TRX00426"/>
    <s v="MNU003"/>
    <n v="1"/>
    <n v="27000"/>
    <x v="4"/>
    <n v="27000"/>
    <n v="11000"/>
    <n v="16000"/>
  </r>
  <r>
    <s v="DTL01058"/>
    <s v="TRX00426"/>
    <s v="MNU021"/>
    <n v="1"/>
    <n v="10000"/>
    <x v="16"/>
    <n v="10000"/>
    <n v="3500"/>
    <n v="6500"/>
  </r>
  <r>
    <s v="DTL01059"/>
    <s v="TRX00426"/>
    <s v="MNU016"/>
    <n v="1"/>
    <n v="18000"/>
    <x v="0"/>
    <n v="18000"/>
    <n v="4500"/>
    <n v="13500"/>
  </r>
  <r>
    <s v="DTL01060"/>
    <s v="TRX00427"/>
    <s v="MNU006"/>
    <n v="2"/>
    <n v="20000"/>
    <x v="11"/>
    <n v="40000"/>
    <n v="8000"/>
    <n v="24000"/>
  </r>
  <r>
    <s v="DTL01061"/>
    <s v="TRX00428"/>
    <s v="MNU012"/>
    <n v="1"/>
    <n v="26000"/>
    <x v="15"/>
    <n v="26000"/>
    <n v="11500"/>
    <n v="14500"/>
  </r>
  <r>
    <s v="DTL01062"/>
    <s v="TRX00429"/>
    <s v="MNU002"/>
    <n v="1"/>
    <n v="23000"/>
    <x v="12"/>
    <n v="23000"/>
    <n v="8500"/>
    <n v="14500"/>
  </r>
  <r>
    <s v="DTL01063"/>
    <s v="TRX00430"/>
    <s v="MNU018"/>
    <n v="1"/>
    <n v="12000"/>
    <x v="6"/>
    <n v="12000"/>
    <n v="3000"/>
    <n v="9000"/>
  </r>
  <r>
    <s v="DTL01064"/>
    <s v="TRX00430"/>
    <s v="MNU009"/>
    <n v="1"/>
    <n v="23000"/>
    <x v="3"/>
    <n v="23000"/>
    <n v="9000"/>
    <n v="14000"/>
  </r>
  <r>
    <s v="DTL01065"/>
    <s v="TRX00431"/>
    <s v="MNU002"/>
    <n v="1"/>
    <n v="23000"/>
    <x v="12"/>
    <n v="23000"/>
    <n v="8500"/>
    <n v="14500"/>
  </r>
  <r>
    <s v="DTL01066"/>
    <s v="TRX00431"/>
    <s v="MNU003"/>
    <n v="2"/>
    <n v="27000"/>
    <x v="4"/>
    <n v="54000"/>
    <n v="11000"/>
    <n v="32000"/>
  </r>
  <r>
    <s v="DTL01067"/>
    <s v="TRX00431"/>
    <s v="MNU015"/>
    <n v="1"/>
    <n v="9000"/>
    <x v="10"/>
    <n v="9000"/>
    <n v="2000"/>
    <n v="7000"/>
  </r>
  <r>
    <s v="DTL01068"/>
    <s v="TRX00432"/>
    <s v="MNU023"/>
    <n v="1"/>
    <n v="5000"/>
    <x v="13"/>
    <n v="5000"/>
    <n v="1500"/>
    <n v="3500"/>
  </r>
  <r>
    <s v="DTL01069"/>
    <s v="TRX00432"/>
    <s v="MNU020"/>
    <n v="1"/>
    <n v="15000"/>
    <x v="19"/>
    <n v="15000"/>
    <n v="6000"/>
    <n v="9000"/>
  </r>
  <r>
    <s v="DTL01070"/>
    <s v="TRX00432"/>
    <s v="MNU012"/>
    <n v="2"/>
    <n v="26000"/>
    <x v="15"/>
    <n v="52000"/>
    <n v="11500"/>
    <n v="29000"/>
  </r>
  <r>
    <s v="DTL01071"/>
    <s v="TRX00432"/>
    <s v="MNU003"/>
    <n v="1"/>
    <n v="27000"/>
    <x v="4"/>
    <n v="27000"/>
    <n v="11000"/>
    <n v="16000"/>
  </r>
  <r>
    <s v="DTL01072"/>
    <s v="TRX00432"/>
    <s v="MNU022"/>
    <n v="2"/>
    <n v="13000"/>
    <x v="17"/>
    <n v="26000"/>
    <n v="4000"/>
    <n v="18000"/>
  </r>
  <r>
    <s v="DTL01073"/>
    <s v="TRX00433"/>
    <s v="MNU004"/>
    <n v="2"/>
    <n v="22000"/>
    <x v="14"/>
    <n v="44000"/>
    <n v="9500"/>
    <n v="25000"/>
  </r>
  <r>
    <s v="DTL01074"/>
    <s v="TRX00433"/>
    <s v="MNU012"/>
    <n v="1"/>
    <n v="26000"/>
    <x v="15"/>
    <n v="26000"/>
    <n v="11500"/>
    <n v="14500"/>
  </r>
  <r>
    <s v="DTL01075"/>
    <s v="TRX00434"/>
    <s v="MNU020"/>
    <n v="3"/>
    <n v="15000"/>
    <x v="19"/>
    <n v="45000"/>
    <n v="6000"/>
    <n v="27000"/>
  </r>
  <r>
    <s v="DTL01076"/>
    <s v="TRX00434"/>
    <s v="MNU010"/>
    <n v="1"/>
    <n v="22000"/>
    <x v="7"/>
    <n v="22000"/>
    <n v="9500"/>
    <n v="12500"/>
  </r>
  <r>
    <s v="DTL01077"/>
    <s v="TRX00435"/>
    <s v="MNU003"/>
    <n v="2"/>
    <n v="27000"/>
    <x v="4"/>
    <n v="54000"/>
    <n v="11000"/>
    <n v="32000"/>
  </r>
  <r>
    <s v="DTL01078"/>
    <s v="TRX00436"/>
    <s v="MNU003"/>
    <n v="1"/>
    <n v="27000"/>
    <x v="4"/>
    <n v="27000"/>
    <n v="11000"/>
    <n v="16000"/>
  </r>
  <r>
    <s v="DTL01079"/>
    <s v="TRX00437"/>
    <s v="MNU006"/>
    <n v="1"/>
    <n v="20000"/>
    <x v="11"/>
    <n v="20000"/>
    <n v="8000"/>
    <n v="12000"/>
  </r>
  <r>
    <s v="DTL01080"/>
    <s v="TRX00438"/>
    <s v="MNU003"/>
    <n v="2"/>
    <n v="27000"/>
    <x v="4"/>
    <n v="54000"/>
    <n v="11000"/>
    <n v="32000"/>
  </r>
  <r>
    <s v="DTL01081"/>
    <s v="TRX00438"/>
    <s v="MNU018"/>
    <n v="1"/>
    <n v="12000"/>
    <x v="6"/>
    <n v="12000"/>
    <n v="3000"/>
    <n v="9000"/>
  </r>
  <r>
    <s v="DTL01082"/>
    <s v="TRX00439"/>
    <s v="MNU003"/>
    <n v="1"/>
    <n v="27000"/>
    <x v="4"/>
    <n v="27000"/>
    <n v="11000"/>
    <n v="16000"/>
  </r>
  <r>
    <s v="DTL01083"/>
    <s v="TRX00439"/>
    <s v="MNU009"/>
    <n v="1"/>
    <n v="23000"/>
    <x v="3"/>
    <n v="23000"/>
    <n v="9000"/>
    <n v="14000"/>
  </r>
  <r>
    <s v="DTL01084"/>
    <s v="TRX00439"/>
    <s v="MNU004"/>
    <n v="1"/>
    <n v="22000"/>
    <x v="14"/>
    <n v="22000"/>
    <n v="9500"/>
    <n v="12500"/>
  </r>
  <r>
    <s v="DTL01085"/>
    <s v="TRX00440"/>
    <s v="MNU003"/>
    <n v="1"/>
    <n v="27000"/>
    <x v="4"/>
    <n v="27000"/>
    <n v="11000"/>
    <n v="16000"/>
  </r>
  <r>
    <s v="DTL01086"/>
    <s v="TRX00440"/>
    <s v="MNU005"/>
    <n v="1"/>
    <n v="32000"/>
    <x v="18"/>
    <n v="32000"/>
    <n v="14000"/>
    <n v="18000"/>
  </r>
  <r>
    <s v="DTL01087"/>
    <s v="TRX00440"/>
    <s v="MNU009"/>
    <n v="2"/>
    <n v="23000"/>
    <x v="3"/>
    <n v="46000"/>
    <n v="9000"/>
    <n v="28000"/>
  </r>
  <r>
    <s v="DTL01088"/>
    <s v="TRX00440"/>
    <s v="MNU014"/>
    <n v="2"/>
    <n v="8000"/>
    <x v="5"/>
    <n v="16000"/>
    <n v="2500"/>
    <n v="11000"/>
  </r>
  <r>
    <s v="DTL01089"/>
    <s v="TRX00440"/>
    <s v="MNU016"/>
    <n v="1"/>
    <n v="18000"/>
    <x v="0"/>
    <n v="18000"/>
    <n v="4500"/>
    <n v="13500"/>
  </r>
  <r>
    <s v="DTL01090"/>
    <s v="TRX00441"/>
    <s v="MNU004"/>
    <n v="1"/>
    <n v="22000"/>
    <x v="14"/>
    <n v="22000"/>
    <n v="9500"/>
    <n v="12500"/>
  </r>
  <r>
    <s v="DTL01091"/>
    <s v="TRX00441"/>
    <s v="MNU018"/>
    <n v="1"/>
    <n v="12000"/>
    <x v="6"/>
    <n v="12000"/>
    <n v="3000"/>
    <n v="9000"/>
  </r>
  <r>
    <s v="DTL01092"/>
    <s v="TRX00442"/>
    <s v="MNU017"/>
    <n v="3"/>
    <n v="16000"/>
    <x v="9"/>
    <n v="48000"/>
    <n v="5500"/>
    <n v="31500"/>
  </r>
  <r>
    <s v="DTL01093"/>
    <s v="TRX00443"/>
    <s v="MNU013"/>
    <n v="1"/>
    <n v="6000"/>
    <x v="22"/>
    <n v="6000"/>
    <n v="1500"/>
    <n v="4500"/>
  </r>
  <r>
    <s v="DTL01094"/>
    <s v="TRX00443"/>
    <s v="MNU019"/>
    <n v="3"/>
    <n v="5000"/>
    <x v="2"/>
    <n v="15000"/>
    <n v="2000"/>
    <n v="9000"/>
  </r>
  <r>
    <s v="DTL01095"/>
    <s v="TRX00443"/>
    <s v="MNU016"/>
    <n v="2"/>
    <n v="18000"/>
    <x v="0"/>
    <n v="36000"/>
    <n v="4500"/>
    <n v="27000"/>
  </r>
  <r>
    <s v="DTL01096"/>
    <s v="TRX00444"/>
    <s v="MNU003"/>
    <n v="1"/>
    <n v="27000"/>
    <x v="4"/>
    <n v="27000"/>
    <n v="11000"/>
    <n v="16000"/>
  </r>
  <r>
    <s v="DTL01097"/>
    <s v="TRX00444"/>
    <s v="MNU019"/>
    <n v="1"/>
    <n v="5000"/>
    <x v="2"/>
    <n v="5000"/>
    <n v="2000"/>
    <n v="3000"/>
  </r>
  <r>
    <s v="DTL01098"/>
    <s v="TRX00444"/>
    <s v="MNU015"/>
    <n v="1"/>
    <n v="9000"/>
    <x v="10"/>
    <n v="9000"/>
    <n v="2000"/>
    <n v="7000"/>
  </r>
  <r>
    <s v="DTL01099"/>
    <s v="TRX00445"/>
    <s v="MNU024"/>
    <n v="1"/>
    <n v="9000"/>
    <x v="1"/>
    <n v="9000"/>
    <n v="3000"/>
    <n v="6000"/>
  </r>
  <r>
    <s v="DTL01100"/>
    <s v="TRX00445"/>
    <s v="MNU004"/>
    <n v="1"/>
    <n v="22000"/>
    <x v="14"/>
    <n v="22000"/>
    <n v="9500"/>
    <n v="12500"/>
  </r>
  <r>
    <s v="DTL01101"/>
    <s v="TRX00446"/>
    <s v="MNU002"/>
    <n v="1"/>
    <n v="23000"/>
    <x v="12"/>
    <n v="23000"/>
    <n v="8500"/>
    <n v="14500"/>
  </r>
  <r>
    <s v="DTL01102"/>
    <s v="TRX00446"/>
    <s v="MNU006"/>
    <n v="1"/>
    <n v="20000"/>
    <x v="11"/>
    <n v="20000"/>
    <n v="8000"/>
    <n v="12000"/>
  </r>
  <r>
    <s v="DTL01103"/>
    <s v="TRX00446"/>
    <s v="MNU016"/>
    <n v="1"/>
    <n v="18000"/>
    <x v="0"/>
    <n v="18000"/>
    <n v="4500"/>
    <n v="13500"/>
  </r>
  <r>
    <s v="DTL01104"/>
    <s v="TRX00447"/>
    <s v="MNU017"/>
    <n v="2"/>
    <n v="16000"/>
    <x v="9"/>
    <n v="32000"/>
    <n v="5500"/>
    <n v="21000"/>
  </r>
  <r>
    <s v="DTL01105"/>
    <s v="TRX00448"/>
    <s v="MNU003"/>
    <n v="1"/>
    <n v="27000"/>
    <x v="4"/>
    <n v="27000"/>
    <n v="11000"/>
    <n v="16000"/>
  </r>
  <r>
    <s v="DTL01106"/>
    <s v="TRX00449"/>
    <s v="MNU009"/>
    <n v="2"/>
    <n v="23000"/>
    <x v="3"/>
    <n v="46000"/>
    <n v="9000"/>
    <n v="28000"/>
  </r>
  <r>
    <s v="DTL01107"/>
    <s v="TRX00449"/>
    <s v="MNU016"/>
    <n v="1"/>
    <n v="18000"/>
    <x v="0"/>
    <n v="18000"/>
    <n v="4500"/>
    <n v="13500"/>
  </r>
  <r>
    <s v="DTL01108"/>
    <s v="TRX00449"/>
    <s v="MNU011"/>
    <n v="1"/>
    <n v="29000"/>
    <x v="20"/>
    <n v="29000"/>
    <n v="13000"/>
    <n v="16000"/>
  </r>
  <r>
    <s v="DTL01109"/>
    <s v="TRX00449"/>
    <s v="MNU004"/>
    <n v="3"/>
    <n v="22000"/>
    <x v="14"/>
    <n v="66000"/>
    <n v="9500"/>
    <n v="37500"/>
  </r>
  <r>
    <s v="DTL01110"/>
    <s v="TRX00450"/>
    <s v="MNU011"/>
    <n v="1"/>
    <n v="29000"/>
    <x v="20"/>
    <n v="29000"/>
    <n v="13000"/>
    <n v="16000"/>
  </r>
  <r>
    <s v="DTL01111"/>
    <s v="TRX00451"/>
    <s v="MNU012"/>
    <n v="1"/>
    <n v="26000"/>
    <x v="15"/>
    <n v="26000"/>
    <n v="11500"/>
    <n v="14500"/>
  </r>
  <r>
    <s v="DTL01112"/>
    <s v="TRX00451"/>
    <s v="MNU018"/>
    <n v="1"/>
    <n v="12000"/>
    <x v="6"/>
    <n v="12000"/>
    <n v="3000"/>
    <n v="9000"/>
  </r>
  <r>
    <s v="DTL01113"/>
    <s v="TRX00452"/>
    <s v="MNU003"/>
    <n v="1"/>
    <n v="27000"/>
    <x v="4"/>
    <n v="27000"/>
    <n v="11000"/>
    <n v="16000"/>
  </r>
  <r>
    <s v="DTL01114"/>
    <s v="TRX00452"/>
    <s v="MNU013"/>
    <n v="1"/>
    <n v="6000"/>
    <x v="22"/>
    <n v="6000"/>
    <n v="1500"/>
    <n v="4500"/>
  </r>
  <r>
    <s v="DTL01115"/>
    <s v="TRX00453"/>
    <s v="MNU006"/>
    <n v="1"/>
    <n v="20000"/>
    <x v="11"/>
    <n v="20000"/>
    <n v="8000"/>
    <n v="12000"/>
  </r>
  <r>
    <s v="DTL01116"/>
    <s v="TRX00453"/>
    <s v="MNU003"/>
    <n v="1"/>
    <n v="27000"/>
    <x v="4"/>
    <n v="27000"/>
    <n v="11000"/>
    <n v="16000"/>
  </r>
  <r>
    <s v="DTL01117"/>
    <s v="TRX00453"/>
    <s v="MNU016"/>
    <n v="1"/>
    <n v="18000"/>
    <x v="0"/>
    <n v="18000"/>
    <n v="4500"/>
    <n v="13500"/>
  </r>
  <r>
    <s v="DTL01118"/>
    <s v="TRX00453"/>
    <s v="MNU009"/>
    <n v="1"/>
    <n v="23000"/>
    <x v="3"/>
    <n v="23000"/>
    <n v="9000"/>
    <n v="14000"/>
  </r>
  <r>
    <s v="DTL01119"/>
    <s v="TRX00453"/>
    <s v="MNU014"/>
    <n v="1"/>
    <n v="8000"/>
    <x v="5"/>
    <n v="8000"/>
    <n v="2500"/>
    <n v="5500"/>
  </r>
  <r>
    <s v="DTL01120"/>
    <s v="TRX00454"/>
    <s v="MNU023"/>
    <n v="2"/>
    <n v="5000"/>
    <x v="13"/>
    <n v="10000"/>
    <n v="1500"/>
    <n v="7000"/>
  </r>
  <r>
    <s v="DTL01121"/>
    <s v="TRX00454"/>
    <s v="MNU003"/>
    <n v="2"/>
    <n v="27000"/>
    <x v="4"/>
    <n v="54000"/>
    <n v="11000"/>
    <n v="32000"/>
  </r>
  <r>
    <s v="DTL01122"/>
    <s v="TRX00454"/>
    <s v="MNU013"/>
    <n v="1"/>
    <n v="6000"/>
    <x v="22"/>
    <n v="6000"/>
    <n v="1500"/>
    <n v="4500"/>
  </r>
  <r>
    <s v="DTL01123"/>
    <s v="TRX00455"/>
    <s v="MNU003"/>
    <n v="1"/>
    <n v="27000"/>
    <x v="4"/>
    <n v="27000"/>
    <n v="11000"/>
    <n v="16000"/>
  </r>
  <r>
    <s v="DTL01124"/>
    <s v="TRX00456"/>
    <s v="MNU003"/>
    <n v="1"/>
    <n v="27000"/>
    <x v="4"/>
    <n v="27000"/>
    <n v="11000"/>
    <n v="16000"/>
  </r>
  <r>
    <s v="DTL01125"/>
    <s v="TRX00457"/>
    <s v="MNU003"/>
    <n v="1"/>
    <n v="27000"/>
    <x v="4"/>
    <n v="27000"/>
    <n v="11000"/>
    <n v="16000"/>
  </r>
  <r>
    <s v="DTL01126"/>
    <s v="TRX00458"/>
    <s v="MNU003"/>
    <n v="1"/>
    <n v="27000"/>
    <x v="4"/>
    <n v="27000"/>
    <n v="11000"/>
    <n v="16000"/>
  </r>
  <r>
    <s v="DTL01127"/>
    <s v="TRX00458"/>
    <s v="MNU002"/>
    <n v="1"/>
    <n v="23000"/>
    <x v="12"/>
    <n v="23000"/>
    <n v="8500"/>
    <n v="14500"/>
  </r>
  <r>
    <s v="DTL01128"/>
    <s v="TRX00458"/>
    <s v="MNU019"/>
    <n v="1"/>
    <n v="5000"/>
    <x v="2"/>
    <n v="5000"/>
    <n v="2000"/>
    <n v="3000"/>
  </r>
  <r>
    <s v="DTL01129"/>
    <s v="TRX00459"/>
    <s v="MNU003"/>
    <n v="2"/>
    <n v="27000"/>
    <x v="4"/>
    <n v="54000"/>
    <n v="11000"/>
    <n v="32000"/>
  </r>
  <r>
    <s v="DTL01130"/>
    <s v="TRX00459"/>
    <s v="MNU011"/>
    <n v="1"/>
    <n v="29000"/>
    <x v="20"/>
    <n v="29000"/>
    <n v="13000"/>
    <n v="16000"/>
  </r>
  <r>
    <s v="DTL01131"/>
    <s v="TRX00460"/>
    <s v="MNU001"/>
    <n v="2"/>
    <n v="25000"/>
    <x v="23"/>
    <n v="50000"/>
    <n v="9000"/>
    <n v="32000"/>
  </r>
  <r>
    <s v="DTL01132"/>
    <s v="TRX00460"/>
    <s v="MNU023"/>
    <n v="1"/>
    <n v="5000"/>
    <x v="13"/>
    <n v="5000"/>
    <n v="1500"/>
    <n v="3500"/>
  </r>
  <r>
    <s v="DTL01133"/>
    <s v="TRX00461"/>
    <s v="MNU009"/>
    <n v="1"/>
    <n v="23000"/>
    <x v="3"/>
    <n v="23000"/>
    <n v="9000"/>
    <n v="14000"/>
  </r>
  <r>
    <s v="DTL01134"/>
    <s v="TRX00461"/>
    <s v="MNU003"/>
    <n v="2"/>
    <n v="27000"/>
    <x v="4"/>
    <n v="54000"/>
    <n v="11000"/>
    <n v="32000"/>
  </r>
  <r>
    <s v="DTL01135"/>
    <s v="TRX00462"/>
    <s v="MNU009"/>
    <n v="1"/>
    <n v="23000"/>
    <x v="3"/>
    <n v="23000"/>
    <n v="9000"/>
    <n v="14000"/>
  </r>
  <r>
    <s v="DTL01136"/>
    <s v="TRX00463"/>
    <s v="MNU017"/>
    <n v="1"/>
    <n v="16000"/>
    <x v="9"/>
    <n v="16000"/>
    <n v="5500"/>
    <n v="10500"/>
  </r>
  <r>
    <s v="DTL01137"/>
    <s v="TRX00463"/>
    <s v="MNU019"/>
    <n v="1"/>
    <n v="5000"/>
    <x v="2"/>
    <n v="5000"/>
    <n v="2000"/>
    <n v="3000"/>
  </r>
  <r>
    <s v="DTL01138"/>
    <s v="TRX00464"/>
    <s v="MNU014"/>
    <n v="1"/>
    <n v="8000"/>
    <x v="5"/>
    <n v="8000"/>
    <n v="2500"/>
    <n v="5500"/>
  </r>
  <r>
    <s v="DTL01139"/>
    <s v="TRX00464"/>
    <s v="MNU017"/>
    <n v="3"/>
    <n v="16000"/>
    <x v="9"/>
    <n v="48000"/>
    <n v="5500"/>
    <n v="31500"/>
  </r>
  <r>
    <s v="DTL01140"/>
    <s v="TRX00465"/>
    <s v="MNU003"/>
    <n v="2"/>
    <n v="27000"/>
    <x v="4"/>
    <n v="54000"/>
    <n v="11000"/>
    <n v="32000"/>
  </r>
  <r>
    <s v="DTL01141"/>
    <s v="TRX00466"/>
    <s v="MNU004"/>
    <n v="1"/>
    <n v="22000"/>
    <x v="14"/>
    <n v="22000"/>
    <n v="9500"/>
    <n v="12500"/>
  </r>
  <r>
    <s v="DTL01142"/>
    <s v="TRX00466"/>
    <s v="MNU003"/>
    <n v="1"/>
    <n v="27000"/>
    <x v="4"/>
    <n v="27000"/>
    <n v="11000"/>
    <n v="16000"/>
  </r>
  <r>
    <s v="DTL01143"/>
    <s v="TRX00466"/>
    <s v="MNU006"/>
    <n v="1"/>
    <n v="20000"/>
    <x v="11"/>
    <n v="20000"/>
    <n v="8000"/>
    <n v="12000"/>
  </r>
  <r>
    <s v="DTL01144"/>
    <s v="TRX00467"/>
    <s v="MNU003"/>
    <n v="1"/>
    <n v="27000"/>
    <x v="4"/>
    <n v="27000"/>
    <n v="11000"/>
    <n v="16000"/>
  </r>
  <r>
    <s v="DTL01145"/>
    <s v="TRX00467"/>
    <s v="MNU009"/>
    <n v="1"/>
    <n v="23000"/>
    <x v="3"/>
    <n v="23000"/>
    <n v="9000"/>
    <n v="14000"/>
  </r>
  <r>
    <s v="DTL01146"/>
    <s v="TRX00468"/>
    <s v="MNU019"/>
    <n v="1"/>
    <n v="5000"/>
    <x v="2"/>
    <n v="5000"/>
    <n v="2000"/>
    <n v="3000"/>
  </r>
  <r>
    <s v="DTL01147"/>
    <s v="TRX00468"/>
    <s v="MNU003"/>
    <n v="2"/>
    <n v="27000"/>
    <x v="4"/>
    <n v="54000"/>
    <n v="11000"/>
    <n v="32000"/>
  </r>
  <r>
    <s v="DTL01148"/>
    <s v="TRX00468"/>
    <s v="MNU018"/>
    <n v="2"/>
    <n v="12000"/>
    <x v="6"/>
    <n v="24000"/>
    <n v="3000"/>
    <n v="18000"/>
  </r>
  <r>
    <s v="DTL01149"/>
    <s v="TRX00469"/>
    <s v="MNU003"/>
    <n v="1"/>
    <n v="27000"/>
    <x v="4"/>
    <n v="27000"/>
    <n v="11000"/>
    <n v="16000"/>
  </r>
  <r>
    <s v="DTL01150"/>
    <s v="TRX00470"/>
    <s v="MNU016"/>
    <n v="1"/>
    <n v="18000"/>
    <x v="0"/>
    <n v="18000"/>
    <n v="4500"/>
    <n v="13500"/>
  </r>
  <r>
    <s v="DTL01151"/>
    <s v="TRX00470"/>
    <s v="MNU003"/>
    <n v="3"/>
    <n v="27000"/>
    <x v="4"/>
    <n v="81000"/>
    <n v="11000"/>
    <n v="48000"/>
  </r>
  <r>
    <s v="DTL01152"/>
    <s v="TRX00470"/>
    <s v="MNU019"/>
    <n v="3"/>
    <n v="5000"/>
    <x v="2"/>
    <n v="15000"/>
    <n v="2000"/>
    <n v="9000"/>
  </r>
  <r>
    <s v="DTL01153"/>
    <s v="TRX00471"/>
    <s v="MNU019"/>
    <n v="1"/>
    <n v="5000"/>
    <x v="2"/>
    <n v="5000"/>
    <n v="2000"/>
    <n v="3000"/>
  </r>
  <r>
    <s v="DTL01154"/>
    <s v="TRX00471"/>
    <s v="MNU003"/>
    <n v="2"/>
    <n v="27000"/>
    <x v="4"/>
    <n v="54000"/>
    <n v="11000"/>
    <n v="32000"/>
  </r>
  <r>
    <s v="DTL01155"/>
    <s v="TRX00471"/>
    <s v="MNU010"/>
    <n v="2"/>
    <n v="22000"/>
    <x v="7"/>
    <n v="44000"/>
    <n v="9500"/>
    <n v="25000"/>
  </r>
  <r>
    <s v="DTL01156"/>
    <s v="TRX00472"/>
    <s v="MNU024"/>
    <n v="1"/>
    <n v="9000"/>
    <x v="1"/>
    <n v="9000"/>
    <n v="3000"/>
    <n v="6000"/>
  </r>
  <r>
    <s v="DTL01157"/>
    <s v="TRX00472"/>
    <s v="MNU021"/>
    <n v="1"/>
    <n v="10000"/>
    <x v="16"/>
    <n v="10000"/>
    <n v="3500"/>
    <n v="6500"/>
  </r>
  <r>
    <s v="DTL01158"/>
    <s v="TRX00473"/>
    <s v="MNU003"/>
    <n v="2"/>
    <n v="27000"/>
    <x v="4"/>
    <n v="54000"/>
    <n v="11000"/>
    <n v="32000"/>
  </r>
  <r>
    <s v="DTL01159"/>
    <s v="TRX00473"/>
    <s v="MNU006"/>
    <n v="2"/>
    <n v="20000"/>
    <x v="11"/>
    <n v="40000"/>
    <n v="8000"/>
    <n v="24000"/>
  </r>
  <r>
    <s v="DTL01160"/>
    <s v="TRX00473"/>
    <s v="MNU012"/>
    <n v="1"/>
    <n v="26000"/>
    <x v="15"/>
    <n v="26000"/>
    <n v="11500"/>
    <n v="14500"/>
  </r>
  <r>
    <s v="DTL01161"/>
    <s v="TRX00474"/>
    <s v="MNU020"/>
    <n v="1"/>
    <n v="15000"/>
    <x v="19"/>
    <n v="15000"/>
    <n v="6000"/>
    <n v="9000"/>
  </r>
  <r>
    <s v="DTL01162"/>
    <s v="TRX00474"/>
    <s v="MNU003"/>
    <n v="1"/>
    <n v="27000"/>
    <x v="4"/>
    <n v="27000"/>
    <n v="11000"/>
    <n v="16000"/>
  </r>
  <r>
    <s v="DTL01163"/>
    <s v="TRX00475"/>
    <s v="MNU024"/>
    <n v="1"/>
    <n v="9000"/>
    <x v="1"/>
    <n v="9000"/>
    <n v="3000"/>
    <n v="6000"/>
  </r>
  <r>
    <s v="DTL01164"/>
    <s v="TRX00475"/>
    <s v="MNU017"/>
    <n v="1"/>
    <n v="16000"/>
    <x v="9"/>
    <n v="16000"/>
    <n v="5500"/>
    <n v="10500"/>
  </r>
  <r>
    <s v="DTL01165"/>
    <s v="TRX00475"/>
    <s v="MNU010"/>
    <n v="1"/>
    <n v="22000"/>
    <x v="7"/>
    <n v="22000"/>
    <n v="9500"/>
    <n v="12500"/>
  </r>
  <r>
    <s v="DTL01166"/>
    <s v="TRX00476"/>
    <s v="MNU016"/>
    <n v="1"/>
    <n v="18000"/>
    <x v="0"/>
    <n v="18000"/>
    <n v="4500"/>
    <n v="13500"/>
  </r>
  <r>
    <s v="DTL01167"/>
    <s v="TRX00476"/>
    <s v="MNU003"/>
    <n v="1"/>
    <n v="27000"/>
    <x v="4"/>
    <n v="27000"/>
    <n v="11000"/>
    <n v="16000"/>
  </r>
  <r>
    <s v="DTL01168"/>
    <s v="TRX00477"/>
    <s v="MNU003"/>
    <n v="1"/>
    <n v="27000"/>
    <x v="4"/>
    <n v="27000"/>
    <n v="11000"/>
    <n v="16000"/>
  </r>
  <r>
    <s v="DTL01169"/>
    <s v="TRX00477"/>
    <s v="MNU009"/>
    <n v="3"/>
    <n v="23000"/>
    <x v="3"/>
    <n v="69000"/>
    <n v="9000"/>
    <n v="42000"/>
  </r>
  <r>
    <s v="DTL01170"/>
    <s v="TRX00477"/>
    <s v="MNU012"/>
    <n v="1"/>
    <n v="26000"/>
    <x v="15"/>
    <n v="26000"/>
    <n v="11500"/>
    <n v="14500"/>
  </r>
  <r>
    <s v="DTL01171"/>
    <s v="TRX00478"/>
    <s v="MNU021"/>
    <n v="1"/>
    <n v="10000"/>
    <x v="16"/>
    <n v="10000"/>
    <n v="3500"/>
    <n v="6500"/>
  </r>
  <r>
    <s v="DTL01172"/>
    <s v="TRX00478"/>
    <s v="MNU003"/>
    <n v="2"/>
    <n v="27000"/>
    <x v="4"/>
    <n v="54000"/>
    <n v="11000"/>
    <n v="32000"/>
  </r>
  <r>
    <s v="DTL01173"/>
    <s v="TRX00479"/>
    <s v="MNU006"/>
    <n v="2"/>
    <n v="20000"/>
    <x v="11"/>
    <n v="40000"/>
    <n v="8000"/>
    <n v="24000"/>
  </r>
  <r>
    <s v="DTL01174"/>
    <s v="TRX00479"/>
    <s v="MNU017"/>
    <n v="3"/>
    <n v="16000"/>
    <x v="9"/>
    <n v="48000"/>
    <n v="5500"/>
    <n v="31500"/>
  </r>
  <r>
    <s v="DTL01175"/>
    <s v="TRX00479"/>
    <s v="MNU020"/>
    <n v="1"/>
    <n v="15000"/>
    <x v="19"/>
    <n v="15000"/>
    <n v="6000"/>
    <n v="9000"/>
  </r>
  <r>
    <s v="DTL01176"/>
    <s v="TRX00479"/>
    <s v="MNU009"/>
    <n v="3"/>
    <n v="23000"/>
    <x v="3"/>
    <n v="69000"/>
    <n v="9000"/>
    <n v="42000"/>
  </r>
  <r>
    <s v="DTL01177"/>
    <s v="TRX00479"/>
    <s v="MNU002"/>
    <n v="1"/>
    <n v="23000"/>
    <x v="12"/>
    <n v="23000"/>
    <n v="8500"/>
    <n v="14500"/>
  </r>
  <r>
    <s v="DTL01178"/>
    <s v="TRX00480"/>
    <s v="MNU016"/>
    <n v="1"/>
    <n v="18000"/>
    <x v="0"/>
    <n v="18000"/>
    <n v="4500"/>
    <n v="13500"/>
  </r>
  <r>
    <s v="DTL01179"/>
    <s v="TRX00480"/>
    <s v="MNU019"/>
    <n v="1"/>
    <n v="5000"/>
    <x v="2"/>
    <n v="5000"/>
    <n v="2000"/>
    <n v="3000"/>
  </r>
  <r>
    <s v="DTL01180"/>
    <s v="TRX00480"/>
    <s v="MNU012"/>
    <n v="1"/>
    <n v="26000"/>
    <x v="15"/>
    <n v="26000"/>
    <n v="11500"/>
    <n v="14500"/>
  </r>
  <r>
    <s v="DTL01181"/>
    <s v="TRX00480"/>
    <s v="MNU003"/>
    <n v="1"/>
    <n v="27000"/>
    <x v="4"/>
    <n v="27000"/>
    <n v="11000"/>
    <n v="16000"/>
  </r>
  <r>
    <s v="DTL01182"/>
    <s v="TRX00481"/>
    <s v="MNU019"/>
    <n v="1"/>
    <n v="5000"/>
    <x v="2"/>
    <n v="5000"/>
    <n v="2000"/>
    <n v="3000"/>
  </r>
  <r>
    <s v="DTL01183"/>
    <s v="TRX00481"/>
    <s v="MNU003"/>
    <n v="2"/>
    <n v="27000"/>
    <x v="4"/>
    <n v="54000"/>
    <n v="11000"/>
    <n v="32000"/>
  </r>
  <r>
    <s v="DTL01184"/>
    <s v="TRX00481"/>
    <s v="MNU012"/>
    <n v="1"/>
    <n v="26000"/>
    <x v="15"/>
    <n v="26000"/>
    <n v="11500"/>
    <n v="14500"/>
  </r>
  <r>
    <s v="DTL01185"/>
    <s v="TRX00481"/>
    <s v="MNU006"/>
    <n v="1"/>
    <n v="20000"/>
    <x v="11"/>
    <n v="20000"/>
    <n v="8000"/>
    <n v="12000"/>
  </r>
  <r>
    <s v="DTL01186"/>
    <s v="TRX00482"/>
    <s v="MNU018"/>
    <n v="1"/>
    <n v="12000"/>
    <x v="6"/>
    <n v="12000"/>
    <n v="3000"/>
    <n v="9000"/>
  </r>
  <r>
    <s v="DTL01187"/>
    <s v="TRX00482"/>
    <s v="MNU024"/>
    <n v="1"/>
    <n v="9000"/>
    <x v="1"/>
    <n v="9000"/>
    <n v="3000"/>
    <n v="6000"/>
  </r>
  <r>
    <s v="DTL01188"/>
    <s v="TRX00482"/>
    <s v="MNU003"/>
    <n v="1"/>
    <n v="27000"/>
    <x v="4"/>
    <n v="27000"/>
    <n v="11000"/>
    <n v="16000"/>
  </r>
  <r>
    <s v="DTL01189"/>
    <s v="TRX00482"/>
    <s v="MNU016"/>
    <n v="2"/>
    <n v="18000"/>
    <x v="0"/>
    <n v="36000"/>
    <n v="4500"/>
    <n v="27000"/>
  </r>
  <r>
    <s v="DTL01190"/>
    <s v="TRX00483"/>
    <s v="MNU003"/>
    <n v="1"/>
    <n v="27000"/>
    <x v="4"/>
    <n v="27000"/>
    <n v="11000"/>
    <n v="16000"/>
  </r>
  <r>
    <s v="DTL01191"/>
    <s v="TRX00483"/>
    <s v="MNU023"/>
    <n v="1"/>
    <n v="5000"/>
    <x v="13"/>
    <n v="5000"/>
    <n v="1500"/>
    <n v="3500"/>
  </r>
  <r>
    <s v="DTL01192"/>
    <s v="TRX00484"/>
    <s v="MNU012"/>
    <n v="1"/>
    <n v="26000"/>
    <x v="15"/>
    <n v="26000"/>
    <n v="11500"/>
    <n v="14500"/>
  </r>
  <r>
    <s v="DTL01193"/>
    <s v="TRX00485"/>
    <s v="MNU003"/>
    <n v="1"/>
    <n v="27000"/>
    <x v="4"/>
    <n v="27000"/>
    <n v="11000"/>
    <n v="16000"/>
  </r>
  <r>
    <s v="DTL01194"/>
    <s v="TRX00485"/>
    <s v="MNU016"/>
    <n v="1"/>
    <n v="18000"/>
    <x v="0"/>
    <n v="18000"/>
    <n v="4500"/>
    <n v="13500"/>
  </r>
  <r>
    <s v="DTL01195"/>
    <s v="TRX00486"/>
    <s v="MNU012"/>
    <n v="1"/>
    <n v="26000"/>
    <x v="15"/>
    <n v="26000"/>
    <n v="11500"/>
    <n v="14500"/>
  </r>
  <r>
    <s v="DTL01196"/>
    <s v="TRX00486"/>
    <s v="MNU018"/>
    <n v="1"/>
    <n v="12000"/>
    <x v="6"/>
    <n v="12000"/>
    <n v="3000"/>
    <n v="9000"/>
  </r>
  <r>
    <s v="DTL01197"/>
    <s v="TRX00486"/>
    <s v="MNU024"/>
    <n v="1"/>
    <n v="9000"/>
    <x v="1"/>
    <n v="9000"/>
    <n v="3000"/>
    <n v="6000"/>
  </r>
  <r>
    <s v="DTL01198"/>
    <s v="TRX00486"/>
    <s v="MNU003"/>
    <n v="2"/>
    <n v="27000"/>
    <x v="4"/>
    <n v="54000"/>
    <n v="11000"/>
    <n v="32000"/>
  </r>
  <r>
    <s v="DTL01199"/>
    <s v="TRX00486"/>
    <s v="MNU011"/>
    <n v="1"/>
    <n v="29000"/>
    <x v="20"/>
    <n v="29000"/>
    <n v="13000"/>
    <n v="16000"/>
  </r>
  <r>
    <s v="DTL01200"/>
    <s v="TRX00487"/>
    <s v="MNU003"/>
    <n v="3"/>
    <n v="27000"/>
    <x v="4"/>
    <n v="81000"/>
    <n v="11000"/>
    <n v="48000"/>
  </r>
  <r>
    <s v="DTL01201"/>
    <s v="TRX00487"/>
    <s v="MNU013"/>
    <n v="3"/>
    <n v="6000"/>
    <x v="22"/>
    <n v="18000"/>
    <n v="1500"/>
    <n v="13500"/>
  </r>
  <r>
    <s v="DTL01202"/>
    <s v="TRX00487"/>
    <s v="MNU012"/>
    <n v="1"/>
    <n v="26000"/>
    <x v="15"/>
    <n v="26000"/>
    <n v="11500"/>
    <n v="14500"/>
  </r>
  <r>
    <s v="DTL01203"/>
    <s v="TRX00487"/>
    <s v="MNU014"/>
    <n v="1"/>
    <n v="8000"/>
    <x v="5"/>
    <n v="8000"/>
    <n v="2500"/>
    <n v="5500"/>
  </r>
  <r>
    <s v="DTL01204"/>
    <s v="TRX00488"/>
    <s v="MNU006"/>
    <n v="1"/>
    <n v="20000"/>
    <x v="11"/>
    <n v="20000"/>
    <n v="8000"/>
    <n v="12000"/>
  </r>
  <r>
    <s v="DTL01205"/>
    <s v="TRX00488"/>
    <s v="MNU017"/>
    <n v="2"/>
    <n v="16000"/>
    <x v="9"/>
    <n v="32000"/>
    <n v="5500"/>
    <n v="21000"/>
  </r>
  <r>
    <s v="DTL01206"/>
    <s v="TRX00489"/>
    <s v="MNU002"/>
    <n v="2"/>
    <n v="23000"/>
    <x v="12"/>
    <n v="46000"/>
    <n v="8500"/>
    <n v="29000"/>
  </r>
  <r>
    <s v="DTL01207"/>
    <s v="TRX00489"/>
    <s v="MNU003"/>
    <n v="1"/>
    <n v="27000"/>
    <x v="4"/>
    <n v="27000"/>
    <n v="11000"/>
    <n v="16000"/>
  </r>
  <r>
    <s v="DTL01208"/>
    <s v="TRX00490"/>
    <s v="MNU016"/>
    <n v="1"/>
    <n v="18000"/>
    <x v="0"/>
    <n v="18000"/>
    <n v="4500"/>
    <n v="13500"/>
  </r>
  <r>
    <s v="DTL01209"/>
    <s v="TRX00490"/>
    <s v="MNU003"/>
    <n v="1"/>
    <n v="27000"/>
    <x v="4"/>
    <n v="27000"/>
    <n v="11000"/>
    <n v="16000"/>
  </r>
  <r>
    <s v="DTL01210"/>
    <s v="TRX00490"/>
    <s v="MNU017"/>
    <n v="2"/>
    <n v="16000"/>
    <x v="9"/>
    <n v="32000"/>
    <n v="5500"/>
    <n v="21000"/>
  </r>
  <r>
    <s v="DTL01211"/>
    <s v="TRX00490"/>
    <s v="MNU012"/>
    <n v="2"/>
    <n v="26000"/>
    <x v="15"/>
    <n v="52000"/>
    <n v="11500"/>
    <n v="29000"/>
  </r>
  <r>
    <s v="DTL01212"/>
    <s v="TRX00490"/>
    <s v="MNU021"/>
    <n v="1"/>
    <n v="10000"/>
    <x v="16"/>
    <n v="10000"/>
    <n v="3500"/>
    <n v="6500"/>
  </r>
  <r>
    <s v="DTL01213"/>
    <s v="TRX00491"/>
    <s v="MNU003"/>
    <n v="2"/>
    <n v="27000"/>
    <x v="4"/>
    <n v="54000"/>
    <n v="11000"/>
    <n v="32000"/>
  </r>
  <r>
    <s v="DTL01214"/>
    <s v="TRX00491"/>
    <s v="MNU017"/>
    <n v="1"/>
    <n v="16000"/>
    <x v="9"/>
    <n v="16000"/>
    <n v="5500"/>
    <n v="10500"/>
  </r>
  <r>
    <s v="DTL01215"/>
    <s v="TRX00492"/>
    <s v="MNU018"/>
    <n v="1"/>
    <n v="12000"/>
    <x v="6"/>
    <n v="12000"/>
    <n v="3000"/>
    <n v="9000"/>
  </r>
  <r>
    <s v="DTL01216"/>
    <s v="TRX00492"/>
    <s v="MNU023"/>
    <n v="1"/>
    <n v="5000"/>
    <x v="13"/>
    <n v="5000"/>
    <n v="1500"/>
    <n v="3500"/>
  </r>
  <r>
    <s v="DTL01217"/>
    <s v="TRX00493"/>
    <s v="MNU016"/>
    <n v="1"/>
    <n v="18000"/>
    <x v="0"/>
    <n v="18000"/>
    <n v="4500"/>
    <n v="13500"/>
  </r>
  <r>
    <s v="DTL01218"/>
    <s v="TRX00493"/>
    <s v="MNU003"/>
    <n v="1"/>
    <n v="27000"/>
    <x v="4"/>
    <n v="27000"/>
    <n v="11000"/>
    <n v="16000"/>
  </r>
  <r>
    <s v="DTL01219"/>
    <s v="TRX00493"/>
    <s v="MNU021"/>
    <n v="1"/>
    <n v="10000"/>
    <x v="16"/>
    <n v="10000"/>
    <n v="3500"/>
    <n v="6500"/>
  </r>
  <r>
    <s v="DTL01220"/>
    <s v="TRX00494"/>
    <s v="MNU016"/>
    <n v="1"/>
    <n v="18000"/>
    <x v="0"/>
    <n v="18000"/>
    <n v="4500"/>
    <n v="13500"/>
  </r>
  <r>
    <s v="DTL01221"/>
    <s v="TRX00494"/>
    <s v="MNU006"/>
    <n v="1"/>
    <n v="20000"/>
    <x v="11"/>
    <n v="20000"/>
    <n v="8000"/>
    <n v="12000"/>
  </r>
  <r>
    <s v="DTL01222"/>
    <s v="TRX00494"/>
    <s v="MNU012"/>
    <n v="1"/>
    <n v="26000"/>
    <x v="15"/>
    <n v="26000"/>
    <n v="11500"/>
    <n v="14500"/>
  </r>
  <r>
    <s v="DTL01223"/>
    <s v="TRX00494"/>
    <s v="MNU009"/>
    <n v="1"/>
    <n v="23000"/>
    <x v="3"/>
    <n v="23000"/>
    <n v="9000"/>
    <n v="14000"/>
  </r>
  <r>
    <s v="DTL01224"/>
    <s v="TRX00495"/>
    <s v="MNU021"/>
    <n v="2"/>
    <n v="10000"/>
    <x v="16"/>
    <n v="20000"/>
    <n v="3500"/>
    <n v="13000"/>
  </r>
  <r>
    <s v="DTL01225"/>
    <s v="TRX00495"/>
    <s v="MNU009"/>
    <n v="1"/>
    <n v="23000"/>
    <x v="3"/>
    <n v="23000"/>
    <n v="9000"/>
    <n v="14000"/>
  </r>
  <r>
    <s v="DTL01226"/>
    <s v="TRX00495"/>
    <s v="MNU003"/>
    <n v="2"/>
    <n v="27000"/>
    <x v="4"/>
    <n v="54000"/>
    <n v="11000"/>
    <n v="32000"/>
  </r>
  <r>
    <s v="DTL01227"/>
    <s v="TRX00495"/>
    <s v="MNU006"/>
    <n v="2"/>
    <n v="20000"/>
    <x v="11"/>
    <n v="40000"/>
    <n v="8000"/>
    <n v="24000"/>
  </r>
  <r>
    <s v="DTL01228"/>
    <s v="TRX00496"/>
    <s v="MNU003"/>
    <n v="1"/>
    <n v="27000"/>
    <x v="4"/>
    <n v="27000"/>
    <n v="11000"/>
    <n v="16000"/>
  </r>
  <r>
    <s v="DTL01229"/>
    <s v="TRX00497"/>
    <s v="MNU017"/>
    <n v="1"/>
    <n v="16000"/>
    <x v="9"/>
    <n v="16000"/>
    <n v="5500"/>
    <n v="10500"/>
  </r>
  <r>
    <s v="DTL01230"/>
    <s v="TRX00497"/>
    <s v="MNU003"/>
    <n v="1"/>
    <n v="27000"/>
    <x v="4"/>
    <n v="27000"/>
    <n v="11000"/>
    <n v="16000"/>
  </r>
  <r>
    <s v="DTL01231"/>
    <s v="TRX00497"/>
    <s v="MNU016"/>
    <n v="2"/>
    <n v="18000"/>
    <x v="0"/>
    <n v="36000"/>
    <n v="4500"/>
    <n v="27000"/>
  </r>
  <r>
    <s v="DTL01232"/>
    <s v="TRX00498"/>
    <s v="MNU006"/>
    <n v="1"/>
    <n v="20000"/>
    <x v="11"/>
    <n v="20000"/>
    <n v="8000"/>
    <n v="12000"/>
  </r>
  <r>
    <s v="DTL01233"/>
    <s v="TRX00499"/>
    <s v="MNU003"/>
    <n v="1"/>
    <n v="27000"/>
    <x v="4"/>
    <n v="27000"/>
    <n v="11000"/>
    <n v="16000"/>
  </r>
  <r>
    <s v="DTL01234"/>
    <s v="TRX00499"/>
    <s v="MNU006"/>
    <n v="1"/>
    <n v="20000"/>
    <x v="11"/>
    <n v="20000"/>
    <n v="8000"/>
    <n v="12000"/>
  </r>
  <r>
    <s v="DTL01235"/>
    <s v="TRX00499"/>
    <s v="MNU021"/>
    <n v="1"/>
    <n v="10000"/>
    <x v="16"/>
    <n v="10000"/>
    <n v="3500"/>
    <n v="6500"/>
  </r>
  <r>
    <s v="DTL01236"/>
    <s v="TRX00499"/>
    <s v="MNU016"/>
    <n v="1"/>
    <n v="18000"/>
    <x v="0"/>
    <n v="18000"/>
    <n v="4500"/>
    <n v="13500"/>
  </r>
  <r>
    <s v="DTL01237"/>
    <s v="TRX00499"/>
    <s v="MNU009"/>
    <n v="1"/>
    <n v="23000"/>
    <x v="3"/>
    <n v="23000"/>
    <n v="9000"/>
    <n v="14000"/>
  </r>
  <r>
    <s v="DTL01238"/>
    <s v="TRX00500"/>
    <s v="MNU004"/>
    <n v="1"/>
    <n v="22000"/>
    <x v="14"/>
    <n v="22000"/>
    <n v="9500"/>
    <n v="12500"/>
  </r>
  <r>
    <s v="DTL01239"/>
    <s v="TRX00500"/>
    <s v="MNU003"/>
    <n v="2"/>
    <n v="27000"/>
    <x v="4"/>
    <n v="54000"/>
    <n v="11000"/>
    <n v="32000"/>
  </r>
  <r>
    <s v="DTL01240"/>
    <s v="TRX00501"/>
    <s v="MNU003"/>
    <n v="1"/>
    <n v="27000"/>
    <x v="4"/>
    <n v="27000"/>
    <n v="11000"/>
    <n v="16000"/>
  </r>
  <r>
    <s v="DTL01241"/>
    <s v="TRX00501"/>
    <s v="MNU023"/>
    <n v="1"/>
    <n v="5000"/>
    <x v="13"/>
    <n v="5000"/>
    <n v="1500"/>
    <n v="3500"/>
  </r>
  <r>
    <s v="DTL01242"/>
    <s v="TRX00502"/>
    <s v="MNU019"/>
    <n v="1"/>
    <n v="5000"/>
    <x v="2"/>
    <n v="5000"/>
    <n v="2000"/>
    <n v="3000"/>
  </r>
  <r>
    <s v="DTL01243"/>
    <s v="TRX00502"/>
    <s v="MNU003"/>
    <n v="1"/>
    <n v="27000"/>
    <x v="4"/>
    <n v="27000"/>
    <n v="11000"/>
    <n v="16000"/>
  </r>
  <r>
    <s v="DTL01244"/>
    <s v="TRX00502"/>
    <s v="MNU006"/>
    <n v="1"/>
    <n v="20000"/>
    <x v="11"/>
    <n v="20000"/>
    <n v="8000"/>
    <n v="12000"/>
  </r>
  <r>
    <s v="DTL01245"/>
    <s v="TRX00502"/>
    <s v="MNU020"/>
    <n v="1"/>
    <n v="15000"/>
    <x v="19"/>
    <n v="15000"/>
    <n v="6000"/>
    <n v="9000"/>
  </r>
  <r>
    <s v="DTL01246"/>
    <s v="TRX00503"/>
    <s v="MNU006"/>
    <n v="1"/>
    <n v="20000"/>
    <x v="11"/>
    <n v="20000"/>
    <n v="8000"/>
    <n v="12000"/>
  </r>
  <r>
    <s v="DTL01247"/>
    <s v="TRX00503"/>
    <s v="MNU003"/>
    <n v="2"/>
    <n v="27000"/>
    <x v="4"/>
    <n v="54000"/>
    <n v="11000"/>
    <n v="32000"/>
  </r>
  <r>
    <s v="DTL01248"/>
    <s v="TRX00504"/>
    <s v="MNU023"/>
    <n v="1"/>
    <n v="5000"/>
    <x v="13"/>
    <n v="5000"/>
    <n v="1500"/>
    <n v="3500"/>
  </r>
  <r>
    <s v="DTL01249"/>
    <s v="TRX00504"/>
    <s v="MNU017"/>
    <n v="1"/>
    <n v="16000"/>
    <x v="9"/>
    <n v="16000"/>
    <n v="5500"/>
    <n v="10500"/>
  </r>
  <r>
    <s v="DTL01250"/>
    <s v="TRX00505"/>
    <s v="MNU011"/>
    <n v="1"/>
    <n v="29000"/>
    <x v="20"/>
    <n v="29000"/>
    <n v="13000"/>
    <n v="16000"/>
  </r>
  <r>
    <s v="DTL01251"/>
    <s v="TRX00505"/>
    <s v="MNU012"/>
    <n v="1"/>
    <n v="26000"/>
    <x v="15"/>
    <n v="26000"/>
    <n v="11500"/>
    <n v="14500"/>
  </r>
  <r>
    <s v="DTL01252"/>
    <s v="TRX00506"/>
    <s v="MNU003"/>
    <n v="1"/>
    <n v="27000"/>
    <x v="4"/>
    <n v="27000"/>
    <n v="11000"/>
    <n v="16000"/>
  </r>
  <r>
    <s v="DTL01253"/>
    <s v="TRX00507"/>
    <s v="MNU017"/>
    <n v="2"/>
    <n v="16000"/>
    <x v="9"/>
    <n v="32000"/>
    <n v="5500"/>
    <n v="21000"/>
  </r>
  <r>
    <s v="DTL01254"/>
    <s v="TRX00507"/>
    <s v="MNU021"/>
    <n v="1"/>
    <n v="10000"/>
    <x v="16"/>
    <n v="10000"/>
    <n v="3500"/>
    <n v="6500"/>
  </r>
  <r>
    <s v="DTL01255"/>
    <s v="TRX00508"/>
    <s v="MNU009"/>
    <n v="1"/>
    <n v="23000"/>
    <x v="3"/>
    <n v="23000"/>
    <n v="9000"/>
    <n v="14000"/>
  </r>
  <r>
    <s v="DTL01256"/>
    <s v="TRX00508"/>
    <s v="MNU006"/>
    <n v="1"/>
    <n v="20000"/>
    <x v="11"/>
    <n v="20000"/>
    <n v="8000"/>
    <n v="12000"/>
  </r>
  <r>
    <s v="DTL01257"/>
    <s v="TRX00509"/>
    <s v="MNU011"/>
    <n v="1"/>
    <n v="29000"/>
    <x v="20"/>
    <n v="29000"/>
    <n v="13000"/>
    <n v="16000"/>
  </r>
  <r>
    <s v="DTL01258"/>
    <s v="TRX00510"/>
    <s v="MNU003"/>
    <n v="3"/>
    <n v="27000"/>
    <x v="4"/>
    <n v="81000"/>
    <n v="11000"/>
    <n v="48000"/>
  </r>
  <r>
    <s v="DTL01259"/>
    <s v="TRX00510"/>
    <s v="MNU015"/>
    <n v="1"/>
    <n v="9000"/>
    <x v="10"/>
    <n v="9000"/>
    <n v="2000"/>
    <n v="7000"/>
  </r>
  <r>
    <s v="DTL01260"/>
    <s v="TRX00510"/>
    <s v="MNU002"/>
    <n v="1"/>
    <n v="23000"/>
    <x v="12"/>
    <n v="23000"/>
    <n v="8500"/>
    <n v="14500"/>
  </r>
  <r>
    <s v="DTL01261"/>
    <s v="TRX00511"/>
    <s v="MNU003"/>
    <n v="1"/>
    <n v="27000"/>
    <x v="4"/>
    <n v="27000"/>
    <n v="11000"/>
    <n v="16000"/>
  </r>
  <r>
    <s v="DTL01262"/>
    <s v="TRX00512"/>
    <s v="MNU003"/>
    <n v="1"/>
    <n v="27000"/>
    <x v="4"/>
    <n v="27000"/>
    <n v="11000"/>
    <n v="16000"/>
  </r>
  <r>
    <s v="DTL01263"/>
    <s v="TRX00513"/>
    <s v="MNU024"/>
    <n v="2"/>
    <n v="9000"/>
    <x v="1"/>
    <n v="18000"/>
    <n v="3000"/>
    <n v="12000"/>
  </r>
  <r>
    <s v="DTL01264"/>
    <s v="TRX00513"/>
    <s v="MNU009"/>
    <n v="1"/>
    <n v="23000"/>
    <x v="3"/>
    <n v="23000"/>
    <n v="9000"/>
    <n v="14000"/>
  </r>
  <r>
    <s v="DTL01265"/>
    <s v="TRX00513"/>
    <s v="MNU006"/>
    <n v="1"/>
    <n v="20000"/>
    <x v="11"/>
    <n v="20000"/>
    <n v="8000"/>
    <n v="12000"/>
  </r>
  <r>
    <s v="DTL01266"/>
    <s v="TRX00514"/>
    <s v="MNU011"/>
    <n v="2"/>
    <n v="29000"/>
    <x v="20"/>
    <n v="58000"/>
    <n v="13000"/>
    <n v="32000"/>
  </r>
  <r>
    <s v="DTL01267"/>
    <s v="TRX00514"/>
    <s v="MNU018"/>
    <n v="1"/>
    <n v="12000"/>
    <x v="6"/>
    <n v="12000"/>
    <n v="3000"/>
    <n v="9000"/>
  </r>
  <r>
    <s v="DTL01268"/>
    <s v="TRX00514"/>
    <s v="MNU019"/>
    <n v="1"/>
    <n v="5000"/>
    <x v="2"/>
    <n v="5000"/>
    <n v="2000"/>
    <n v="3000"/>
  </r>
  <r>
    <s v="DTL01269"/>
    <s v="TRX00515"/>
    <s v="MNU016"/>
    <n v="2"/>
    <n v="18000"/>
    <x v="0"/>
    <n v="36000"/>
    <n v="4500"/>
    <n v="27000"/>
  </r>
  <r>
    <s v="DTL01270"/>
    <s v="TRX00516"/>
    <s v="MNU009"/>
    <n v="1"/>
    <n v="23000"/>
    <x v="3"/>
    <n v="23000"/>
    <n v="9000"/>
    <n v="14000"/>
  </r>
  <r>
    <s v="DTL01271"/>
    <s v="TRX00516"/>
    <s v="MNU003"/>
    <n v="1"/>
    <n v="27000"/>
    <x v="4"/>
    <n v="27000"/>
    <n v="11000"/>
    <n v="16000"/>
  </r>
  <r>
    <s v="DTL01272"/>
    <s v="TRX00516"/>
    <s v="MNU023"/>
    <n v="1"/>
    <n v="5000"/>
    <x v="13"/>
    <n v="5000"/>
    <n v="1500"/>
    <n v="3500"/>
  </r>
  <r>
    <s v="DTL01273"/>
    <s v="TRX00517"/>
    <s v="MNU003"/>
    <n v="1"/>
    <n v="27000"/>
    <x v="4"/>
    <n v="27000"/>
    <n v="11000"/>
    <n v="16000"/>
  </r>
  <r>
    <s v="DTL01274"/>
    <s v="TRX00517"/>
    <s v="MNU009"/>
    <n v="1"/>
    <n v="23000"/>
    <x v="3"/>
    <n v="23000"/>
    <n v="9000"/>
    <n v="14000"/>
  </r>
  <r>
    <s v="DTL01275"/>
    <s v="TRX00517"/>
    <s v="MNU014"/>
    <n v="1"/>
    <n v="8000"/>
    <x v="5"/>
    <n v="8000"/>
    <n v="2500"/>
    <n v="5500"/>
  </r>
  <r>
    <s v="DTL01276"/>
    <s v="TRX00518"/>
    <s v="MNU020"/>
    <n v="1"/>
    <n v="15000"/>
    <x v="19"/>
    <n v="15000"/>
    <n v="6000"/>
    <n v="9000"/>
  </r>
  <r>
    <s v="DTL01277"/>
    <s v="TRX00518"/>
    <s v="MNU003"/>
    <n v="1"/>
    <n v="27000"/>
    <x v="4"/>
    <n v="27000"/>
    <n v="11000"/>
    <n v="16000"/>
  </r>
  <r>
    <s v="DTL01278"/>
    <s v="TRX00518"/>
    <s v="MNU019"/>
    <n v="1"/>
    <n v="5000"/>
    <x v="2"/>
    <n v="5000"/>
    <n v="2000"/>
    <n v="3000"/>
  </r>
  <r>
    <s v="DTL01279"/>
    <s v="TRX00518"/>
    <s v="MNU016"/>
    <n v="2"/>
    <n v="18000"/>
    <x v="0"/>
    <n v="36000"/>
    <n v="4500"/>
    <n v="27000"/>
  </r>
  <r>
    <s v="DTL01280"/>
    <s v="TRX00518"/>
    <s v="MNU012"/>
    <n v="1"/>
    <n v="26000"/>
    <x v="15"/>
    <n v="26000"/>
    <n v="11500"/>
    <n v="14500"/>
  </r>
  <r>
    <s v="DTL01281"/>
    <s v="TRX00519"/>
    <s v="MNU007"/>
    <n v="1"/>
    <n v="28000"/>
    <x v="8"/>
    <n v="28000"/>
    <n v="12000"/>
    <n v="16000"/>
  </r>
  <r>
    <s v="DTL01282"/>
    <s v="TRX00519"/>
    <s v="MNU019"/>
    <n v="1"/>
    <n v="5000"/>
    <x v="2"/>
    <n v="5000"/>
    <n v="2000"/>
    <n v="3000"/>
  </r>
  <r>
    <s v="DTL01283"/>
    <s v="TRX00519"/>
    <s v="MNU024"/>
    <n v="1"/>
    <n v="9000"/>
    <x v="1"/>
    <n v="9000"/>
    <n v="3000"/>
    <n v="6000"/>
  </r>
  <r>
    <s v="DTL01284"/>
    <s v="TRX00519"/>
    <s v="MNU003"/>
    <n v="1"/>
    <n v="27000"/>
    <x v="4"/>
    <n v="27000"/>
    <n v="11000"/>
    <n v="16000"/>
  </r>
  <r>
    <s v="DTL01285"/>
    <s v="TRX00520"/>
    <s v="MNU003"/>
    <n v="1"/>
    <n v="27000"/>
    <x v="4"/>
    <n v="27000"/>
    <n v="11000"/>
    <n v="16000"/>
  </r>
  <r>
    <s v="DTL01286"/>
    <s v="TRX00521"/>
    <s v="MNU002"/>
    <n v="1"/>
    <n v="23000"/>
    <x v="12"/>
    <n v="23000"/>
    <n v="8500"/>
    <n v="14500"/>
  </r>
  <r>
    <s v="DTL01287"/>
    <s v="TRX00521"/>
    <s v="MNU011"/>
    <n v="1"/>
    <n v="29000"/>
    <x v="20"/>
    <n v="29000"/>
    <n v="13000"/>
    <n v="16000"/>
  </r>
  <r>
    <s v="DTL01288"/>
    <s v="TRX00522"/>
    <s v="MNU015"/>
    <n v="1"/>
    <n v="9000"/>
    <x v="10"/>
    <n v="9000"/>
    <n v="2000"/>
    <n v="7000"/>
  </r>
  <r>
    <s v="DTL01289"/>
    <s v="TRX00522"/>
    <s v="MNU006"/>
    <n v="1"/>
    <n v="20000"/>
    <x v="11"/>
    <n v="20000"/>
    <n v="8000"/>
    <n v="12000"/>
  </r>
  <r>
    <s v="DTL01290"/>
    <s v="TRX00522"/>
    <s v="MNU016"/>
    <n v="1"/>
    <n v="18000"/>
    <x v="0"/>
    <n v="18000"/>
    <n v="4500"/>
    <n v="13500"/>
  </r>
  <r>
    <s v="DTL01291"/>
    <s v="TRX00522"/>
    <s v="MNU009"/>
    <n v="2"/>
    <n v="23000"/>
    <x v="3"/>
    <n v="46000"/>
    <n v="9000"/>
    <n v="28000"/>
  </r>
  <r>
    <s v="DTL01292"/>
    <s v="TRX00523"/>
    <s v="MNU003"/>
    <n v="2"/>
    <n v="27000"/>
    <x v="4"/>
    <n v="54000"/>
    <n v="11000"/>
    <n v="32000"/>
  </r>
  <r>
    <s v="DTL01293"/>
    <s v="TRX00524"/>
    <s v="MNU006"/>
    <n v="2"/>
    <n v="20000"/>
    <x v="11"/>
    <n v="40000"/>
    <n v="8000"/>
    <n v="24000"/>
  </r>
  <r>
    <s v="DTL01294"/>
    <s v="TRX00524"/>
    <s v="MNU003"/>
    <n v="2"/>
    <n v="27000"/>
    <x v="4"/>
    <n v="54000"/>
    <n v="11000"/>
    <n v="32000"/>
  </r>
  <r>
    <s v="DTL01295"/>
    <s v="TRX00525"/>
    <s v="MNU019"/>
    <n v="1"/>
    <n v="5000"/>
    <x v="2"/>
    <n v="5000"/>
    <n v="2000"/>
    <n v="3000"/>
  </r>
  <r>
    <s v="DTL01296"/>
    <s v="TRX00525"/>
    <s v="MNU003"/>
    <n v="1"/>
    <n v="27000"/>
    <x v="4"/>
    <n v="27000"/>
    <n v="11000"/>
    <n v="16000"/>
  </r>
  <r>
    <s v="DTL01297"/>
    <s v="TRX00525"/>
    <s v="MNU010"/>
    <n v="1"/>
    <n v="22000"/>
    <x v="7"/>
    <n v="22000"/>
    <n v="9500"/>
    <n v="12500"/>
  </r>
  <r>
    <s v="DTL01298"/>
    <s v="TRX00525"/>
    <s v="MNU006"/>
    <n v="1"/>
    <n v="20000"/>
    <x v="11"/>
    <n v="20000"/>
    <n v="8000"/>
    <n v="12000"/>
  </r>
  <r>
    <s v="DTL01299"/>
    <s v="TRX00526"/>
    <s v="MNU019"/>
    <n v="1"/>
    <n v="5000"/>
    <x v="2"/>
    <n v="5000"/>
    <n v="2000"/>
    <n v="3000"/>
  </r>
  <r>
    <s v="DTL01300"/>
    <s v="TRX00527"/>
    <s v="MNU003"/>
    <n v="1"/>
    <n v="27000"/>
    <x v="4"/>
    <n v="27000"/>
    <n v="11000"/>
    <n v="16000"/>
  </r>
  <r>
    <s v="DTL01301"/>
    <s v="TRX00527"/>
    <s v="MNU008"/>
    <n v="2"/>
    <n v="21000"/>
    <x v="21"/>
    <n v="42000"/>
    <n v="8500"/>
    <n v="25000"/>
  </r>
  <r>
    <s v="DTL01302"/>
    <s v="TRX00527"/>
    <s v="MNU015"/>
    <n v="2"/>
    <n v="9000"/>
    <x v="10"/>
    <n v="18000"/>
    <n v="2000"/>
    <n v="14000"/>
  </r>
  <r>
    <s v="DTL01303"/>
    <s v="TRX00528"/>
    <s v="MNU003"/>
    <n v="1"/>
    <n v="27000"/>
    <x v="4"/>
    <n v="27000"/>
    <n v="11000"/>
    <n v="16000"/>
  </r>
  <r>
    <s v="DTL01304"/>
    <s v="TRX00528"/>
    <s v="MNU014"/>
    <n v="2"/>
    <n v="8000"/>
    <x v="5"/>
    <n v="16000"/>
    <n v="2500"/>
    <n v="11000"/>
  </r>
  <r>
    <s v="DTL01305"/>
    <s v="TRX00529"/>
    <s v="MNU003"/>
    <n v="1"/>
    <n v="27000"/>
    <x v="4"/>
    <n v="27000"/>
    <n v="11000"/>
    <n v="16000"/>
  </r>
  <r>
    <s v="DTL01306"/>
    <s v="TRX00529"/>
    <s v="MNU019"/>
    <n v="1"/>
    <n v="5000"/>
    <x v="2"/>
    <n v="5000"/>
    <n v="2000"/>
    <n v="3000"/>
  </r>
  <r>
    <s v="DTL01307"/>
    <s v="TRX00529"/>
    <s v="MNU006"/>
    <n v="1"/>
    <n v="20000"/>
    <x v="11"/>
    <n v="20000"/>
    <n v="8000"/>
    <n v="12000"/>
  </r>
  <r>
    <s v="DTL01308"/>
    <s v="TRX00530"/>
    <s v="MNU003"/>
    <n v="1"/>
    <n v="27000"/>
    <x v="4"/>
    <n v="27000"/>
    <n v="11000"/>
    <n v="16000"/>
  </r>
  <r>
    <s v="DTL01309"/>
    <s v="TRX00530"/>
    <s v="MNU019"/>
    <n v="2"/>
    <n v="5000"/>
    <x v="2"/>
    <n v="10000"/>
    <n v="2000"/>
    <n v="6000"/>
  </r>
  <r>
    <s v="DTL01310"/>
    <s v="TRX00530"/>
    <s v="MNU012"/>
    <n v="1"/>
    <n v="26000"/>
    <x v="15"/>
    <n v="26000"/>
    <n v="11500"/>
    <n v="14500"/>
  </r>
  <r>
    <s v="DTL01311"/>
    <s v="TRX00530"/>
    <s v="MNU004"/>
    <n v="1"/>
    <n v="22000"/>
    <x v="14"/>
    <n v="22000"/>
    <n v="9500"/>
    <n v="12500"/>
  </r>
  <r>
    <s v="DTL01312"/>
    <s v="TRX00530"/>
    <s v="MNU009"/>
    <n v="2"/>
    <n v="23000"/>
    <x v="3"/>
    <n v="46000"/>
    <n v="9000"/>
    <n v="28000"/>
  </r>
  <r>
    <s v="DTL01313"/>
    <s v="TRX00531"/>
    <s v="MNU003"/>
    <n v="1"/>
    <n v="27000"/>
    <x v="4"/>
    <n v="27000"/>
    <n v="11000"/>
    <n v="16000"/>
  </r>
  <r>
    <s v="DTL01314"/>
    <s v="TRX00532"/>
    <s v="MNU006"/>
    <n v="1"/>
    <n v="20000"/>
    <x v="11"/>
    <n v="20000"/>
    <n v="8000"/>
    <n v="12000"/>
  </r>
  <r>
    <s v="DTL01315"/>
    <s v="TRX00532"/>
    <s v="MNU008"/>
    <n v="1"/>
    <n v="21000"/>
    <x v="21"/>
    <n v="21000"/>
    <n v="8500"/>
    <n v="12500"/>
  </r>
  <r>
    <s v="DTL01316"/>
    <s v="TRX00532"/>
    <s v="MNU011"/>
    <n v="1"/>
    <n v="29000"/>
    <x v="20"/>
    <n v="29000"/>
    <n v="13000"/>
    <n v="16000"/>
  </r>
  <r>
    <s v="DTL01317"/>
    <s v="TRX00532"/>
    <s v="MNU009"/>
    <n v="1"/>
    <n v="23000"/>
    <x v="3"/>
    <n v="23000"/>
    <n v="9000"/>
    <n v="14000"/>
  </r>
  <r>
    <s v="DTL01318"/>
    <s v="TRX00533"/>
    <s v="MNU013"/>
    <n v="1"/>
    <n v="6000"/>
    <x v="22"/>
    <n v="6000"/>
    <n v="1500"/>
    <n v="4500"/>
  </r>
  <r>
    <s v="DTL01319"/>
    <s v="TRX00533"/>
    <s v="MNU023"/>
    <n v="1"/>
    <n v="5000"/>
    <x v="13"/>
    <n v="5000"/>
    <n v="1500"/>
    <n v="3500"/>
  </r>
  <r>
    <s v="DTL01320"/>
    <s v="TRX00533"/>
    <s v="MNU014"/>
    <n v="1"/>
    <n v="8000"/>
    <x v="5"/>
    <n v="8000"/>
    <n v="2500"/>
    <n v="5500"/>
  </r>
  <r>
    <s v="DTL01321"/>
    <s v="TRX00534"/>
    <s v="MNU003"/>
    <n v="2"/>
    <n v="27000"/>
    <x v="4"/>
    <n v="54000"/>
    <n v="11000"/>
    <n v="32000"/>
  </r>
  <r>
    <s v="DTL01322"/>
    <s v="TRX00534"/>
    <s v="MNU024"/>
    <n v="1"/>
    <n v="9000"/>
    <x v="1"/>
    <n v="9000"/>
    <n v="3000"/>
    <n v="6000"/>
  </r>
  <r>
    <s v="DTL01323"/>
    <s v="TRX00534"/>
    <s v="MNU019"/>
    <n v="1"/>
    <n v="5000"/>
    <x v="2"/>
    <n v="5000"/>
    <n v="2000"/>
    <n v="3000"/>
  </r>
  <r>
    <s v="DTL01324"/>
    <s v="TRX00535"/>
    <s v="MNU003"/>
    <n v="1"/>
    <n v="27000"/>
    <x v="4"/>
    <n v="27000"/>
    <n v="11000"/>
    <n v="16000"/>
  </r>
  <r>
    <s v="DTL01325"/>
    <s v="TRX00535"/>
    <s v="MNU018"/>
    <n v="1"/>
    <n v="12000"/>
    <x v="6"/>
    <n v="12000"/>
    <n v="3000"/>
    <n v="9000"/>
  </r>
  <r>
    <s v="DTL01326"/>
    <s v="TRX00535"/>
    <s v="MNU004"/>
    <n v="1"/>
    <n v="22000"/>
    <x v="14"/>
    <n v="22000"/>
    <n v="9500"/>
    <n v="12500"/>
  </r>
  <r>
    <s v="DTL01327"/>
    <s v="TRX00535"/>
    <s v="MNU015"/>
    <n v="2"/>
    <n v="9000"/>
    <x v="10"/>
    <n v="18000"/>
    <n v="2000"/>
    <n v="14000"/>
  </r>
  <r>
    <s v="DTL01328"/>
    <s v="TRX00536"/>
    <s v="MNU020"/>
    <n v="1"/>
    <n v="15000"/>
    <x v="19"/>
    <n v="15000"/>
    <n v="6000"/>
    <n v="9000"/>
  </r>
  <r>
    <s v="DTL01329"/>
    <s v="TRX00537"/>
    <s v="MNU006"/>
    <n v="3"/>
    <n v="20000"/>
    <x v="11"/>
    <n v="60000"/>
    <n v="8000"/>
    <n v="36000"/>
  </r>
  <r>
    <s v="DTL01330"/>
    <s v="TRX00537"/>
    <s v="MNU016"/>
    <n v="2"/>
    <n v="18000"/>
    <x v="0"/>
    <n v="36000"/>
    <n v="4500"/>
    <n v="27000"/>
  </r>
  <r>
    <s v="DTL01331"/>
    <s v="TRX00537"/>
    <s v="MNU019"/>
    <n v="1"/>
    <n v="5000"/>
    <x v="2"/>
    <n v="5000"/>
    <n v="2000"/>
    <n v="3000"/>
  </r>
  <r>
    <s v="DTL01332"/>
    <s v="TRX00538"/>
    <s v="MNU016"/>
    <n v="1"/>
    <n v="18000"/>
    <x v="0"/>
    <n v="18000"/>
    <n v="4500"/>
    <n v="13500"/>
  </r>
  <r>
    <s v="DTL01333"/>
    <s v="TRX00538"/>
    <s v="MNU017"/>
    <n v="2"/>
    <n v="16000"/>
    <x v="9"/>
    <n v="32000"/>
    <n v="5500"/>
    <n v="21000"/>
  </r>
  <r>
    <s v="DTL01334"/>
    <s v="TRX00538"/>
    <s v="MNU003"/>
    <n v="1"/>
    <n v="27000"/>
    <x v="4"/>
    <n v="27000"/>
    <n v="11000"/>
    <n v="16000"/>
  </r>
  <r>
    <s v="DTL01335"/>
    <s v="TRX00538"/>
    <s v="MNU004"/>
    <n v="1"/>
    <n v="22000"/>
    <x v="14"/>
    <n v="22000"/>
    <n v="9500"/>
    <n v="12500"/>
  </r>
  <r>
    <s v="DTL01336"/>
    <s v="TRX00539"/>
    <s v="MNU007"/>
    <n v="1"/>
    <n v="28000"/>
    <x v="8"/>
    <n v="28000"/>
    <n v="12000"/>
    <n v="16000"/>
  </r>
  <r>
    <s v="DTL01337"/>
    <s v="TRX00540"/>
    <s v="MNU003"/>
    <n v="1"/>
    <n v="27000"/>
    <x v="4"/>
    <n v="27000"/>
    <n v="11000"/>
    <n v="16000"/>
  </r>
  <r>
    <s v="DTL01338"/>
    <s v="TRX00540"/>
    <s v="MNU019"/>
    <n v="2"/>
    <n v="5000"/>
    <x v="2"/>
    <n v="10000"/>
    <n v="2000"/>
    <n v="6000"/>
  </r>
  <r>
    <s v="DTL01339"/>
    <s v="TRX00540"/>
    <s v="MNU015"/>
    <n v="1"/>
    <n v="9000"/>
    <x v="10"/>
    <n v="9000"/>
    <n v="2000"/>
    <n v="7000"/>
  </r>
  <r>
    <s v="DTL01340"/>
    <s v="TRX00541"/>
    <s v="MNU004"/>
    <n v="1"/>
    <n v="22000"/>
    <x v="14"/>
    <n v="22000"/>
    <n v="9500"/>
    <n v="12500"/>
  </r>
  <r>
    <s v="DTL01341"/>
    <s v="TRX00541"/>
    <s v="MNU013"/>
    <n v="2"/>
    <n v="6000"/>
    <x v="22"/>
    <n v="12000"/>
    <n v="1500"/>
    <n v="9000"/>
  </r>
  <r>
    <s v="DTL01342"/>
    <s v="TRX00541"/>
    <s v="MNU020"/>
    <n v="2"/>
    <n v="15000"/>
    <x v="19"/>
    <n v="30000"/>
    <n v="6000"/>
    <n v="18000"/>
  </r>
  <r>
    <s v="DTL01343"/>
    <s v="TRX00541"/>
    <s v="MNU006"/>
    <n v="1"/>
    <n v="20000"/>
    <x v="11"/>
    <n v="20000"/>
    <n v="8000"/>
    <n v="12000"/>
  </r>
  <r>
    <s v="DTL01344"/>
    <s v="TRX00542"/>
    <s v="MNU011"/>
    <n v="2"/>
    <n v="29000"/>
    <x v="20"/>
    <n v="58000"/>
    <n v="13000"/>
    <n v="32000"/>
  </r>
  <r>
    <s v="DTL01345"/>
    <s v="TRX00543"/>
    <s v="MNU019"/>
    <n v="3"/>
    <n v="5000"/>
    <x v="2"/>
    <n v="15000"/>
    <n v="2000"/>
    <n v="9000"/>
  </r>
  <r>
    <s v="DTL01346"/>
    <s v="TRX00543"/>
    <s v="MNU003"/>
    <n v="2"/>
    <n v="27000"/>
    <x v="4"/>
    <n v="54000"/>
    <n v="11000"/>
    <n v="32000"/>
  </r>
  <r>
    <s v="DTL01347"/>
    <s v="TRX00544"/>
    <s v="MNU003"/>
    <n v="1"/>
    <n v="27000"/>
    <x v="4"/>
    <n v="27000"/>
    <n v="11000"/>
    <n v="16000"/>
  </r>
  <r>
    <s v="DTL01348"/>
    <s v="TRX00545"/>
    <s v="MNU004"/>
    <n v="3"/>
    <n v="22000"/>
    <x v="14"/>
    <n v="66000"/>
    <n v="9500"/>
    <n v="37500"/>
  </r>
  <r>
    <s v="DTL01349"/>
    <s v="TRX00545"/>
    <s v="MNU010"/>
    <n v="1"/>
    <n v="22000"/>
    <x v="7"/>
    <n v="22000"/>
    <n v="9500"/>
    <n v="12500"/>
  </r>
  <r>
    <s v="DTL01350"/>
    <s v="TRX00545"/>
    <s v="MNU020"/>
    <n v="1"/>
    <n v="15000"/>
    <x v="19"/>
    <n v="15000"/>
    <n v="6000"/>
    <n v="9000"/>
  </r>
  <r>
    <s v="DTL01351"/>
    <s v="TRX00546"/>
    <s v="MNU018"/>
    <n v="1"/>
    <n v="12000"/>
    <x v="6"/>
    <n v="12000"/>
    <n v="3000"/>
    <n v="9000"/>
  </r>
  <r>
    <s v="DTL01352"/>
    <s v="TRX00546"/>
    <s v="MNU013"/>
    <n v="1"/>
    <n v="6000"/>
    <x v="22"/>
    <n v="6000"/>
    <n v="1500"/>
    <n v="4500"/>
  </r>
  <r>
    <s v="DTL01353"/>
    <s v="TRX00546"/>
    <s v="MNU003"/>
    <n v="1"/>
    <n v="27000"/>
    <x v="4"/>
    <n v="27000"/>
    <n v="11000"/>
    <n v="16000"/>
  </r>
  <r>
    <s v="DTL01354"/>
    <s v="TRX00547"/>
    <s v="MNU016"/>
    <n v="1"/>
    <n v="18000"/>
    <x v="0"/>
    <n v="18000"/>
    <n v="4500"/>
    <n v="13500"/>
  </r>
  <r>
    <s v="DTL01355"/>
    <s v="TRX00547"/>
    <s v="MNU010"/>
    <n v="1"/>
    <n v="22000"/>
    <x v="7"/>
    <n v="22000"/>
    <n v="9500"/>
    <n v="12500"/>
  </r>
  <r>
    <s v="DTL01356"/>
    <s v="TRX00548"/>
    <s v="MNU011"/>
    <n v="1"/>
    <n v="29000"/>
    <x v="20"/>
    <n v="29000"/>
    <n v="13000"/>
    <n v="16000"/>
  </r>
  <r>
    <s v="DTL01357"/>
    <s v="TRX00548"/>
    <s v="MNU003"/>
    <n v="1"/>
    <n v="27000"/>
    <x v="4"/>
    <n v="27000"/>
    <n v="11000"/>
    <n v="16000"/>
  </r>
  <r>
    <s v="DTL01358"/>
    <s v="TRX00549"/>
    <s v="MNU003"/>
    <n v="1"/>
    <n v="27000"/>
    <x v="4"/>
    <n v="27000"/>
    <n v="11000"/>
    <n v="16000"/>
  </r>
  <r>
    <s v="DTL01359"/>
    <s v="TRX00549"/>
    <s v="MNU004"/>
    <n v="1"/>
    <n v="22000"/>
    <x v="14"/>
    <n v="22000"/>
    <n v="9500"/>
    <n v="12500"/>
  </r>
  <r>
    <s v="DTL01360"/>
    <s v="TRX00550"/>
    <s v="MNU017"/>
    <n v="1"/>
    <n v="16000"/>
    <x v="9"/>
    <n v="16000"/>
    <n v="5500"/>
    <n v="10500"/>
  </r>
  <r>
    <s v="DTL01361"/>
    <s v="TRX00550"/>
    <s v="MNU003"/>
    <n v="2"/>
    <n v="27000"/>
    <x v="4"/>
    <n v="54000"/>
    <n v="11000"/>
    <n v="32000"/>
  </r>
  <r>
    <s v="DTL01362"/>
    <s v="TRX00551"/>
    <s v="MNU003"/>
    <n v="2"/>
    <n v="27000"/>
    <x v="4"/>
    <n v="54000"/>
    <n v="11000"/>
    <n v="32000"/>
  </r>
  <r>
    <s v="DTL01363"/>
    <s v="TRX00552"/>
    <s v="MNU009"/>
    <n v="1"/>
    <n v="23000"/>
    <x v="3"/>
    <n v="23000"/>
    <n v="9000"/>
    <n v="14000"/>
  </r>
  <r>
    <s v="DTL01364"/>
    <s v="TRX00553"/>
    <s v="MNU003"/>
    <n v="1"/>
    <n v="27000"/>
    <x v="4"/>
    <n v="27000"/>
    <n v="11000"/>
    <n v="16000"/>
  </r>
  <r>
    <s v="DTL01365"/>
    <s v="TRX00553"/>
    <s v="MNU017"/>
    <n v="2"/>
    <n v="16000"/>
    <x v="9"/>
    <n v="32000"/>
    <n v="5500"/>
    <n v="21000"/>
  </r>
  <r>
    <s v="DTL01366"/>
    <s v="TRX00553"/>
    <s v="MNU009"/>
    <n v="1"/>
    <n v="23000"/>
    <x v="3"/>
    <n v="23000"/>
    <n v="9000"/>
    <n v="14000"/>
  </r>
  <r>
    <s v="DTL01367"/>
    <s v="TRX00554"/>
    <s v="MNU003"/>
    <n v="1"/>
    <n v="27000"/>
    <x v="4"/>
    <n v="27000"/>
    <n v="11000"/>
    <n v="16000"/>
  </r>
  <r>
    <s v="DTL01368"/>
    <s v="TRX00554"/>
    <s v="MNU005"/>
    <n v="1"/>
    <n v="32000"/>
    <x v="18"/>
    <n v="32000"/>
    <n v="14000"/>
    <n v="18000"/>
  </r>
  <r>
    <s v="DTL01369"/>
    <s v="TRX00554"/>
    <s v="MNU016"/>
    <n v="1"/>
    <n v="18000"/>
    <x v="0"/>
    <n v="18000"/>
    <n v="4500"/>
    <n v="13500"/>
  </r>
  <r>
    <s v="DTL01370"/>
    <s v="TRX00555"/>
    <s v="MNU003"/>
    <n v="2"/>
    <n v="27000"/>
    <x v="4"/>
    <n v="54000"/>
    <n v="11000"/>
    <n v="32000"/>
  </r>
  <r>
    <s v="DTL01371"/>
    <s v="TRX00555"/>
    <s v="MNU018"/>
    <n v="1"/>
    <n v="12000"/>
    <x v="6"/>
    <n v="12000"/>
    <n v="3000"/>
    <n v="9000"/>
  </r>
  <r>
    <s v="DTL01372"/>
    <s v="TRX00555"/>
    <s v="MNU021"/>
    <n v="1"/>
    <n v="10000"/>
    <x v="16"/>
    <n v="10000"/>
    <n v="3500"/>
    <n v="6500"/>
  </r>
  <r>
    <s v="DTL01373"/>
    <s v="TRX00556"/>
    <s v="MNU019"/>
    <n v="1"/>
    <n v="5000"/>
    <x v="2"/>
    <n v="5000"/>
    <n v="2000"/>
    <n v="3000"/>
  </r>
  <r>
    <s v="DTL01374"/>
    <s v="TRX00556"/>
    <s v="MNU006"/>
    <n v="1"/>
    <n v="20000"/>
    <x v="11"/>
    <n v="20000"/>
    <n v="8000"/>
    <n v="12000"/>
  </r>
  <r>
    <s v="DTL01375"/>
    <s v="TRX00556"/>
    <s v="MNU003"/>
    <n v="1"/>
    <n v="27000"/>
    <x v="4"/>
    <n v="27000"/>
    <n v="11000"/>
    <n v="16000"/>
  </r>
  <r>
    <s v="DTL01376"/>
    <s v="TRX00556"/>
    <s v="MNU011"/>
    <n v="1"/>
    <n v="29000"/>
    <x v="20"/>
    <n v="29000"/>
    <n v="13000"/>
    <n v="16000"/>
  </r>
  <r>
    <s v="DTL01377"/>
    <s v="TRX00557"/>
    <s v="MNU012"/>
    <n v="1"/>
    <n v="26000"/>
    <x v="15"/>
    <n v="26000"/>
    <n v="11500"/>
    <n v="14500"/>
  </r>
  <r>
    <s v="DTL01378"/>
    <s v="TRX00557"/>
    <s v="MNU003"/>
    <n v="3"/>
    <n v="27000"/>
    <x v="4"/>
    <n v="81000"/>
    <n v="11000"/>
    <n v="48000"/>
  </r>
  <r>
    <s v="DTL01379"/>
    <s v="TRX00557"/>
    <s v="MNU018"/>
    <n v="2"/>
    <n v="12000"/>
    <x v="6"/>
    <n v="24000"/>
    <n v="3000"/>
    <n v="18000"/>
  </r>
  <r>
    <s v="DTL01380"/>
    <s v="TRX00558"/>
    <s v="MNU018"/>
    <n v="1"/>
    <n v="12000"/>
    <x v="6"/>
    <n v="12000"/>
    <n v="3000"/>
    <n v="9000"/>
  </r>
  <r>
    <s v="DTL01381"/>
    <s v="TRX00558"/>
    <s v="MNU003"/>
    <n v="3"/>
    <n v="27000"/>
    <x v="4"/>
    <n v="81000"/>
    <n v="11000"/>
    <n v="48000"/>
  </r>
  <r>
    <s v="DTL01382"/>
    <s v="TRX00558"/>
    <s v="MNU019"/>
    <n v="1"/>
    <n v="5000"/>
    <x v="2"/>
    <n v="5000"/>
    <n v="2000"/>
    <n v="3000"/>
  </r>
  <r>
    <s v="DTL01383"/>
    <s v="TRX00559"/>
    <s v="MNU020"/>
    <n v="1"/>
    <n v="15000"/>
    <x v="19"/>
    <n v="15000"/>
    <n v="6000"/>
    <n v="9000"/>
  </r>
  <r>
    <s v="DTL01384"/>
    <s v="TRX00560"/>
    <s v="MNU023"/>
    <n v="1"/>
    <n v="5000"/>
    <x v="13"/>
    <n v="5000"/>
    <n v="1500"/>
    <n v="3500"/>
  </r>
  <r>
    <s v="DTL01385"/>
    <s v="TRX00560"/>
    <s v="MNU003"/>
    <n v="2"/>
    <n v="27000"/>
    <x v="4"/>
    <n v="54000"/>
    <n v="11000"/>
    <n v="32000"/>
  </r>
  <r>
    <s v="DTL01386"/>
    <s v="TRX00560"/>
    <s v="MNU020"/>
    <n v="2"/>
    <n v="15000"/>
    <x v="19"/>
    <n v="30000"/>
    <n v="6000"/>
    <n v="18000"/>
  </r>
  <r>
    <s v="DTL01387"/>
    <s v="TRX00560"/>
    <s v="MNU011"/>
    <n v="1"/>
    <n v="29000"/>
    <x v="20"/>
    <n v="29000"/>
    <n v="13000"/>
    <n v="16000"/>
  </r>
  <r>
    <s v="DTL01388"/>
    <s v="TRX00560"/>
    <s v="MNU012"/>
    <n v="1"/>
    <n v="26000"/>
    <x v="15"/>
    <n v="26000"/>
    <n v="11500"/>
    <n v="14500"/>
  </r>
  <r>
    <s v="DTL01389"/>
    <s v="TRX00561"/>
    <s v="MNU024"/>
    <n v="1"/>
    <n v="9000"/>
    <x v="1"/>
    <n v="9000"/>
    <n v="3000"/>
    <n v="6000"/>
  </r>
  <r>
    <s v="DTL01390"/>
    <s v="TRX00561"/>
    <s v="MNU003"/>
    <n v="1"/>
    <n v="27000"/>
    <x v="4"/>
    <n v="27000"/>
    <n v="11000"/>
    <n v="16000"/>
  </r>
  <r>
    <s v="DTL01391"/>
    <s v="TRX00561"/>
    <s v="MNU017"/>
    <n v="1"/>
    <n v="16000"/>
    <x v="9"/>
    <n v="16000"/>
    <n v="5500"/>
    <n v="10500"/>
  </r>
  <r>
    <s v="DTL01392"/>
    <s v="TRX00561"/>
    <s v="MNU011"/>
    <n v="1"/>
    <n v="29000"/>
    <x v="20"/>
    <n v="29000"/>
    <n v="13000"/>
    <n v="16000"/>
  </r>
  <r>
    <s v="DTL01393"/>
    <s v="TRX00562"/>
    <s v="MNU003"/>
    <n v="1"/>
    <n v="27000"/>
    <x v="4"/>
    <n v="27000"/>
    <n v="11000"/>
    <n v="16000"/>
  </r>
  <r>
    <s v="DTL01394"/>
    <s v="TRX00562"/>
    <s v="MNU020"/>
    <n v="1"/>
    <n v="15000"/>
    <x v="19"/>
    <n v="15000"/>
    <n v="6000"/>
    <n v="9000"/>
  </r>
  <r>
    <s v="DTL01395"/>
    <s v="TRX00562"/>
    <s v="MNU024"/>
    <n v="1"/>
    <n v="9000"/>
    <x v="1"/>
    <n v="9000"/>
    <n v="3000"/>
    <n v="6000"/>
  </r>
  <r>
    <s v="DTL01396"/>
    <s v="TRX00563"/>
    <s v="MNU003"/>
    <n v="1"/>
    <n v="27000"/>
    <x v="4"/>
    <n v="27000"/>
    <n v="11000"/>
    <n v="16000"/>
  </r>
  <r>
    <s v="DTL01397"/>
    <s v="TRX00563"/>
    <s v="MNU002"/>
    <n v="1"/>
    <n v="23000"/>
    <x v="12"/>
    <n v="23000"/>
    <n v="8500"/>
    <n v="14500"/>
  </r>
  <r>
    <s v="DTL01398"/>
    <s v="TRX00563"/>
    <s v="MNU012"/>
    <n v="1"/>
    <n v="26000"/>
    <x v="15"/>
    <n v="26000"/>
    <n v="11500"/>
    <n v="14500"/>
  </r>
  <r>
    <s v="DTL01399"/>
    <s v="TRX00564"/>
    <s v="MNU018"/>
    <n v="1"/>
    <n v="12000"/>
    <x v="6"/>
    <n v="12000"/>
    <n v="3000"/>
    <n v="9000"/>
  </r>
  <r>
    <s v="DTL01400"/>
    <s v="TRX00564"/>
    <s v="MNU019"/>
    <n v="1"/>
    <n v="5000"/>
    <x v="2"/>
    <n v="5000"/>
    <n v="2000"/>
    <n v="3000"/>
  </r>
  <r>
    <s v="DTL01401"/>
    <s v="TRX00565"/>
    <s v="MNU008"/>
    <n v="1"/>
    <n v="21000"/>
    <x v="21"/>
    <n v="21000"/>
    <n v="8500"/>
    <n v="12500"/>
  </r>
  <r>
    <s v="DTL01402"/>
    <s v="TRX00565"/>
    <s v="MNU012"/>
    <n v="3"/>
    <n v="26000"/>
    <x v="15"/>
    <n v="78000"/>
    <n v="11500"/>
    <n v="43500"/>
  </r>
  <r>
    <s v="DTL01403"/>
    <s v="TRX00566"/>
    <s v="MNU006"/>
    <n v="1"/>
    <n v="20000"/>
    <x v="11"/>
    <n v="20000"/>
    <n v="8000"/>
    <n v="12000"/>
  </r>
  <r>
    <s v="DTL01404"/>
    <s v="TRX00566"/>
    <s v="MNU003"/>
    <n v="1"/>
    <n v="27000"/>
    <x v="4"/>
    <n v="27000"/>
    <n v="11000"/>
    <n v="16000"/>
  </r>
  <r>
    <s v="DTL01405"/>
    <s v="TRX00566"/>
    <s v="MNU004"/>
    <n v="3"/>
    <n v="22000"/>
    <x v="14"/>
    <n v="66000"/>
    <n v="9500"/>
    <n v="37500"/>
  </r>
  <r>
    <s v="DTL01406"/>
    <s v="TRX00567"/>
    <s v="MNU003"/>
    <n v="1"/>
    <n v="27000"/>
    <x v="4"/>
    <n v="27000"/>
    <n v="11000"/>
    <n v="16000"/>
  </r>
  <r>
    <s v="DTL01407"/>
    <s v="TRX00567"/>
    <s v="MNU011"/>
    <n v="1"/>
    <n v="29000"/>
    <x v="20"/>
    <n v="29000"/>
    <n v="13000"/>
    <n v="16000"/>
  </r>
  <r>
    <s v="DTL01408"/>
    <s v="TRX00568"/>
    <s v="MNU006"/>
    <n v="1"/>
    <n v="20000"/>
    <x v="11"/>
    <n v="20000"/>
    <n v="8000"/>
    <n v="12000"/>
  </r>
  <r>
    <s v="DTL01409"/>
    <s v="TRX00568"/>
    <s v="MNU011"/>
    <n v="1"/>
    <n v="29000"/>
    <x v="20"/>
    <n v="29000"/>
    <n v="13000"/>
    <n v="16000"/>
  </r>
  <r>
    <s v="DTL01410"/>
    <s v="TRX00568"/>
    <s v="MNU003"/>
    <n v="1"/>
    <n v="27000"/>
    <x v="4"/>
    <n v="27000"/>
    <n v="11000"/>
    <n v="16000"/>
  </r>
  <r>
    <s v="DTL01411"/>
    <s v="TRX00568"/>
    <s v="MNU016"/>
    <n v="1"/>
    <n v="18000"/>
    <x v="0"/>
    <n v="18000"/>
    <n v="4500"/>
    <n v="13500"/>
  </r>
  <r>
    <s v="DTL01412"/>
    <s v="TRX00569"/>
    <s v="MNU020"/>
    <n v="2"/>
    <n v="15000"/>
    <x v="19"/>
    <n v="30000"/>
    <n v="6000"/>
    <n v="18000"/>
  </r>
  <r>
    <s v="DTL01413"/>
    <s v="TRX00569"/>
    <s v="MNU012"/>
    <n v="1"/>
    <n v="26000"/>
    <x v="15"/>
    <n v="26000"/>
    <n v="11500"/>
    <n v="14500"/>
  </r>
  <r>
    <s v="DTL01414"/>
    <s v="TRX00570"/>
    <s v="MNU011"/>
    <n v="2"/>
    <n v="29000"/>
    <x v="20"/>
    <n v="58000"/>
    <n v="13000"/>
    <n v="32000"/>
  </r>
  <r>
    <s v="DTL01415"/>
    <s v="TRX00570"/>
    <s v="MNU023"/>
    <n v="1"/>
    <n v="5000"/>
    <x v="13"/>
    <n v="5000"/>
    <n v="1500"/>
    <n v="3500"/>
  </r>
  <r>
    <s v="DTL01416"/>
    <s v="TRX00570"/>
    <s v="MNU003"/>
    <n v="1"/>
    <n v="27000"/>
    <x v="4"/>
    <n v="27000"/>
    <n v="11000"/>
    <n v="16000"/>
  </r>
  <r>
    <s v="DTL01417"/>
    <s v="TRX00571"/>
    <s v="MNU009"/>
    <n v="3"/>
    <n v="23000"/>
    <x v="3"/>
    <n v="69000"/>
    <n v="9000"/>
    <n v="42000"/>
  </r>
  <r>
    <s v="DTL01418"/>
    <s v="TRX00571"/>
    <s v="MNU003"/>
    <n v="1"/>
    <n v="27000"/>
    <x v="4"/>
    <n v="27000"/>
    <n v="11000"/>
    <n v="16000"/>
  </r>
  <r>
    <s v="DTL01419"/>
    <s v="TRX00571"/>
    <s v="MNU013"/>
    <n v="1"/>
    <n v="6000"/>
    <x v="22"/>
    <n v="6000"/>
    <n v="1500"/>
    <n v="4500"/>
  </r>
  <r>
    <s v="DTL01420"/>
    <s v="TRX00572"/>
    <s v="MNU003"/>
    <n v="3"/>
    <n v="27000"/>
    <x v="4"/>
    <n v="81000"/>
    <n v="11000"/>
    <n v="48000"/>
  </r>
  <r>
    <s v="DTL01421"/>
    <s v="TRX00573"/>
    <s v="MNU003"/>
    <n v="1"/>
    <n v="27000"/>
    <x v="4"/>
    <n v="27000"/>
    <n v="11000"/>
    <n v="16000"/>
  </r>
  <r>
    <s v="DTL01422"/>
    <s v="TRX00574"/>
    <s v="MNU018"/>
    <n v="1"/>
    <n v="12000"/>
    <x v="6"/>
    <n v="12000"/>
    <n v="3000"/>
    <n v="9000"/>
  </r>
  <r>
    <s v="DTL01423"/>
    <s v="TRX00574"/>
    <s v="MNU016"/>
    <n v="1"/>
    <n v="18000"/>
    <x v="0"/>
    <n v="18000"/>
    <n v="4500"/>
    <n v="13500"/>
  </r>
  <r>
    <s v="DTL01424"/>
    <s v="TRX00575"/>
    <s v="MNU003"/>
    <n v="1"/>
    <n v="27000"/>
    <x v="4"/>
    <n v="27000"/>
    <n v="11000"/>
    <n v="16000"/>
  </r>
  <r>
    <s v="DTL01425"/>
    <s v="TRX00576"/>
    <s v="MNU020"/>
    <n v="1"/>
    <n v="15000"/>
    <x v="19"/>
    <n v="15000"/>
    <n v="6000"/>
    <n v="9000"/>
  </r>
  <r>
    <s v="DTL01426"/>
    <s v="TRX00577"/>
    <s v="MNU003"/>
    <n v="1"/>
    <n v="27000"/>
    <x v="4"/>
    <n v="27000"/>
    <n v="11000"/>
    <n v="16000"/>
  </r>
  <r>
    <s v="DTL01427"/>
    <s v="TRX00577"/>
    <s v="MNU024"/>
    <n v="1"/>
    <n v="9000"/>
    <x v="1"/>
    <n v="9000"/>
    <n v="3000"/>
    <n v="6000"/>
  </r>
  <r>
    <s v="DTL01428"/>
    <s v="TRX00577"/>
    <s v="MNU006"/>
    <n v="1"/>
    <n v="20000"/>
    <x v="11"/>
    <n v="20000"/>
    <n v="8000"/>
    <n v="12000"/>
  </r>
  <r>
    <s v="DTL01429"/>
    <s v="TRX00577"/>
    <s v="MNU019"/>
    <n v="2"/>
    <n v="5000"/>
    <x v="2"/>
    <n v="10000"/>
    <n v="2000"/>
    <n v="6000"/>
  </r>
  <r>
    <s v="DTL01430"/>
    <s v="TRX00578"/>
    <s v="MNU019"/>
    <n v="3"/>
    <n v="5000"/>
    <x v="2"/>
    <n v="15000"/>
    <n v="2000"/>
    <n v="9000"/>
  </r>
  <r>
    <s v="DTL01431"/>
    <s v="TRX00578"/>
    <s v="MNU003"/>
    <n v="1"/>
    <n v="27000"/>
    <x v="4"/>
    <n v="27000"/>
    <n v="11000"/>
    <n v="16000"/>
  </r>
  <r>
    <s v="DTL01432"/>
    <s v="TRX00578"/>
    <s v="MNU010"/>
    <n v="1"/>
    <n v="22000"/>
    <x v="7"/>
    <n v="22000"/>
    <n v="9500"/>
    <n v="12500"/>
  </r>
  <r>
    <s v="DTL01433"/>
    <s v="TRX00578"/>
    <s v="MNU016"/>
    <n v="1"/>
    <n v="18000"/>
    <x v="0"/>
    <n v="18000"/>
    <n v="4500"/>
    <n v="13500"/>
  </r>
  <r>
    <s v="DTL01434"/>
    <s v="TRX00579"/>
    <s v="MNU016"/>
    <n v="1"/>
    <n v="18000"/>
    <x v="0"/>
    <n v="18000"/>
    <n v="4500"/>
    <n v="13500"/>
  </r>
  <r>
    <s v="DTL01435"/>
    <s v="TRX00580"/>
    <s v="MNU003"/>
    <n v="3"/>
    <n v="27000"/>
    <x v="4"/>
    <n v="81000"/>
    <n v="11000"/>
    <n v="48000"/>
  </r>
  <r>
    <s v="DTL01436"/>
    <s v="TRX00581"/>
    <s v="MNU003"/>
    <n v="1"/>
    <n v="27000"/>
    <x v="4"/>
    <n v="27000"/>
    <n v="11000"/>
    <n v="16000"/>
  </r>
  <r>
    <s v="DTL01437"/>
    <s v="TRX00581"/>
    <s v="MNU011"/>
    <n v="1"/>
    <n v="29000"/>
    <x v="20"/>
    <n v="29000"/>
    <n v="13000"/>
    <n v="16000"/>
  </r>
  <r>
    <s v="DTL01438"/>
    <s v="TRX00582"/>
    <s v="MNU003"/>
    <n v="1"/>
    <n v="27000"/>
    <x v="4"/>
    <n v="27000"/>
    <n v="11000"/>
    <n v="16000"/>
  </r>
  <r>
    <s v="DTL01439"/>
    <s v="TRX00583"/>
    <s v="MNU009"/>
    <n v="2"/>
    <n v="23000"/>
    <x v="3"/>
    <n v="46000"/>
    <n v="9000"/>
    <n v="28000"/>
  </r>
  <r>
    <s v="DTL01440"/>
    <s v="TRX00583"/>
    <s v="MNU004"/>
    <n v="1"/>
    <n v="22000"/>
    <x v="14"/>
    <n v="22000"/>
    <n v="9500"/>
    <n v="12500"/>
  </r>
  <r>
    <s v="DTL01441"/>
    <s v="TRX00583"/>
    <s v="MNU018"/>
    <n v="2"/>
    <n v="12000"/>
    <x v="6"/>
    <n v="24000"/>
    <n v="3000"/>
    <n v="18000"/>
  </r>
  <r>
    <s v="DTL01442"/>
    <s v="TRX00584"/>
    <s v="MNU023"/>
    <n v="1"/>
    <n v="5000"/>
    <x v="13"/>
    <n v="5000"/>
    <n v="1500"/>
    <n v="3500"/>
  </r>
  <r>
    <s v="DTL01443"/>
    <s v="TRX00584"/>
    <s v="MNU021"/>
    <n v="1"/>
    <n v="10000"/>
    <x v="16"/>
    <n v="10000"/>
    <n v="3500"/>
    <n v="6500"/>
  </r>
  <r>
    <s v="DTL01444"/>
    <s v="TRX00584"/>
    <s v="MNU003"/>
    <n v="1"/>
    <n v="27000"/>
    <x v="4"/>
    <n v="27000"/>
    <n v="11000"/>
    <n v="16000"/>
  </r>
  <r>
    <s v="DTL01445"/>
    <s v="TRX00585"/>
    <s v="MNU003"/>
    <n v="1"/>
    <n v="27000"/>
    <x v="4"/>
    <n v="27000"/>
    <n v="11000"/>
    <n v="16000"/>
  </r>
  <r>
    <s v="DTL01446"/>
    <s v="TRX00586"/>
    <s v="MNU009"/>
    <n v="3"/>
    <n v="23000"/>
    <x v="3"/>
    <n v="69000"/>
    <n v="9000"/>
    <n v="42000"/>
  </r>
  <r>
    <s v="DTL01447"/>
    <s v="TRX00586"/>
    <s v="MNU003"/>
    <n v="1"/>
    <n v="27000"/>
    <x v="4"/>
    <n v="27000"/>
    <n v="11000"/>
    <n v="16000"/>
  </r>
  <r>
    <s v="DTL01448"/>
    <s v="TRX00587"/>
    <s v="MNU003"/>
    <n v="1"/>
    <n v="27000"/>
    <x v="4"/>
    <n v="27000"/>
    <n v="11000"/>
    <n v="16000"/>
  </r>
  <r>
    <s v="DTL01449"/>
    <s v="TRX00588"/>
    <s v="MNU023"/>
    <n v="1"/>
    <n v="5000"/>
    <x v="13"/>
    <n v="5000"/>
    <n v="1500"/>
    <n v="3500"/>
  </r>
  <r>
    <s v="DTL01450"/>
    <s v="TRX00588"/>
    <s v="MNU019"/>
    <n v="1"/>
    <n v="5000"/>
    <x v="2"/>
    <n v="5000"/>
    <n v="2000"/>
    <n v="3000"/>
  </r>
  <r>
    <s v="DTL01451"/>
    <s v="TRX00588"/>
    <s v="MNU009"/>
    <n v="1"/>
    <n v="23000"/>
    <x v="3"/>
    <n v="23000"/>
    <n v="9000"/>
    <n v="14000"/>
  </r>
  <r>
    <s v="DTL01452"/>
    <s v="TRX00588"/>
    <s v="MNU003"/>
    <n v="1"/>
    <n v="27000"/>
    <x v="4"/>
    <n v="27000"/>
    <n v="11000"/>
    <n v="16000"/>
  </r>
  <r>
    <s v="DTL01453"/>
    <s v="TRX00589"/>
    <s v="MNU016"/>
    <n v="2"/>
    <n v="18000"/>
    <x v="0"/>
    <n v="36000"/>
    <n v="4500"/>
    <n v="27000"/>
  </r>
  <r>
    <s v="DTL01454"/>
    <s v="TRX00589"/>
    <s v="MNU009"/>
    <n v="3"/>
    <n v="23000"/>
    <x v="3"/>
    <n v="69000"/>
    <n v="9000"/>
    <n v="42000"/>
  </r>
  <r>
    <s v="DTL01455"/>
    <s v="TRX00590"/>
    <s v="MNU024"/>
    <n v="3"/>
    <n v="9000"/>
    <x v="1"/>
    <n v="27000"/>
    <n v="3000"/>
    <n v="18000"/>
  </r>
  <r>
    <s v="DTL01456"/>
    <s v="TRX00590"/>
    <s v="MNU014"/>
    <n v="1"/>
    <n v="8000"/>
    <x v="5"/>
    <n v="8000"/>
    <n v="2500"/>
    <n v="5500"/>
  </r>
  <r>
    <s v="DTL01457"/>
    <s v="TRX00590"/>
    <s v="MNU018"/>
    <n v="2"/>
    <n v="12000"/>
    <x v="6"/>
    <n v="24000"/>
    <n v="3000"/>
    <n v="18000"/>
  </r>
  <r>
    <s v="DTL01458"/>
    <s v="TRX00591"/>
    <s v="MNU024"/>
    <n v="1"/>
    <n v="9000"/>
    <x v="1"/>
    <n v="9000"/>
    <n v="3000"/>
    <n v="6000"/>
  </r>
  <r>
    <s v="DTL01459"/>
    <s v="TRX00592"/>
    <s v="MNU003"/>
    <n v="1"/>
    <n v="27000"/>
    <x v="4"/>
    <n v="27000"/>
    <n v="11000"/>
    <n v="16000"/>
  </r>
  <r>
    <s v="DTL01460"/>
    <s v="TRX00592"/>
    <s v="MNU004"/>
    <n v="1"/>
    <n v="22000"/>
    <x v="14"/>
    <n v="22000"/>
    <n v="9500"/>
    <n v="12500"/>
  </r>
  <r>
    <s v="DTL01461"/>
    <s v="TRX00593"/>
    <s v="MNU024"/>
    <n v="1"/>
    <n v="9000"/>
    <x v="1"/>
    <n v="9000"/>
    <n v="3000"/>
    <n v="6000"/>
  </r>
  <r>
    <s v="DTL01462"/>
    <s v="TRX00593"/>
    <s v="MNU003"/>
    <n v="1"/>
    <n v="27000"/>
    <x v="4"/>
    <n v="27000"/>
    <n v="11000"/>
    <n v="16000"/>
  </r>
  <r>
    <s v="DTL01463"/>
    <s v="TRX00594"/>
    <s v="MNU017"/>
    <n v="1"/>
    <n v="16000"/>
    <x v="9"/>
    <n v="16000"/>
    <n v="5500"/>
    <n v="10500"/>
  </r>
  <r>
    <s v="DTL01464"/>
    <s v="TRX00595"/>
    <s v="MNU011"/>
    <n v="1"/>
    <n v="29000"/>
    <x v="20"/>
    <n v="29000"/>
    <n v="13000"/>
    <n v="16000"/>
  </r>
  <r>
    <s v="DTL01465"/>
    <s v="TRX00595"/>
    <s v="MNU006"/>
    <n v="2"/>
    <n v="20000"/>
    <x v="11"/>
    <n v="40000"/>
    <n v="8000"/>
    <n v="24000"/>
  </r>
  <r>
    <s v="DTL01466"/>
    <s v="TRX00595"/>
    <s v="MNU003"/>
    <n v="1"/>
    <n v="27000"/>
    <x v="4"/>
    <n v="27000"/>
    <n v="11000"/>
    <n v="16000"/>
  </r>
  <r>
    <s v="DTL01467"/>
    <s v="TRX00596"/>
    <s v="MNU019"/>
    <n v="1"/>
    <n v="5000"/>
    <x v="2"/>
    <n v="5000"/>
    <n v="2000"/>
    <n v="3000"/>
  </r>
  <r>
    <s v="DTL01468"/>
    <s v="TRX00596"/>
    <s v="MNU003"/>
    <n v="1"/>
    <n v="27000"/>
    <x v="4"/>
    <n v="27000"/>
    <n v="11000"/>
    <n v="16000"/>
  </r>
  <r>
    <s v="DTL01469"/>
    <s v="TRX00596"/>
    <s v="MNU024"/>
    <n v="1"/>
    <n v="9000"/>
    <x v="1"/>
    <n v="9000"/>
    <n v="3000"/>
    <n v="6000"/>
  </r>
  <r>
    <s v="DTL01470"/>
    <s v="TRX00596"/>
    <s v="MNU009"/>
    <n v="1"/>
    <n v="23000"/>
    <x v="3"/>
    <n v="23000"/>
    <n v="9000"/>
    <n v="14000"/>
  </r>
  <r>
    <s v="DTL01471"/>
    <s v="TRX00597"/>
    <s v="MNU023"/>
    <n v="1"/>
    <n v="5000"/>
    <x v="13"/>
    <n v="5000"/>
    <n v="1500"/>
    <n v="3500"/>
  </r>
  <r>
    <s v="DTL01472"/>
    <s v="TRX00597"/>
    <s v="MNU006"/>
    <n v="1"/>
    <n v="20000"/>
    <x v="11"/>
    <n v="20000"/>
    <n v="8000"/>
    <n v="12000"/>
  </r>
  <r>
    <s v="DTL01473"/>
    <s v="TRX00597"/>
    <s v="MNU017"/>
    <n v="1"/>
    <n v="16000"/>
    <x v="9"/>
    <n v="16000"/>
    <n v="5500"/>
    <n v="10500"/>
  </r>
  <r>
    <s v="DTL01474"/>
    <s v="TRX00597"/>
    <s v="MNU014"/>
    <n v="1"/>
    <n v="8000"/>
    <x v="5"/>
    <n v="8000"/>
    <n v="2500"/>
    <n v="5500"/>
  </r>
  <r>
    <s v="DTL01475"/>
    <s v="TRX00598"/>
    <s v="MNU015"/>
    <n v="1"/>
    <n v="9000"/>
    <x v="10"/>
    <n v="9000"/>
    <n v="2000"/>
    <n v="7000"/>
  </r>
  <r>
    <s v="DTL01476"/>
    <s v="TRX00599"/>
    <s v="MNU003"/>
    <n v="1"/>
    <n v="27000"/>
    <x v="4"/>
    <n v="27000"/>
    <n v="11000"/>
    <n v="16000"/>
  </r>
  <r>
    <s v="DTL01477"/>
    <s v="TRX00599"/>
    <s v="MNU019"/>
    <n v="1"/>
    <n v="5000"/>
    <x v="2"/>
    <n v="5000"/>
    <n v="2000"/>
    <n v="3000"/>
  </r>
  <r>
    <s v="DTL01478"/>
    <s v="TRX00599"/>
    <s v="MNU009"/>
    <n v="1"/>
    <n v="23000"/>
    <x v="3"/>
    <n v="23000"/>
    <n v="9000"/>
    <n v="14000"/>
  </r>
  <r>
    <s v="DTL01479"/>
    <s v="TRX00600"/>
    <s v="MNU003"/>
    <n v="1"/>
    <n v="27000"/>
    <x v="4"/>
    <n v="27000"/>
    <n v="11000"/>
    <n v="16000"/>
  </r>
  <r>
    <s v="DTL01480"/>
    <s v="TRX00600"/>
    <s v="MNU023"/>
    <n v="1"/>
    <n v="5000"/>
    <x v="13"/>
    <n v="5000"/>
    <n v="1500"/>
    <n v="3500"/>
  </r>
  <r>
    <s v="DTL01481"/>
    <s v="TRX00600"/>
    <s v="MNU017"/>
    <n v="2"/>
    <n v="16000"/>
    <x v="9"/>
    <n v="32000"/>
    <n v="5500"/>
    <n v="21000"/>
  </r>
  <r>
    <s v="DTL01482"/>
    <s v="TRX00601"/>
    <s v="MNU019"/>
    <n v="1"/>
    <n v="5000"/>
    <x v="2"/>
    <n v="5000"/>
    <n v="2000"/>
    <n v="3000"/>
  </r>
  <r>
    <s v="DTL01483"/>
    <s v="TRX00601"/>
    <s v="MNU003"/>
    <n v="1"/>
    <n v="27000"/>
    <x v="4"/>
    <n v="27000"/>
    <n v="11000"/>
    <n v="16000"/>
  </r>
  <r>
    <s v="DTL01484"/>
    <s v="TRX00602"/>
    <s v="MNU003"/>
    <n v="2"/>
    <n v="27000"/>
    <x v="4"/>
    <n v="54000"/>
    <n v="11000"/>
    <n v="32000"/>
  </r>
  <r>
    <s v="DTL01485"/>
    <s v="TRX00602"/>
    <s v="MNU024"/>
    <n v="1"/>
    <n v="9000"/>
    <x v="1"/>
    <n v="9000"/>
    <n v="3000"/>
    <n v="6000"/>
  </r>
  <r>
    <s v="DTL01486"/>
    <s v="TRX00602"/>
    <s v="MNU016"/>
    <n v="3"/>
    <n v="18000"/>
    <x v="0"/>
    <n v="54000"/>
    <n v="4500"/>
    <n v="40500"/>
  </r>
  <r>
    <s v="DTL01487"/>
    <s v="TRX00603"/>
    <s v="MNU022"/>
    <n v="1"/>
    <n v="13000"/>
    <x v="17"/>
    <n v="13000"/>
    <n v="4000"/>
    <n v="9000"/>
  </r>
  <r>
    <s v="DTL01488"/>
    <s v="TRX00603"/>
    <s v="MNU017"/>
    <n v="2"/>
    <n v="16000"/>
    <x v="9"/>
    <n v="32000"/>
    <n v="5500"/>
    <n v="21000"/>
  </r>
  <r>
    <s v="DTL01489"/>
    <s v="TRX00604"/>
    <s v="MNU012"/>
    <n v="1"/>
    <n v="26000"/>
    <x v="15"/>
    <n v="26000"/>
    <n v="11500"/>
    <n v="14500"/>
  </r>
  <r>
    <s v="DTL01490"/>
    <s v="TRX00605"/>
    <s v="MNU016"/>
    <n v="1"/>
    <n v="18000"/>
    <x v="0"/>
    <n v="18000"/>
    <n v="4500"/>
    <n v="13500"/>
  </r>
  <r>
    <s v="DTL01491"/>
    <s v="TRX00605"/>
    <s v="MNU014"/>
    <n v="1"/>
    <n v="8000"/>
    <x v="5"/>
    <n v="8000"/>
    <n v="2500"/>
    <n v="5500"/>
  </r>
  <r>
    <s v="DTL01492"/>
    <s v="TRX00605"/>
    <s v="MNU006"/>
    <n v="1"/>
    <n v="20000"/>
    <x v="11"/>
    <n v="20000"/>
    <n v="8000"/>
    <n v="12000"/>
  </r>
  <r>
    <s v="DTL01493"/>
    <s v="TRX00605"/>
    <s v="MNU003"/>
    <n v="1"/>
    <n v="27000"/>
    <x v="4"/>
    <n v="27000"/>
    <n v="11000"/>
    <n v="16000"/>
  </r>
  <r>
    <s v="DTL01494"/>
    <s v="TRX00606"/>
    <s v="MNU020"/>
    <n v="1"/>
    <n v="15000"/>
    <x v="19"/>
    <n v="15000"/>
    <n v="6000"/>
    <n v="9000"/>
  </r>
  <r>
    <s v="DTL01495"/>
    <s v="TRX00606"/>
    <s v="MNU024"/>
    <n v="1"/>
    <n v="9000"/>
    <x v="1"/>
    <n v="9000"/>
    <n v="3000"/>
    <n v="6000"/>
  </r>
  <r>
    <s v="DTL01496"/>
    <s v="TRX00607"/>
    <s v="MNU011"/>
    <n v="1"/>
    <n v="29000"/>
    <x v="20"/>
    <n v="29000"/>
    <n v="13000"/>
    <n v="16000"/>
  </r>
  <r>
    <s v="DTL01497"/>
    <s v="TRX00607"/>
    <s v="MNU003"/>
    <n v="1"/>
    <n v="27000"/>
    <x v="4"/>
    <n v="27000"/>
    <n v="11000"/>
    <n v="16000"/>
  </r>
  <r>
    <s v="DTL01498"/>
    <s v="TRX00607"/>
    <s v="MNU017"/>
    <n v="1"/>
    <n v="16000"/>
    <x v="9"/>
    <n v="16000"/>
    <n v="5500"/>
    <n v="10500"/>
  </r>
  <r>
    <s v="DTL01499"/>
    <s v="TRX00608"/>
    <s v="MNU003"/>
    <n v="1"/>
    <n v="27000"/>
    <x v="4"/>
    <n v="27000"/>
    <n v="11000"/>
    <n v="16000"/>
  </r>
  <r>
    <s v="DTL01500"/>
    <s v="TRX00608"/>
    <s v="MNU021"/>
    <n v="1"/>
    <n v="10000"/>
    <x v="16"/>
    <n v="10000"/>
    <n v="3500"/>
    <n v="6500"/>
  </r>
  <r>
    <s v="DTL01501"/>
    <s v="TRX00609"/>
    <s v="MNU017"/>
    <n v="1"/>
    <n v="16000"/>
    <x v="9"/>
    <n v="16000"/>
    <n v="5500"/>
    <n v="10500"/>
  </r>
  <r>
    <s v="DTL01502"/>
    <s v="TRX00610"/>
    <s v="MNU003"/>
    <n v="1"/>
    <n v="27000"/>
    <x v="4"/>
    <n v="27000"/>
    <n v="11000"/>
    <n v="16000"/>
  </r>
  <r>
    <s v="DTL01503"/>
    <s v="TRX00610"/>
    <s v="MNU024"/>
    <n v="1"/>
    <n v="9000"/>
    <x v="1"/>
    <n v="9000"/>
    <n v="3000"/>
    <n v="6000"/>
  </r>
  <r>
    <s v="DTL01504"/>
    <s v="TRX00610"/>
    <s v="MNU015"/>
    <n v="1"/>
    <n v="9000"/>
    <x v="10"/>
    <n v="9000"/>
    <n v="2000"/>
    <n v="7000"/>
  </r>
  <r>
    <s v="DTL01505"/>
    <s v="TRX00610"/>
    <s v="MNU016"/>
    <n v="2"/>
    <n v="18000"/>
    <x v="0"/>
    <n v="36000"/>
    <n v="4500"/>
    <n v="27000"/>
  </r>
  <r>
    <s v="DTL01506"/>
    <s v="TRX00611"/>
    <s v="MNU018"/>
    <n v="2"/>
    <n v="12000"/>
    <x v="6"/>
    <n v="24000"/>
    <n v="3000"/>
    <n v="18000"/>
  </r>
  <r>
    <s v="DTL01507"/>
    <s v="TRX00611"/>
    <s v="MNU003"/>
    <n v="3"/>
    <n v="27000"/>
    <x v="4"/>
    <n v="81000"/>
    <n v="11000"/>
    <n v="48000"/>
  </r>
  <r>
    <s v="DTL01508"/>
    <s v="TRX00612"/>
    <s v="MNU003"/>
    <n v="1"/>
    <n v="27000"/>
    <x v="4"/>
    <n v="27000"/>
    <n v="11000"/>
    <n v="16000"/>
  </r>
  <r>
    <s v="DTL01509"/>
    <s v="TRX00612"/>
    <s v="MNU018"/>
    <n v="1"/>
    <n v="12000"/>
    <x v="6"/>
    <n v="12000"/>
    <n v="3000"/>
    <n v="9000"/>
  </r>
  <r>
    <s v="DTL01510"/>
    <s v="TRX00612"/>
    <s v="MNU019"/>
    <n v="1"/>
    <n v="5000"/>
    <x v="2"/>
    <n v="5000"/>
    <n v="2000"/>
    <n v="3000"/>
  </r>
  <r>
    <s v="DTL01511"/>
    <s v="TRX00612"/>
    <s v="MNU006"/>
    <n v="1"/>
    <n v="20000"/>
    <x v="11"/>
    <n v="20000"/>
    <n v="8000"/>
    <n v="12000"/>
  </r>
  <r>
    <s v="DTL01512"/>
    <s v="TRX00612"/>
    <s v="MNU002"/>
    <n v="2"/>
    <n v="23000"/>
    <x v="12"/>
    <n v="46000"/>
    <n v="8500"/>
    <n v="29000"/>
  </r>
  <r>
    <s v="DTL01513"/>
    <s v="TRX00613"/>
    <s v="MNU015"/>
    <n v="1"/>
    <n v="9000"/>
    <x v="10"/>
    <n v="9000"/>
    <n v="2000"/>
    <n v="7000"/>
  </r>
  <r>
    <s v="DTL01514"/>
    <s v="TRX00614"/>
    <s v="MNU024"/>
    <n v="1"/>
    <n v="9000"/>
    <x v="1"/>
    <n v="9000"/>
    <n v="3000"/>
    <n v="6000"/>
  </r>
  <r>
    <s v="DTL01515"/>
    <s v="TRX00614"/>
    <s v="MNU004"/>
    <n v="1"/>
    <n v="22000"/>
    <x v="14"/>
    <n v="22000"/>
    <n v="9500"/>
    <n v="12500"/>
  </r>
  <r>
    <s v="DTL01516"/>
    <s v="TRX00614"/>
    <s v="MNU006"/>
    <n v="1"/>
    <n v="20000"/>
    <x v="11"/>
    <n v="20000"/>
    <n v="8000"/>
    <n v="12000"/>
  </r>
  <r>
    <s v="DTL01517"/>
    <s v="TRX00615"/>
    <s v="MNU019"/>
    <n v="2"/>
    <n v="5000"/>
    <x v="2"/>
    <n v="10000"/>
    <n v="2000"/>
    <n v="6000"/>
  </r>
  <r>
    <s v="DTL01518"/>
    <s v="TRX00615"/>
    <s v="MNU012"/>
    <n v="2"/>
    <n v="26000"/>
    <x v="15"/>
    <n v="52000"/>
    <n v="11500"/>
    <n v="29000"/>
  </r>
  <r>
    <s v="DTL01519"/>
    <s v="TRX00615"/>
    <s v="MNU024"/>
    <n v="1"/>
    <n v="9000"/>
    <x v="1"/>
    <n v="9000"/>
    <n v="3000"/>
    <n v="6000"/>
  </r>
  <r>
    <s v="DTL01520"/>
    <s v="TRX00616"/>
    <s v="MNU012"/>
    <n v="1"/>
    <n v="26000"/>
    <x v="15"/>
    <n v="26000"/>
    <n v="11500"/>
    <n v="14500"/>
  </r>
  <r>
    <s v="DTL01521"/>
    <s v="TRX00616"/>
    <s v="MNU006"/>
    <n v="2"/>
    <n v="20000"/>
    <x v="11"/>
    <n v="40000"/>
    <n v="8000"/>
    <n v="24000"/>
  </r>
  <r>
    <s v="DTL01522"/>
    <s v="TRX00616"/>
    <s v="MNU003"/>
    <n v="3"/>
    <n v="27000"/>
    <x v="4"/>
    <n v="81000"/>
    <n v="11000"/>
    <n v="48000"/>
  </r>
  <r>
    <s v="DTL01523"/>
    <s v="TRX00616"/>
    <s v="MNU024"/>
    <n v="1"/>
    <n v="9000"/>
    <x v="1"/>
    <n v="9000"/>
    <n v="3000"/>
    <n v="6000"/>
  </r>
  <r>
    <s v="DTL01524"/>
    <s v="TRX00617"/>
    <s v="MNU019"/>
    <n v="1"/>
    <n v="5000"/>
    <x v="2"/>
    <n v="5000"/>
    <n v="2000"/>
    <n v="3000"/>
  </r>
  <r>
    <s v="DTL01525"/>
    <s v="TRX00617"/>
    <s v="MNU003"/>
    <n v="1"/>
    <n v="27000"/>
    <x v="4"/>
    <n v="27000"/>
    <n v="11000"/>
    <n v="16000"/>
  </r>
  <r>
    <s v="DTL01526"/>
    <s v="TRX00617"/>
    <s v="MNU001"/>
    <n v="1"/>
    <n v="25000"/>
    <x v="23"/>
    <n v="25000"/>
    <n v="9000"/>
    <n v="16000"/>
  </r>
  <r>
    <s v="DTL01527"/>
    <s v="TRX00617"/>
    <s v="MNU024"/>
    <n v="2"/>
    <n v="9000"/>
    <x v="1"/>
    <n v="18000"/>
    <n v="3000"/>
    <n v="12000"/>
  </r>
  <r>
    <s v="DTL01528"/>
    <s v="TRX00618"/>
    <s v="MNU003"/>
    <n v="1"/>
    <n v="27000"/>
    <x v="4"/>
    <n v="27000"/>
    <n v="11000"/>
    <n v="16000"/>
  </r>
  <r>
    <s v="DTL01529"/>
    <s v="TRX00618"/>
    <s v="MNU023"/>
    <n v="1"/>
    <n v="5000"/>
    <x v="13"/>
    <n v="5000"/>
    <n v="1500"/>
    <n v="3500"/>
  </r>
  <r>
    <s v="DTL01530"/>
    <s v="TRX00618"/>
    <s v="MNU018"/>
    <n v="1"/>
    <n v="12000"/>
    <x v="6"/>
    <n v="12000"/>
    <n v="3000"/>
    <n v="9000"/>
  </r>
  <r>
    <s v="DTL01531"/>
    <s v="TRX00619"/>
    <s v="MNU021"/>
    <n v="1"/>
    <n v="10000"/>
    <x v="16"/>
    <n v="10000"/>
    <n v="3500"/>
    <n v="6500"/>
  </r>
  <r>
    <s v="DTL01532"/>
    <s v="TRX00619"/>
    <s v="MNU002"/>
    <n v="1"/>
    <n v="23000"/>
    <x v="12"/>
    <n v="23000"/>
    <n v="8500"/>
    <n v="14500"/>
  </r>
  <r>
    <s v="DTL01533"/>
    <s v="TRX00620"/>
    <s v="MNU016"/>
    <n v="2"/>
    <n v="18000"/>
    <x v="0"/>
    <n v="36000"/>
    <n v="4500"/>
    <n v="27000"/>
  </r>
  <r>
    <s v="DTL01534"/>
    <s v="TRX00620"/>
    <s v="MNU023"/>
    <n v="3"/>
    <n v="5000"/>
    <x v="13"/>
    <n v="15000"/>
    <n v="1500"/>
    <n v="10500"/>
  </r>
  <r>
    <s v="DTL01535"/>
    <s v="TRX00620"/>
    <s v="MNU003"/>
    <n v="1"/>
    <n v="27000"/>
    <x v="4"/>
    <n v="27000"/>
    <n v="11000"/>
    <n v="16000"/>
  </r>
  <r>
    <s v="DTL01536"/>
    <s v="TRX00620"/>
    <s v="MNU020"/>
    <n v="1"/>
    <n v="15000"/>
    <x v="19"/>
    <n v="15000"/>
    <n v="6000"/>
    <n v="9000"/>
  </r>
  <r>
    <s v="DTL01537"/>
    <s v="TRX00621"/>
    <s v="MNU003"/>
    <n v="1"/>
    <n v="27000"/>
    <x v="4"/>
    <n v="27000"/>
    <n v="11000"/>
    <n v="16000"/>
  </r>
  <r>
    <s v="DTL01538"/>
    <s v="TRX00621"/>
    <s v="MNU017"/>
    <n v="3"/>
    <n v="16000"/>
    <x v="9"/>
    <n v="48000"/>
    <n v="5500"/>
    <n v="31500"/>
  </r>
  <r>
    <s v="DTL01539"/>
    <s v="TRX00622"/>
    <s v="MNU016"/>
    <n v="1"/>
    <n v="18000"/>
    <x v="0"/>
    <n v="18000"/>
    <n v="4500"/>
    <n v="13500"/>
  </r>
  <r>
    <s v="DTL01540"/>
    <s v="TRX00623"/>
    <s v="MNU003"/>
    <n v="2"/>
    <n v="27000"/>
    <x v="4"/>
    <n v="54000"/>
    <n v="11000"/>
    <n v="32000"/>
  </r>
  <r>
    <s v="DTL01541"/>
    <s v="TRX00623"/>
    <s v="MNU011"/>
    <n v="1"/>
    <n v="29000"/>
    <x v="20"/>
    <n v="29000"/>
    <n v="13000"/>
    <n v="16000"/>
  </r>
  <r>
    <s v="DTL01542"/>
    <s v="TRX00623"/>
    <s v="MNU015"/>
    <n v="1"/>
    <n v="9000"/>
    <x v="10"/>
    <n v="9000"/>
    <n v="2000"/>
    <n v="7000"/>
  </r>
  <r>
    <s v="DTL01543"/>
    <s v="TRX00624"/>
    <s v="MNU004"/>
    <n v="2"/>
    <n v="22000"/>
    <x v="14"/>
    <n v="44000"/>
    <n v="9500"/>
    <n v="25000"/>
  </r>
  <r>
    <s v="DTL01544"/>
    <s v="TRX00624"/>
    <s v="MNU006"/>
    <n v="1"/>
    <n v="20000"/>
    <x v="11"/>
    <n v="20000"/>
    <n v="8000"/>
    <n v="12000"/>
  </r>
  <r>
    <s v="DTL01545"/>
    <s v="TRX00624"/>
    <s v="MNU019"/>
    <n v="1"/>
    <n v="5000"/>
    <x v="2"/>
    <n v="5000"/>
    <n v="2000"/>
    <n v="3000"/>
  </r>
  <r>
    <s v="DTL01546"/>
    <s v="TRX00625"/>
    <s v="MNU016"/>
    <n v="2"/>
    <n v="18000"/>
    <x v="0"/>
    <n v="36000"/>
    <n v="4500"/>
    <n v="27000"/>
  </r>
  <r>
    <s v="DTL01547"/>
    <s v="TRX00625"/>
    <s v="MNU013"/>
    <n v="2"/>
    <n v="6000"/>
    <x v="22"/>
    <n v="12000"/>
    <n v="1500"/>
    <n v="9000"/>
  </r>
  <r>
    <s v="DTL01548"/>
    <s v="TRX00626"/>
    <s v="MNU019"/>
    <n v="1"/>
    <n v="5000"/>
    <x v="2"/>
    <n v="5000"/>
    <n v="2000"/>
    <n v="3000"/>
  </r>
  <r>
    <s v="DTL01549"/>
    <s v="TRX00626"/>
    <s v="MNU003"/>
    <n v="1"/>
    <n v="27000"/>
    <x v="4"/>
    <n v="27000"/>
    <n v="11000"/>
    <n v="16000"/>
  </r>
  <r>
    <s v="DTL01550"/>
    <s v="TRX00627"/>
    <s v="MNU015"/>
    <n v="2"/>
    <n v="9000"/>
    <x v="10"/>
    <n v="18000"/>
    <n v="2000"/>
    <n v="14000"/>
  </r>
  <r>
    <s v="DTL01551"/>
    <s v="TRX00627"/>
    <s v="MNU003"/>
    <n v="3"/>
    <n v="27000"/>
    <x v="4"/>
    <n v="81000"/>
    <n v="11000"/>
    <n v="48000"/>
  </r>
  <r>
    <s v="DTL01552"/>
    <s v="TRX00627"/>
    <s v="MNU012"/>
    <n v="1"/>
    <n v="26000"/>
    <x v="15"/>
    <n v="26000"/>
    <n v="11500"/>
    <n v="14500"/>
  </r>
  <r>
    <s v="DTL01553"/>
    <s v="TRX00627"/>
    <s v="MNU011"/>
    <n v="1"/>
    <n v="29000"/>
    <x v="20"/>
    <n v="29000"/>
    <n v="13000"/>
    <n v="16000"/>
  </r>
  <r>
    <s v="DTL01554"/>
    <s v="TRX00628"/>
    <s v="MNU011"/>
    <n v="1"/>
    <n v="29000"/>
    <x v="20"/>
    <n v="29000"/>
    <n v="13000"/>
    <n v="16000"/>
  </r>
  <r>
    <s v="DTL01555"/>
    <s v="TRX00628"/>
    <s v="MNU009"/>
    <n v="1"/>
    <n v="23000"/>
    <x v="3"/>
    <n v="23000"/>
    <n v="9000"/>
    <n v="14000"/>
  </r>
  <r>
    <s v="DTL01556"/>
    <s v="TRX00629"/>
    <s v="MNU020"/>
    <n v="1"/>
    <n v="15000"/>
    <x v="19"/>
    <n v="15000"/>
    <n v="6000"/>
    <n v="9000"/>
  </r>
  <r>
    <s v="DTL01557"/>
    <s v="TRX00630"/>
    <s v="MNU003"/>
    <n v="1"/>
    <n v="27000"/>
    <x v="4"/>
    <n v="27000"/>
    <n v="11000"/>
    <n v="16000"/>
  </r>
  <r>
    <s v="DTL01558"/>
    <s v="TRX00630"/>
    <s v="MNU019"/>
    <n v="1"/>
    <n v="5000"/>
    <x v="2"/>
    <n v="5000"/>
    <n v="2000"/>
    <n v="3000"/>
  </r>
  <r>
    <s v="DTL01559"/>
    <s v="TRX00630"/>
    <s v="MNU012"/>
    <n v="1"/>
    <n v="26000"/>
    <x v="15"/>
    <n v="26000"/>
    <n v="11500"/>
    <n v="14500"/>
  </r>
  <r>
    <s v="DTL01560"/>
    <s v="TRX00630"/>
    <s v="MNU009"/>
    <n v="1"/>
    <n v="23000"/>
    <x v="3"/>
    <n v="23000"/>
    <n v="9000"/>
    <n v="14000"/>
  </r>
  <r>
    <s v="DTL01561"/>
    <s v="TRX00631"/>
    <s v="MNU003"/>
    <n v="1"/>
    <n v="27000"/>
    <x v="4"/>
    <n v="27000"/>
    <n v="11000"/>
    <n v="16000"/>
  </r>
  <r>
    <s v="DTL01562"/>
    <s v="TRX00631"/>
    <s v="MNU011"/>
    <n v="1"/>
    <n v="29000"/>
    <x v="20"/>
    <n v="29000"/>
    <n v="13000"/>
    <n v="16000"/>
  </r>
  <r>
    <s v="DTL01563"/>
    <s v="TRX00632"/>
    <s v="MNU003"/>
    <n v="1"/>
    <n v="27000"/>
    <x v="4"/>
    <n v="27000"/>
    <n v="11000"/>
    <n v="16000"/>
  </r>
  <r>
    <s v="DTL01564"/>
    <s v="TRX00632"/>
    <s v="MNU011"/>
    <n v="1"/>
    <n v="29000"/>
    <x v="20"/>
    <n v="29000"/>
    <n v="13000"/>
    <n v="16000"/>
  </r>
  <r>
    <s v="DTL01565"/>
    <s v="TRX00632"/>
    <s v="MNU023"/>
    <n v="1"/>
    <n v="5000"/>
    <x v="13"/>
    <n v="5000"/>
    <n v="1500"/>
    <n v="3500"/>
  </r>
  <r>
    <s v="DTL01566"/>
    <s v="TRX00633"/>
    <s v="MNU019"/>
    <n v="3"/>
    <n v="5000"/>
    <x v="2"/>
    <n v="15000"/>
    <n v="2000"/>
    <n v="9000"/>
  </r>
  <r>
    <s v="DTL01567"/>
    <s v="TRX00634"/>
    <s v="MNU021"/>
    <n v="1"/>
    <n v="10000"/>
    <x v="16"/>
    <n v="10000"/>
    <n v="3500"/>
    <n v="6500"/>
  </r>
  <r>
    <s v="DTL01568"/>
    <s v="TRX00635"/>
    <s v="MNU003"/>
    <n v="1"/>
    <n v="27000"/>
    <x v="4"/>
    <n v="27000"/>
    <n v="11000"/>
    <n v="16000"/>
  </r>
  <r>
    <s v="DTL01569"/>
    <s v="TRX00635"/>
    <s v="MNU018"/>
    <n v="1"/>
    <n v="12000"/>
    <x v="6"/>
    <n v="12000"/>
    <n v="3000"/>
    <n v="9000"/>
  </r>
  <r>
    <s v="DTL01570"/>
    <s v="TRX00635"/>
    <s v="MNU022"/>
    <n v="3"/>
    <n v="13000"/>
    <x v="17"/>
    <n v="39000"/>
    <n v="4000"/>
    <n v="27000"/>
  </r>
  <r>
    <s v="DTL01571"/>
    <s v="TRX00635"/>
    <s v="MNU023"/>
    <n v="1"/>
    <n v="5000"/>
    <x v="13"/>
    <n v="5000"/>
    <n v="1500"/>
    <n v="3500"/>
  </r>
  <r>
    <s v="DTL01572"/>
    <s v="TRX00635"/>
    <s v="MNU024"/>
    <n v="1"/>
    <n v="9000"/>
    <x v="1"/>
    <n v="9000"/>
    <n v="3000"/>
    <n v="6000"/>
  </r>
  <r>
    <s v="DTL01573"/>
    <s v="TRX00636"/>
    <s v="MNU006"/>
    <n v="1"/>
    <n v="20000"/>
    <x v="11"/>
    <n v="20000"/>
    <n v="8000"/>
    <n v="12000"/>
  </r>
  <r>
    <s v="DTL01574"/>
    <s v="TRX00637"/>
    <s v="MNU009"/>
    <n v="1"/>
    <n v="23000"/>
    <x v="3"/>
    <n v="23000"/>
    <n v="9000"/>
    <n v="14000"/>
  </r>
  <r>
    <s v="DTL01575"/>
    <s v="TRX00637"/>
    <s v="MNU006"/>
    <n v="1"/>
    <n v="20000"/>
    <x v="11"/>
    <n v="20000"/>
    <n v="8000"/>
    <n v="12000"/>
  </r>
  <r>
    <s v="DTL01576"/>
    <s v="TRX00638"/>
    <s v="MNU003"/>
    <n v="1"/>
    <n v="27000"/>
    <x v="4"/>
    <n v="27000"/>
    <n v="11000"/>
    <n v="16000"/>
  </r>
  <r>
    <s v="DTL01577"/>
    <s v="TRX00639"/>
    <s v="MNU003"/>
    <n v="1"/>
    <n v="27000"/>
    <x v="4"/>
    <n v="27000"/>
    <n v="11000"/>
    <n v="16000"/>
  </r>
  <r>
    <s v="DTL01578"/>
    <s v="TRX00639"/>
    <s v="MNU017"/>
    <n v="1"/>
    <n v="16000"/>
    <x v="9"/>
    <n v="16000"/>
    <n v="5500"/>
    <n v="10500"/>
  </r>
  <r>
    <s v="DTL01579"/>
    <s v="TRX00639"/>
    <s v="MNU006"/>
    <n v="1"/>
    <n v="20000"/>
    <x v="11"/>
    <n v="20000"/>
    <n v="8000"/>
    <n v="12000"/>
  </r>
  <r>
    <s v="DTL01580"/>
    <s v="TRX00640"/>
    <s v="MNU010"/>
    <n v="3"/>
    <n v="22000"/>
    <x v="7"/>
    <n v="66000"/>
    <n v="9500"/>
    <n v="37500"/>
  </r>
  <r>
    <s v="DTL01581"/>
    <s v="TRX00641"/>
    <s v="MNU003"/>
    <n v="1"/>
    <n v="27000"/>
    <x v="4"/>
    <n v="27000"/>
    <n v="11000"/>
    <n v="16000"/>
  </r>
  <r>
    <s v="DTL01582"/>
    <s v="TRX00641"/>
    <s v="MNU019"/>
    <n v="1"/>
    <n v="5000"/>
    <x v="2"/>
    <n v="5000"/>
    <n v="2000"/>
    <n v="3000"/>
  </r>
  <r>
    <s v="DTL01583"/>
    <s v="TRX00642"/>
    <s v="MNU006"/>
    <n v="2"/>
    <n v="20000"/>
    <x v="11"/>
    <n v="40000"/>
    <n v="8000"/>
    <n v="24000"/>
  </r>
  <r>
    <s v="DTL01584"/>
    <s v="TRX00642"/>
    <s v="MNU020"/>
    <n v="1"/>
    <n v="15000"/>
    <x v="19"/>
    <n v="15000"/>
    <n v="6000"/>
    <n v="9000"/>
  </r>
  <r>
    <s v="DTL01585"/>
    <s v="TRX00642"/>
    <s v="MNU003"/>
    <n v="1"/>
    <n v="27000"/>
    <x v="4"/>
    <n v="27000"/>
    <n v="11000"/>
    <n v="16000"/>
  </r>
  <r>
    <s v="DTL01586"/>
    <s v="TRX00643"/>
    <s v="MNU009"/>
    <n v="1"/>
    <n v="23000"/>
    <x v="3"/>
    <n v="23000"/>
    <n v="9000"/>
    <n v="14000"/>
  </r>
  <r>
    <s v="DTL01587"/>
    <s v="TRX00643"/>
    <s v="MNU017"/>
    <n v="1"/>
    <n v="16000"/>
    <x v="9"/>
    <n v="16000"/>
    <n v="5500"/>
    <n v="10500"/>
  </r>
  <r>
    <s v="DTL01588"/>
    <s v="TRX00643"/>
    <s v="MNU014"/>
    <n v="1"/>
    <n v="8000"/>
    <x v="5"/>
    <n v="8000"/>
    <n v="2500"/>
    <n v="5500"/>
  </r>
  <r>
    <s v="DTL01589"/>
    <s v="TRX00643"/>
    <s v="MNU003"/>
    <n v="1"/>
    <n v="27000"/>
    <x v="4"/>
    <n v="27000"/>
    <n v="11000"/>
    <n v="16000"/>
  </r>
  <r>
    <s v="DTL01590"/>
    <s v="TRX00643"/>
    <s v="MNU007"/>
    <n v="1"/>
    <n v="28000"/>
    <x v="8"/>
    <n v="28000"/>
    <n v="12000"/>
    <n v="16000"/>
  </r>
  <r>
    <s v="DTL01591"/>
    <s v="TRX00644"/>
    <s v="MNU003"/>
    <n v="1"/>
    <n v="27000"/>
    <x v="4"/>
    <n v="27000"/>
    <n v="11000"/>
    <n v="16000"/>
  </r>
  <r>
    <s v="DTL01592"/>
    <s v="TRX00644"/>
    <s v="MNU004"/>
    <n v="1"/>
    <n v="22000"/>
    <x v="14"/>
    <n v="22000"/>
    <n v="9500"/>
    <n v="12500"/>
  </r>
  <r>
    <s v="DTL01593"/>
    <s v="TRX00644"/>
    <s v="MNU016"/>
    <n v="3"/>
    <n v="18000"/>
    <x v="0"/>
    <n v="54000"/>
    <n v="4500"/>
    <n v="40500"/>
  </r>
  <r>
    <s v="DTL01594"/>
    <s v="TRX00644"/>
    <s v="MNU024"/>
    <n v="1"/>
    <n v="9000"/>
    <x v="1"/>
    <n v="9000"/>
    <n v="3000"/>
    <n v="6000"/>
  </r>
  <r>
    <s v="DTL01595"/>
    <s v="TRX00645"/>
    <s v="MNU005"/>
    <n v="1"/>
    <n v="32000"/>
    <x v="18"/>
    <n v="32000"/>
    <n v="14000"/>
    <n v="18000"/>
  </r>
  <r>
    <s v="DTL01596"/>
    <s v="TRX00645"/>
    <s v="MNU009"/>
    <n v="2"/>
    <n v="23000"/>
    <x v="3"/>
    <n v="46000"/>
    <n v="9000"/>
    <n v="28000"/>
  </r>
  <r>
    <s v="DTL01597"/>
    <s v="TRX00646"/>
    <s v="MNU003"/>
    <n v="1"/>
    <n v="27000"/>
    <x v="4"/>
    <n v="27000"/>
    <n v="11000"/>
    <n v="16000"/>
  </r>
  <r>
    <s v="DTL01598"/>
    <s v="TRX00646"/>
    <s v="MNU004"/>
    <n v="1"/>
    <n v="22000"/>
    <x v="14"/>
    <n v="22000"/>
    <n v="9500"/>
    <n v="12500"/>
  </r>
  <r>
    <s v="DTL01599"/>
    <s v="TRX00646"/>
    <s v="MNU012"/>
    <n v="1"/>
    <n v="26000"/>
    <x v="15"/>
    <n v="26000"/>
    <n v="11500"/>
    <n v="14500"/>
  </r>
  <r>
    <s v="DTL01600"/>
    <s v="TRX00646"/>
    <s v="MNU019"/>
    <n v="2"/>
    <n v="5000"/>
    <x v="2"/>
    <n v="10000"/>
    <n v="2000"/>
    <n v="6000"/>
  </r>
  <r>
    <s v="DTL01601"/>
    <s v="TRX00646"/>
    <s v="MNU017"/>
    <n v="1"/>
    <n v="16000"/>
    <x v="9"/>
    <n v="16000"/>
    <n v="5500"/>
    <n v="10500"/>
  </r>
  <r>
    <s v="DTL01602"/>
    <s v="TRX00647"/>
    <s v="MNU024"/>
    <n v="1"/>
    <n v="9000"/>
    <x v="1"/>
    <n v="9000"/>
    <n v="3000"/>
    <n v="6000"/>
  </r>
  <r>
    <s v="DTL01603"/>
    <s v="TRX00648"/>
    <s v="MNU003"/>
    <n v="3"/>
    <n v="27000"/>
    <x v="4"/>
    <n v="81000"/>
    <n v="11000"/>
    <n v="48000"/>
  </r>
  <r>
    <s v="DTL01604"/>
    <s v="TRX00648"/>
    <s v="MNU021"/>
    <n v="2"/>
    <n v="10000"/>
    <x v="16"/>
    <n v="20000"/>
    <n v="3500"/>
    <n v="13000"/>
  </r>
  <r>
    <s v="DTL01605"/>
    <s v="TRX00649"/>
    <s v="MNU021"/>
    <n v="1"/>
    <n v="10000"/>
    <x v="16"/>
    <n v="10000"/>
    <n v="3500"/>
    <n v="6500"/>
  </r>
  <r>
    <s v="DTL01606"/>
    <s v="TRX00649"/>
    <s v="MNU016"/>
    <n v="1"/>
    <n v="18000"/>
    <x v="0"/>
    <n v="18000"/>
    <n v="4500"/>
    <n v="13500"/>
  </r>
  <r>
    <s v="DTL01607"/>
    <s v="TRX00650"/>
    <s v="MNU024"/>
    <n v="3"/>
    <n v="9000"/>
    <x v="1"/>
    <n v="27000"/>
    <n v="3000"/>
    <n v="18000"/>
  </r>
  <r>
    <s v="DTL01608"/>
    <s v="TRX00651"/>
    <s v="MNU003"/>
    <n v="1"/>
    <n v="27000"/>
    <x v="4"/>
    <n v="27000"/>
    <n v="11000"/>
    <n v="16000"/>
  </r>
  <r>
    <s v="DTL01609"/>
    <s v="TRX00651"/>
    <s v="MNU023"/>
    <n v="2"/>
    <n v="5000"/>
    <x v="13"/>
    <n v="10000"/>
    <n v="1500"/>
    <n v="7000"/>
  </r>
  <r>
    <s v="DTL01610"/>
    <s v="TRX00651"/>
    <s v="MNU008"/>
    <n v="1"/>
    <n v="21000"/>
    <x v="21"/>
    <n v="21000"/>
    <n v="8500"/>
    <n v="12500"/>
  </r>
  <r>
    <s v="DTL01611"/>
    <s v="TRX00651"/>
    <s v="MNU004"/>
    <n v="1"/>
    <n v="22000"/>
    <x v="14"/>
    <n v="22000"/>
    <n v="9500"/>
    <n v="12500"/>
  </r>
  <r>
    <s v="DTL01612"/>
    <s v="TRX00652"/>
    <s v="MNU004"/>
    <n v="1"/>
    <n v="22000"/>
    <x v="14"/>
    <n v="22000"/>
    <n v="9500"/>
    <n v="12500"/>
  </r>
  <r>
    <s v="DTL01613"/>
    <s v="TRX00653"/>
    <s v="MNU003"/>
    <n v="1"/>
    <n v="27000"/>
    <x v="4"/>
    <n v="27000"/>
    <n v="11000"/>
    <n v="16000"/>
  </r>
  <r>
    <s v="DTL01614"/>
    <s v="TRX00654"/>
    <s v="MNU015"/>
    <n v="1"/>
    <n v="9000"/>
    <x v="10"/>
    <n v="9000"/>
    <n v="2000"/>
    <n v="7000"/>
  </r>
  <r>
    <s v="DTL01615"/>
    <s v="TRX00654"/>
    <s v="MNU003"/>
    <n v="1"/>
    <n v="27000"/>
    <x v="4"/>
    <n v="27000"/>
    <n v="11000"/>
    <n v="16000"/>
  </r>
  <r>
    <s v="DTL01616"/>
    <s v="TRX00654"/>
    <s v="MNU018"/>
    <n v="1"/>
    <n v="12000"/>
    <x v="6"/>
    <n v="12000"/>
    <n v="3000"/>
    <n v="9000"/>
  </r>
  <r>
    <s v="DTL01617"/>
    <s v="TRX00654"/>
    <s v="MNU016"/>
    <n v="1"/>
    <n v="18000"/>
    <x v="0"/>
    <n v="18000"/>
    <n v="4500"/>
    <n v="13500"/>
  </r>
  <r>
    <s v="DTL01618"/>
    <s v="TRX00655"/>
    <s v="MNU019"/>
    <n v="1"/>
    <n v="5000"/>
    <x v="2"/>
    <n v="5000"/>
    <n v="2000"/>
    <n v="3000"/>
  </r>
  <r>
    <s v="DTL01619"/>
    <s v="TRX00655"/>
    <s v="MNU016"/>
    <n v="1"/>
    <n v="18000"/>
    <x v="0"/>
    <n v="18000"/>
    <n v="4500"/>
    <n v="13500"/>
  </r>
  <r>
    <s v="DTL01620"/>
    <s v="TRX00656"/>
    <s v="MNU003"/>
    <n v="1"/>
    <n v="27000"/>
    <x v="4"/>
    <n v="27000"/>
    <n v="11000"/>
    <n v="16000"/>
  </r>
  <r>
    <s v="DTL01621"/>
    <s v="TRX00657"/>
    <s v="MNU016"/>
    <n v="1"/>
    <n v="18000"/>
    <x v="0"/>
    <n v="18000"/>
    <n v="4500"/>
    <n v="13500"/>
  </r>
  <r>
    <s v="DTL01622"/>
    <s v="TRX00658"/>
    <s v="MNU022"/>
    <n v="1"/>
    <n v="13000"/>
    <x v="17"/>
    <n v="13000"/>
    <n v="4000"/>
    <n v="9000"/>
  </r>
  <r>
    <s v="DTL01623"/>
    <s v="TRX00658"/>
    <s v="MNU003"/>
    <n v="1"/>
    <n v="27000"/>
    <x v="4"/>
    <n v="27000"/>
    <n v="11000"/>
    <n v="16000"/>
  </r>
  <r>
    <s v="DTL01624"/>
    <s v="TRX00658"/>
    <s v="MNU024"/>
    <n v="1"/>
    <n v="9000"/>
    <x v="1"/>
    <n v="9000"/>
    <n v="3000"/>
    <n v="6000"/>
  </r>
  <r>
    <s v="DTL01625"/>
    <s v="TRX00659"/>
    <s v="MNU003"/>
    <n v="1"/>
    <n v="27000"/>
    <x v="4"/>
    <n v="27000"/>
    <n v="11000"/>
    <n v="16000"/>
  </r>
  <r>
    <s v="DTL01626"/>
    <s v="TRX00659"/>
    <s v="MNU008"/>
    <n v="1"/>
    <n v="21000"/>
    <x v="21"/>
    <n v="21000"/>
    <n v="8500"/>
    <n v="12500"/>
  </r>
  <r>
    <s v="DTL01627"/>
    <s v="TRX00660"/>
    <s v="MNU017"/>
    <n v="1"/>
    <n v="16000"/>
    <x v="9"/>
    <n v="16000"/>
    <n v="5500"/>
    <n v="10500"/>
  </r>
  <r>
    <s v="DTL01628"/>
    <s v="TRX00660"/>
    <s v="MNU012"/>
    <n v="1"/>
    <n v="26000"/>
    <x v="15"/>
    <n v="26000"/>
    <n v="11500"/>
    <n v="14500"/>
  </r>
  <r>
    <s v="DTL01629"/>
    <s v="TRX00660"/>
    <s v="MNU003"/>
    <n v="1"/>
    <n v="27000"/>
    <x v="4"/>
    <n v="27000"/>
    <n v="11000"/>
    <n v="16000"/>
  </r>
  <r>
    <s v="DTL01630"/>
    <s v="TRX00660"/>
    <s v="MNU011"/>
    <n v="3"/>
    <n v="29000"/>
    <x v="20"/>
    <n v="87000"/>
    <n v="13000"/>
    <n v="48000"/>
  </r>
  <r>
    <s v="DTL01631"/>
    <s v="TRX00661"/>
    <s v="MNU003"/>
    <n v="1"/>
    <n v="27000"/>
    <x v="4"/>
    <n v="27000"/>
    <n v="11000"/>
    <n v="16000"/>
  </r>
  <r>
    <s v="DTL01632"/>
    <s v="TRX00661"/>
    <s v="MNU024"/>
    <n v="1"/>
    <n v="9000"/>
    <x v="1"/>
    <n v="9000"/>
    <n v="3000"/>
    <n v="6000"/>
  </r>
  <r>
    <s v="DTL01633"/>
    <s v="TRX00661"/>
    <s v="MNU006"/>
    <n v="1"/>
    <n v="20000"/>
    <x v="11"/>
    <n v="20000"/>
    <n v="8000"/>
    <n v="12000"/>
  </r>
  <r>
    <s v="DTL01634"/>
    <s v="TRX00661"/>
    <s v="MNU007"/>
    <n v="1"/>
    <n v="28000"/>
    <x v="8"/>
    <n v="28000"/>
    <n v="12000"/>
    <n v="16000"/>
  </r>
  <r>
    <s v="DTL01635"/>
    <s v="TRX00662"/>
    <s v="MNU003"/>
    <n v="1"/>
    <n v="27000"/>
    <x v="4"/>
    <n v="27000"/>
    <n v="11000"/>
    <n v="16000"/>
  </r>
  <r>
    <s v="DTL01636"/>
    <s v="TRX00662"/>
    <s v="MNU024"/>
    <n v="1"/>
    <n v="9000"/>
    <x v="1"/>
    <n v="9000"/>
    <n v="3000"/>
    <n v="6000"/>
  </r>
  <r>
    <s v="DTL01637"/>
    <s v="TRX00662"/>
    <s v="MNU002"/>
    <n v="2"/>
    <n v="23000"/>
    <x v="12"/>
    <n v="46000"/>
    <n v="8500"/>
    <n v="29000"/>
  </r>
  <r>
    <s v="DTL01638"/>
    <s v="TRX00663"/>
    <s v="MNU016"/>
    <n v="1"/>
    <n v="18000"/>
    <x v="0"/>
    <n v="18000"/>
    <n v="4500"/>
    <n v="13500"/>
  </r>
  <r>
    <s v="DTL01639"/>
    <s v="TRX00663"/>
    <s v="MNU004"/>
    <n v="1"/>
    <n v="22000"/>
    <x v="14"/>
    <n v="22000"/>
    <n v="9500"/>
    <n v="12500"/>
  </r>
  <r>
    <s v="DTL01640"/>
    <s v="TRX00663"/>
    <s v="MNU003"/>
    <n v="1"/>
    <n v="27000"/>
    <x v="4"/>
    <n v="27000"/>
    <n v="11000"/>
    <n v="16000"/>
  </r>
  <r>
    <s v="DTL01641"/>
    <s v="TRX00663"/>
    <s v="MNU011"/>
    <n v="1"/>
    <n v="29000"/>
    <x v="20"/>
    <n v="29000"/>
    <n v="13000"/>
    <n v="16000"/>
  </r>
  <r>
    <s v="DTL01642"/>
    <s v="TRX00664"/>
    <s v="MNU019"/>
    <n v="1"/>
    <n v="5000"/>
    <x v="2"/>
    <n v="5000"/>
    <n v="2000"/>
    <n v="3000"/>
  </r>
  <r>
    <s v="DTL01643"/>
    <s v="TRX00664"/>
    <s v="MNU009"/>
    <n v="1"/>
    <n v="23000"/>
    <x v="3"/>
    <n v="23000"/>
    <n v="9000"/>
    <n v="14000"/>
  </r>
  <r>
    <s v="DTL01644"/>
    <s v="TRX00665"/>
    <s v="MNU009"/>
    <n v="1"/>
    <n v="23000"/>
    <x v="3"/>
    <n v="23000"/>
    <n v="9000"/>
    <n v="14000"/>
  </r>
  <r>
    <s v="DTL01645"/>
    <s v="TRX00666"/>
    <s v="MNU009"/>
    <n v="1"/>
    <n v="23000"/>
    <x v="3"/>
    <n v="23000"/>
    <n v="9000"/>
    <n v="14000"/>
  </r>
  <r>
    <s v="DTL01646"/>
    <s v="TRX00666"/>
    <s v="MNU016"/>
    <n v="1"/>
    <n v="18000"/>
    <x v="0"/>
    <n v="18000"/>
    <n v="4500"/>
    <n v="13500"/>
  </r>
  <r>
    <s v="DTL01647"/>
    <s v="TRX00666"/>
    <s v="MNU003"/>
    <n v="1"/>
    <n v="27000"/>
    <x v="4"/>
    <n v="27000"/>
    <n v="11000"/>
    <n v="16000"/>
  </r>
  <r>
    <s v="DTL01648"/>
    <s v="TRX00667"/>
    <s v="MNU003"/>
    <n v="2"/>
    <n v="27000"/>
    <x v="4"/>
    <n v="54000"/>
    <n v="11000"/>
    <n v="32000"/>
  </r>
  <r>
    <s v="DTL01649"/>
    <s v="TRX00667"/>
    <s v="MNU024"/>
    <n v="1"/>
    <n v="9000"/>
    <x v="1"/>
    <n v="9000"/>
    <n v="3000"/>
    <n v="6000"/>
  </r>
  <r>
    <s v="DTL01650"/>
    <s v="TRX00667"/>
    <s v="MNU008"/>
    <n v="1"/>
    <n v="21000"/>
    <x v="21"/>
    <n v="21000"/>
    <n v="8500"/>
    <n v="12500"/>
  </r>
  <r>
    <s v="DTL01651"/>
    <s v="TRX00667"/>
    <s v="MNU006"/>
    <n v="2"/>
    <n v="20000"/>
    <x v="11"/>
    <n v="40000"/>
    <n v="8000"/>
    <n v="24000"/>
  </r>
  <r>
    <s v="DTL01652"/>
    <s v="TRX00668"/>
    <s v="MNU024"/>
    <n v="1"/>
    <n v="9000"/>
    <x v="1"/>
    <n v="9000"/>
    <n v="3000"/>
    <n v="6000"/>
  </r>
  <r>
    <s v="DTL01653"/>
    <s v="TRX00668"/>
    <s v="MNU003"/>
    <n v="2"/>
    <n v="27000"/>
    <x v="4"/>
    <n v="54000"/>
    <n v="11000"/>
    <n v="32000"/>
  </r>
  <r>
    <s v="DTL01654"/>
    <s v="TRX00668"/>
    <s v="MNU007"/>
    <n v="2"/>
    <n v="28000"/>
    <x v="8"/>
    <n v="56000"/>
    <n v="12000"/>
    <n v="32000"/>
  </r>
  <r>
    <s v="DTL01655"/>
    <s v="TRX00669"/>
    <s v="MNU006"/>
    <n v="1"/>
    <n v="20000"/>
    <x v="11"/>
    <n v="20000"/>
    <n v="8000"/>
    <n v="12000"/>
  </r>
  <r>
    <s v="DTL01656"/>
    <s v="TRX00669"/>
    <s v="MNU002"/>
    <n v="1"/>
    <n v="23000"/>
    <x v="12"/>
    <n v="23000"/>
    <n v="8500"/>
    <n v="14500"/>
  </r>
  <r>
    <s v="DTL01657"/>
    <s v="TRX00670"/>
    <s v="MNU003"/>
    <n v="1"/>
    <n v="27000"/>
    <x v="4"/>
    <n v="27000"/>
    <n v="11000"/>
    <n v="16000"/>
  </r>
  <r>
    <s v="DTL01658"/>
    <s v="TRX00671"/>
    <s v="MNU019"/>
    <n v="2"/>
    <n v="5000"/>
    <x v="2"/>
    <n v="10000"/>
    <n v="2000"/>
    <n v="6000"/>
  </r>
  <r>
    <s v="DTL01659"/>
    <s v="TRX00672"/>
    <s v="MNU003"/>
    <n v="1"/>
    <n v="27000"/>
    <x v="4"/>
    <n v="27000"/>
    <n v="11000"/>
    <n v="16000"/>
  </r>
  <r>
    <s v="DTL01660"/>
    <s v="TRX00673"/>
    <s v="MNU004"/>
    <n v="1"/>
    <n v="22000"/>
    <x v="14"/>
    <n v="22000"/>
    <n v="9500"/>
    <n v="12500"/>
  </r>
  <r>
    <s v="DTL01661"/>
    <s v="TRX00673"/>
    <s v="MNU021"/>
    <n v="1"/>
    <n v="10000"/>
    <x v="16"/>
    <n v="10000"/>
    <n v="3500"/>
    <n v="6500"/>
  </r>
  <r>
    <s v="DTL01662"/>
    <s v="TRX00673"/>
    <s v="MNU017"/>
    <n v="1"/>
    <n v="16000"/>
    <x v="9"/>
    <n v="16000"/>
    <n v="5500"/>
    <n v="10500"/>
  </r>
  <r>
    <s v="DTL01663"/>
    <s v="TRX00673"/>
    <s v="MNU003"/>
    <n v="3"/>
    <n v="27000"/>
    <x v="4"/>
    <n v="81000"/>
    <n v="11000"/>
    <n v="48000"/>
  </r>
  <r>
    <s v="DTL01664"/>
    <s v="TRX00674"/>
    <s v="MNU003"/>
    <n v="3"/>
    <n v="27000"/>
    <x v="4"/>
    <n v="81000"/>
    <n v="11000"/>
    <n v="48000"/>
  </r>
  <r>
    <s v="DTL01665"/>
    <s v="TRX00675"/>
    <s v="MNU009"/>
    <n v="3"/>
    <n v="23000"/>
    <x v="3"/>
    <n v="69000"/>
    <n v="9000"/>
    <n v="42000"/>
  </r>
  <r>
    <s v="DTL01666"/>
    <s v="TRX00675"/>
    <s v="MNU013"/>
    <n v="2"/>
    <n v="6000"/>
    <x v="22"/>
    <n v="12000"/>
    <n v="1500"/>
    <n v="9000"/>
  </r>
  <r>
    <s v="DTL01667"/>
    <s v="TRX00675"/>
    <s v="MNU020"/>
    <n v="1"/>
    <n v="15000"/>
    <x v="19"/>
    <n v="15000"/>
    <n v="6000"/>
    <n v="9000"/>
  </r>
  <r>
    <s v="DTL01668"/>
    <s v="TRX00675"/>
    <s v="MNU006"/>
    <n v="2"/>
    <n v="20000"/>
    <x v="11"/>
    <n v="40000"/>
    <n v="8000"/>
    <n v="24000"/>
  </r>
  <r>
    <s v="DTL01669"/>
    <s v="TRX00675"/>
    <s v="MNU018"/>
    <n v="1"/>
    <n v="12000"/>
    <x v="6"/>
    <n v="12000"/>
    <n v="3000"/>
    <n v="9000"/>
  </r>
  <r>
    <s v="DTL01670"/>
    <s v="TRX00676"/>
    <s v="MNU003"/>
    <n v="1"/>
    <n v="27000"/>
    <x v="4"/>
    <n v="27000"/>
    <n v="11000"/>
    <n v="16000"/>
  </r>
  <r>
    <s v="DTL01671"/>
    <s v="TRX00676"/>
    <s v="MNU016"/>
    <n v="1"/>
    <n v="18000"/>
    <x v="0"/>
    <n v="18000"/>
    <n v="4500"/>
    <n v="13500"/>
  </r>
  <r>
    <s v="DTL01672"/>
    <s v="TRX00676"/>
    <s v="MNU024"/>
    <n v="1"/>
    <n v="9000"/>
    <x v="1"/>
    <n v="9000"/>
    <n v="3000"/>
    <n v="6000"/>
  </r>
  <r>
    <s v="DTL01673"/>
    <s v="TRX00677"/>
    <s v="MNU021"/>
    <n v="1"/>
    <n v="10000"/>
    <x v="16"/>
    <n v="10000"/>
    <n v="3500"/>
    <n v="6500"/>
  </r>
  <r>
    <s v="DTL01674"/>
    <s v="TRX00678"/>
    <s v="MNU003"/>
    <n v="1"/>
    <n v="27000"/>
    <x v="4"/>
    <n v="27000"/>
    <n v="11000"/>
    <n v="16000"/>
  </r>
  <r>
    <s v="DTL01675"/>
    <s v="TRX00679"/>
    <s v="MNU003"/>
    <n v="1"/>
    <n v="27000"/>
    <x v="4"/>
    <n v="27000"/>
    <n v="11000"/>
    <n v="16000"/>
  </r>
  <r>
    <s v="DTL01676"/>
    <s v="TRX00680"/>
    <s v="MNU017"/>
    <n v="1"/>
    <n v="16000"/>
    <x v="9"/>
    <n v="16000"/>
    <n v="5500"/>
    <n v="10500"/>
  </r>
  <r>
    <s v="DTL01677"/>
    <s v="TRX00680"/>
    <s v="MNU019"/>
    <n v="1"/>
    <n v="5000"/>
    <x v="2"/>
    <n v="5000"/>
    <n v="2000"/>
    <n v="3000"/>
  </r>
  <r>
    <s v="DTL01678"/>
    <s v="TRX00680"/>
    <s v="MNU015"/>
    <n v="1"/>
    <n v="9000"/>
    <x v="10"/>
    <n v="9000"/>
    <n v="2000"/>
    <n v="7000"/>
  </r>
  <r>
    <s v="DTL01679"/>
    <s v="TRX00681"/>
    <s v="MNU003"/>
    <n v="1"/>
    <n v="27000"/>
    <x v="4"/>
    <n v="27000"/>
    <n v="11000"/>
    <n v="16000"/>
  </r>
  <r>
    <s v="DTL01680"/>
    <s v="TRX00682"/>
    <s v="MNU012"/>
    <n v="1"/>
    <n v="26000"/>
    <x v="15"/>
    <n v="26000"/>
    <n v="11500"/>
    <n v="14500"/>
  </r>
  <r>
    <s v="DTL01681"/>
    <s v="TRX00682"/>
    <s v="MNU003"/>
    <n v="3"/>
    <n v="27000"/>
    <x v="4"/>
    <n v="81000"/>
    <n v="11000"/>
    <n v="48000"/>
  </r>
  <r>
    <s v="DTL01682"/>
    <s v="TRX00682"/>
    <s v="MNU018"/>
    <n v="1"/>
    <n v="12000"/>
    <x v="6"/>
    <n v="12000"/>
    <n v="3000"/>
    <n v="9000"/>
  </r>
  <r>
    <s v="DTL01683"/>
    <s v="TRX00682"/>
    <s v="MNU024"/>
    <n v="1"/>
    <n v="9000"/>
    <x v="1"/>
    <n v="9000"/>
    <n v="3000"/>
    <n v="6000"/>
  </r>
  <r>
    <s v="DTL01684"/>
    <s v="TRX00683"/>
    <s v="MNU003"/>
    <n v="1"/>
    <n v="27000"/>
    <x v="4"/>
    <n v="27000"/>
    <n v="11000"/>
    <n v="16000"/>
  </r>
  <r>
    <s v="DTL01685"/>
    <s v="TRX00683"/>
    <s v="MNU019"/>
    <n v="1"/>
    <n v="5000"/>
    <x v="2"/>
    <n v="5000"/>
    <n v="2000"/>
    <n v="3000"/>
  </r>
  <r>
    <s v="DTL01686"/>
    <s v="TRX00683"/>
    <s v="MNU023"/>
    <n v="2"/>
    <n v="5000"/>
    <x v="13"/>
    <n v="10000"/>
    <n v="1500"/>
    <n v="7000"/>
  </r>
  <r>
    <s v="DTL01687"/>
    <s v="TRX00683"/>
    <s v="MNU016"/>
    <n v="1"/>
    <n v="18000"/>
    <x v="0"/>
    <n v="18000"/>
    <n v="4500"/>
    <n v="13500"/>
  </r>
  <r>
    <s v="DTL01688"/>
    <s v="TRX00684"/>
    <s v="MNU003"/>
    <n v="1"/>
    <n v="27000"/>
    <x v="4"/>
    <n v="27000"/>
    <n v="11000"/>
    <n v="16000"/>
  </r>
  <r>
    <s v="DTL01689"/>
    <s v="TRX00685"/>
    <s v="MNU019"/>
    <n v="1"/>
    <n v="5000"/>
    <x v="2"/>
    <n v="5000"/>
    <n v="2000"/>
    <n v="3000"/>
  </r>
  <r>
    <s v="DTL01690"/>
    <s v="TRX00685"/>
    <s v="MNU006"/>
    <n v="1"/>
    <n v="20000"/>
    <x v="11"/>
    <n v="20000"/>
    <n v="8000"/>
    <n v="12000"/>
  </r>
  <r>
    <s v="DTL01691"/>
    <s v="TRX00686"/>
    <s v="MNU019"/>
    <n v="1"/>
    <n v="5000"/>
    <x v="2"/>
    <n v="5000"/>
    <n v="2000"/>
    <n v="3000"/>
  </r>
  <r>
    <s v="DTL01692"/>
    <s v="TRX00687"/>
    <s v="MNU003"/>
    <n v="2"/>
    <n v="27000"/>
    <x v="4"/>
    <n v="54000"/>
    <n v="11000"/>
    <n v="32000"/>
  </r>
  <r>
    <s v="DTL01693"/>
    <s v="TRX00687"/>
    <s v="MNU015"/>
    <n v="1"/>
    <n v="9000"/>
    <x v="10"/>
    <n v="9000"/>
    <n v="2000"/>
    <n v="7000"/>
  </r>
  <r>
    <s v="DTL01694"/>
    <s v="TRX00687"/>
    <s v="MNU021"/>
    <n v="1"/>
    <n v="10000"/>
    <x v="16"/>
    <n v="10000"/>
    <n v="3500"/>
    <n v="6500"/>
  </r>
  <r>
    <s v="DTL01695"/>
    <s v="TRX00688"/>
    <s v="MNU011"/>
    <n v="1"/>
    <n v="29000"/>
    <x v="20"/>
    <n v="29000"/>
    <n v="13000"/>
    <n v="16000"/>
  </r>
  <r>
    <s v="DTL01696"/>
    <s v="TRX00688"/>
    <s v="MNU003"/>
    <n v="1"/>
    <n v="27000"/>
    <x v="4"/>
    <n v="27000"/>
    <n v="11000"/>
    <n v="16000"/>
  </r>
  <r>
    <s v="DTL01697"/>
    <s v="TRX00688"/>
    <s v="MNU016"/>
    <n v="2"/>
    <n v="18000"/>
    <x v="0"/>
    <n v="36000"/>
    <n v="4500"/>
    <n v="27000"/>
  </r>
  <r>
    <s v="DTL01698"/>
    <s v="TRX00688"/>
    <s v="MNU006"/>
    <n v="1"/>
    <n v="20000"/>
    <x v="11"/>
    <n v="20000"/>
    <n v="8000"/>
    <n v="12000"/>
  </r>
  <r>
    <s v="DTL01699"/>
    <s v="TRX00688"/>
    <s v="MNU017"/>
    <n v="1"/>
    <n v="16000"/>
    <x v="9"/>
    <n v="16000"/>
    <n v="5500"/>
    <n v="10500"/>
  </r>
  <r>
    <s v="DTL01700"/>
    <s v="TRX00689"/>
    <s v="MNU006"/>
    <n v="1"/>
    <n v="20000"/>
    <x v="11"/>
    <n v="20000"/>
    <n v="8000"/>
    <n v="12000"/>
  </r>
  <r>
    <s v="DTL01701"/>
    <s v="TRX00689"/>
    <s v="MNU014"/>
    <n v="1"/>
    <n v="8000"/>
    <x v="5"/>
    <n v="8000"/>
    <n v="2500"/>
    <n v="5500"/>
  </r>
  <r>
    <s v="DTL01702"/>
    <s v="TRX00690"/>
    <s v="MNU012"/>
    <n v="1"/>
    <n v="26000"/>
    <x v="15"/>
    <n v="26000"/>
    <n v="11500"/>
    <n v="14500"/>
  </r>
  <r>
    <s v="DTL01703"/>
    <s v="TRX00690"/>
    <s v="MNU024"/>
    <n v="1"/>
    <n v="9000"/>
    <x v="1"/>
    <n v="9000"/>
    <n v="3000"/>
    <n v="6000"/>
  </r>
  <r>
    <s v="DTL01704"/>
    <s v="TRX00690"/>
    <s v="MNU003"/>
    <n v="2"/>
    <n v="27000"/>
    <x v="4"/>
    <n v="54000"/>
    <n v="11000"/>
    <n v="32000"/>
  </r>
  <r>
    <s v="DTL01705"/>
    <s v="TRX00691"/>
    <s v="MNU017"/>
    <n v="1"/>
    <n v="16000"/>
    <x v="9"/>
    <n v="16000"/>
    <n v="5500"/>
    <n v="10500"/>
  </r>
  <r>
    <s v="DTL01706"/>
    <s v="TRX00692"/>
    <s v="MNU003"/>
    <n v="1"/>
    <n v="27000"/>
    <x v="4"/>
    <n v="27000"/>
    <n v="11000"/>
    <n v="16000"/>
  </r>
  <r>
    <s v="DTL01707"/>
    <s v="TRX00692"/>
    <s v="MNU016"/>
    <n v="1"/>
    <n v="18000"/>
    <x v="0"/>
    <n v="18000"/>
    <n v="4500"/>
    <n v="13500"/>
  </r>
  <r>
    <s v="DTL01708"/>
    <s v="TRX00692"/>
    <s v="MNU009"/>
    <n v="3"/>
    <n v="23000"/>
    <x v="3"/>
    <n v="69000"/>
    <n v="9000"/>
    <n v="42000"/>
  </r>
  <r>
    <s v="DTL01709"/>
    <s v="TRX00693"/>
    <s v="MNU009"/>
    <n v="1"/>
    <n v="23000"/>
    <x v="3"/>
    <n v="23000"/>
    <n v="9000"/>
    <n v="14000"/>
  </r>
  <r>
    <s v="DTL01710"/>
    <s v="TRX00693"/>
    <s v="MNU016"/>
    <n v="1"/>
    <n v="18000"/>
    <x v="0"/>
    <n v="18000"/>
    <n v="4500"/>
    <n v="13500"/>
  </r>
  <r>
    <s v="DTL01711"/>
    <s v="TRX00694"/>
    <s v="MNU003"/>
    <n v="1"/>
    <n v="27000"/>
    <x v="4"/>
    <n v="27000"/>
    <n v="11000"/>
    <n v="16000"/>
  </r>
  <r>
    <s v="DTL01712"/>
    <s v="TRX00694"/>
    <s v="MNU022"/>
    <n v="1"/>
    <n v="13000"/>
    <x v="17"/>
    <n v="13000"/>
    <n v="4000"/>
    <n v="9000"/>
  </r>
  <r>
    <s v="DTL01713"/>
    <s v="TRX00695"/>
    <s v="MNU021"/>
    <n v="1"/>
    <n v="10000"/>
    <x v="16"/>
    <n v="10000"/>
    <n v="3500"/>
    <n v="6500"/>
  </r>
  <r>
    <s v="DTL01714"/>
    <s v="TRX00696"/>
    <s v="MNU012"/>
    <n v="1"/>
    <n v="26000"/>
    <x v="15"/>
    <n v="26000"/>
    <n v="11500"/>
    <n v="14500"/>
  </r>
  <r>
    <s v="DTL01715"/>
    <s v="TRX00696"/>
    <s v="MNU006"/>
    <n v="1"/>
    <n v="20000"/>
    <x v="11"/>
    <n v="20000"/>
    <n v="8000"/>
    <n v="12000"/>
  </r>
  <r>
    <s v="DTL01716"/>
    <s v="TRX00696"/>
    <s v="MNU011"/>
    <n v="2"/>
    <n v="29000"/>
    <x v="20"/>
    <n v="58000"/>
    <n v="13000"/>
    <n v="32000"/>
  </r>
  <r>
    <s v="DTL01717"/>
    <s v="TRX00697"/>
    <s v="MNU003"/>
    <n v="2"/>
    <n v="27000"/>
    <x v="4"/>
    <n v="54000"/>
    <n v="11000"/>
    <n v="32000"/>
  </r>
  <r>
    <s v="DTL01718"/>
    <s v="TRX00697"/>
    <s v="MNU007"/>
    <n v="1"/>
    <n v="28000"/>
    <x v="8"/>
    <n v="28000"/>
    <n v="12000"/>
    <n v="16000"/>
  </r>
  <r>
    <s v="DTL01719"/>
    <s v="TRX00697"/>
    <s v="MNU016"/>
    <n v="1"/>
    <n v="18000"/>
    <x v="0"/>
    <n v="18000"/>
    <n v="4500"/>
    <n v="13500"/>
  </r>
  <r>
    <s v="DTL01720"/>
    <s v="TRX00697"/>
    <s v="MNU004"/>
    <n v="3"/>
    <n v="22000"/>
    <x v="14"/>
    <n v="66000"/>
    <n v="9500"/>
    <n v="37500"/>
  </r>
  <r>
    <s v="DTL01721"/>
    <s v="TRX00698"/>
    <s v="MNU003"/>
    <n v="3"/>
    <n v="27000"/>
    <x v="4"/>
    <n v="81000"/>
    <n v="11000"/>
    <n v="48000"/>
  </r>
  <r>
    <s v="DTL01722"/>
    <s v="TRX00698"/>
    <s v="MNU019"/>
    <n v="1"/>
    <n v="5000"/>
    <x v="2"/>
    <n v="5000"/>
    <n v="2000"/>
    <n v="3000"/>
  </r>
  <r>
    <s v="DTL01723"/>
    <s v="TRX00698"/>
    <s v="MNU006"/>
    <n v="1"/>
    <n v="20000"/>
    <x v="11"/>
    <n v="20000"/>
    <n v="8000"/>
    <n v="12000"/>
  </r>
  <r>
    <s v="DTL01724"/>
    <s v="TRX00699"/>
    <s v="MNU009"/>
    <n v="2"/>
    <n v="23000"/>
    <x v="3"/>
    <n v="46000"/>
    <n v="9000"/>
    <n v="28000"/>
  </r>
  <r>
    <s v="DTL01725"/>
    <s v="TRX00699"/>
    <s v="MNU012"/>
    <n v="1"/>
    <n v="26000"/>
    <x v="15"/>
    <n v="26000"/>
    <n v="11500"/>
    <n v="14500"/>
  </r>
  <r>
    <s v="DTL01726"/>
    <s v="TRX00699"/>
    <s v="MNU011"/>
    <n v="2"/>
    <n v="29000"/>
    <x v="20"/>
    <n v="58000"/>
    <n v="13000"/>
    <n v="32000"/>
  </r>
  <r>
    <s v="DTL01727"/>
    <s v="TRX00699"/>
    <s v="MNU005"/>
    <n v="1"/>
    <n v="32000"/>
    <x v="18"/>
    <n v="32000"/>
    <n v="14000"/>
    <n v="18000"/>
  </r>
  <r>
    <s v="DTL01728"/>
    <s v="TRX00700"/>
    <s v="MNU018"/>
    <n v="1"/>
    <n v="12000"/>
    <x v="6"/>
    <n v="12000"/>
    <n v="3000"/>
    <n v="9000"/>
  </r>
  <r>
    <s v="DTL01729"/>
    <s v="TRX00700"/>
    <s v="MNU003"/>
    <n v="1"/>
    <n v="27000"/>
    <x v="4"/>
    <n v="27000"/>
    <n v="11000"/>
    <n v="16000"/>
  </r>
  <r>
    <s v="DTL01730"/>
    <s v="TRX00701"/>
    <s v="MNU005"/>
    <n v="1"/>
    <n v="32000"/>
    <x v="18"/>
    <n v="32000"/>
    <n v="14000"/>
    <n v="18000"/>
  </r>
  <r>
    <s v="DTL01731"/>
    <s v="TRX00701"/>
    <s v="MNU024"/>
    <n v="1"/>
    <n v="9000"/>
    <x v="1"/>
    <n v="9000"/>
    <n v="3000"/>
    <n v="6000"/>
  </r>
  <r>
    <s v="DTL01732"/>
    <s v="TRX00702"/>
    <s v="MNU003"/>
    <n v="1"/>
    <n v="27000"/>
    <x v="4"/>
    <n v="27000"/>
    <n v="11000"/>
    <n v="16000"/>
  </r>
  <r>
    <s v="DTL01733"/>
    <s v="TRX00702"/>
    <s v="MNU016"/>
    <n v="3"/>
    <n v="18000"/>
    <x v="0"/>
    <n v="54000"/>
    <n v="4500"/>
    <n v="40500"/>
  </r>
  <r>
    <s v="DTL01734"/>
    <s v="TRX00703"/>
    <s v="MNU007"/>
    <n v="2"/>
    <n v="28000"/>
    <x v="8"/>
    <n v="56000"/>
    <n v="12000"/>
    <n v="32000"/>
  </r>
  <r>
    <s v="DTL01735"/>
    <s v="TRX00703"/>
    <s v="MNU006"/>
    <n v="1"/>
    <n v="20000"/>
    <x v="11"/>
    <n v="20000"/>
    <n v="8000"/>
    <n v="12000"/>
  </r>
  <r>
    <s v="DTL01736"/>
    <s v="TRX00703"/>
    <s v="MNU003"/>
    <n v="2"/>
    <n v="27000"/>
    <x v="4"/>
    <n v="54000"/>
    <n v="11000"/>
    <n v="32000"/>
  </r>
  <r>
    <s v="DTL01737"/>
    <s v="TRX00704"/>
    <s v="MNU017"/>
    <n v="1"/>
    <n v="16000"/>
    <x v="9"/>
    <n v="16000"/>
    <n v="5500"/>
    <n v="10500"/>
  </r>
  <r>
    <s v="DTL01738"/>
    <s v="TRX00704"/>
    <s v="MNU012"/>
    <n v="2"/>
    <n v="26000"/>
    <x v="15"/>
    <n v="52000"/>
    <n v="11500"/>
    <n v="29000"/>
  </r>
  <r>
    <s v="DTL01739"/>
    <s v="TRX00705"/>
    <s v="MNU019"/>
    <n v="2"/>
    <n v="5000"/>
    <x v="2"/>
    <n v="10000"/>
    <n v="2000"/>
    <n v="6000"/>
  </r>
  <r>
    <s v="DTL01740"/>
    <s v="TRX00705"/>
    <s v="MNU003"/>
    <n v="1"/>
    <n v="27000"/>
    <x v="4"/>
    <n v="27000"/>
    <n v="11000"/>
    <n v="16000"/>
  </r>
  <r>
    <s v="DTL01741"/>
    <s v="TRX00706"/>
    <s v="MNU019"/>
    <n v="1"/>
    <n v="5000"/>
    <x v="2"/>
    <n v="5000"/>
    <n v="2000"/>
    <n v="3000"/>
  </r>
  <r>
    <s v="DTL01742"/>
    <s v="TRX00706"/>
    <s v="MNU004"/>
    <n v="1"/>
    <n v="22000"/>
    <x v="14"/>
    <n v="22000"/>
    <n v="9500"/>
    <n v="12500"/>
  </r>
  <r>
    <s v="DTL01743"/>
    <s v="TRX00707"/>
    <s v="MNU018"/>
    <n v="1"/>
    <n v="12000"/>
    <x v="6"/>
    <n v="12000"/>
    <n v="3000"/>
    <n v="9000"/>
  </r>
  <r>
    <s v="DTL01744"/>
    <s v="TRX00707"/>
    <s v="MNU005"/>
    <n v="2"/>
    <n v="32000"/>
    <x v="18"/>
    <n v="64000"/>
    <n v="14000"/>
    <n v="36000"/>
  </r>
  <r>
    <s v="DTL01745"/>
    <s v="TRX00707"/>
    <s v="MNU019"/>
    <n v="1"/>
    <n v="5000"/>
    <x v="2"/>
    <n v="5000"/>
    <n v="2000"/>
    <n v="3000"/>
  </r>
  <r>
    <s v="DTL01746"/>
    <s v="TRX00708"/>
    <s v="MNU006"/>
    <n v="1"/>
    <n v="20000"/>
    <x v="11"/>
    <n v="20000"/>
    <n v="8000"/>
    <n v="12000"/>
  </r>
  <r>
    <s v="DTL01747"/>
    <s v="TRX00708"/>
    <s v="MNU016"/>
    <n v="1"/>
    <n v="18000"/>
    <x v="0"/>
    <n v="18000"/>
    <n v="4500"/>
    <n v="13500"/>
  </r>
  <r>
    <s v="DTL01748"/>
    <s v="TRX00708"/>
    <s v="MNU009"/>
    <n v="3"/>
    <n v="23000"/>
    <x v="3"/>
    <n v="69000"/>
    <n v="9000"/>
    <n v="42000"/>
  </r>
  <r>
    <s v="DTL01749"/>
    <s v="TRX00709"/>
    <s v="MNU003"/>
    <n v="3"/>
    <n v="27000"/>
    <x v="4"/>
    <n v="81000"/>
    <n v="11000"/>
    <n v="48000"/>
  </r>
  <r>
    <s v="DTL01750"/>
    <s v="TRX00709"/>
    <s v="MNU007"/>
    <n v="1"/>
    <n v="28000"/>
    <x v="8"/>
    <n v="28000"/>
    <n v="12000"/>
    <n v="16000"/>
  </r>
  <r>
    <s v="DTL01751"/>
    <s v="TRX00709"/>
    <s v="MNU024"/>
    <n v="1"/>
    <n v="9000"/>
    <x v="1"/>
    <n v="9000"/>
    <n v="3000"/>
    <n v="6000"/>
  </r>
  <r>
    <s v="DTL01752"/>
    <s v="TRX00709"/>
    <s v="MNU017"/>
    <n v="3"/>
    <n v="16000"/>
    <x v="9"/>
    <n v="48000"/>
    <n v="5500"/>
    <n v="31500"/>
  </r>
  <r>
    <s v="DTL01753"/>
    <s v="TRX00710"/>
    <s v="MNU014"/>
    <n v="1"/>
    <n v="8000"/>
    <x v="5"/>
    <n v="8000"/>
    <n v="2500"/>
    <n v="5500"/>
  </r>
  <r>
    <s v="DTL01754"/>
    <s v="TRX00711"/>
    <s v="MNU023"/>
    <n v="1"/>
    <n v="5000"/>
    <x v="13"/>
    <n v="5000"/>
    <n v="1500"/>
    <n v="3500"/>
  </r>
  <r>
    <s v="DTL01755"/>
    <s v="TRX00711"/>
    <s v="MNU003"/>
    <n v="1"/>
    <n v="27000"/>
    <x v="4"/>
    <n v="27000"/>
    <n v="11000"/>
    <n v="16000"/>
  </r>
  <r>
    <s v="DTL01756"/>
    <s v="TRX00712"/>
    <s v="MNU004"/>
    <n v="1"/>
    <n v="22000"/>
    <x v="14"/>
    <n v="22000"/>
    <n v="9500"/>
    <n v="12500"/>
  </r>
  <r>
    <s v="DTL01757"/>
    <s v="TRX00712"/>
    <s v="MNU021"/>
    <n v="3"/>
    <n v="10000"/>
    <x v="16"/>
    <n v="30000"/>
    <n v="3500"/>
    <n v="19500"/>
  </r>
  <r>
    <s v="DTL01758"/>
    <s v="TRX00712"/>
    <s v="MNU009"/>
    <n v="1"/>
    <n v="23000"/>
    <x v="3"/>
    <n v="23000"/>
    <n v="9000"/>
    <n v="14000"/>
  </r>
  <r>
    <s v="DTL01759"/>
    <s v="TRX00712"/>
    <s v="MNU006"/>
    <n v="1"/>
    <n v="20000"/>
    <x v="11"/>
    <n v="20000"/>
    <n v="8000"/>
    <n v="12000"/>
  </r>
  <r>
    <s v="DTL01760"/>
    <s v="TRX00713"/>
    <s v="MNU004"/>
    <n v="1"/>
    <n v="22000"/>
    <x v="14"/>
    <n v="22000"/>
    <n v="9500"/>
    <n v="12500"/>
  </r>
  <r>
    <s v="DTL01761"/>
    <s v="TRX00713"/>
    <s v="MNU011"/>
    <n v="1"/>
    <n v="29000"/>
    <x v="20"/>
    <n v="29000"/>
    <n v="13000"/>
    <n v="16000"/>
  </r>
  <r>
    <s v="DTL01762"/>
    <s v="TRX00714"/>
    <s v="MNU003"/>
    <n v="1"/>
    <n v="27000"/>
    <x v="4"/>
    <n v="27000"/>
    <n v="11000"/>
    <n v="16000"/>
  </r>
  <r>
    <s v="DTL01763"/>
    <s v="TRX00714"/>
    <s v="MNU009"/>
    <n v="1"/>
    <n v="23000"/>
    <x v="3"/>
    <n v="23000"/>
    <n v="9000"/>
    <n v="14000"/>
  </r>
  <r>
    <s v="DTL01764"/>
    <s v="TRX00715"/>
    <s v="MNU023"/>
    <n v="2"/>
    <n v="5000"/>
    <x v="13"/>
    <n v="10000"/>
    <n v="1500"/>
    <n v="7000"/>
  </r>
  <r>
    <s v="DTL01765"/>
    <s v="TRX00715"/>
    <s v="MNU002"/>
    <n v="1"/>
    <n v="23000"/>
    <x v="12"/>
    <n v="23000"/>
    <n v="8500"/>
    <n v="14500"/>
  </r>
  <r>
    <s v="DTL01766"/>
    <s v="TRX00716"/>
    <s v="MNU003"/>
    <n v="1"/>
    <n v="27000"/>
    <x v="4"/>
    <n v="27000"/>
    <n v="11000"/>
    <n v="16000"/>
  </r>
  <r>
    <s v="DTL01767"/>
    <s v="TRX00716"/>
    <s v="MNU020"/>
    <n v="1"/>
    <n v="15000"/>
    <x v="19"/>
    <n v="15000"/>
    <n v="6000"/>
    <n v="9000"/>
  </r>
  <r>
    <s v="DTL01768"/>
    <s v="TRX00716"/>
    <s v="MNU017"/>
    <n v="1"/>
    <n v="16000"/>
    <x v="9"/>
    <n v="16000"/>
    <n v="5500"/>
    <n v="10500"/>
  </r>
  <r>
    <s v="DTL01769"/>
    <s v="TRX00716"/>
    <s v="MNU014"/>
    <n v="3"/>
    <n v="8000"/>
    <x v="5"/>
    <n v="24000"/>
    <n v="2500"/>
    <n v="16500"/>
  </r>
  <r>
    <s v="DTL01770"/>
    <s v="TRX00717"/>
    <s v="MNU012"/>
    <n v="1"/>
    <n v="26000"/>
    <x v="15"/>
    <n v="26000"/>
    <n v="11500"/>
    <n v="14500"/>
  </r>
  <r>
    <s v="DTL01771"/>
    <s v="TRX00717"/>
    <s v="MNU003"/>
    <n v="1"/>
    <n v="27000"/>
    <x v="4"/>
    <n v="27000"/>
    <n v="11000"/>
    <n v="16000"/>
  </r>
  <r>
    <s v="DTL01772"/>
    <s v="TRX00717"/>
    <s v="MNU009"/>
    <n v="1"/>
    <n v="23000"/>
    <x v="3"/>
    <n v="23000"/>
    <n v="9000"/>
    <n v="14000"/>
  </r>
  <r>
    <s v="DTL01773"/>
    <s v="TRX00718"/>
    <s v="MNU002"/>
    <n v="1"/>
    <n v="23000"/>
    <x v="12"/>
    <n v="23000"/>
    <n v="8500"/>
    <n v="14500"/>
  </r>
  <r>
    <s v="DTL01774"/>
    <s v="TRX00718"/>
    <s v="MNU019"/>
    <n v="1"/>
    <n v="5000"/>
    <x v="2"/>
    <n v="5000"/>
    <n v="2000"/>
    <n v="3000"/>
  </r>
  <r>
    <s v="DTL01775"/>
    <s v="TRX00719"/>
    <s v="MNU004"/>
    <n v="1"/>
    <n v="22000"/>
    <x v="14"/>
    <n v="22000"/>
    <n v="9500"/>
    <n v="12500"/>
  </r>
  <r>
    <s v="DTL01776"/>
    <s v="TRX00719"/>
    <s v="MNU006"/>
    <n v="2"/>
    <n v="20000"/>
    <x v="11"/>
    <n v="40000"/>
    <n v="8000"/>
    <n v="24000"/>
  </r>
  <r>
    <s v="DTL01777"/>
    <s v="TRX00719"/>
    <s v="MNU015"/>
    <n v="2"/>
    <n v="9000"/>
    <x v="10"/>
    <n v="18000"/>
    <n v="2000"/>
    <n v="14000"/>
  </r>
  <r>
    <s v="DTL01778"/>
    <s v="TRX00719"/>
    <s v="MNU012"/>
    <n v="1"/>
    <n v="26000"/>
    <x v="15"/>
    <n v="26000"/>
    <n v="11500"/>
    <n v="14500"/>
  </r>
  <r>
    <s v="DTL01779"/>
    <s v="TRX00720"/>
    <s v="MNU003"/>
    <n v="1"/>
    <n v="27000"/>
    <x v="4"/>
    <n v="27000"/>
    <n v="11000"/>
    <n v="16000"/>
  </r>
  <r>
    <s v="DTL01780"/>
    <s v="TRX00720"/>
    <s v="MNU018"/>
    <n v="1"/>
    <n v="12000"/>
    <x v="6"/>
    <n v="12000"/>
    <n v="3000"/>
    <n v="9000"/>
  </r>
  <r>
    <s v="DTL01781"/>
    <s v="TRX00720"/>
    <s v="MNU012"/>
    <n v="3"/>
    <n v="26000"/>
    <x v="15"/>
    <n v="78000"/>
    <n v="11500"/>
    <n v="43500"/>
  </r>
  <r>
    <s v="DTL01782"/>
    <s v="TRX00721"/>
    <s v="MNU014"/>
    <n v="2"/>
    <n v="8000"/>
    <x v="5"/>
    <n v="16000"/>
    <n v="2500"/>
    <n v="11000"/>
  </r>
  <r>
    <s v="DTL01783"/>
    <s v="TRX00721"/>
    <s v="MNU018"/>
    <n v="2"/>
    <n v="12000"/>
    <x v="6"/>
    <n v="24000"/>
    <n v="3000"/>
    <n v="18000"/>
  </r>
  <r>
    <s v="DTL01784"/>
    <s v="TRX00722"/>
    <s v="MNU003"/>
    <n v="1"/>
    <n v="27000"/>
    <x v="4"/>
    <n v="27000"/>
    <n v="11000"/>
    <n v="16000"/>
  </r>
  <r>
    <s v="DTL01785"/>
    <s v="TRX00723"/>
    <s v="MNU004"/>
    <n v="1"/>
    <n v="22000"/>
    <x v="14"/>
    <n v="22000"/>
    <n v="9500"/>
    <n v="12500"/>
  </r>
  <r>
    <s v="DTL01786"/>
    <s v="TRX00723"/>
    <s v="MNU016"/>
    <n v="1"/>
    <n v="18000"/>
    <x v="0"/>
    <n v="18000"/>
    <n v="4500"/>
    <n v="13500"/>
  </r>
  <r>
    <s v="DTL01787"/>
    <s v="TRX00723"/>
    <s v="MNU011"/>
    <n v="2"/>
    <n v="29000"/>
    <x v="20"/>
    <n v="58000"/>
    <n v="13000"/>
    <n v="32000"/>
  </r>
  <r>
    <s v="DTL01788"/>
    <s v="TRX00724"/>
    <s v="MNU009"/>
    <n v="2"/>
    <n v="23000"/>
    <x v="3"/>
    <n v="46000"/>
    <n v="9000"/>
    <n v="28000"/>
  </r>
  <r>
    <s v="DTL01789"/>
    <s v="TRX00724"/>
    <s v="MNU016"/>
    <n v="3"/>
    <n v="18000"/>
    <x v="0"/>
    <n v="54000"/>
    <n v="4500"/>
    <n v="40500"/>
  </r>
  <r>
    <s v="DTL01790"/>
    <s v="TRX00725"/>
    <s v="MNU002"/>
    <n v="2"/>
    <n v="23000"/>
    <x v="12"/>
    <n v="46000"/>
    <n v="8500"/>
    <n v="29000"/>
  </r>
  <r>
    <s v="DTL01791"/>
    <s v="TRX00725"/>
    <s v="MNU016"/>
    <n v="1"/>
    <n v="18000"/>
    <x v="0"/>
    <n v="18000"/>
    <n v="4500"/>
    <n v="13500"/>
  </r>
  <r>
    <s v="DTL01792"/>
    <s v="TRX00726"/>
    <s v="MNU019"/>
    <n v="1"/>
    <n v="5000"/>
    <x v="2"/>
    <n v="5000"/>
    <n v="2000"/>
    <n v="3000"/>
  </r>
  <r>
    <s v="DTL01793"/>
    <s v="TRX00726"/>
    <s v="MNU006"/>
    <n v="1"/>
    <n v="20000"/>
    <x v="11"/>
    <n v="20000"/>
    <n v="8000"/>
    <n v="12000"/>
  </r>
  <r>
    <s v="DTL01794"/>
    <s v="TRX00726"/>
    <s v="MNU016"/>
    <n v="3"/>
    <n v="18000"/>
    <x v="0"/>
    <n v="54000"/>
    <n v="4500"/>
    <n v="40500"/>
  </r>
  <r>
    <s v="DTL01795"/>
    <s v="TRX00727"/>
    <s v="MNU007"/>
    <n v="1"/>
    <n v="28000"/>
    <x v="8"/>
    <n v="28000"/>
    <n v="12000"/>
    <n v="16000"/>
  </r>
  <r>
    <s v="DTL01796"/>
    <s v="TRX00727"/>
    <s v="MNU009"/>
    <n v="2"/>
    <n v="23000"/>
    <x v="3"/>
    <n v="46000"/>
    <n v="9000"/>
    <n v="28000"/>
  </r>
  <r>
    <s v="DTL01797"/>
    <s v="TRX00727"/>
    <s v="MNU016"/>
    <n v="1"/>
    <n v="18000"/>
    <x v="0"/>
    <n v="18000"/>
    <n v="4500"/>
    <n v="13500"/>
  </r>
  <r>
    <s v="DTL01798"/>
    <s v="TRX00728"/>
    <s v="MNU003"/>
    <n v="2"/>
    <n v="27000"/>
    <x v="4"/>
    <n v="54000"/>
    <n v="11000"/>
    <n v="32000"/>
  </r>
  <r>
    <s v="DTL01799"/>
    <s v="TRX00728"/>
    <s v="MNU004"/>
    <n v="1"/>
    <n v="22000"/>
    <x v="14"/>
    <n v="22000"/>
    <n v="9500"/>
    <n v="12500"/>
  </r>
  <r>
    <s v="DTL01800"/>
    <s v="TRX00728"/>
    <s v="MNU019"/>
    <n v="1"/>
    <n v="5000"/>
    <x v="2"/>
    <n v="5000"/>
    <n v="2000"/>
    <n v="3000"/>
  </r>
  <r>
    <s v="DTL01801"/>
    <s v="TRX00729"/>
    <s v="MNU003"/>
    <n v="2"/>
    <n v="27000"/>
    <x v="4"/>
    <n v="54000"/>
    <n v="11000"/>
    <n v="32000"/>
  </r>
  <r>
    <s v="DTL01802"/>
    <s v="TRX00729"/>
    <s v="MNU017"/>
    <n v="1"/>
    <n v="16000"/>
    <x v="9"/>
    <n v="16000"/>
    <n v="5500"/>
    <n v="10500"/>
  </r>
  <r>
    <s v="DTL01803"/>
    <s v="TRX00729"/>
    <s v="MNU012"/>
    <n v="1"/>
    <n v="26000"/>
    <x v="15"/>
    <n v="26000"/>
    <n v="11500"/>
    <n v="14500"/>
  </r>
  <r>
    <s v="DTL01804"/>
    <s v="TRX00730"/>
    <s v="MNU016"/>
    <n v="1"/>
    <n v="18000"/>
    <x v="0"/>
    <n v="18000"/>
    <n v="4500"/>
    <n v="13500"/>
  </r>
  <r>
    <s v="DTL01805"/>
    <s v="TRX00730"/>
    <s v="MNU003"/>
    <n v="1"/>
    <n v="27000"/>
    <x v="4"/>
    <n v="27000"/>
    <n v="11000"/>
    <n v="16000"/>
  </r>
  <r>
    <s v="DTL01806"/>
    <s v="TRX00730"/>
    <s v="MNU009"/>
    <n v="1"/>
    <n v="23000"/>
    <x v="3"/>
    <n v="23000"/>
    <n v="9000"/>
    <n v="14000"/>
  </r>
  <r>
    <s v="DTL01807"/>
    <s v="TRX00730"/>
    <s v="MNU018"/>
    <n v="2"/>
    <n v="12000"/>
    <x v="6"/>
    <n v="24000"/>
    <n v="3000"/>
    <n v="18000"/>
  </r>
  <r>
    <s v="DTL01808"/>
    <s v="TRX00731"/>
    <s v="MNU003"/>
    <n v="1"/>
    <n v="27000"/>
    <x v="4"/>
    <n v="27000"/>
    <n v="11000"/>
    <n v="16000"/>
  </r>
  <r>
    <s v="DTL01809"/>
    <s v="TRX00731"/>
    <s v="MNU004"/>
    <n v="1"/>
    <n v="22000"/>
    <x v="14"/>
    <n v="22000"/>
    <n v="9500"/>
    <n v="12500"/>
  </r>
  <r>
    <s v="DTL01810"/>
    <s v="TRX00731"/>
    <s v="MNU006"/>
    <n v="1"/>
    <n v="20000"/>
    <x v="11"/>
    <n v="20000"/>
    <n v="8000"/>
    <n v="12000"/>
  </r>
  <r>
    <s v="DTL01811"/>
    <s v="TRX00732"/>
    <s v="MNU011"/>
    <n v="1"/>
    <n v="29000"/>
    <x v="20"/>
    <n v="29000"/>
    <n v="13000"/>
    <n v="16000"/>
  </r>
  <r>
    <s v="DTL01812"/>
    <s v="TRX00732"/>
    <s v="MNU016"/>
    <n v="1"/>
    <n v="18000"/>
    <x v="0"/>
    <n v="18000"/>
    <n v="4500"/>
    <n v="13500"/>
  </r>
  <r>
    <s v="DTL01813"/>
    <s v="TRX00733"/>
    <s v="MNU004"/>
    <n v="1"/>
    <n v="22000"/>
    <x v="14"/>
    <n v="22000"/>
    <n v="9500"/>
    <n v="12500"/>
  </r>
  <r>
    <s v="DTL01814"/>
    <s v="TRX00733"/>
    <s v="MNU003"/>
    <n v="3"/>
    <n v="27000"/>
    <x v="4"/>
    <n v="81000"/>
    <n v="11000"/>
    <n v="48000"/>
  </r>
  <r>
    <s v="DTL01815"/>
    <s v="TRX00734"/>
    <s v="MNU021"/>
    <n v="1"/>
    <n v="10000"/>
    <x v="16"/>
    <n v="10000"/>
    <n v="3500"/>
    <n v="6500"/>
  </r>
  <r>
    <s v="DTL01816"/>
    <s v="TRX00735"/>
    <s v="MNU016"/>
    <n v="1"/>
    <n v="18000"/>
    <x v="0"/>
    <n v="18000"/>
    <n v="4500"/>
    <n v="13500"/>
  </r>
  <r>
    <s v="DTL01817"/>
    <s v="TRX00736"/>
    <s v="MNU003"/>
    <n v="1"/>
    <n v="27000"/>
    <x v="4"/>
    <n v="27000"/>
    <n v="11000"/>
    <n v="16000"/>
  </r>
  <r>
    <s v="DTL01818"/>
    <s v="TRX00737"/>
    <s v="MNU003"/>
    <n v="1"/>
    <n v="27000"/>
    <x v="4"/>
    <n v="27000"/>
    <n v="11000"/>
    <n v="16000"/>
  </r>
  <r>
    <s v="DTL01819"/>
    <s v="TRX00737"/>
    <s v="MNU024"/>
    <n v="1"/>
    <n v="9000"/>
    <x v="1"/>
    <n v="9000"/>
    <n v="3000"/>
    <n v="6000"/>
  </r>
  <r>
    <s v="DTL01820"/>
    <s v="TRX00737"/>
    <s v="MNU021"/>
    <n v="2"/>
    <n v="10000"/>
    <x v="16"/>
    <n v="20000"/>
    <n v="3500"/>
    <n v="13000"/>
  </r>
  <r>
    <s v="DTL01821"/>
    <s v="TRX00737"/>
    <s v="MNU009"/>
    <n v="1"/>
    <n v="23000"/>
    <x v="3"/>
    <n v="23000"/>
    <n v="9000"/>
    <n v="14000"/>
  </r>
  <r>
    <s v="DTL01822"/>
    <s v="TRX00737"/>
    <s v="MNU017"/>
    <n v="1"/>
    <n v="16000"/>
    <x v="9"/>
    <n v="16000"/>
    <n v="5500"/>
    <n v="10500"/>
  </r>
  <r>
    <s v="DTL01823"/>
    <s v="TRX00738"/>
    <s v="MNU003"/>
    <n v="1"/>
    <n v="27000"/>
    <x v="4"/>
    <n v="27000"/>
    <n v="11000"/>
    <n v="16000"/>
  </r>
  <r>
    <s v="DTL01824"/>
    <s v="TRX00738"/>
    <s v="MNU023"/>
    <n v="1"/>
    <n v="5000"/>
    <x v="13"/>
    <n v="5000"/>
    <n v="1500"/>
    <n v="3500"/>
  </r>
  <r>
    <s v="DTL01825"/>
    <s v="TRX00739"/>
    <s v="MNU016"/>
    <n v="1"/>
    <n v="18000"/>
    <x v="0"/>
    <n v="18000"/>
    <n v="4500"/>
    <n v="13500"/>
  </r>
  <r>
    <s v="DTL01826"/>
    <s v="TRX00739"/>
    <s v="MNU006"/>
    <n v="1"/>
    <n v="20000"/>
    <x v="11"/>
    <n v="20000"/>
    <n v="8000"/>
    <n v="12000"/>
  </r>
  <r>
    <s v="DTL01827"/>
    <s v="TRX00739"/>
    <s v="MNU003"/>
    <n v="1"/>
    <n v="27000"/>
    <x v="4"/>
    <n v="27000"/>
    <n v="11000"/>
    <n v="16000"/>
  </r>
  <r>
    <s v="DTL01828"/>
    <s v="TRX00739"/>
    <s v="MNU012"/>
    <n v="1"/>
    <n v="26000"/>
    <x v="15"/>
    <n v="26000"/>
    <n v="11500"/>
    <n v="14500"/>
  </r>
  <r>
    <s v="DTL01829"/>
    <s v="TRX00740"/>
    <s v="MNU020"/>
    <n v="1"/>
    <n v="15000"/>
    <x v="19"/>
    <n v="15000"/>
    <n v="6000"/>
    <n v="9000"/>
  </r>
  <r>
    <s v="DTL01830"/>
    <s v="TRX00740"/>
    <s v="MNU016"/>
    <n v="1"/>
    <n v="18000"/>
    <x v="0"/>
    <n v="18000"/>
    <n v="4500"/>
    <n v="13500"/>
  </r>
  <r>
    <s v="DTL01831"/>
    <s v="TRX00740"/>
    <s v="MNU006"/>
    <n v="1"/>
    <n v="20000"/>
    <x v="11"/>
    <n v="20000"/>
    <n v="8000"/>
    <n v="12000"/>
  </r>
  <r>
    <s v="DTL01832"/>
    <s v="TRX00740"/>
    <s v="MNU012"/>
    <n v="1"/>
    <n v="26000"/>
    <x v="15"/>
    <n v="26000"/>
    <n v="11500"/>
    <n v="14500"/>
  </r>
  <r>
    <s v="DTL01833"/>
    <s v="TRX00741"/>
    <s v="MNU023"/>
    <n v="1"/>
    <n v="5000"/>
    <x v="13"/>
    <n v="5000"/>
    <n v="1500"/>
    <n v="3500"/>
  </r>
  <r>
    <s v="DTL01834"/>
    <s v="TRX00741"/>
    <s v="MNU003"/>
    <n v="1"/>
    <n v="27000"/>
    <x v="4"/>
    <n v="27000"/>
    <n v="11000"/>
    <n v="16000"/>
  </r>
  <r>
    <s v="DTL01835"/>
    <s v="TRX00741"/>
    <s v="MNU016"/>
    <n v="3"/>
    <n v="18000"/>
    <x v="0"/>
    <n v="54000"/>
    <n v="4500"/>
    <n v="40500"/>
  </r>
  <r>
    <s v="DTL01836"/>
    <s v="TRX00742"/>
    <s v="MNU015"/>
    <n v="2"/>
    <n v="9000"/>
    <x v="10"/>
    <n v="18000"/>
    <n v="2000"/>
    <n v="14000"/>
  </r>
  <r>
    <s v="DTL01837"/>
    <s v="TRX00742"/>
    <s v="MNU004"/>
    <n v="1"/>
    <n v="22000"/>
    <x v="14"/>
    <n v="22000"/>
    <n v="9500"/>
    <n v="12500"/>
  </r>
  <r>
    <s v="DTL01838"/>
    <s v="TRX00743"/>
    <s v="MNU011"/>
    <n v="1"/>
    <n v="29000"/>
    <x v="20"/>
    <n v="29000"/>
    <n v="13000"/>
    <n v="16000"/>
  </r>
  <r>
    <s v="DTL01839"/>
    <s v="TRX00743"/>
    <s v="MNU003"/>
    <n v="1"/>
    <n v="27000"/>
    <x v="4"/>
    <n v="27000"/>
    <n v="11000"/>
    <n v="16000"/>
  </r>
  <r>
    <s v="DTL01840"/>
    <s v="TRX00743"/>
    <s v="MNU019"/>
    <n v="2"/>
    <n v="5000"/>
    <x v="2"/>
    <n v="10000"/>
    <n v="2000"/>
    <n v="6000"/>
  </r>
  <r>
    <s v="DTL01841"/>
    <s v="TRX00744"/>
    <s v="MNU006"/>
    <n v="1"/>
    <n v="20000"/>
    <x v="11"/>
    <n v="20000"/>
    <n v="8000"/>
    <n v="12000"/>
  </r>
  <r>
    <s v="DTL01842"/>
    <s v="TRX00745"/>
    <s v="MNU019"/>
    <n v="1"/>
    <n v="5000"/>
    <x v="2"/>
    <n v="5000"/>
    <n v="2000"/>
    <n v="3000"/>
  </r>
  <r>
    <s v="DTL01843"/>
    <s v="TRX00745"/>
    <s v="MNU003"/>
    <n v="3"/>
    <n v="27000"/>
    <x v="4"/>
    <n v="81000"/>
    <n v="11000"/>
    <n v="48000"/>
  </r>
  <r>
    <s v="DTL01844"/>
    <s v="TRX00746"/>
    <s v="MNU024"/>
    <n v="1"/>
    <n v="9000"/>
    <x v="1"/>
    <n v="9000"/>
    <n v="3000"/>
    <n v="6000"/>
  </r>
  <r>
    <s v="DTL01845"/>
    <s v="TRX00746"/>
    <s v="MNU012"/>
    <n v="1"/>
    <n v="26000"/>
    <x v="15"/>
    <n v="26000"/>
    <n v="11500"/>
    <n v="14500"/>
  </r>
  <r>
    <s v="DTL01846"/>
    <s v="TRX00747"/>
    <s v="MNU024"/>
    <n v="1"/>
    <n v="9000"/>
    <x v="1"/>
    <n v="9000"/>
    <n v="3000"/>
    <n v="6000"/>
  </r>
  <r>
    <s v="DTL01847"/>
    <s v="TRX00747"/>
    <s v="MNU016"/>
    <n v="3"/>
    <n v="18000"/>
    <x v="0"/>
    <n v="54000"/>
    <n v="4500"/>
    <n v="40500"/>
  </r>
  <r>
    <s v="DTL01848"/>
    <s v="TRX00747"/>
    <s v="MNU004"/>
    <n v="1"/>
    <n v="22000"/>
    <x v="14"/>
    <n v="22000"/>
    <n v="9500"/>
    <n v="12500"/>
  </r>
  <r>
    <s v="DTL01849"/>
    <s v="TRX00748"/>
    <s v="MNU003"/>
    <n v="1"/>
    <n v="27000"/>
    <x v="4"/>
    <n v="27000"/>
    <n v="11000"/>
    <n v="16000"/>
  </r>
  <r>
    <s v="DTL01850"/>
    <s v="TRX00749"/>
    <s v="MNU003"/>
    <n v="2"/>
    <n v="27000"/>
    <x v="4"/>
    <n v="54000"/>
    <n v="11000"/>
    <n v="32000"/>
  </r>
  <r>
    <s v="DTL01851"/>
    <s v="TRX00749"/>
    <s v="MNU004"/>
    <n v="1"/>
    <n v="22000"/>
    <x v="14"/>
    <n v="22000"/>
    <n v="9500"/>
    <n v="12500"/>
  </r>
  <r>
    <s v="DTL01852"/>
    <s v="TRX00749"/>
    <s v="MNU006"/>
    <n v="1"/>
    <n v="20000"/>
    <x v="11"/>
    <n v="20000"/>
    <n v="8000"/>
    <n v="12000"/>
  </r>
  <r>
    <s v="DTL01853"/>
    <s v="TRX00750"/>
    <s v="MNU003"/>
    <n v="1"/>
    <n v="27000"/>
    <x v="4"/>
    <n v="27000"/>
    <n v="11000"/>
    <n v="16000"/>
  </r>
  <r>
    <s v="DTL01854"/>
    <s v="TRX00750"/>
    <s v="MNU018"/>
    <n v="2"/>
    <n v="12000"/>
    <x v="6"/>
    <n v="24000"/>
    <n v="3000"/>
    <n v="18000"/>
  </r>
  <r>
    <s v="DTL01855"/>
    <s v="TRX00751"/>
    <s v="MNU017"/>
    <n v="1"/>
    <n v="16000"/>
    <x v="9"/>
    <n v="16000"/>
    <n v="5500"/>
    <n v="10500"/>
  </r>
  <r>
    <s v="DTL01856"/>
    <s v="TRX00751"/>
    <s v="MNU003"/>
    <n v="1"/>
    <n v="27000"/>
    <x v="4"/>
    <n v="27000"/>
    <n v="11000"/>
    <n v="16000"/>
  </r>
  <r>
    <s v="DTL01857"/>
    <s v="TRX00751"/>
    <s v="MNU022"/>
    <n v="2"/>
    <n v="13000"/>
    <x v="17"/>
    <n v="26000"/>
    <n v="4000"/>
    <n v="18000"/>
  </r>
  <r>
    <s v="DTL01858"/>
    <s v="TRX00752"/>
    <s v="MNU011"/>
    <n v="1"/>
    <n v="29000"/>
    <x v="20"/>
    <n v="29000"/>
    <n v="13000"/>
    <n v="16000"/>
  </r>
  <r>
    <s v="DTL01859"/>
    <s v="TRX00752"/>
    <s v="MNU003"/>
    <n v="1"/>
    <n v="27000"/>
    <x v="4"/>
    <n v="27000"/>
    <n v="11000"/>
    <n v="16000"/>
  </r>
  <r>
    <s v="DTL01860"/>
    <s v="TRX00753"/>
    <s v="MNU019"/>
    <n v="1"/>
    <n v="5000"/>
    <x v="2"/>
    <n v="5000"/>
    <n v="2000"/>
    <n v="3000"/>
  </r>
  <r>
    <s v="DTL01861"/>
    <s v="TRX00754"/>
    <s v="MNU003"/>
    <n v="2"/>
    <n v="27000"/>
    <x v="4"/>
    <n v="54000"/>
    <n v="11000"/>
    <n v="32000"/>
  </r>
  <r>
    <s v="DTL01862"/>
    <s v="TRX00754"/>
    <s v="MNU006"/>
    <n v="3"/>
    <n v="20000"/>
    <x v="11"/>
    <n v="60000"/>
    <n v="8000"/>
    <n v="36000"/>
  </r>
  <r>
    <s v="DTL01863"/>
    <s v="TRX00754"/>
    <s v="MNU023"/>
    <n v="1"/>
    <n v="5000"/>
    <x v="13"/>
    <n v="5000"/>
    <n v="1500"/>
    <n v="3500"/>
  </r>
  <r>
    <s v="DTL01864"/>
    <s v="TRX00755"/>
    <s v="MNU023"/>
    <n v="1"/>
    <n v="5000"/>
    <x v="13"/>
    <n v="5000"/>
    <n v="1500"/>
    <n v="3500"/>
  </r>
  <r>
    <s v="DTL01865"/>
    <s v="TRX00755"/>
    <s v="MNU003"/>
    <n v="1"/>
    <n v="27000"/>
    <x v="4"/>
    <n v="27000"/>
    <n v="11000"/>
    <n v="16000"/>
  </r>
  <r>
    <s v="DTL01866"/>
    <s v="TRX00755"/>
    <s v="MNU004"/>
    <n v="1"/>
    <n v="22000"/>
    <x v="14"/>
    <n v="22000"/>
    <n v="9500"/>
    <n v="12500"/>
  </r>
  <r>
    <s v="DTL01867"/>
    <s v="TRX00755"/>
    <s v="MNU019"/>
    <n v="1"/>
    <n v="5000"/>
    <x v="2"/>
    <n v="5000"/>
    <n v="2000"/>
    <n v="3000"/>
  </r>
  <r>
    <s v="DTL01868"/>
    <s v="TRX00756"/>
    <s v="MNU012"/>
    <n v="1"/>
    <n v="26000"/>
    <x v="15"/>
    <n v="26000"/>
    <n v="11500"/>
    <n v="14500"/>
  </r>
  <r>
    <s v="DTL01869"/>
    <s v="TRX00756"/>
    <s v="MNU016"/>
    <n v="1"/>
    <n v="18000"/>
    <x v="0"/>
    <n v="18000"/>
    <n v="4500"/>
    <n v="13500"/>
  </r>
  <r>
    <s v="DTL01870"/>
    <s v="TRX00756"/>
    <s v="MNU007"/>
    <n v="1"/>
    <n v="28000"/>
    <x v="8"/>
    <n v="28000"/>
    <n v="12000"/>
    <n v="16000"/>
  </r>
  <r>
    <s v="DTL01871"/>
    <s v="TRX00757"/>
    <s v="MNU003"/>
    <n v="1"/>
    <n v="27000"/>
    <x v="4"/>
    <n v="27000"/>
    <n v="11000"/>
    <n v="16000"/>
  </r>
  <r>
    <s v="DTL01872"/>
    <s v="TRX00757"/>
    <s v="MNU004"/>
    <n v="1"/>
    <n v="22000"/>
    <x v="14"/>
    <n v="22000"/>
    <n v="9500"/>
    <n v="12500"/>
  </r>
  <r>
    <s v="DTL01873"/>
    <s v="TRX00758"/>
    <s v="MNU003"/>
    <n v="1"/>
    <n v="27000"/>
    <x v="4"/>
    <n v="27000"/>
    <n v="11000"/>
    <n v="16000"/>
  </r>
  <r>
    <s v="DTL01874"/>
    <s v="TRX00758"/>
    <s v="MNU012"/>
    <n v="1"/>
    <n v="26000"/>
    <x v="15"/>
    <n v="26000"/>
    <n v="11500"/>
    <n v="14500"/>
  </r>
  <r>
    <s v="DTL01875"/>
    <s v="TRX00759"/>
    <s v="MNU003"/>
    <n v="3"/>
    <n v="27000"/>
    <x v="4"/>
    <n v="81000"/>
    <n v="11000"/>
    <n v="48000"/>
  </r>
  <r>
    <s v="DTL01876"/>
    <s v="TRX00759"/>
    <s v="MNU006"/>
    <n v="1"/>
    <n v="20000"/>
    <x v="11"/>
    <n v="20000"/>
    <n v="8000"/>
    <n v="12000"/>
  </r>
  <r>
    <s v="DTL01877"/>
    <s v="TRX00759"/>
    <s v="MNU018"/>
    <n v="1"/>
    <n v="12000"/>
    <x v="6"/>
    <n v="12000"/>
    <n v="3000"/>
    <n v="9000"/>
  </r>
  <r>
    <s v="DTL01878"/>
    <s v="TRX00759"/>
    <s v="MNU017"/>
    <n v="1"/>
    <n v="16000"/>
    <x v="9"/>
    <n v="16000"/>
    <n v="5500"/>
    <n v="10500"/>
  </r>
  <r>
    <s v="DTL01879"/>
    <s v="TRX00759"/>
    <s v="MNU016"/>
    <n v="1"/>
    <n v="18000"/>
    <x v="0"/>
    <n v="18000"/>
    <n v="4500"/>
    <n v="13500"/>
  </r>
  <r>
    <s v="DTL01880"/>
    <s v="TRX00760"/>
    <s v="MNU021"/>
    <n v="3"/>
    <n v="10000"/>
    <x v="16"/>
    <n v="30000"/>
    <n v="3500"/>
    <n v="19500"/>
  </r>
  <r>
    <s v="DTL01881"/>
    <s v="TRX00760"/>
    <s v="MNU003"/>
    <n v="1"/>
    <n v="27000"/>
    <x v="4"/>
    <n v="27000"/>
    <n v="11000"/>
    <n v="16000"/>
  </r>
  <r>
    <s v="DTL01882"/>
    <s v="TRX00760"/>
    <s v="MNU009"/>
    <n v="1"/>
    <n v="23000"/>
    <x v="3"/>
    <n v="23000"/>
    <n v="9000"/>
    <n v="14000"/>
  </r>
  <r>
    <s v="DTL01883"/>
    <s v="TRX00761"/>
    <s v="MNU003"/>
    <n v="1"/>
    <n v="27000"/>
    <x v="4"/>
    <n v="27000"/>
    <n v="11000"/>
    <n v="16000"/>
  </r>
  <r>
    <s v="DTL01884"/>
    <s v="TRX00761"/>
    <s v="MNU014"/>
    <n v="1"/>
    <n v="8000"/>
    <x v="5"/>
    <n v="8000"/>
    <n v="2500"/>
    <n v="5500"/>
  </r>
  <r>
    <s v="DTL01885"/>
    <s v="TRX00761"/>
    <s v="MNU009"/>
    <n v="1"/>
    <n v="23000"/>
    <x v="3"/>
    <n v="23000"/>
    <n v="9000"/>
    <n v="14000"/>
  </r>
  <r>
    <s v="DTL01886"/>
    <s v="TRX00762"/>
    <s v="MNU004"/>
    <n v="2"/>
    <n v="22000"/>
    <x v="14"/>
    <n v="44000"/>
    <n v="9500"/>
    <n v="25000"/>
  </r>
  <r>
    <s v="DTL01887"/>
    <s v="TRX00763"/>
    <s v="MNU003"/>
    <n v="1"/>
    <n v="27000"/>
    <x v="4"/>
    <n v="27000"/>
    <n v="11000"/>
    <n v="16000"/>
  </r>
  <r>
    <s v="DTL01888"/>
    <s v="TRX00764"/>
    <s v="MNU016"/>
    <n v="1"/>
    <n v="18000"/>
    <x v="0"/>
    <n v="18000"/>
    <n v="4500"/>
    <n v="13500"/>
  </r>
  <r>
    <s v="DTL01889"/>
    <s v="TRX00764"/>
    <s v="MNU003"/>
    <n v="1"/>
    <n v="27000"/>
    <x v="4"/>
    <n v="27000"/>
    <n v="11000"/>
    <n v="16000"/>
  </r>
  <r>
    <s v="DTL01890"/>
    <s v="TRX00764"/>
    <s v="MNU020"/>
    <n v="1"/>
    <n v="15000"/>
    <x v="19"/>
    <n v="15000"/>
    <n v="6000"/>
    <n v="9000"/>
  </r>
  <r>
    <s v="DTL01891"/>
    <s v="TRX00765"/>
    <s v="MNU003"/>
    <n v="2"/>
    <n v="27000"/>
    <x v="4"/>
    <n v="54000"/>
    <n v="11000"/>
    <n v="32000"/>
  </r>
  <r>
    <s v="DTL01892"/>
    <s v="TRX00765"/>
    <s v="MNU006"/>
    <n v="1"/>
    <n v="20000"/>
    <x v="11"/>
    <n v="20000"/>
    <n v="8000"/>
    <n v="12000"/>
  </r>
  <r>
    <s v="DTL01893"/>
    <s v="TRX00765"/>
    <s v="MNU009"/>
    <n v="1"/>
    <n v="23000"/>
    <x v="3"/>
    <n v="23000"/>
    <n v="9000"/>
    <n v="14000"/>
  </r>
  <r>
    <s v="DTL01894"/>
    <s v="TRX00766"/>
    <s v="MNU003"/>
    <n v="3"/>
    <n v="27000"/>
    <x v="4"/>
    <n v="81000"/>
    <n v="11000"/>
    <n v="48000"/>
  </r>
  <r>
    <s v="DTL01895"/>
    <s v="TRX00766"/>
    <s v="MNU018"/>
    <n v="1"/>
    <n v="12000"/>
    <x v="6"/>
    <n v="12000"/>
    <n v="3000"/>
    <n v="9000"/>
  </r>
  <r>
    <s v="DTL01896"/>
    <s v="TRX00767"/>
    <s v="MNU003"/>
    <n v="3"/>
    <n v="27000"/>
    <x v="4"/>
    <n v="81000"/>
    <n v="11000"/>
    <n v="48000"/>
  </r>
  <r>
    <s v="DTL01897"/>
    <s v="TRX00767"/>
    <s v="MNU020"/>
    <n v="1"/>
    <n v="15000"/>
    <x v="19"/>
    <n v="15000"/>
    <n v="6000"/>
    <n v="9000"/>
  </r>
  <r>
    <s v="DTL01898"/>
    <s v="TRX00767"/>
    <s v="MNU017"/>
    <n v="1"/>
    <n v="16000"/>
    <x v="9"/>
    <n v="16000"/>
    <n v="5500"/>
    <n v="10500"/>
  </r>
  <r>
    <s v="DTL01899"/>
    <s v="TRX00768"/>
    <s v="MNU003"/>
    <n v="1"/>
    <n v="27000"/>
    <x v="4"/>
    <n v="27000"/>
    <n v="11000"/>
    <n v="16000"/>
  </r>
  <r>
    <s v="DTL01900"/>
    <s v="TRX00768"/>
    <s v="MNU021"/>
    <n v="1"/>
    <n v="10000"/>
    <x v="16"/>
    <n v="10000"/>
    <n v="3500"/>
    <n v="6500"/>
  </r>
  <r>
    <s v="DTL01901"/>
    <s v="TRX00768"/>
    <s v="MNU006"/>
    <n v="1"/>
    <n v="20000"/>
    <x v="11"/>
    <n v="20000"/>
    <n v="8000"/>
    <n v="12000"/>
  </r>
  <r>
    <s v="DTL01902"/>
    <s v="TRX00769"/>
    <s v="MNU003"/>
    <n v="1"/>
    <n v="27000"/>
    <x v="4"/>
    <n v="27000"/>
    <n v="11000"/>
    <n v="16000"/>
  </r>
  <r>
    <s v="DTL01903"/>
    <s v="TRX00769"/>
    <s v="MNU021"/>
    <n v="1"/>
    <n v="10000"/>
    <x v="16"/>
    <n v="10000"/>
    <n v="3500"/>
    <n v="6500"/>
  </r>
  <r>
    <s v="DTL01904"/>
    <s v="TRX00770"/>
    <s v="MNU003"/>
    <n v="2"/>
    <n v="27000"/>
    <x v="4"/>
    <n v="54000"/>
    <n v="11000"/>
    <n v="32000"/>
  </r>
  <r>
    <s v="DTL01905"/>
    <s v="TRX00771"/>
    <s v="MNU003"/>
    <n v="1"/>
    <n v="27000"/>
    <x v="4"/>
    <n v="27000"/>
    <n v="11000"/>
    <n v="16000"/>
  </r>
  <r>
    <s v="DTL01906"/>
    <s v="TRX00772"/>
    <s v="MNU009"/>
    <n v="1"/>
    <n v="23000"/>
    <x v="3"/>
    <n v="23000"/>
    <n v="9000"/>
    <n v="14000"/>
  </r>
  <r>
    <s v="DTL01907"/>
    <s v="TRX00773"/>
    <s v="MNU003"/>
    <n v="3"/>
    <n v="27000"/>
    <x v="4"/>
    <n v="81000"/>
    <n v="11000"/>
    <n v="48000"/>
  </r>
  <r>
    <s v="DTL01908"/>
    <s v="TRX00773"/>
    <s v="MNU023"/>
    <n v="1"/>
    <n v="5000"/>
    <x v="13"/>
    <n v="5000"/>
    <n v="1500"/>
    <n v="3500"/>
  </r>
  <r>
    <s v="DTL01909"/>
    <s v="TRX00774"/>
    <s v="MNU024"/>
    <n v="2"/>
    <n v="9000"/>
    <x v="1"/>
    <n v="18000"/>
    <n v="3000"/>
    <n v="12000"/>
  </r>
  <r>
    <s v="DTL01910"/>
    <s v="TRX00774"/>
    <s v="MNU009"/>
    <n v="1"/>
    <n v="23000"/>
    <x v="3"/>
    <n v="23000"/>
    <n v="9000"/>
    <n v="14000"/>
  </r>
  <r>
    <s v="DTL01911"/>
    <s v="TRX00775"/>
    <s v="MNU006"/>
    <n v="1"/>
    <n v="20000"/>
    <x v="11"/>
    <n v="20000"/>
    <n v="8000"/>
    <n v="12000"/>
  </r>
  <r>
    <s v="DTL01912"/>
    <s v="TRX00775"/>
    <s v="MNU003"/>
    <n v="1"/>
    <n v="27000"/>
    <x v="4"/>
    <n v="27000"/>
    <n v="11000"/>
    <n v="16000"/>
  </r>
  <r>
    <s v="DTL01913"/>
    <s v="TRX00776"/>
    <s v="MNU009"/>
    <n v="1"/>
    <n v="23000"/>
    <x v="3"/>
    <n v="23000"/>
    <n v="9000"/>
    <n v="14000"/>
  </r>
  <r>
    <s v="DTL01914"/>
    <s v="TRX00777"/>
    <s v="MNU003"/>
    <n v="1"/>
    <n v="27000"/>
    <x v="4"/>
    <n v="27000"/>
    <n v="11000"/>
    <n v="16000"/>
  </r>
  <r>
    <s v="DTL01915"/>
    <s v="TRX00777"/>
    <s v="MNU024"/>
    <n v="2"/>
    <n v="9000"/>
    <x v="1"/>
    <n v="18000"/>
    <n v="3000"/>
    <n v="12000"/>
  </r>
  <r>
    <s v="DTL01916"/>
    <s v="TRX00777"/>
    <s v="MNU011"/>
    <n v="1"/>
    <n v="29000"/>
    <x v="20"/>
    <n v="29000"/>
    <n v="13000"/>
    <n v="16000"/>
  </r>
  <r>
    <s v="DTL01917"/>
    <s v="TRX00777"/>
    <s v="MNU015"/>
    <n v="1"/>
    <n v="9000"/>
    <x v="10"/>
    <n v="9000"/>
    <n v="2000"/>
    <n v="7000"/>
  </r>
  <r>
    <s v="DTL01918"/>
    <s v="TRX00778"/>
    <s v="MNU005"/>
    <n v="1"/>
    <n v="32000"/>
    <x v="18"/>
    <n v="32000"/>
    <n v="14000"/>
    <n v="18000"/>
  </r>
  <r>
    <s v="DTL01919"/>
    <s v="TRX00778"/>
    <s v="MNU007"/>
    <n v="1"/>
    <n v="28000"/>
    <x v="8"/>
    <n v="28000"/>
    <n v="12000"/>
    <n v="16000"/>
  </r>
  <r>
    <s v="DTL01920"/>
    <s v="TRX00778"/>
    <s v="MNU016"/>
    <n v="2"/>
    <n v="18000"/>
    <x v="0"/>
    <n v="36000"/>
    <n v="4500"/>
    <n v="27000"/>
  </r>
  <r>
    <s v="DTL01921"/>
    <s v="TRX00778"/>
    <s v="MNU003"/>
    <n v="1"/>
    <n v="27000"/>
    <x v="4"/>
    <n v="27000"/>
    <n v="11000"/>
    <n v="16000"/>
  </r>
  <r>
    <s v="DTL01922"/>
    <s v="TRX00779"/>
    <s v="MNU002"/>
    <n v="1"/>
    <n v="23000"/>
    <x v="12"/>
    <n v="23000"/>
    <n v="8500"/>
    <n v="14500"/>
  </r>
  <r>
    <s v="DTL01923"/>
    <s v="TRX00779"/>
    <s v="MNU015"/>
    <n v="1"/>
    <n v="9000"/>
    <x v="10"/>
    <n v="9000"/>
    <n v="2000"/>
    <n v="7000"/>
  </r>
  <r>
    <s v="DTL01924"/>
    <s v="TRX00779"/>
    <s v="MNU006"/>
    <n v="1"/>
    <n v="20000"/>
    <x v="11"/>
    <n v="20000"/>
    <n v="8000"/>
    <n v="12000"/>
  </r>
  <r>
    <s v="DTL01925"/>
    <s v="TRX00780"/>
    <s v="MNU003"/>
    <n v="1"/>
    <n v="27000"/>
    <x v="4"/>
    <n v="27000"/>
    <n v="11000"/>
    <n v="16000"/>
  </r>
  <r>
    <s v="DTL01926"/>
    <s v="TRX00780"/>
    <s v="MNU011"/>
    <n v="1"/>
    <n v="29000"/>
    <x v="20"/>
    <n v="29000"/>
    <n v="13000"/>
    <n v="16000"/>
  </r>
  <r>
    <s v="DTL01927"/>
    <s v="TRX00781"/>
    <s v="MNU017"/>
    <n v="1"/>
    <n v="16000"/>
    <x v="9"/>
    <n v="16000"/>
    <n v="5500"/>
    <n v="10500"/>
  </r>
  <r>
    <s v="DTL01928"/>
    <s v="TRX00781"/>
    <s v="MNU003"/>
    <n v="1"/>
    <n v="27000"/>
    <x v="4"/>
    <n v="27000"/>
    <n v="11000"/>
    <n v="16000"/>
  </r>
  <r>
    <s v="DTL01929"/>
    <s v="TRX00782"/>
    <s v="MNU003"/>
    <n v="1"/>
    <n v="27000"/>
    <x v="4"/>
    <n v="27000"/>
    <n v="11000"/>
    <n v="16000"/>
  </r>
  <r>
    <s v="DTL01930"/>
    <s v="TRX00782"/>
    <s v="MNU009"/>
    <n v="3"/>
    <n v="23000"/>
    <x v="3"/>
    <n v="69000"/>
    <n v="9000"/>
    <n v="42000"/>
  </r>
  <r>
    <s v="DTL01931"/>
    <s v="TRX00782"/>
    <s v="MNU011"/>
    <n v="1"/>
    <n v="29000"/>
    <x v="20"/>
    <n v="29000"/>
    <n v="13000"/>
    <n v="16000"/>
  </r>
  <r>
    <s v="DTL01932"/>
    <s v="TRX00783"/>
    <s v="MNU012"/>
    <n v="2"/>
    <n v="26000"/>
    <x v="15"/>
    <n v="52000"/>
    <n v="11500"/>
    <n v="29000"/>
  </r>
  <r>
    <s v="DTL01933"/>
    <s v="TRX00784"/>
    <s v="MNU012"/>
    <n v="1"/>
    <n v="26000"/>
    <x v="15"/>
    <n v="26000"/>
    <n v="11500"/>
    <n v="14500"/>
  </r>
  <r>
    <s v="DTL01934"/>
    <s v="TRX00785"/>
    <s v="MNU015"/>
    <n v="3"/>
    <n v="9000"/>
    <x v="10"/>
    <n v="27000"/>
    <n v="2000"/>
    <n v="21000"/>
  </r>
  <r>
    <s v="DTL01935"/>
    <s v="TRX00786"/>
    <s v="MNU022"/>
    <n v="1"/>
    <n v="13000"/>
    <x v="17"/>
    <n v="13000"/>
    <n v="4000"/>
    <n v="9000"/>
  </r>
  <r>
    <s v="DTL01936"/>
    <s v="TRX00787"/>
    <s v="MNU002"/>
    <n v="1"/>
    <n v="23000"/>
    <x v="12"/>
    <n v="23000"/>
    <n v="8500"/>
    <n v="14500"/>
  </r>
  <r>
    <s v="DTL01937"/>
    <s v="TRX00787"/>
    <s v="MNU004"/>
    <n v="2"/>
    <n v="22000"/>
    <x v="14"/>
    <n v="44000"/>
    <n v="9500"/>
    <n v="25000"/>
  </r>
  <r>
    <s v="DTL01938"/>
    <s v="TRX00787"/>
    <s v="MNU019"/>
    <n v="1"/>
    <n v="5000"/>
    <x v="2"/>
    <n v="5000"/>
    <n v="2000"/>
    <n v="3000"/>
  </r>
  <r>
    <s v="DTL01939"/>
    <s v="TRX00787"/>
    <s v="MNU017"/>
    <n v="3"/>
    <n v="16000"/>
    <x v="9"/>
    <n v="48000"/>
    <n v="5500"/>
    <n v="31500"/>
  </r>
  <r>
    <s v="DTL01940"/>
    <s v="TRX00788"/>
    <s v="MNU003"/>
    <n v="1"/>
    <n v="27000"/>
    <x v="4"/>
    <n v="27000"/>
    <n v="11000"/>
    <n v="16000"/>
  </r>
  <r>
    <s v="DTL01941"/>
    <s v="TRX00788"/>
    <s v="MNU015"/>
    <n v="1"/>
    <n v="9000"/>
    <x v="10"/>
    <n v="9000"/>
    <n v="2000"/>
    <n v="7000"/>
  </r>
  <r>
    <s v="DTL01942"/>
    <s v="TRX00789"/>
    <s v="MNU003"/>
    <n v="1"/>
    <n v="27000"/>
    <x v="4"/>
    <n v="27000"/>
    <n v="11000"/>
    <n v="16000"/>
  </r>
  <r>
    <s v="DTL01943"/>
    <s v="TRX00789"/>
    <s v="MNU004"/>
    <n v="1"/>
    <n v="22000"/>
    <x v="14"/>
    <n v="22000"/>
    <n v="9500"/>
    <n v="12500"/>
  </r>
  <r>
    <s v="DTL01944"/>
    <s v="TRX00789"/>
    <s v="MNU011"/>
    <n v="1"/>
    <n v="29000"/>
    <x v="20"/>
    <n v="29000"/>
    <n v="13000"/>
    <n v="16000"/>
  </r>
  <r>
    <s v="DTL01945"/>
    <s v="TRX00790"/>
    <s v="MNU018"/>
    <n v="1"/>
    <n v="12000"/>
    <x v="6"/>
    <n v="12000"/>
    <n v="3000"/>
    <n v="9000"/>
  </r>
  <r>
    <s v="DTL01946"/>
    <s v="TRX00790"/>
    <s v="MNU017"/>
    <n v="1"/>
    <n v="16000"/>
    <x v="9"/>
    <n v="16000"/>
    <n v="5500"/>
    <n v="10500"/>
  </r>
  <r>
    <s v="DTL01947"/>
    <s v="TRX00791"/>
    <s v="MNU012"/>
    <n v="2"/>
    <n v="26000"/>
    <x v="15"/>
    <n v="52000"/>
    <n v="11500"/>
    <n v="29000"/>
  </r>
  <r>
    <s v="DTL01948"/>
    <s v="TRX00791"/>
    <s v="MNU020"/>
    <n v="3"/>
    <n v="15000"/>
    <x v="19"/>
    <n v="45000"/>
    <n v="6000"/>
    <n v="27000"/>
  </r>
  <r>
    <s v="DTL01949"/>
    <s v="TRX00792"/>
    <s v="MNU019"/>
    <n v="1"/>
    <n v="5000"/>
    <x v="2"/>
    <n v="5000"/>
    <n v="2000"/>
    <n v="3000"/>
  </r>
  <r>
    <s v="DTL01950"/>
    <s v="TRX00792"/>
    <s v="MNU016"/>
    <n v="1"/>
    <n v="18000"/>
    <x v="0"/>
    <n v="18000"/>
    <n v="4500"/>
    <n v="13500"/>
  </r>
  <r>
    <s v="DTL01951"/>
    <s v="TRX00792"/>
    <s v="MNU006"/>
    <n v="3"/>
    <n v="20000"/>
    <x v="11"/>
    <n v="60000"/>
    <n v="8000"/>
    <n v="36000"/>
  </r>
  <r>
    <s v="DTL01952"/>
    <s v="TRX00792"/>
    <s v="MNU003"/>
    <n v="1"/>
    <n v="27000"/>
    <x v="4"/>
    <n v="27000"/>
    <n v="11000"/>
    <n v="16000"/>
  </r>
  <r>
    <s v="DTL01953"/>
    <s v="TRX00792"/>
    <s v="MNU024"/>
    <n v="1"/>
    <n v="9000"/>
    <x v="1"/>
    <n v="9000"/>
    <n v="3000"/>
    <n v="6000"/>
  </r>
  <r>
    <s v="DTL01954"/>
    <s v="TRX00793"/>
    <s v="MNU023"/>
    <n v="1"/>
    <n v="5000"/>
    <x v="13"/>
    <n v="5000"/>
    <n v="1500"/>
    <n v="3500"/>
  </r>
  <r>
    <s v="DTL01955"/>
    <s v="TRX00794"/>
    <s v="MNU003"/>
    <n v="1"/>
    <n v="27000"/>
    <x v="4"/>
    <n v="27000"/>
    <n v="11000"/>
    <n v="16000"/>
  </r>
  <r>
    <s v="DTL01956"/>
    <s v="TRX00794"/>
    <s v="MNU006"/>
    <n v="2"/>
    <n v="20000"/>
    <x v="11"/>
    <n v="40000"/>
    <n v="8000"/>
    <n v="24000"/>
  </r>
  <r>
    <s v="DTL01957"/>
    <s v="TRX00794"/>
    <s v="MNU002"/>
    <n v="1"/>
    <n v="23000"/>
    <x v="12"/>
    <n v="23000"/>
    <n v="8500"/>
    <n v="14500"/>
  </r>
  <r>
    <s v="DTL01958"/>
    <s v="TRX00794"/>
    <s v="MNU004"/>
    <n v="1"/>
    <n v="22000"/>
    <x v="14"/>
    <n v="22000"/>
    <n v="9500"/>
    <n v="12500"/>
  </r>
  <r>
    <s v="DTL01959"/>
    <s v="TRX00794"/>
    <s v="MNU024"/>
    <n v="1"/>
    <n v="9000"/>
    <x v="1"/>
    <n v="9000"/>
    <n v="3000"/>
    <n v="6000"/>
  </r>
  <r>
    <s v="DTL01960"/>
    <s v="TRX00795"/>
    <s v="MNU003"/>
    <n v="1"/>
    <n v="27000"/>
    <x v="4"/>
    <n v="27000"/>
    <n v="11000"/>
    <n v="16000"/>
  </r>
  <r>
    <s v="DTL01961"/>
    <s v="TRX00796"/>
    <s v="MNU018"/>
    <n v="1"/>
    <n v="12000"/>
    <x v="6"/>
    <n v="12000"/>
    <n v="3000"/>
    <n v="9000"/>
  </r>
  <r>
    <s v="DTL01962"/>
    <s v="TRX00796"/>
    <s v="MNU003"/>
    <n v="1"/>
    <n v="27000"/>
    <x v="4"/>
    <n v="27000"/>
    <n v="11000"/>
    <n v="16000"/>
  </r>
  <r>
    <s v="DTL01963"/>
    <s v="TRX00797"/>
    <s v="MNU007"/>
    <n v="3"/>
    <n v="28000"/>
    <x v="8"/>
    <n v="84000"/>
    <n v="12000"/>
    <n v="48000"/>
  </r>
  <r>
    <s v="DTL01964"/>
    <s v="TRX00797"/>
    <s v="MNU014"/>
    <n v="1"/>
    <n v="8000"/>
    <x v="5"/>
    <n v="8000"/>
    <n v="2500"/>
    <n v="5500"/>
  </r>
  <r>
    <s v="DTL01965"/>
    <s v="TRX00797"/>
    <s v="MNU003"/>
    <n v="2"/>
    <n v="27000"/>
    <x v="4"/>
    <n v="54000"/>
    <n v="11000"/>
    <n v="32000"/>
  </r>
  <r>
    <s v="DTL01966"/>
    <s v="TRX00797"/>
    <s v="MNU024"/>
    <n v="1"/>
    <n v="9000"/>
    <x v="1"/>
    <n v="9000"/>
    <n v="3000"/>
    <n v="6000"/>
  </r>
  <r>
    <s v="DTL01967"/>
    <s v="TRX00798"/>
    <s v="MNU019"/>
    <n v="1"/>
    <n v="5000"/>
    <x v="2"/>
    <n v="5000"/>
    <n v="2000"/>
    <n v="3000"/>
  </r>
  <r>
    <s v="DTL01968"/>
    <s v="TRX00798"/>
    <s v="MNU003"/>
    <n v="2"/>
    <n v="27000"/>
    <x v="4"/>
    <n v="54000"/>
    <n v="11000"/>
    <n v="32000"/>
  </r>
  <r>
    <s v="DTL01969"/>
    <s v="TRX00799"/>
    <s v="MNU012"/>
    <n v="2"/>
    <n v="26000"/>
    <x v="15"/>
    <n v="52000"/>
    <n v="11500"/>
    <n v="29000"/>
  </r>
  <r>
    <s v="DTL01970"/>
    <s v="TRX00800"/>
    <s v="MNU020"/>
    <n v="2"/>
    <n v="15000"/>
    <x v="19"/>
    <n v="30000"/>
    <n v="6000"/>
    <n v="18000"/>
  </r>
  <r>
    <s v="DTL01971"/>
    <s v="TRX00800"/>
    <s v="MNU003"/>
    <n v="1"/>
    <n v="27000"/>
    <x v="4"/>
    <n v="27000"/>
    <n v="11000"/>
    <n v="16000"/>
  </r>
  <r>
    <s v="DTL01972"/>
    <s v="TRX00801"/>
    <s v="MNU003"/>
    <n v="1"/>
    <n v="27000"/>
    <x v="4"/>
    <n v="27000"/>
    <n v="11000"/>
    <n v="16000"/>
  </r>
  <r>
    <s v="DTL01973"/>
    <s v="TRX00802"/>
    <s v="MNU003"/>
    <n v="1"/>
    <n v="27000"/>
    <x v="4"/>
    <n v="27000"/>
    <n v="11000"/>
    <n v="16000"/>
  </r>
  <r>
    <s v="DTL01974"/>
    <s v="TRX00802"/>
    <s v="MNU016"/>
    <n v="1"/>
    <n v="18000"/>
    <x v="0"/>
    <n v="18000"/>
    <n v="4500"/>
    <n v="13500"/>
  </r>
  <r>
    <s v="DTL01975"/>
    <s v="TRX00802"/>
    <s v="MNU023"/>
    <n v="2"/>
    <n v="5000"/>
    <x v="13"/>
    <n v="10000"/>
    <n v="1500"/>
    <n v="7000"/>
  </r>
  <r>
    <s v="DTL01976"/>
    <s v="TRX00803"/>
    <s v="MNU014"/>
    <n v="3"/>
    <n v="8000"/>
    <x v="5"/>
    <n v="24000"/>
    <n v="2500"/>
    <n v="16500"/>
  </r>
  <r>
    <s v="DTL01977"/>
    <s v="TRX00803"/>
    <s v="MNU009"/>
    <n v="1"/>
    <n v="23000"/>
    <x v="3"/>
    <n v="23000"/>
    <n v="9000"/>
    <n v="14000"/>
  </r>
  <r>
    <s v="DTL01978"/>
    <s v="TRX00803"/>
    <s v="MNU015"/>
    <n v="1"/>
    <n v="9000"/>
    <x v="10"/>
    <n v="9000"/>
    <n v="2000"/>
    <n v="7000"/>
  </r>
  <r>
    <s v="DTL01979"/>
    <s v="TRX00804"/>
    <s v="MNU021"/>
    <n v="1"/>
    <n v="10000"/>
    <x v="16"/>
    <n v="10000"/>
    <n v="3500"/>
    <n v="6500"/>
  </r>
  <r>
    <s v="DTL01980"/>
    <s v="TRX00804"/>
    <s v="MNU003"/>
    <n v="1"/>
    <n v="27000"/>
    <x v="4"/>
    <n v="27000"/>
    <n v="11000"/>
    <n v="16000"/>
  </r>
  <r>
    <s v="DTL01981"/>
    <s v="TRX00804"/>
    <s v="MNU002"/>
    <n v="2"/>
    <n v="23000"/>
    <x v="12"/>
    <n v="46000"/>
    <n v="8500"/>
    <n v="29000"/>
  </r>
  <r>
    <s v="DTL01982"/>
    <s v="TRX00805"/>
    <s v="MNU023"/>
    <n v="3"/>
    <n v="5000"/>
    <x v="13"/>
    <n v="15000"/>
    <n v="1500"/>
    <n v="10500"/>
  </r>
  <r>
    <s v="DTL01983"/>
    <s v="TRX00805"/>
    <s v="MNU017"/>
    <n v="1"/>
    <n v="16000"/>
    <x v="9"/>
    <n v="16000"/>
    <n v="5500"/>
    <n v="10500"/>
  </r>
  <r>
    <s v="DTL01984"/>
    <s v="TRX00806"/>
    <s v="MNU021"/>
    <n v="2"/>
    <n v="10000"/>
    <x v="16"/>
    <n v="20000"/>
    <n v="3500"/>
    <n v="13000"/>
  </r>
  <r>
    <s v="DTL01985"/>
    <s v="TRX00806"/>
    <s v="MNU023"/>
    <n v="1"/>
    <n v="5000"/>
    <x v="13"/>
    <n v="5000"/>
    <n v="1500"/>
    <n v="3500"/>
  </r>
  <r>
    <s v="DTL01986"/>
    <s v="TRX00807"/>
    <s v="MNU003"/>
    <n v="1"/>
    <n v="27000"/>
    <x v="4"/>
    <n v="27000"/>
    <n v="11000"/>
    <n v="16000"/>
  </r>
  <r>
    <s v="DTL01987"/>
    <s v="TRX00807"/>
    <s v="MNU016"/>
    <n v="2"/>
    <n v="18000"/>
    <x v="0"/>
    <n v="36000"/>
    <n v="4500"/>
    <n v="27000"/>
  </r>
  <r>
    <s v="DTL01988"/>
    <s v="TRX00808"/>
    <s v="MNU003"/>
    <n v="1"/>
    <n v="27000"/>
    <x v="4"/>
    <n v="27000"/>
    <n v="11000"/>
    <n v="16000"/>
  </r>
  <r>
    <s v="DTL01989"/>
    <s v="TRX00808"/>
    <s v="MNU009"/>
    <n v="1"/>
    <n v="23000"/>
    <x v="3"/>
    <n v="23000"/>
    <n v="9000"/>
    <n v="14000"/>
  </r>
  <r>
    <s v="DTL01990"/>
    <s v="TRX00809"/>
    <s v="MNU012"/>
    <n v="1"/>
    <n v="26000"/>
    <x v="15"/>
    <n v="26000"/>
    <n v="11500"/>
    <n v="14500"/>
  </r>
  <r>
    <s v="DTL01991"/>
    <s v="TRX00809"/>
    <s v="MNU017"/>
    <n v="2"/>
    <n v="16000"/>
    <x v="9"/>
    <n v="32000"/>
    <n v="5500"/>
    <n v="21000"/>
  </r>
  <r>
    <s v="DTL01992"/>
    <s v="TRX00809"/>
    <s v="MNU003"/>
    <n v="1"/>
    <n v="27000"/>
    <x v="4"/>
    <n v="27000"/>
    <n v="11000"/>
    <n v="16000"/>
  </r>
  <r>
    <s v="DTL01993"/>
    <s v="TRX00810"/>
    <s v="MNU003"/>
    <n v="1"/>
    <n v="27000"/>
    <x v="4"/>
    <n v="27000"/>
    <n v="11000"/>
    <n v="16000"/>
  </r>
  <r>
    <s v="DTL01994"/>
    <s v="TRX00811"/>
    <s v="MNU002"/>
    <n v="1"/>
    <n v="23000"/>
    <x v="12"/>
    <n v="23000"/>
    <n v="8500"/>
    <n v="14500"/>
  </r>
  <r>
    <s v="DTL01995"/>
    <s v="TRX00811"/>
    <s v="MNU003"/>
    <n v="1"/>
    <n v="27000"/>
    <x v="4"/>
    <n v="27000"/>
    <n v="11000"/>
    <n v="16000"/>
  </r>
  <r>
    <s v="DTL01996"/>
    <s v="TRX00811"/>
    <s v="MNU009"/>
    <n v="1"/>
    <n v="23000"/>
    <x v="3"/>
    <n v="23000"/>
    <n v="9000"/>
    <n v="14000"/>
  </r>
  <r>
    <s v="DTL01997"/>
    <s v="TRX00812"/>
    <s v="MNU014"/>
    <n v="1"/>
    <n v="8000"/>
    <x v="5"/>
    <n v="8000"/>
    <n v="2500"/>
    <n v="5500"/>
  </r>
  <r>
    <s v="DTL01998"/>
    <s v="TRX00812"/>
    <s v="MNU003"/>
    <n v="1"/>
    <n v="27000"/>
    <x v="4"/>
    <n v="27000"/>
    <n v="11000"/>
    <n v="16000"/>
  </r>
  <r>
    <s v="DTL01999"/>
    <s v="TRX00813"/>
    <s v="MNU019"/>
    <n v="1"/>
    <n v="5000"/>
    <x v="2"/>
    <n v="5000"/>
    <n v="2000"/>
    <n v="3000"/>
  </r>
  <r>
    <s v="DTL02000"/>
    <s v="TRX00813"/>
    <s v="MNU002"/>
    <n v="1"/>
    <n v="23000"/>
    <x v="12"/>
    <n v="23000"/>
    <n v="8500"/>
    <n v="14500"/>
  </r>
  <r>
    <s v="DTL02001"/>
    <s v="TRX00814"/>
    <s v="MNU003"/>
    <n v="1"/>
    <n v="27000"/>
    <x v="4"/>
    <n v="27000"/>
    <n v="11000"/>
    <n v="16000"/>
  </r>
  <r>
    <s v="DTL02002"/>
    <s v="TRX00814"/>
    <s v="MNU017"/>
    <n v="2"/>
    <n v="16000"/>
    <x v="9"/>
    <n v="32000"/>
    <n v="5500"/>
    <n v="21000"/>
  </r>
  <r>
    <s v="DTL02003"/>
    <s v="TRX00814"/>
    <s v="MNU009"/>
    <n v="1"/>
    <n v="23000"/>
    <x v="3"/>
    <n v="23000"/>
    <n v="9000"/>
    <n v="14000"/>
  </r>
  <r>
    <s v="DTL02004"/>
    <s v="TRX00815"/>
    <s v="MNU024"/>
    <n v="2"/>
    <n v="9000"/>
    <x v="1"/>
    <n v="18000"/>
    <n v="3000"/>
    <n v="12000"/>
  </r>
  <r>
    <s v="DTL02005"/>
    <s v="TRX00816"/>
    <s v="MNU012"/>
    <n v="1"/>
    <n v="26000"/>
    <x v="15"/>
    <n v="26000"/>
    <n v="11500"/>
    <n v="14500"/>
  </r>
  <r>
    <s v="DTL02006"/>
    <s v="TRX00816"/>
    <s v="MNU007"/>
    <n v="1"/>
    <n v="28000"/>
    <x v="8"/>
    <n v="28000"/>
    <n v="12000"/>
    <n v="16000"/>
  </r>
  <r>
    <s v="DTL02007"/>
    <s v="TRX00816"/>
    <s v="MNU016"/>
    <n v="2"/>
    <n v="18000"/>
    <x v="0"/>
    <n v="36000"/>
    <n v="4500"/>
    <n v="27000"/>
  </r>
  <r>
    <s v="DTL02008"/>
    <s v="TRX00817"/>
    <s v="MNU006"/>
    <n v="1"/>
    <n v="20000"/>
    <x v="11"/>
    <n v="20000"/>
    <n v="8000"/>
    <n v="12000"/>
  </r>
  <r>
    <s v="DTL02009"/>
    <s v="TRX00818"/>
    <s v="MNU019"/>
    <n v="2"/>
    <n v="5000"/>
    <x v="2"/>
    <n v="10000"/>
    <n v="2000"/>
    <n v="6000"/>
  </r>
  <r>
    <s v="DTL02010"/>
    <s v="TRX00819"/>
    <s v="MNU003"/>
    <n v="1"/>
    <n v="27000"/>
    <x v="4"/>
    <n v="27000"/>
    <n v="11000"/>
    <n v="16000"/>
  </r>
  <r>
    <s v="DTL02011"/>
    <s v="TRX00819"/>
    <s v="MNU016"/>
    <n v="1"/>
    <n v="18000"/>
    <x v="0"/>
    <n v="18000"/>
    <n v="4500"/>
    <n v="13500"/>
  </r>
  <r>
    <s v="DTL02012"/>
    <s v="TRX00819"/>
    <s v="MNU024"/>
    <n v="1"/>
    <n v="9000"/>
    <x v="1"/>
    <n v="9000"/>
    <n v="3000"/>
    <n v="6000"/>
  </r>
  <r>
    <s v="DTL02013"/>
    <s v="TRX00819"/>
    <s v="MNU020"/>
    <n v="1"/>
    <n v="15000"/>
    <x v="19"/>
    <n v="15000"/>
    <n v="6000"/>
    <n v="9000"/>
  </r>
  <r>
    <s v="DTL02014"/>
    <s v="TRX00820"/>
    <s v="MNU006"/>
    <n v="1"/>
    <n v="20000"/>
    <x v="11"/>
    <n v="20000"/>
    <n v="8000"/>
    <n v="12000"/>
  </r>
  <r>
    <s v="DTL02015"/>
    <s v="TRX00820"/>
    <s v="MNU023"/>
    <n v="1"/>
    <n v="5000"/>
    <x v="13"/>
    <n v="5000"/>
    <n v="1500"/>
    <n v="3500"/>
  </r>
  <r>
    <s v="DTL02016"/>
    <s v="TRX00820"/>
    <s v="MNU003"/>
    <n v="1"/>
    <n v="27000"/>
    <x v="4"/>
    <n v="27000"/>
    <n v="11000"/>
    <n v="16000"/>
  </r>
  <r>
    <s v="DTL02017"/>
    <s v="TRX00821"/>
    <s v="MNU005"/>
    <n v="3"/>
    <n v="32000"/>
    <x v="18"/>
    <n v="96000"/>
    <n v="14000"/>
    <n v="54000"/>
  </r>
  <r>
    <s v="DTL02018"/>
    <s v="TRX00821"/>
    <s v="MNU003"/>
    <n v="3"/>
    <n v="27000"/>
    <x v="4"/>
    <n v="81000"/>
    <n v="11000"/>
    <n v="48000"/>
  </r>
  <r>
    <s v="DTL02019"/>
    <s v="TRX00822"/>
    <s v="MNU019"/>
    <n v="1"/>
    <n v="5000"/>
    <x v="2"/>
    <n v="5000"/>
    <n v="2000"/>
    <n v="3000"/>
  </r>
  <r>
    <s v="DTL02020"/>
    <s v="TRX00822"/>
    <s v="MNU002"/>
    <n v="1"/>
    <n v="23000"/>
    <x v="12"/>
    <n v="23000"/>
    <n v="8500"/>
    <n v="14500"/>
  </r>
  <r>
    <s v="DTL02021"/>
    <s v="TRX00822"/>
    <s v="MNU003"/>
    <n v="1"/>
    <n v="27000"/>
    <x v="4"/>
    <n v="27000"/>
    <n v="11000"/>
    <n v="16000"/>
  </r>
  <r>
    <s v="DTL02022"/>
    <s v="TRX00823"/>
    <s v="MNU017"/>
    <n v="1"/>
    <n v="16000"/>
    <x v="9"/>
    <n v="16000"/>
    <n v="5500"/>
    <n v="10500"/>
  </r>
  <r>
    <s v="DTL02023"/>
    <s v="TRX00823"/>
    <s v="MNU018"/>
    <n v="2"/>
    <n v="12000"/>
    <x v="6"/>
    <n v="24000"/>
    <n v="3000"/>
    <n v="18000"/>
  </r>
  <r>
    <s v="DTL02024"/>
    <s v="TRX00823"/>
    <s v="MNU003"/>
    <n v="2"/>
    <n v="27000"/>
    <x v="4"/>
    <n v="54000"/>
    <n v="11000"/>
    <n v="32000"/>
  </r>
  <r>
    <s v="DTL02025"/>
    <s v="TRX00824"/>
    <s v="MNU004"/>
    <n v="1"/>
    <n v="22000"/>
    <x v="14"/>
    <n v="22000"/>
    <n v="9500"/>
    <n v="12500"/>
  </r>
  <r>
    <s v="DTL02026"/>
    <s v="TRX00824"/>
    <s v="MNU013"/>
    <n v="2"/>
    <n v="6000"/>
    <x v="22"/>
    <n v="12000"/>
    <n v="1500"/>
    <n v="9000"/>
  </r>
  <r>
    <s v="DTL02027"/>
    <s v="TRX00824"/>
    <s v="MNU003"/>
    <n v="1"/>
    <n v="27000"/>
    <x v="4"/>
    <n v="27000"/>
    <n v="11000"/>
    <n v="16000"/>
  </r>
  <r>
    <s v="DTL02028"/>
    <s v="TRX00825"/>
    <s v="MNU003"/>
    <n v="3"/>
    <n v="27000"/>
    <x v="4"/>
    <n v="81000"/>
    <n v="11000"/>
    <n v="48000"/>
  </r>
  <r>
    <s v="DTL02029"/>
    <s v="TRX00825"/>
    <s v="MNU017"/>
    <n v="1"/>
    <n v="16000"/>
    <x v="9"/>
    <n v="16000"/>
    <n v="5500"/>
    <n v="10500"/>
  </r>
  <r>
    <s v="DTL02030"/>
    <s v="TRX00825"/>
    <s v="MNU008"/>
    <n v="1"/>
    <n v="21000"/>
    <x v="21"/>
    <n v="21000"/>
    <n v="8500"/>
    <n v="12500"/>
  </r>
  <r>
    <s v="DTL02031"/>
    <s v="TRX00826"/>
    <s v="MNU002"/>
    <n v="3"/>
    <n v="23000"/>
    <x v="12"/>
    <n v="69000"/>
    <n v="8500"/>
    <n v="43500"/>
  </r>
  <r>
    <s v="DTL02032"/>
    <s v="TRX00826"/>
    <s v="MNU018"/>
    <n v="1"/>
    <n v="12000"/>
    <x v="6"/>
    <n v="12000"/>
    <n v="3000"/>
    <n v="9000"/>
  </r>
  <r>
    <s v="DTL02033"/>
    <s v="TRX00826"/>
    <s v="MNU006"/>
    <n v="1"/>
    <n v="20000"/>
    <x v="11"/>
    <n v="20000"/>
    <n v="8000"/>
    <n v="12000"/>
  </r>
  <r>
    <s v="DTL02034"/>
    <s v="TRX00827"/>
    <s v="MNU007"/>
    <n v="1"/>
    <n v="28000"/>
    <x v="8"/>
    <n v="28000"/>
    <n v="12000"/>
    <n v="16000"/>
  </r>
  <r>
    <s v="DTL02035"/>
    <s v="TRX00827"/>
    <s v="MNU004"/>
    <n v="1"/>
    <n v="22000"/>
    <x v="14"/>
    <n v="22000"/>
    <n v="9500"/>
    <n v="12500"/>
  </r>
  <r>
    <s v="DTL02036"/>
    <s v="TRX00827"/>
    <s v="MNU009"/>
    <n v="1"/>
    <n v="23000"/>
    <x v="3"/>
    <n v="23000"/>
    <n v="9000"/>
    <n v="14000"/>
  </r>
  <r>
    <s v="DTL02037"/>
    <s v="TRX00828"/>
    <s v="MNU003"/>
    <n v="2"/>
    <n v="27000"/>
    <x v="4"/>
    <n v="54000"/>
    <n v="11000"/>
    <n v="32000"/>
  </r>
  <r>
    <s v="DTL02038"/>
    <s v="TRX00828"/>
    <s v="MNU016"/>
    <n v="1"/>
    <n v="18000"/>
    <x v="0"/>
    <n v="18000"/>
    <n v="4500"/>
    <n v="13500"/>
  </r>
  <r>
    <s v="DTL02039"/>
    <s v="TRX00828"/>
    <s v="MNU004"/>
    <n v="1"/>
    <n v="22000"/>
    <x v="14"/>
    <n v="22000"/>
    <n v="9500"/>
    <n v="12500"/>
  </r>
  <r>
    <s v="DTL02040"/>
    <s v="TRX00828"/>
    <s v="MNU012"/>
    <n v="3"/>
    <n v="26000"/>
    <x v="15"/>
    <n v="78000"/>
    <n v="11500"/>
    <n v="43500"/>
  </r>
  <r>
    <s v="DTL02041"/>
    <s v="TRX00829"/>
    <s v="MNU012"/>
    <n v="1"/>
    <n v="26000"/>
    <x v="15"/>
    <n v="26000"/>
    <n v="11500"/>
    <n v="14500"/>
  </r>
  <r>
    <s v="DTL02042"/>
    <s v="TRX00830"/>
    <s v="MNU019"/>
    <n v="1"/>
    <n v="5000"/>
    <x v="2"/>
    <n v="5000"/>
    <n v="2000"/>
    <n v="3000"/>
  </r>
  <r>
    <s v="DTL02043"/>
    <s v="TRX00831"/>
    <s v="MNU003"/>
    <n v="1"/>
    <n v="27000"/>
    <x v="4"/>
    <n v="27000"/>
    <n v="11000"/>
    <n v="16000"/>
  </r>
  <r>
    <s v="DTL02044"/>
    <s v="TRX00831"/>
    <s v="MNU016"/>
    <n v="1"/>
    <n v="18000"/>
    <x v="0"/>
    <n v="18000"/>
    <n v="4500"/>
    <n v="13500"/>
  </r>
  <r>
    <s v="DTL02045"/>
    <s v="TRX00832"/>
    <s v="MNU003"/>
    <n v="1"/>
    <n v="27000"/>
    <x v="4"/>
    <n v="27000"/>
    <n v="11000"/>
    <n v="16000"/>
  </r>
  <r>
    <s v="DTL02046"/>
    <s v="TRX00832"/>
    <s v="MNU012"/>
    <n v="1"/>
    <n v="26000"/>
    <x v="15"/>
    <n v="26000"/>
    <n v="11500"/>
    <n v="14500"/>
  </r>
  <r>
    <s v="DTL02047"/>
    <s v="TRX00832"/>
    <s v="MNU009"/>
    <n v="2"/>
    <n v="23000"/>
    <x v="3"/>
    <n v="46000"/>
    <n v="9000"/>
    <n v="28000"/>
  </r>
  <r>
    <s v="DTL02048"/>
    <s v="TRX00832"/>
    <s v="MNU017"/>
    <n v="1"/>
    <n v="16000"/>
    <x v="9"/>
    <n v="16000"/>
    <n v="5500"/>
    <n v="10500"/>
  </r>
  <r>
    <s v="DTL02049"/>
    <s v="TRX00833"/>
    <s v="MNU009"/>
    <n v="1"/>
    <n v="23000"/>
    <x v="3"/>
    <n v="23000"/>
    <n v="9000"/>
    <n v="14000"/>
  </r>
  <r>
    <s v="DTL02050"/>
    <s v="TRX00834"/>
    <s v="MNU023"/>
    <n v="1"/>
    <n v="5000"/>
    <x v="13"/>
    <n v="5000"/>
    <n v="1500"/>
    <n v="3500"/>
  </r>
  <r>
    <s v="DTL02051"/>
    <s v="TRX00834"/>
    <s v="MNU018"/>
    <n v="1"/>
    <n v="12000"/>
    <x v="6"/>
    <n v="12000"/>
    <n v="3000"/>
    <n v="9000"/>
  </r>
  <r>
    <s v="DTL02052"/>
    <s v="TRX00834"/>
    <s v="MNU003"/>
    <n v="1"/>
    <n v="27000"/>
    <x v="4"/>
    <n v="27000"/>
    <n v="11000"/>
    <n v="16000"/>
  </r>
  <r>
    <s v="DTL02053"/>
    <s v="TRX00834"/>
    <s v="MNU019"/>
    <n v="2"/>
    <n v="5000"/>
    <x v="2"/>
    <n v="10000"/>
    <n v="2000"/>
    <n v="6000"/>
  </r>
  <r>
    <s v="DTL02054"/>
    <s v="TRX00835"/>
    <s v="MNU024"/>
    <n v="1"/>
    <n v="9000"/>
    <x v="1"/>
    <n v="9000"/>
    <n v="3000"/>
    <n v="6000"/>
  </r>
  <r>
    <s v="DTL02055"/>
    <s v="TRX00835"/>
    <s v="MNU003"/>
    <n v="1"/>
    <n v="27000"/>
    <x v="4"/>
    <n v="27000"/>
    <n v="11000"/>
    <n v="16000"/>
  </r>
  <r>
    <s v="DTL02056"/>
    <s v="TRX00836"/>
    <s v="MNU003"/>
    <n v="2"/>
    <n v="27000"/>
    <x v="4"/>
    <n v="54000"/>
    <n v="11000"/>
    <n v="32000"/>
  </r>
  <r>
    <s v="DTL02057"/>
    <s v="TRX00836"/>
    <s v="MNU010"/>
    <n v="1"/>
    <n v="22000"/>
    <x v="7"/>
    <n v="22000"/>
    <n v="9500"/>
    <n v="12500"/>
  </r>
  <r>
    <s v="DTL02058"/>
    <s v="TRX00836"/>
    <s v="MNU015"/>
    <n v="1"/>
    <n v="9000"/>
    <x v="10"/>
    <n v="9000"/>
    <n v="2000"/>
    <n v="7000"/>
  </r>
  <r>
    <s v="DTL02059"/>
    <s v="TRX00836"/>
    <s v="MNU023"/>
    <n v="1"/>
    <n v="5000"/>
    <x v="13"/>
    <n v="5000"/>
    <n v="1500"/>
    <n v="3500"/>
  </r>
  <r>
    <s v="DTL02060"/>
    <s v="TRX00837"/>
    <s v="MNU019"/>
    <n v="1"/>
    <n v="5000"/>
    <x v="2"/>
    <n v="5000"/>
    <n v="2000"/>
    <n v="3000"/>
  </r>
  <r>
    <s v="DTL02061"/>
    <s v="TRX00837"/>
    <s v="MNU020"/>
    <n v="1"/>
    <n v="15000"/>
    <x v="19"/>
    <n v="15000"/>
    <n v="6000"/>
    <n v="9000"/>
  </r>
  <r>
    <s v="DTL02062"/>
    <s v="TRX00837"/>
    <s v="MNU003"/>
    <n v="1"/>
    <n v="27000"/>
    <x v="4"/>
    <n v="27000"/>
    <n v="11000"/>
    <n v="16000"/>
  </r>
  <r>
    <s v="DTL02063"/>
    <s v="TRX00838"/>
    <s v="MNU016"/>
    <n v="1"/>
    <n v="18000"/>
    <x v="0"/>
    <n v="18000"/>
    <n v="4500"/>
    <n v="13500"/>
  </r>
  <r>
    <s v="DTL02064"/>
    <s v="TRX00838"/>
    <s v="MNU006"/>
    <n v="1"/>
    <n v="20000"/>
    <x v="11"/>
    <n v="20000"/>
    <n v="8000"/>
    <n v="12000"/>
  </r>
  <r>
    <s v="DTL02065"/>
    <s v="TRX00839"/>
    <s v="MNU024"/>
    <n v="3"/>
    <n v="9000"/>
    <x v="1"/>
    <n v="27000"/>
    <n v="3000"/>
    <n v="18000"/>
  </r>
  <r>
    <s v="DTL02066"/>
    <s v="TRX00839"/>
    <s v="MNU003"/>
    <n v="1"/>
    <n v="27000"/>
    <x v="4"/>
    <n v="27000"/>
    <n v="11000"/>
    <n v="16000"/>
  </r>
  <r>
    <s v="DTL02067"/>
    <s v="TRX00839"/>
    <s v="MNU017"/>
    <n v="1"/>
    <n v="16000"/>
    <x v="9"/>
    <n v="16000"/>
    <n v="5500"/>
    <n v="10500"/>
  </r>
  <r>
    <s v="DTL02068"/>
    <s v="TRX00840"/>
    <s v="MNU004"/>
    <n v="1"/>
    <n v="22000"/>
    <x v="14"/>
    <n v="22000"/>
    <n v="9500"/>
    <n v="12500"/>
  </r>
  <r>
    <s v="DTL02069"/>
    <s v="TRX00840"/>
    <s v="MNU003"/>
    <n v="1"/>
    <n v="27000"/>
    <x v="4"/>
    <n v="27000"/>
    <n v="11000"/>
    <n v="16000"/>
  </r>
  <r>
    <s v="DTL02070"/>
    <s v="TRX00840"/>
    <s v="MNU011"/>
    <n v="1"/>
    <n v="29000"/>
    <x v="20"/>
    <n v="29000"/>
    <n v="13000"/>
    <n v="16000"/>
  </r>
  <r>
    <s v="DTL02071"/>
    <s v="TRX00840"/>
    <s v="MNU024"/>
    <n v="1"/>
    <n v="9000"/>
    <x v="1"/>
    <n v="9000"/>
    <n v="3000"/>
    <n v="6000"/>
  </r>
  <r>
    <s v="DTL02072"/>
    <s v="TRX00841"/>
    <s v="MNU003"/>
    <n v="2"/>
    <n v="27000"/>
    <x v="4"/>
    <n v="54000"/>
    <n v="11000"/>
    <n v="32000"/>
  </r>
  <r>
    <s v="DTL02073"/>
    <s v="TRX00841"/>
    <s v="MNU004"/>
    <n v="1"/>
    <n v="22000"/>
    <x v="14"/>
    <n v="22000"/>
    <n v="9500"/>
    <n v="12500"/>
  </r>
  <r>
    <s v="DTL02074"/>
    <s v="TRX00841"/>
    <s v="MNU023"/>
    <n v="3"/>
    <n v="5000"/>
    <x v="13"/>
    <n v="15000"/>
    <n v="1500"/>
    <n v="10500"/>
  </r>
  <r>
    <s v="DTL02075"/>
    <s v="TRX00842"/>
    <s v="MNU003"/>
    <n v="1"/>
    <n v="27000"/>
    <x v="4"/>
    <n v="27000"/>
    <n v="11000"/>
    <n v="16000"/>
  </r>
  <r>
    <s v="DTL02076"/>
    <s v="TRX00842"/>
    <s v="MNU023"/>
    <n v="2"/>
    <n v="5000"/>
    <x v="13"/>
    <n v="10000"/>
    <n v="1500"/>
    <n v="7000"/>
  </r>
  <r>
    <s v="DTL02077"/>
    <s v="TRX00843"/>
    <s v="MNU015"/>
    <n v="2"/>
    <n v="9000"/>
    <x v="10"/>
    <n v="18000"/>
    <n v="2000"/>
    <n v="14000"/>
  </r>
  <r>
    <s v="DTL02078"/>
    <s v="TRX00843"/>
    <s v="MNU003"/>
    <n v="1"/>
    <n v="27000"/>
    <x v="4"/>
    <n v="27000"/>
    <n v="11000"/>
    <n v="16000"/>
  </r>
  <r>
    <s v="DTL02079"/>
    <s v="TRX00843"/>
    <s v="MNU011"/>
    <n v="2"/>
    <n v="29000"/>
    <x v="20"/>
    <n v="58000"/>
    <n v="13000"/>
    <n v="32000"/>
  </r>
  <r>
    <s v="DTL02080"/>
    <s v="TRX00844"/>
    <s v="MNU004"/>
    <n v="2"/>
    <n v="22000"/>
    <x v="14"/>
    <n v="44000"/>
    <n v="9500"/>
    <n v="25000"/>
  </r>
  <r>
    <s v="DTL02081"/>
    <s v="TRX00844"/>
    <s v="MNU003"/>
    <n v="1"/>
    <n v="27000"/>
    <x v="4"/>
    <n v="27000"/>
    <n v="11000"/>
    <n v="16000"/>
  </r>
  <r>
    <s v="DTL02082"/>
    <s v="TRX00844"/>
    <s v="MNU016"/>
    <n v="1"/>
    <n v="18000"/>
    <x v="0"/>
    <n v="18000"/>
    <n v="4500"/>
    <n v="13500"/>
  </r>
  <r>
    <s v="DTL02083"/>
    <s v="TRX00845"/>
    <s v="MNU003"/>
    <n v="1"/>
    <n v="27000"/>
    <x v="4"/>
    <n v="27000"/>
    <n v="11000"/>
    <n v="16000"/>
  </r>
  <r>
    <s v="DTL02084"/>
    <s v="TRX00845"/>
    <s v="MNU016"/>
    <n v="1"/>
    <n v="18000"/>
    <x v="0"/>
    <n v="18000"/>
    <n v="4500"/>
    <n v="13500"/>
  </r>
  <r>
    <s v="DTL02085"/>
    <s v="TRX00845"/>
    <s v="MNU023"/>
    <n v="3"/>
    <n v="5000"/>
    <x v="13"/>
    <n v="15000"/>
    <n v="1500"/>
    <n v="10500"/>
  </r>
  <r>
    <s v="DTL02086"/>
    <s v="TRX00846"/>
    <s v="MNU003"/>
    <n v="1"/>
    <n v="27000"/>
    <x v="4"/>
    <n v="27000"/>
    <n v="11000"/>
    <n v="16000"/>
  </r>
  <r>
    <s v="DTL02087"/>
    <s v="TRX00846"/>
    <s v="MNU006"/>
    <n v="1"/>
    <n v="20000"/>
    <x v="11"/>
    <n v="20000"/>
    <n v="8000"/>
    <n v="12000"/>
  </r>
  <r>
    <s v="DTL02088"/>
    <s v="TRX00846"/>
    <s v="MNU016"/>
    <n v="1"/>
    <n v="18000"/>
    <x v="0"/>
    <n v="18000"/>
    <n v="4500"/>
    <n v="13500"/>
  </r>
  <r>
    <s v="DTL02089"/>
    <s v="TRX00847"/>
    <s v="MNU006"/>
    <n v="3"/>
    <n v="20000"/>
    <x v="11"/>
    <n v="60000"/>
    <n v="8000"/>
    <n v="36000"/>
  </r>
  <r>
    <s v="DTL02090"/>
    <s v="TRX00847"/>
    <s v="MNU003"/>
    <n v="2"/>
    <n v="27000"/>
    <x v="4"/>
    <n v="54000"/>
    <n v="11000"/>
    <n v="32000"/>
  </r>
  <r>
    <s v="DTL02091"/>
    <s v="TRX00848"/>
    <s v="MNU009"/>
    <n v="2"/>
    <n v="23000"/>
    <x v="3"/>
    <n v="46000"/>
    <n v="9000"/>
    <n v="28000"/>
  </r>
  <r>
    <s v="DTL02092"/>
    <s v="TRX00848"/>
    <s v="MNU017"/>
    <n v="1"/>
    <n v="16000"/>
    <x v="9"/>
    <n v="16000"/>
    <n v="5500"/>
    <n v="10500"/>
  </r>
  <r>
    <s v="DTL02093"/>
    <s v="TRX00848"/>
    <s v="MNU014"/>
    <n v="1"/>
    <n v="8000"/>
    <x v="5"/>
    <n v="8000"/>
    <n v="2500"/>
    <n v="5500"/>
  </r>
  <r>
    <s v="DTL02094"/>
    <s v="TRX00849"/>
    <s v="MNU021"/>
    <n v="1"/>
    <n v="10000"/>
    <x v="16"/>
    <n v="10000"/>
    <n v="3500"/>
    <n v="6500"/>
  </r>
  <r>
    <s v="DTL02095"/>
    <s v="TRX00850"/>
    <s v="MNU003"/>
    <n v="2"/>
    <n v="27000"/>
    <x v="4"/>
    <n v="54000"/>
    <n v="11000"/>
    <n v="32000"/>
  </r>
  <r>
    <s v="DTL02096"/>
    <s v="TRX00850"/>
    <s v="MNU021"/>
    <n v="2"/>
    <n v="10000"/>
    <x v="16"/>
    <n v="20000"/>
    <n v="3500"/>
    <n v="13000"/>
  </r>
  <r>
    <s v="DTL02097"/>
    <s v="TRX00850"/>
    <s v="MNU015"/>
    <n v="1"/>
    <n v="9000"/>
    <x v="10"/>
    <n v="9000"/>
    <n v="2000"/>
    <n v="7000"/>
  </r>
  <r>
    <s v="DTL02098"/>
    <s v="TRX00850"/>
    <s v="MNU002"/>
    <n v="2"/>
    <n v="23000"/>
    <x v="12"/>
    <n v="46000"/>
    <n v="8500"/>
    <n v="29000"/>
  </r>
  <r>
    <s v="DTL02099"/>
    <s v="TRX00850"/>
    <s v="MNU020"/>
    <n v="1"/>
    <n v="15000"/>
    <x v="19"/>
    <n v="15000"/>
    <n v="6000"/>
    <n v="9000"/>
  </r>
  <r>
    <s v="DTL01058"/>
    <s v="TRX00426"/>
    <s v="MNU021"/>
    <n v="1"/>
    <n v="10000"/>
    <x v="16"/>
    <n v="10000"/>
    <n v="3500"/>
    <n v="6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TRX00813"/>
    <s v="CBG01"/>
    <x v="0"/>
    <s v="Dine-in"/>
    <s v="QRIS"/>
    <s v="Wednesday"/>
    <s v="Warung Selera Nusantara - Margonda"/>
  </r>
  <r>
    <s v="TRX00188"/>
    <s v="CBG01"/>
    <x v="1"/>
    <s v="Dine-in"/>
    <s v="QRIS"/>
    <s v="Wednesday"/>
    <s v="Warung Selera Nusantara - Margonda"/>
  </r>
  <r>
    <s v="TRX00146"/>
    <s v="CBG04"/>
    <x v="2"/>
    <s v="Take Away"/>
    <s v="Cash"/>
    <s v="Wednesday"/>
    <s v="Warung Selera Nusantara - Tunjungan"/>
  </r>
  <r>
    <s v="TRX00385"/>
    <s v="CBG03"/>
    <x v="3"/>
    <s v="Take Away"/>
    <s v="QRIS"/>
    <s v="Wednesday"/>
    <s v="Warung Selera Nusantara - Sudirman"/>
  </r>
  <r>
    <s v="TRX00149"/>
    <s v="CBG04"/>
    <x v="4"/>
    <s v="Dine-in"/>
    <s v="E-wallet"/>
    <s v="Friday"/>
    <s v="Warung Selera Nusantara - Tunjungan"/>
  </r>
  <r>
    <s v="TRX00649"/>
    <s v="CBG03"/>
    <x v="5"/>
    <s v="Dine-in"/>
    <s v="Cash"/>
    <s v="Friday"/>
    <s v="Warung Selera Nusantara - Sudirman"/>
  </r>
  <r>
    <s v="TRX00393"/>
    <s v="CBG03"/>
    <x v="6"/>
    <s v="Dine-in"/>
    <s v="QRIS"/>
    <s v="Saturday"/>
    <s v="Warung Selera Nusantara - Sudirman"/>
  </r>
  <r>
    <s v="TRX00512"/>
    <s v="CBG01"/>
    <x v="7"/>
    <s v="Dine-in"/>
    <s v="QRIS"/>
    <s v="Saturday"/>
    <s v="Warung Selera Nusantara - Margonda"/>
  </r>
  <r>
    <s v="TRX00243"/>
    <s v="CBG03"/>
    <x v="8"/>
    <s v="Take Away"/>
    <s v="Kartu Debit/Kredit"/>
    <s v="Saturday"/>
    <s v="Warung Selera Nusantara - Sudirman"/>
  </r>
  <r>
    <s v="TRX00548"/>
    <s v="CBG03"/>
    <x v="9"/>
    <s v="Dine-in"/>
    <s v="E-wallet"/>
    <s v="Sunday"/>
    <s v="Warung Selera Nusantara - Sudirman"/>
  </r>
  <r>
    <s v="TRX00382"/>
    <s v="CBG03"/>
    <x v="10"/>
    <s v="Dine-in"/>
    <s v="QRIS"/>
    <s v="Monday"/>
    <s v="Warung Selera Nusantara - Sudirman"/>
  </r>
  <r>
    <s v="TRX00727"/>
    <s v="CBG01"/>
    <x v="11"/>
    <s v="Dine-in"/>
    <s v="QRIS"/>
    <s v="Monday"/>
    <s v="Warung Selera Nusantara - Margonda"/>
  </r>
  <r>
    <s v="TRX00497"/>
    <s v="CBG02"/>
    <x v="12"/>
    <s v="Delivery"/>
    <s v="Cash"/>
    <s v="Monday"/>
    <s v="Warung Selera Nusantara - Dago"/>
  </r>
  <r>
    <s v="TRX00038"/>
    <s v="CBG03"/>
    <x v="13"/>
    <s v="Dine-in"/>
    <s v="Cash"/>
    <s v="Tuesday"/>
    <s v="Warung Selera Nusantara - Sudirman"/>
  </r>
  <r>
    <s v="TRX00319"/>
    <s v="CBG01"/>
    <x v="14"/>
    <s v="Take Away"/>
    <s v="Kartu Debit/Kredit"/>
    <s v="Wednesday"/>
    <s v="Warung Selera Nusantara - Margonda"/>
  </r>
  <r>
    <s v="TRX00401"/>
    <s v="CBG01"/>
    <x v="15"/>
    <s v="Delivery"/>
    <s v="Cash"/>
    <s v="Wednesday"/>
    <s v="Warung Selera Nusantara - Margonda"/>
  </r>
  <r>
    <s v="TRX00139"/>
    <s v="CBG04"/>
    <x v="16"/>
    <s v="Dine-in"/>
    <s v="E-wallet"/>
    <s v="Wednesday"/>
    <s v="Warung Selera Nusantara - Tunjungan"/>
  </r>
  <r>
    <s v="TRX00157"/>
    <s v="CBG02"/>
    <x v="17"/>
    <s v="Dine-in"/>
    <s v="QRIS"/>
    <s v="Thursday"/>
    <s v="Warung Selera Nusantara - Dago"/>
  </r>
  <r>
    <s v="TRX00632"/>
    <s v="CBG04"/>
    <x v="18"/>
    <s v="Dine-in"/>
    <s v="Cash"/>
    <s v="Thursday"/>
    <s v="Warung Selera Nusantara - Tunjungan"/>
  </r>
  <r>
    <s v="TRX00667"/>
    <s v="CBG03"/>
    <x v="19"/>
    <s v="Delivery"/>
    <s v="Cash"/>
    <s v="Friday"/>
    <s v="Warung Selera Nusantara - Sudirman"/>
  </r>
  <r>
    <s v="TRX00079"/>
    <s v="CBG03"/>
    <x v="20"/>
    <s v="Dine-in"/>
    <s v="Cash"/>
    <s v="Saturday"/>
    <s v="Warung Selera Nusantara - Sudirman"/>
  </r>
  <r>
    <s v="TRX00761"/>
    <s v="CBG02"/>
    <x v="21"/>
    <s v="Delivery"/>
    <s v="QRIS"/>
    <s v="Saturday"/>
    <s v="Warung Selera Nusantara - Dago"/>
  </r>
  <r>
    <s v="TRX00517"/>
    <s v="CBG01"/>
    <x v="22"/>
    <s v="Take Away"/>
    <s v="E-wallet"/>
    <s v="Saturday"/>
    <s v="Warung Selera Nusantara - Margonda"/>
  </r>
  <r>
    <s v="TRX00614"/>
    <s v="CBG01"/>
    <x v="23"/>
    <s v="Delivery"/>
    <s v="E-wallet"/>
    <s v="Sunday"/>
    <s v="Warung Selera Nusantara - Margonda"/>
  </r>
  <r>
    <s v="TRX00223"/>
    <s v="CBG03"/>
    <x v="24"/>
    <s v="Take Away"/>
    <s v="Cash"/>
    <s v="Sunday"/>
    <s v="Warung Selera Nusantara - Sudirman"/>
  </r>
  <r>
    <s v="TRX00373"/>
    <s v="CBG02"/>
    <x v="25"/>
    <s v="Dine-in"/>
    <s v="Cash"/>
    <s v="Sunday"/>
    <s v="Warung Selera Nusantara - Dago"/>
  </r>
  <r>
    <s v="TRX00237"/>
    <s v="CBG03"/>
    <x v="26"/>
    <s v="Dine-in"/>
    <s v="QRIS"/>
    <s v="Sunday"/>
    <s v="Warung Selera Nusantara - Sudirman"/>
  </r>
  <r>
    <s v="TRX00439"/>
    <s v="CBG04"/>
    <x v="27"/>
    <s v="Dine-in"/>
    <s v="Kartu Debit/Kredit"/>
    <s v="Monday"/>
    <s v="Warung Selera Nusantara - Tunjungan"/>
  </r>
  <r>
    <s v="TRX00386"/>
    <s v="CBG04"/>
    <x v="28"/>
    <s v="Dine-in"/>
    <s v="Kartu Debit/Kredit"/>
    <s v="Monday"/>
    <s v="Warung Selera Nusantara - Tunjungan"/>
  </r>
  <r>
    <s v="TRX00159"/>
    <s v="CBG03"/>
    <x v="29"/>
    <s v="Delivery"/>
    <s v="QRIS"/>
    <s v="Thursday"/>
    <s v="Warung Selera Nusantara - Sudirman"/>
  </r>
  <r>
    <s v="TRX00657"/>
    <s v="CBG04"/>
    <x v="30"/>
    <s v="Take Away"/>
    <s v="Cash"/>
    <s v="Thursday"/>
    <s v="Warung Selera Nusantara - Tunjungan"/>
  </r>
  <r>
    <s v="TRX00696"/>
    <s v="CBG03"/>
    <x v="31"/>
    <s v="Dine-in"/>
    <s v="QRIS"/>
    <s v="Thursday"/>
    <s v="Warung Selera Nusantara - Sudirman"/>
  </r>
  <r>
    <s v="TRX00588"/>
    <s v="CBG04"/>
    <x v="32"/>
    <s v="Dine-in"/>
    <s v="Cash"/>
    <s v="Thursday"/>
    <s v="Warung Selera Nusantara - Tunjungan"/>
  </r>
  <r>
    <s v="TRX00759"/>
    <s v="CBG04"/>
    <x v="33"/>
    <s v="Take Away"/>
    <s v="Cash"/>
    <s v="Friday"/>
    <s v="Warung Selera Nusantara - Tunjungan"/>
  </r>
  <r>
    <s v="TRX00556"/>
    <s v="CBG03"/>
    <x v="34"/>
    <s v="Dine-in"/>
    <s v="Cash"/>
    <s v="Friday"/>
    <s v="Warung Selera Nusantara - Sudirman"/>
  </r>
  <r>
    <s v="TRX00596"/>
    <s v="CBG03"/>
    <x v="35"/>
    <s v="Delivery"/>
    <s v="Cash"/>
    <s v="Saturday"/>
    <s v="Warung Selera Nusantara - Sudirman"/>
  </r>
  <r>
    <s v="TRX00370"/>
    <s v="CBG02"/>
    <x v="36"/>
    <s v="Dine-in"/>
    <s v="QRIS"/>
    <s v="Saturday"/>
    <s v="Warung Selera Nusantara - Dago"/>
  </r>
  <r>
    <s v="TRX00682"/>
    <s v="CBG02"/>
    <x v="37"/>
    <s v="Delivery"/>
    <s v="Cash"/>
    <s v="Sunday"/>
    <s v="Warung Selera Nusantara - Dago"/>
  </r>
  <r>
    <s v="TRX00131"/>
    <s v="CBG03"/>
    <x v="38"/>
    <s v="Take Away"/>
    <s v="QRIS"/>
    <s v="Sunday"/>
    <s v="Warung Selera Nusantara - Sudirman"/>
  </r>
  <r>
    <s v="TRX00538"/>
    <s v="CBG03"/>
    <x v="39"/>
    <s v="Take Away"/>
    <s v="Cash"/>
    <s v="Sunday"/>
    <s v="Warung Selera Nusantara - Sudirman"/>
  </r>
  <r>
    <s v="TRX00304"/>
    <s v="CBG03"/>
    <x v="40"/>
    <s v="Delivery"/>
    <s v="Kartu Debit/Kredit"/>
    <s v="Monday"/>
    <s v="Warung Selera Nusantara - Sudirman"/>
  </r>
  <r>
    <s v="TRX00810"/>
    <s v="CBG03"/>
    <x v="41"/>
    <s v="Dine-in"/>
    <s v="QRIS"/>
    <s v="Tuesday"/>
    <s v="Warung Selera Nusantara - Sudirman"/>
  </r>
  <r>
    <s v="TRX00530"/>
    <s v="CBG03"/>
    <x v="42"/>
    <s v="Dine-in"/>
    <s v="Kartu Debit/Kredit"/>
    <s v="Tuesday"/>
    <s v="Warung Selera Nusantara - Sudirman"/>
  </r>
  <r>
    <s v="TRX00807"/>
    <s v="CBG03"/>
    <x v="43"/>
    <s v="Dine-in"/>
    <s v="QRIS"/>
    <s v="Tuesday"/>
    <s v="Warung Selera Nusantara - Sudirman"/>
  </r>
  <r>
    <s v="TRX00679"/>
    <s v="CBG02"/>
    <x v="44"/>
    <s v="Take Away"/>
    <s v="Kartu Debit/Kredit"/>
    <s v="Tuesday"/>
    <s v="Warung Selera Nusantara - Dago"/>
  </r>
  <r>
    <s v="TRX00229"/>
    <s v="CBG04"/>
    <x v="45"/>
    <s v="Take Away"/>
    <s v="E-wallet"/>
    <s v="Tuesday"/>
    <s v="Warung Selera Nusantara - Tunjungan"/>
  </r>
  <r>
    <s v="TRX00572"/>
    <s v="CBG04"/>
    <x v="46"/>
    <s v="Dine-in"/>
    <s v="E-wallet"/>
    <s v="Wednesday"/>
    <s v="Warung Selera Nusantara - Tunjungan"/>
  </r>
  <r>
    <s v="TRX00151"/>
    <s v="CBG04"/>
    <x v="47"/>
    <s v="Delivery"/>
    <s v="Cash"/>
    <s v="Wednesday"/>
    <s v="Warung Selera Nusantara - Tunjungan"/>
  </r>
  <r>
    <s v="TRX00329"/>
    <s v="CBG01"/>
    <x v="48"/>
    <s v="Dine-in"/>
    <s v="QRIS"/>
    <s v="Wednesday"/>
    <s v="Warung Selera Nusantara - Margonda"/>
  </r>
  <r>
    <s v="TRX00305"/>
    <s v="CBG03"/>
    <x v="49"/>
    <s v="Dine-in"/>
    <s v="QRIS"/>
    <s v="Thursday"/>
    <s v="Warung Selera Nusantara - Sudirman"/>
  </r>
  <r>
    <s v="TRX00271"/>
    <s v="CBG01"/>
    <x v="50"/>
    <s v="Dine-in"/>
    <s v="Kartu Debit/Kredit"/>
    <s v="Thursday"/>
    <s v="Warung Selera Nusantara - Margonda"/>
  </r>
  <r>
    <s v="TRX00762"/>
    <s v="CBG04"/>
    <x v="51"/>
    <s v="Delivery"/>
    <s v="QRIS"/>
    <s v="Thursday"/>
    <s v="Warung Selera Nusantara - Tunjungan"/>
  </r>
  <r>
    <s v="TRX00007"/>
    <s v="CBG01"/>
    <x v="52"/>
    <s v="Delivery"/>
    <s v="E-wallet"/>
    <s v="Friday"/>
    <s v="Warung Selera Nusantara - Margonda"/>
  </r>
  <r>
    <s v="TRX00413"/>
    <s v="CBG03"/>
    <x v="53"/>
    <s v="Dine-in"/>
    <s v="QRIS"/>
    <s v="Friday"/>
    <s v="Warung Selera Nusantara - Sudirman"/>
  </r>
  <r>
    <s v="TRX00142"/>
    <s v="CBG03"/>
    <x v="54"/>
    <s v="Dine-in"/>
    <s v="Cash"/>
    <s v="Friday"/>
    <s v="Warung Selera Nusantara - Sudirman"/>
  </r>
  <r>
    <s v="TRX00533"/>
    <s v="CBG04"/>
    <x v="55"/>
    <s v="Take Away"/>
    <s v="E-wallet"/>
    <s v="Friday"/>
    <s v="Warung Selera Nusantara - Tunjungan"/>
  </r>
  <r>
    <s v="TRX00362"/>
    <s v="CBG03"/>
    <x v="56"/>
    <s v="Dine-in"/>
    <s v="E-wallet"/>
    <s v="Saturday"/>
    <s v="Warung Selera Nusantara - Sudirman"/>
  </r>
  <r>
    <s v="TRX00604"/>
    <s v="CBG01"/>
    <x v="57"/>
    <s v="Dine-in"/>
    <s v="QRIS"/>
    <s v="Saturday"/>
    <s v="Warung Selera Nusantara - Margonda"/>
  </r>
  <r>
    <s v="TRX00427"/>
    <s v="CBG01"/>
    <x v="58"/>
    <s v="Dine-in"/>
    <s v="E-wallet"/>
    <s v="Saturday"/>
    <s v="Warung Selera Nusantara - Margonda"/>
  </r>
  <r>
    <s v="TRX00815"/>
    <s v="CBG04"/>
    <x v="59"/>
    <s v="Delivery"/>
    <s v="Cash"/>
    <s v="Saturday"/>
    <s v="Warung Selera Nusantara - Tunjungan"/>
  </r>
  <r>
    <s v="TRX00422"/>
    <s v="CBG03"/>
    <x v="60"/>
    <s v="Dine-in"/>
    <s v="E-wallet"/>
    <s v="Saturday"/>
    <s v="Warung Selera Nusantara - Sudirman"/>
  </r>
  <r>
    <s v="TRX00368"/>
    <s v="CBG03"/>
    <x v="61"/>
    <s v="Dine-in"/>
    <s v="E-wallet"/>
    <s v="Saturday"/>
    <s v="Warung Selera Nusantara - Sudirman"/>
  </r>
  <r>
    <s v="TRX00194"/>
    <s v="CBG03"/>
    <x v="62"/>
    <s v="Dine-in"/>
    <s v="QRIS"/>
    <s v="Saturday"/>
    <s v="Warung Selera Nusantara - Sudirman"/>
  </r>
  <r>
    <s v="TRX00372"/>
    <s v="CBG04"/>
    <x v="63"/>
    <s v="Take Away"/>
    <s v="QRIS"/>
    <s v="Saturday"/>
    <s v="Warung Selera Nusantara - Tunjungan"/>
  </r>
  <r>
    <s v="TRX00161"/>
    <s v="CBG04"/>
    <x v="64"/>
    <s v="Take Away"/>
    <s v="QRIS"/>
    <s v="Sunday"/>
    <s v="Warung Selera Nusantara - Tunjungan"/>
  </r>
  <r>
    <s v="TRX00542"/>
    <s v="CBG03"/>
    <x v="65"/>
    <s v="Dine-in"/>
    <s v="E-wallet"/>
    <s v="Tuesday"/>
    <s v="Warung Selera Nusantara - Sudirman"/>
  </r>
  <r>
    <s v="TRX00043"/>
    <s v="CBG04"/>
    <x v="66"/>
    <s v="Dine-in"/>
    <s v="Cash"/>
    <s v="Tuesday"/>
    <s v="Warung Selera Nusantara - Tunjungan"/>
  </r>
  <r>
    <s v="TRX00431"/>
    <s v="CBG04"/>
    <x v="67"/>
    <s v="Take Away"/>
    <s v="QRIS"/>
    <s v="Tuesday"/>
    <s v="Warung Selera Nusantara - Tunjungan"/>
  </r>
  <r>
    <s v="TRX00642"/>
    <s v="CBG01"/>
    <x v="68"/>
    <s v="Take Away"/>
    <s v="QRIS"/>
    <s v="Wednesday"/>
    <s v="Warung Selera Nusantara - Margonda"/>
  </r>
  <r>
    <s v="TRX00094"/>
    <s v="CBG01"/>
    <x v="69"/>
    <s v="Dine-in"/>
    <s v="Kartu Debit/Kredit"/>
    <s v="Thursday"/>
    <s v="Warung Selera Nusantara - Margonda"/>
  </r>
  <r>
    <s v="TRX00618"/>
    <s v="CBG03"/>
    <x v="70"/>
    <s v="Take Away"/>
    <s v="QRIS"/>
    <s v="Thursday"/>
    <s v="Warung Selera Nusantara - Sudirman"/>
  </r>
  <r>
    <s v="TRX00253"/>
    <s v="CBG03"/>
    <x v="71"/>
    <s v="Take Away"/>
    <s v="QRIS"/>
    <s v="Friday"/>
    <s v="Warung Selera Nusantara - Sudirman"/>
  </r>
  <r>
    <s v="TRX00006"/>
    <s v="CBG03"/>
    <x v="72"/>
    <s v="Take Away"/>
    <s v="E-wallet"/>
    <s v="Saturday"/>
    <s v="Warung Selera Nusantara - Sudirman"/>
  </r>
  <r>
    <s v="TRX00046"/>
    <s v="CBG01"/>
    <x v="73"/>
    <s v="Delivery"/>
    <s v="E-wallet"/>
    <s v="Saturday"/>
    <s v="Warung Selera Nusantara - Margonda"/>
  </r>
  <r>
    <s v="TRX00478"/>
    <s v="CBG03"/>
    <x v="74"/>
    <s v="Delivery"/>
    <s v="E-wallet"/>
    <s v="Saturday"/>
    <s v="Warung Selera Nusantara - Sudirman"/>
  </r>
  <r>
    <s v="TRX00756"/>
    <s v="CBG03"/>
    <x v="75"/>
    <s v="Delivery"/>
    <s v="Cash"/>
    <s v="Saturday"/>
    <s v="Warung Selera Nusantara - Sudirman"/>
  </r>
  <r>
    <s v="TRX00565"/>
    <s v="CBG02"/>
    <x v="76"/>
    <s v="Dine-in"/>
    <s v="E-wallet"/>
    <s v="Saturday"/>
    <s v="Warung Selera Nusantara - Dago"/>
  </r>
  <r>
    <s v="TRX00652"/>
    <s v="CBG03"/>
    <x v="77"/>
    <s v="Dine-in"/>
    <s v="Kartu Debit/Kredit"/>
    <s v="Saturday"/>
    <s v="Warung Selera Nusantara - Sudirman"/>
  </r>
  <r>
    <s v="TRX00268"/>
    <s v="CBG03"/>
    <x v="78"/>
    <s v="Dine-in"/>
    <s v="E-wallet"/>
    <s v="Saturday"/>
    <s v="Warung Selera Nusantara - Sudirman"/>
  </r>
  <r>
    <s v="TRX00598"/>
    <s v="CBG02"/>
    <x v="79"/>
    <s v="Dine-in"/>
    <s v="Cash"/>
    <s v="Sunday"/>
    <s v="Warung Selera Nusantara - Dago"/>
  </r>
  <r>
    <s v="TRX00096"/>
    <s v="CBG01"/>
    <x v="80"/>
    <s v="Dine-in"/>
    <s v="E-wallet"/>
    <s v="Sunday"/>
    <s v="Warung Selera Nusantara - Margonda"/>
  </r>
  <r>
    <s v="TRX00012"/>
    <s v="CBG01"/>
    <x v="81"/>
    <s v="Dine-in"/>
    <s v="QRIS"/>
    <s v="Sunday"/>
    <s v="Warung Selera Nusantara - Margonda"/>
  </r>
  <r>
    <s v="TRX00269"/>
    <s v="CBG02"/>
    <x v="82"/>
    <s v="Dine-in"/>
    <s v="E-wallet"/>
    <s v="Sunday"/>
    <s v="Warung Selera Nusantara - Dago"/>
  </r>
  <r>
    <s v="TRX00580"/>
    <s v="CBG03"/>
    <x v="83"/>
    <s v="Dine-in"/>
    <s v="QRIS"/>
    <s v="Sunday"/>
    <s v="Warung Selera Nusantara - Sudirman"/>
  </r>
  <r>
    <s v="TRX00026"/>
    <s v="CBG03"/>
    <x v="84"/>
    <s v="Dine-in"/>
    <s v="QRIS"/>
    <s v="Monday"/>
    <s v="Warung Selera Nusantara - Sudirman"/>
  </r>
  <r>
    <s v="TRX00163"/>
    <s v="CBG02"/>
    <x v="85"/>
    <s v="Delivery"/>
    <s v="Cash"/>
    <s v="Monday"/>
    <s v="Warung Selera Nusantara - Dago"/>
  </r>
  <r>
    <s v="TRX00275"/>
    <s v="CBG04"/>
    <x v="86"/>
    <s v="Dine-in"/>
    <s v="Cash"/>
    <s v="Monday"/>
    <s v="Warung Selera Nusantara - Tunjungan"/>
  </r>
  <r>
    <s v="TRX00323"/>
    <s v="CBG02"/>
    <x v="87"/>
    <s v="Dine-in"/>
    <s v="QRIS"/>
    <s v="Tuesday"/>
    <s v="Warung Selera Nusantara - Dago"/>
  </r>
  <r>
    <s v="TRX00768"/>
    <s v="CBG02"/>
    <x v="88"/>
    <s v="Delivery"/>
    <s v="E-wallet"/>
    <s v="Tuesday"/>
    <s v="Warung Selera Nusantara - Dago"/>
  </r>
  <r>
    <s v="TRX00650"/>
    <s v="CBG02"/>
    <x v="89"/>
    <s v="Dine-in"/>
    <s v="QRIS"/>
    <s v="Thursday"/>
    <s v="Warung Selera Nusantara - Dago"/>
  </r>
  <r>
    <s v="TRX00120"/>
    <s v="CBG02"/>
    <x v="90"/>
    <s v="Dine-in"/>
    <s v="QRIS"/>
    <s v="Friday"/>
    <s v="Warung Selera Nusantara - Dago"/>
  </r>
  <r>
    <s v="TRX00754"/>
    <s v="CBG03"/>
    <x v="91"/>
    <s v="Take Away"/>
    <s v="Cash"/>
    <s v="Saturday"/>
    <s v="Warung Selera Nusantara - Sudirman"/>
  </r>
  <r>
    <s v="TRX00168"/>
    <s v="CBG01"/>
    <x v="92"/>
    <s v="Dine-in"/>
    <s v="Cash"/>
    <s v="Sunday"/>
    <s v="Warung Selera Nusantara - Margonda"/>
  </r>
  <r>
    <s v="TRX00178"/>
    <s v="CBG04"/>
    <x v="93"/>
    <s v="Dine-in"/>
    <s v="QRIS"/>
    <s v="Sunday"/>
    <s v="Warung Selera Nusantara - Tunjungan"/>
  </r>
  <r>
    <s v="TRX00021"/>
    <s v="CBG03"/>
    <x v="94"/>
    <s v="Dine-in"/>
    <s v="E-wallet"/>
    <s v="Sunday"/>
    <s v="Warung Selera Nusantara - Sudirman"/>
  </r>
  <r>
    <s v="TRX00558"/>
    <s v="CBG01"/>
    <x v="95"/>
    <s v="Delivery"/>
    <s v="Cash"/>
    <s v="Monday"/>
    <s v="Warung Selera Nusantara - Margonda"/>
  </r>
  <r>
    <s v="TRX00258"/>
    <s v="CBG03"/>
    <x v="96"/>
    <s v="Take Away"/>
    <s v="Cash"/>
    <s v="Monday"/>
    <s v="Warung Selera Nusantara - Sudirman"/>
  </r>
  <r>
    <s v="TRX00200"/>
    <s v="CBG03"/>
    <x v="97"/>
    <s v="Dine-in"/>
    <s v="Kartu Debit/Kredit"/>
    <s v="Tuesday"/>
    <s v="Warung Selera Nusantara - Sudirman"/>
  </r>
  <r>
    <s v="TRX00067"/>
    <s v="CBG03"/>
    <x v="98"/>
    <s v="Take Away"/>
    <s v="Cash"/>
    <s v="Tuesday"/>
    <s v="Warung Selera Nusantara - Sudirman"/>
  </r>
  <r>
    <s v="TRX00436"/>
    <s v="CBG02"/>
    <x v="99"/>
    <s v="Delivery"/>
    <s v="E-wallet"/>
    <s v="Tuesday"/>
    <s v="Warung Selera Nusantara - Dago"/>
  </r>
  <r>
    <s v="TRX00367"/>
    <s v="CBG03"/>
    <x v="100"/>
    <s v="Dine-in"/>
    <s v="QRIS"/>
    <s v="Tuesday"/>
    <s v="Warung Selera Nusantara - Sudirman"/>
  </r>
  <r>
    <s v="TRX00587"/>
    <s v="CBG02"/>
    <x v="101"/>
    <s v="Delivery"/>
    <s v="Cash"/>
    <s v="Tuesday"/>
    <s v="Warung Selera Nusantara - Dago"/>
  </r>
  <r>
    <s v="TRX00152"/>
    <s v="CBG04"/>
    <x v="102"/>
    <s v="Delivery"/>
    <s v="QRIS"/>
    <s v="Thursday"/>
    <s v="Warung Selera Nusantara - Tunjungan"/>
  </r>
  <r>
    <s v="TRX00553"/>
    <s v="CBG03"/>
    <x v="103"/>
    <s v="Delivery"/>
    <s v="E-wallet"/>
    <s v="Thursday"/>
    <s v="Warung Selera Nusantara - Sudirman"/>
  </r>
  <r>
    <s v="TRX00054"/>
    <s v="CBG01"/>
    <x v="104"/>
    <s v="Dine-in"/>
    <s v="Kartu Debit/Kredit"/>
    <s v="Thursday"/>
    <s v="Warung Selera Nusantara - Margonda"/>
  </r>
  <r>
    <s v="TRX00438"/>
    <s v="CBG04"/>
    <x v="105"/>
    <s v="Dine-in"/>
    <s v="QRIS"/>
    <s v="Friday"/>
    <s v="Warung Selera Nusantara - Tunjungan"/>
  </r>
  <r>
    <s v="TRX00262"/>
    <s v="CBG03"/>
    <x v="106"/>
    <s v="Dine-in"/>
    <s v="E-wallet"/>
    <s v="Friday"/>
    <s v="Warung Selera Nusantara - Sudirman"/>
  </r>
  <r>
    <s v="TRX00817"/>
    <s v="CBG01"/>
    <x v="107"/>
    <s v="Delivery"/>
    <s v="QRIS"/>
    <s v="Friday"/>
    <s v="Warung Selera Nusantara - Margonda"/>
  </r>
  <r>
    <s v="TRX00150"/>
    <s v="CBG03"/>
    <x v="108"/>
    <s v="Take Away"/>
    <s v="Cash"/>
    <s v="Saturday"/>
    <s v="Warung Selera Nusantara - Sudirman"/>
  </r>
  <r>
    <s v="TRX00549"/>
    <s v="CBG02"/>
    <x v="109"/>
    <s v="Delivery"/>
    <s v="QRIS"/>
    <s v="Saturday"/>
    <s v="Warung Selera Nusantara - Dago"/>
  </r>
  <r>
    <s v="TRX00849"/>
    <s v="CBG03"/>
    <x v="110"/>
    <s v="Take Away"/>
    <s v="QRIS"/>
    <s v="Sunday"/>
    <s v="Warung Selera Nusantara - Sudirman"/>
  </r>
  <r>
    <s v="TRX00058"/>
    <s v="CBG03"/>
    <x v="111"/>
    <s v="Dine-in"/>
    <s v="E-wallet"/>
    <s v="Sunday"/>
    <s v="Warung Selera Nusantara - Sudirman"/>
  </r>
  <r>
    <s v="TRX00428"/>
    <s v="CBG03"/>
    <x v="112"/>
    <s v="Take Away"/>
    <s v="E-wallet"/>
    <s v="Sunday"/>
    <s v="Warung Selera Nusantara - Sudirman"/>
  </r>
  <r>
    <s v="TRX00344"/>
    <s v="CBG04"/>
    <x v="113"/>
    <s v="Delivery"/>
    <s v="Kartu Debit/Kredit"/>
    <s v="Sunday"/>
    <s v="Warung Selera Nusantara - Tunjungan"/>
  </r>
  <r>
    <s v="TRX00791"/>
    <s v="CBG01"/>
    <x v="114"/>
    <s v="Dine-in"/>
    <s v="Cash"/>
    <s v="Sunday"/>
    <s v="Warung Selera Nusantara - Margonda"/>
  </r>
  <r>
    <s v="TRX00503"/>
    <s v="CBG04"/>
    <x v="115"/>
    <s v="Dine-in"/>
    <s v="E-wallet"/>
    <s v="Sunday"/>
    <s v="Warung Selera Nusantara - Tunjungan"/>
  </r>
  <r>
    <s v="TRX00004"/>
    <s v="CBG01"/>
    <x v="116"/>
    <s v="Delivery"/>
    <s v="QRIS"/>
    <s v="Sunday"/>
    <s v="Warung Selera Nusantara - Margonda"/>
  </r>
  <r>
    <s v="TRX00738"/>
    <s v="CBG01"/>
    <x v="117"/>
    <s v="Dine-in"/>
    <s v="E-wallet"/>
    <s v="Monday"/>
    <s v="Warung Selera Nusantara - Margonda"/>
  </r>
  <r>
    <s v="TRX00782"/>
    <s v="CBG03"/>
    <x v="118"/>
    <s v="Dine-in"/>
    <s v="QRIS"/>
    <s v="Monday"/>
    <s v="Warung Selera Nusantara - Sudirman"/>
  </r>
  <r>
    <s v="TRX00827"/>
    <s v="CBG03"/>
    <x v="119"/>
    <s v="Take Away"/>
    <s v="QRIS"/>
    <s v="Monday"/>
    <s v="Warung Selera Nusantara - Sudirman"/>
  </r>
  <r>
    <s v="TRX00001"/>
    <s v="CBG01"/>
    <x v="120"/>
    <s v="Dine-in"/>
    <s v="Kartu Debit/Kredit"/>
    <s v="Tuesday"/>
    <s v="Warung Selera Nusantara - Margonda"/>
  </r>
  <r>
    <s v="TRX00432"/>
    <s v="CBG03"/>
    <x v="121"/>
    <s v="Dine-in"/>
    <s v="QRIS"/>
    <s v="Tuesday"/>
    <s v="Warung Selera Nusantara - Sudirman"/>
  </r>
  <r>
    <s v="TRX00518"/>
    <s v="CBG03"/>
    <x v="122"/>
    <s v="Dine-in"/>
    <s v="Cash"/>
    <s v="Tuesday"/>
    <s v="Warung Selera Nusantara - Sudirman"/>
  </r>
  <r>
    <s v="TRX00285"/>
    <s v="CBG01"/>
    <x v="123"/>
    <s v="Dine-in"/>
    <s v="E-wallet"/>
    <s v="Wednesday"/>
    <s v="Warung Selera Nusantara - Margonda"/>
  </r>
  <r>
    <s v="TRX00613"/>
    <s v="CBG02"/>
    <x v="124"/>
    <s v="Dine-in"/>
    <s v="QRIS"/>
    <s v="Wednesday"/>
    <s v="Warung Selera Nusantara - Dago"/>
  </r>
  <r>
    <s v="TRX00806"/>
    <s v="CBG01"/>
    <x v="125"/>
    <s v="Dine-in"/>
    <s v="Cash"/>
    <s v="Thursday"/>
    <s v="Warung Selera Nusantara - Margonda"/>
  </r>
  <r>
    <s v="TRX00733"/>
    <s v="CBG04"/>
    <x v="126"/>
    <s v="Dine-in"/>
    <s v="QRIS"/>
    <s v="Thursday"/>
    <s v="Warung Selera Nusantara - Tunjungan"/>
  </r>
  <r>
    <s v="TRX00426"/>
    <s v="CBG04"/>
    <x v="127"/>
    <s v="Take Away"/>
    <s v="Kartu Debit/Kredit"/>
    <s v="Thursday"/>
    <s v="Warung Selera Nusantara - Tunjungan"/>
  </r>
  <r>
    <s v="TRX00537"/>
    <s v="CBG03"/>
    <x v="128"/>
    <s v="Dine-in"/>
    <s v="Cash"/>
    <s v="Friday"/>
    <s v="Warung Selera Nusantara - Sudirman"/>
  </r>
  <r>
    <s v="TRX00297"/>
    <s v="CBG01"/>
    <x v="129"/>
    <s v="Delivery"/>
    <s v="Kartu Debit/Kredit"/>
    <s v="Friday"/>
    <s v="Warung Selera Nusantara - Margonda"/>
  </r>
  <r>
    <s v="TRX00499"/>
    <s v="CBG04"/>
    <x v="130"/>
    <s v="Dine-in"/>
    <s v="QRIS"/>
    <s v="Friday"/>
    <s v="Warung Selera Nusantara - Tunjungan"/>
  </r>
  <r>
    <s v="TRX00453"/>
    <s v="CBG04"/>
    <x v="131"/>
    <s v="Take Away"/>
    <s v="Cash"/>
    <s v="Saturday"/>
    <s v="Warung Selera Nusantara - Tunjungan"/>
  </r>
  <r>
    <s v="TRX00656"/>
    <s v="CBG02"/>
    <x v="132"/>
    <s v="Take Away"/>
    <s v="QRIS"/>
    <s v="Saturday"/>
    <s v="Warung Selera Nusantara - Dago"/>
  </r>
  <r>
    <s v="TRX00454"/>
    <s v="CBG03"/>
    <x v="133"/>
    <s v="Dine-in"/>
    <s v="E-wallet"/>
    <s v="Saturday"/>
    <s v="Warung Selera Nusantara - Sudirman"/>
  </r>
  <r>
    <s v="TRX00712"/>
    <s v="CBG01"/>
    <x v="134"/>
    <s v="Dine-in"/>
    <s v="QRIS"/>
    <s v="Saturday"/>
    <s v="Warung Selera Nusantara - Margonda"/>
  </r>
  <r>
    <s v="TRX00298"/>
    <s v="CBG03"/>
    <x v="135"/>
    <s v="Take Away"/>
    <s v="Cash"/>
    <s v="Saturday"/>
    <s v="Warung Selera Nusantara - Sudirman"/>
  </r>
  <r>
    <s v="TRX00388"/>
    <s v="CBG03"/>
    <x v="136"/>
    <s v="Take Away"/>
    <s v="Cash"/>
    <s v="Sunday"/>
    <s v="Warung Selera Nusantara - Sudirman"/>
  </r>
  <r>
    <s v="TRX00045"/>
    <s v="CBG01"/>
    <x v="137"/>
    <s v="Dine-in"/>
    <s v="Kartu Debit/Kredit"/>
    <s v="Sunday"/>
    <s v="Warung Selera Nusantara - Margonda"/>
  </r>
  <r>
    <s v="TRX00364"/>
    <s v="CBG04"/>
    <x v="138"/>
    <s v="Dine-in"/>
    <s v="QRIS"/>
    <s v="Sunday"/>
    <s v="Warung Selera Nusantara - Tunjungan"/>
  </r>
  <r>
    <s v="TRX00113"/>
    <s v="CBG04"/>
    <x v="139"/>
    <s v="Take Away"/>
    <s v="Kartu Debit/Kredit"/>
    <s v="Sunday"/>
    <s v="Warung Selera Nusantara - Tunjungan"/>
  </r>
  <r>
    <s v="TRX00456"/>
    <s v="CBG04"/>
    <x v="140"/>
    <s v="Dine-in"/>
    <s v="E-wallet"/>
    <s v="Monday"/>
    <s v="Warung Selera Nusantara - Tunjungan"/>
  </r>
  <r>
    <s v="TRX00468"/>
    <s v="CBG01"/>
    <x v="141"/>
    <s v="Delivery"/>
    <s v="QRIS"/>
    <s v="Monday"/>
    <s v="Warung Selera Nusantara - Margonda"/>
  </r>
  <r>
    <s v="TRX00415"/>
    <s v="CBG02"/>
    <x v="142"/>
    <s v="Dine-in"/>
    <s v="QRIS"/>
    <s v="Monday"/>
    <s v="Warung Selera Nusantara - Dago"/>
  </r>
  <r>
    <s v="TRX00276"/>
    <s v="CBG01"/>
    <x v="143"/>
    <s v="Take Away"/>
    <s v="Cash"/>
    <s v="Monday"/>
    <s v="Warung Selera Nusantara - Margonda"/>
  </r>
  <r>
    <s v="TRX00796"/>
    <s v="CBG04"/>
    <x v="144"/>
    <s v="Dine-in"/>
    <s v="Kartu Debit/Kredit"/>
    <s v="Tuesday"/>
    <s v="Warung Selera Nusantara - Tunjungan"/>
  </r>
  <r>
    <s v="TRX00480"/>
    <s v="CBG04"/>
    <x v="145"/>
    <s v="Delivery"/>
    <s v="Cash"/>
    <s v="Tuesday"/>
    <s v="Warung Selera Nusantara - Tunjungan"/>
  </r>
  <r>
    <s v="TRX00706"/>
    <s v="CBG04"/>
    <x v="146"/>
    <s v="Dine-in"/>
    <s v="  QRIS  "/>
    <s v="Tuesday"/>
    <s v="Warung Selera Nusantara - Tunjungan"/>
  </r>
  <r>
    <s v="TRX00676"/>
    <s v="CBG03"/>
    <x v="147"/>
    <s v="Dine-in"/>
    <s v="QRIS"/>
    <s v="Tuesday"/>
    <s v="Warung Selera Nusantara - Sudirman"/>
  </r>
  <r>
    <s v="TRX00349"/>
    <s v="CBG01"/>
    <x v="148"/>
    <s v="Delivery"/>
    <s v="E-wallet"/>
    <s v="Wednesday"/>
    <s v="Warung Selera Nusantara - Margonda"/>
  </r>
  <r>
    <s v="TRX00716"/>
    <s v="CBG03"/>
    <x v="149"/>
    <s v="Take Away"/>
    <s v="QRIS"/>
    <s v="Wednesday"/>
    <s v="Warung Selera Nusantara - Sudirman"/>
  </r>
  <r>
    <s v="TRX00816"/>
    <s v="CBG03"/>
    <x v="150"/>
    <s v="Dine-in"/>
    <s v="E-wallet"/>
    <s v="Wednesday"/>
    <s v="Warung Selera Nusantara - Sudirman"/>
  </r>
  <r>
    <s v="TRX00409"/>
    <s v="CBG03"/>
    <x v="151"/>
    <s v="Dine-in"/>
    <s v="E-wallet"/>
    <s v="Thursday"/>
    <s v="Warung Selera Nusantara - Sudirman"/>
  </r>
  <r>
    <s v="TRX00231"/>
    <s v="CBG03"/>
    <x v="152"/>
    <s v="Dine-in"/>
    <s v="QRIS"/>
    <s v="Thursday"/>
    <s v="Warung Selera Nusantara - Sudirman"/>
  </r>
  <r>
    <s v="TRX00416"/>
    <s v="CBG02"/>
    <x v="153"/>
    <s v="Dine-in"/>
    <s v="E-wallet"/>
    <s v="Thursday"/>
    <s v="Warung Selera Nusantara - Dago"/>
  </r>
  <r>
    <s v="TRX00775"/>
    <s v="CBG03"/>
    <x v="154"/>
    <s v="Dine-in"/>
    <s v="QRIS"/>
    <s v="Friday"/>
    <s v="Warung Selera Nusantara - Sudirman"/>
  </r>
  <r>
    <s v="TRX00562"/>
    <s v="CBG02"/>
    <x v="155"/>
    <s v="Dine-in"/>
    <s v="Kartu Debit/Kredit"/>
    <s v="Saturday"/>
    <s v="Warung Selera Nusantara - Dago"/>
  </r>
  <r>
    <s v="TRX00506"/>
    <s v="CBG01"/>
    <x v="156"/>
    <s v="Dine-in"/>
    <s v="E-wallet"/>
    <s v="Saturday"/>
    <s v="Warung Selera Nusantara - Margonda"/>
  </r>
  <r>
    <s v="TRX00009"/>
    <s v="CBG02"/>
    <x v="157"/>
    <s v="Dine-in"/>
    <s v="Cash"/>
    <s v="Sunday"/>
    <s v="Warung Selera Nusantara - Dago"/>
  </r>
  <r>
    <s v="TRX00018"/>
    <s v="CBG02"/>
    <x v="158"/>
    <s v="Dine-in"/>
    <s v="Kartu Debit/Kredit"/>
    <s v="Sunday"/>
    <s v="Warung Selera Nusantara - Dago"/>
  </r>
  <r>
    <s v="TRX00626"/>
    <s v="CBG03"/>
    <x v="159"/>
    <s v="Delivery"/>
    <s v="QRIS"/>
    <s v="Monday"/>
    <s v="Warung Selera Nusantara - Sudirman"/>
  </r>
  <r>
    <s v="TRX00683"/>
    <s v="CBG01"/>
    <x v="160"/>
    <s v="Dine-in"/>
    <s v="QRIS"/>
    <s v="Tuesday"/>
    <s v="Warung Selera Nusantara - Margonda"/>
  </r>
  <r>
    <s v="TRX00052"/>
    <s v="CBG02"/>
    <x v="161"/>
    <s v="Take Away"/>
    <s v="Kartu Debit/Kredit"/>
    <s v="Tuesday"/>
    <s v="Warung Selera Nusantara - Dago"/>
  </r>
  <r>
    <s v="TRX00752"/>
    <s v="CBG02"/>
    <x v="162"/>
    <s v="Dine-in"/>
    <s v="E-wallet"/>
    <s v="Tuesday"/>
    <s v="Warung Selera Nusantara - Dago"/>
  </r>
  <r>
    <s v="TRX00123"/>
    <s v="CBG01"/>
    <x v="163"/>
    <s v="Dine-in"/>
    <s v="Cash"/>
    <s v="Tuesday"/>
    <s v="Warung Selera Nusantara - Margonda"/>
  </r>
  <r>
    <s v="TRX00259"/>
    <s v="CBG01"/>
    <x v="164"/>
    <s v="Take Away"/>
    <s v="Cash"/>
    <s v="Wednesday"/>
    <s v="Warung Selera Nusantara - Margonda"/>
  </r>
  <r>
    <s v="TRX00397"/>
    <s v="CBG04"/>
    <x v="165"/>
    <s v="Dine-in"/>
    <s v="Kartu Debit/Kredit"/>
    <s v="Wednesday"/>
    <s v="Warung Selera Nusantara - Tunjungan"/>
  </r>
  <r>
    <s v="TRX00443"/>
    <s v="CBG02"/>
    <x v="166"/>
    <s v="Dine-in"/>
    <s v="Kartu Debit/Kredit"/>
    <s v="Thursday"/>
    <s v="Warung Selera Nusantara - Dago"/>
  </r>
  <r>
    <s v="TRX00823"/>
    <s v="CBG02"/>
    <x v="167"/>
    <s v="Delivery"/>
    <s v="Kartu Debit/Kredit"/>
    <s v="Friday"/>
    <s v="Warung Selera Nusantara - Dago"/>
  </r>
  <r>
    <s v="TRX00343"/>
    <s v="CBG01"/>
    <x v="168"/>
    <s v="Dine-in"/>
    <s v="E-wallet"/>
    <s v="Friday"/>
    <s v="Warung Selera Nusantara - Margonda"/>
  </r>
  <r>
    <s v="TRX00783"/>
    <s v="CBG03"/>
    <x v="169"/>
    <s v="Dine-in"/>
    <s v="Cash"/>
    <s v="Friday"/>
    <s v="Warung Selera Nusantara - Sudirman"/>
  </r>
  <r>
    <s v="TRX00483"/>
    <s v="CBG03"/>
    <x v="170"/>
    <s v="Dine-in"/>
    <s v="Kartu Debit/Kredit"/>
    <s v="Saturday"/>
    <s v="Warung Selera Nusantara - Sudirman"/>
  </r>
  <r>
    <s v="TRX00550"/>
    <s v="CBG04"/>
    <x v="171"/>
    <s v="Dine-in"/>
    <s v="Cash"/>
    <s v="Saturday"/>
    <s v="Warung Selera Nusantara - Tunjungan"/>
  </r>
  <r>
    <s v="TRX00593"/>
    <s v="CBG03"/>
    <x v="172"/>
    <s v="Delivery"/>
    <s v="QRIS"/>
    <s v="Sunday"/>
    <s v="Warung Selera Nusantara - Sudirman"/>
  </r>
  <r>
    <s v="TRX00181"/>
    <s v="CBG04"/>
    <x v="173"/>
    <s v="Delivery"/>
    <s v="E-wallet"/>
    <s v="Sunday"/>
    <s v="Warung Selera Nusantara - Tunjungan"/>
  </r>
  <r>
    <s v="TRX00689"/>
    <s v="CBG04"/>
    <x v="174"/>
    <s v="Dine-in"/>
    <s v="QRIS"/>
    <s v="Sunday"/>
    <s v="Warung Selera Nusantara - Tunjungan"/>
  </r>
  <r>
    <s v="TRX00172"/>
    <s v="CBG03"/>
    <x v="175"/>
    <s v="Dine-in"/>
    <s v="QRIS"/>
    <s v="Monday"/>
    <s v="Warung Selera Nusantara - Sudirman"/>
  </r>
  <r>
    <s v="TRX00654"/>
    <s v="CBG01"/>
    <x v="176"/>
    <s v="Delivery"/>
    <s v="Cash"/>
    <s v="Monday"/>
    <s v="Warung Selera Nusantara - Margonda"/>
  </r>
  <r>
    <s v="TRX00348"/>
    <s v="CBG01"/>
    <x v="177"/>
    <s v="Dine-in"/>
    <s v="Cash"/>
    <s v="Tuesday"/>
    <s v="Warung Selera Nusantara - Margonda"/>
  </r>
  <r>
    <s v="TRX00100"/>
    <s v="CBG02"/>
    <x v="178"/>
    <s v="Delivery"/>
    <s v="QRIS"/>
    <s v="Wednesday"/>
    <s v="Warung Selera Nusantara - Dago"/>
  </r>
  <r>
    <s v="TRX00828"/>
    <s v="CBG03"/>
    <x v="179"/>
    <s v="Dine-in"/>
    <s v="QRIS"/>
    <s v="Wednesday"/>
    <s v="Warung Selera Nusantara - Sudirman"/>
  </r>
  <r>
    <s v="TRX00081"/>
    <s v="CBG04"/>
    <x v="180"/>
    <s v="Take Away"/>
    <s v="QRIS"/>
    <s v="Thursday"/>
    <s v="Warung Selera Nusantara - Tunjungan"/>
  </r>
  <r>
    <s v="TRX00495"/>
    <s v="CBG02"/>
    <x v="181"/>
    <s v="Dine-in"/>
    <s v="QRIS"/>
    <s v="Thursday"/>
    <s v="Warung Selera Nusantara - Dago"/>
  </r>
  <r>
    <s v="TRX00389"/>
    <s v="CBG03"/>
    <x v="182"/>
    <s v="Delivery"/>
    <s v="Kartu Debit/Kredit"/>
    <s v="Friday"/>
    <s v="Warung Selera Nusantara - Sudirman"/>
  </r>
  <r>
    <s v="TRX00833"/>
    <s v="CBG04"/>
    <x v="183"/>
    <s v="Take Away"/>
    <s v="E-wallet"/>
    <s v="Friday"/>
    <s v="Warung Selera Nusantara - Tunjungan"/>
  </r>
  <r>
    <s v="TRX00186"/>
    <s v="CBG02"/>
    <x v="184"/>
    <s v="Take Away"/>
    <s v="QRIS"/>
    <s v="Friday"/>
    <s v="Warung Selera Nusantara - Dago"/>
  </r>
  <r>
    <s v="TRX00252"/>
    <s v="CBG04"/>
    <x v="185"/>
    <s v="Take Away"/>
    <s v="Cash"/>
    <s v="Friday"/>
    <s v="Warung Selera Nusantara - Tunjungan"/>
  </r>
  <r>
    <s v="TRX00104"/>
    <s v="CBG04"/>
    <x v="186"/>
    <s v="Take Away"/>
    <s v="QRIS"/>
    <s v="Saturday"/>
    <s v="Warung Selera Nusantara - Tunjungan"/>
  </r>
  <r>
    <s v="TRX00519"/>
    <s v="CBG04"/>
    <x v="187"/>
    <s v="Dine-in"/>
    <s v="Cash"/>
    <s v="Saturday"/>
    <s v="Warung Selera Nusantara - Tunjungan"/>
  </r>
  <r>
    <s v="TRX00617"/>
    <s v="CBG03"/>
    <x v="188"/>
    <s v="Dine-in"/>
    <s v="QRIS"/>
    <s v="Saturday"/>
    <s v="Warung Selera Nusantara - Sudirman"/>
  </r>
  <r>
    <s v="TRX00040"/>
    <s v="CBG02"/>
    <x v="189"/>
    <s v="Delivery"/>
    <s v="QRIS"/>
    <s v="Sunday"/>
    <s v="Warung Selera Nusantara - Dago"/>
  </r>
  <r>
    <s v="TRX00380"/>
    <s v="CBG03"/>
    <x v="190"/>
    <s v="Take Away"/>
    <s v="Cash"/>
    <s v="Sunday"/>
    <s v="Warung Selera Nusantara - Sudirman"/>
  </r>
  <r>
    <s v="TRX00076"/>
    <s v="CBG04"/>
    <x v="191"/>
    <s v="Dine-in"/>
    <s v="QRIS"/>
    <s v="Sunday"/>
    <s v="Warung Selera Nusantara - Tunjungan"/>
  </r>
  <r>
    <s v="TRX00723"/>
    <s v="CBG02"/>
    <x v="192"/>
    <s v="Dine-in"/>
    <s v="Kartu Debit/Kredit"/>
    <s v="Sunday"/>
    <s v="Warung Selera Nusantara - Dago"/>
  </r>
  <r>
    <s v="TRX00250"/>
    <s v="CBG01"/>
    <x v="193"/>
    <s v="Dine-in"/>
    <s v="Cash"/>
    <s v="Sunday"/>
    <s v="Warung Selera Nusantara - Margonda"/>
  </r>
  <r>
    <s v="TRX00485"/>
    <s v="CBG04"/>
    <x v="194"/>
    <s v="Dine-in"/>
    <s v="QRIS"/>
    <s v="Sunday"/>
    <s v="Warung Selera Nusantara - Tunjungan"/>
  </r>
  <r>
    <s v="TRX00688"/>
    <s v="CBG03"/>
    <x v="195"/>
    <s v="Dine-in"/>
    <s v="QRIS"/>
    <s v="Monday"/>
    <s v="Warung Selera Nusantara - Sudirman"/>
  </r>
  <r>
    <s v="TRX00196"/>
    <s v="CBG01"/>
    <x v="196"/>
    <s v="Delivery"/>
    <s v="E-wallet"/>
    <s v="Tuesday"/>
    <s v="Warung Selera Nusantara - Margonda"/>
  </r>
  <r>
    <s v="TRX00620"/>
    <s v="CBG03"/>
    <x v="197"/>
    <s v="Delivery"/>
    <s v="QRIS"/>
    <s v="Tuesday"/>
    <s v="Warung Selera Nusantara - Sudirman"/>
  </r>
  <r>
    <s v="TRX00091"/>
    <s v="CBG04"/>
    <x v="198"/>
    <s v="Dine-in"/>
    <s v="QRIS"/>
    <s v="Tuesday"/>
    <s v="Warung Selera Nusantara - Tunjungan"/>
  </r>
  <r>
    <s v="TRX00331"/>
    <s v="CBG02"/>
    <x v="199"/>
    <s v="Take Away"/>
    <s v="QRIS"/>
    <s v="Tuesday"/>
    <s v="Warung Selera Nusantara - Dago"/>
  </r>
  <r>
    <s v="TRX00037"/>
    <s v="CBG03"/>
    <x v="200"/>
    <s v="Dine-in"/>
    <s v="QRIS"/>
    <s v="Wednesday"/>
    <s v="Warung Selera Nusantara - Sudirman"/>
  </r>
  <r>
    <s v="TRX00707"/>
    <s v="CBG02"/>
    <x v="201"/>
    <s v="Dine-in"/>
    <s v="Kartu Debit/Kredit"/>
    <s v="Friday"/>
    <s v="Warung Selera Nusantara - Dago"/>
  </r>
  <r>
    <s v="TRX00153"/>
    <s v="CBG01"/>
    <x v="202"/>
    <s v="Dine-in"/>
    <s v="Cash"/>
    <s v="Friday"/>
    <s v="Warung Selera Nusantara - Margonda"/>
  </r>
  <r>
    <s v="TRX00781"/>
    <s v="CBG01"/>
    <x v="203"/>
    <s v="Dine-in"/>
    <s v="QRIS"/>
    <s v="Friday"/>
    <s v="Warung Selera Nusantara - Margonda"/>
  </r>
  <r>
    <s v="TRX00078"/>
    <s v="CBG03"/>
    <x v="203"/>
    <s v="Dine-in"/>
    <s v="QRIS"/>
    <s v="Friday"/>
    <s v="Warung Selera Nusantara - Sudirman"/>
  </r>
  <r>
    <s v="TRX00330"/>
    <s v="CBG03"/>
    <x v="204"/>
    <s v="Take Away"/>
    <s v="QRIS"/>
    <s v="Saturday"/>
    <s v="Warung Selera Nusantara - Sudirman"/>
  </r>
  <r>
    <s v="TRX00612"/>
    <s v="CBG03"/>
    <x v="205"/>
    <s v="Dine-in"/>
    <s v="E-wallet"/>
    <s v="Saturday"/>
    <s v="Warung Selera Nusantara - Sudirman"/>
  </r>
  <r>
    <s v="TRX00571"/>
    <s v="CBG03"/>
    <x v="206"/>
    <s v="Dine-in"/>
    <s v="Kartu Debit/Kredit"/>
    <s v="Saturday"/>
    <s v="Warung Selera Nusantara - Sudirman"/>
  </r>
  <r>
    <s v="TRX00764"/>
    <s v="CBG02"/>
    <x v="207"/>
    <s v="Delivery"/>
    <s v="E-wallet"/>
    <s v="Sunday"/>
    <s v="Warung Selera Nusantara - Dago"/>
  </r>
  <r>
    <s v="TRX00703"/>
    <s v="CBG03"/>
    <x v="208"/>
    <s v="Dine-in"/>
    <s v="E-wallet"/>
    <s v="Sunday"/>
    <s v="Warung Selera Nusantara - Sudirman"/>
  </r>
  <r>
    <s v="TRX00387"/>
    <s v="CBG04"/>
    <x v="209"/>
    <s v="Delivery"/>
    <s v="Kartu Debit/Kredit"/>
    <s v="Sunday"/>
    <s v="Warung Selera Nusantara - Tunjungan"/>
  </r>
  <r>
    <s v="TRX00127"/>
    <s v="CBG04"/>
    <x v="210"/>
    <s v="Dine-in"/>
    <s v="QRIS"/>
    <s v="Monday"/>
    <s v="Warung Selera Nusantara - Tunjungan"/>
  </r>
  <r>
    <s v="TRX00209"/>
    <s v="CBG01"/>
    <x v="211"/>
    <s v="Take Away"/>
    <s v="QRIS"/>
    <s v="Monday"/>
    <s v="Warung Selera Nusantara - Margonda"/>
  </r>
  <r>
    <s v="TRX00322"/>
    <s v="CBG01"/>
    <x v="212"/>
    <s v="Dine-in"/>
    <s v="Cash"/>
    <s v="Monday"/>
    <s v="Warung Selera Nusantara - Margonda"/>
  </r>
  <r>
    <s v="TRX00055"/>
    <s v="CBG04"/>
    <x v="213"/>
    <s v="Dine-in"/>
    <s v="Cash"/>
    <s v="Monday"/>
    <s v="Warung Selera Nusantara - Tunjungan"/>
  </r>
  <r>
    <s v="TRX00842"/>
    <s v="CBG04"/>
    <x v="214"/>
    <s v="Dine-in"/>
    <s v="Cash"/>
    <s v="Monday"/>
    <s v="Warung Selera Nusantara - Tunjungan"/>
  </r>
  <r>
    <s v="TRX00808"/>
    <s v="CBG03"/>
    <x v="215"/>
    <s v="Dine-in"/>
    <s v="QRIS"/>
    <s v="Monday"/>
    <s v="Warung Selera Nusantara - Sudirman"/>
  </r>
  <r>
    <s v="TRX00410"/>
    <s v="CBG04"/>
    <x v="216"/>
    <s v="Dine-in"/>
    <s v="Cash"/>
    <s v="Monday"/>
    <s v="Warung Selera Nusantara - Tunjungan"/>
  </r>
  <r>
    <s v="TRX00630"/>
    <s v="CBG04"/>
    <x v="217"/>
    <s v="Dine-in"/>
    <s v="Cash"/>
    <s v="Tuesday"/>
    <s v="Warung Selera Nusantara - Tunjungan"/>
  </r>
  <r>
    <s v="TRX00511"/>
    <s v="CBG02"/>
    <x v="218"/>
    <s v="Delivery"/>
    <s v="E-wallet"/>
    <s v="Wednesday"/>
    <s v="Warung Selera Nusantara - Dago"/>
  </r>
  <r>
    <s v="TRX00254"/>
    <s v="CBG01"/>
    <x v="219"/>
    <s v="Dine-in"/>
    <s v="QRIS"/>
    <s v="Wednesday"/>
    <s v="Warung Selera Nusantara - Margonda"/>
  </r>
  <r>
    <s v="TRX00826"/>
    <s v="CBG04"/>
    <x v="220"/>
    <s v="Delivery"/>
    <s v="E-wallet"/>
    <s v="Friday"/>
    <s v="Warung Selera Nusantara - Tunjungan"/>
  </r>
  <r>
    <s v="TRX00408"/>
    <s v="CBG03"/>
    <x v="221"/>
    <s v="Dine-in"/>
    <s v="QRIS"/>
    <s v="Saturday"/>
    <s v="Warung Selera Nusantara - Sudirman"/>
  </r>
  <r>
    <s v="TRX00429"/>
    <s v="CBG01"/>
    <x v="222"/>
    <s v="Dine-in"/>
    <s v="E-wallet"/>
    <s v="Saturday"/>
    <s v="Warung Selera Nusantara - Margonda"/>
  </r>
  <r>
    <s v="TRX00075"/>
    <s v="CBG03"/>
    <x v="223"/>
    <s v="Delivery"/>
    <s v="QRIS"/>
    <s v="Saturday"/>
    <s v="Warung Selera Nusantara - Sudirman"/>
  </r>
  <r>
    <s v="TRX00321"/>
    <s v="CBG01"/>
    <x v="224"/>
    <s v="Delivery"/>
    <s v="Kartu Debit/Kredit"/>
    <s v="Saturday"/>
    <s v="Warung Selera Nusantara - Margonda"/>
  </r>
  <r>
    <s v="TRX00765"/>
    <s v="CBG02"/>
    <x v="225"/>
    <s v="Dine-in"/>
    <s v="E-wallet"/>
    <s v="Sunday"/>
    <s v="Warung Selera Nusantara - Dago"/>
  </r>
  <r>
    <s v="TRX00392"/>
    <s v="CBG03"/>
    <x v="226"/>
    <s v="Dine-in"/>
    <s v="QRIS"/>
    <s v="Monday"/>
    <s v="Warung Selera Nusantara - Sudirman"/>
  </r>
  <r>
    <s v="TRX00801"/>
    <s v="CBG03"/>
    <x v="227"/>
    <s v="Dine-in"/>
    <s v="Cash"/>
    <s v="Tuesday"/>
    <s v="Warung Selera Nusantara - Sudirman"/>
  </r>
  <r>
    <s v="TRX00662"/>
    <s v="CBG02"/>
    <x v="228"/>
    <s v="Delivery"/>
    <s v="Cash"/>
    <s v="Wednesday"/>
    <s v="Warung Selera Nusantara - Dago"/>
  </r>
  <r>
    <s v="TRX00114"/>
    <s v="CBG04"/>
    <x v="229"/>
    <s v="Take Away"/>
    <s v="Cash"/>
    <s v="Thursday"/>
    <s v="Warung Selera Nusantara - Tunjungan"/>
  </r>
  <r>
    <s v="TRX00039"/>
    <s v="CBG01"/>
    <x v="230"/>
    <s v="Dine-in"/>
    <s v="Cash"/>
    <s v="Friday"/>
    <s v="Warung Selera Nusantara - Margonda"/>
  </r>
  <r>
    <s v="TRX00722"/>
    <s v="CBG01"/>
    <x v="231"/>
    <s v="Dine-in"/>
    <s v="QRIS"/>
    <s v="Saturday"/>
    <s v="Warung Selera Nusantara - Margonda"/>
  </r>
  <r>
    <s v="TRX00433"/>
    <s v="CBG04"/>
    <x v="232"/>
    <s v="Take Away"/>
    <s v="QRIS"/>
    <s v="Saturday"/>
    <s v="Warung Selera Nusantara - Tunjungan"/>
  </r>
  <r>
    <s v="TRX00307"/>
    <s v="CBG02"/>
    <x v="233"/>
    <s v="Dine-in"/>
    <s v="QRIS"/>
    <s v="Saturday"/>
    <s v="Warung Selera Nusantara - Dago"/>
  </r>
  <r>
    <s v="TRX00475"/>
    <s v="CBG04"/>
    <x v="234"/>
    <s v="Take Away"/>
    <s v="E-wallet"/>
    <s v="Saturday"/>
    <s v="Warung Selera Nusantara - Tunjungan"/>
  </r>
  <r>
    <s v="TRX00552"/>
    <s v="CBG03"/>
    <x v="235"/>
    <s v="Dine-in"/>
    <s v="QRIS"/>
    <s v="Sunday"/>
    <s v="Warung Selera Nusantara - Sudirman"/>
  </r>
  <r>
    <s v="TRX00293"/>
    <s v="CBG02"/>
    <x v="236"/>
    <s v="Take Away"/>
    <s v="QRIS"/>
    <s v="Sunday"/>
    <s v="Warung Selera Nusantara - Dago"/>
  </r>
  <r>
    <s v="TRX00295"/>
    <s v="CBG01"/>
    <x v="237"/>
    <s v="Dine-in"/>
    <s v="E-wallet"/>
    <s v="Monday"/>
    <s v="Warung Selera Nusantara - Margonda"/>
  </r>
  <r>
    <s v="TRX00697"/>
    <s v="CBG03"/>
    <x v="238"/>
    <s v="Take Away"/>
    <s v="QRIS"/>
    <s v="Monday"/>
    <s v="Warung Selera Nusantara - Sudirman"/>
  </r>
  <r>
    <s v="TRX00778"/>
    <s v="CBG03"/>
    <x v="239"/>
    <s v="Dine-in"/>
    <s v="Kartu Debit/Kredit"/>
    <s v="Tuesday"/>
    <s v="Warung Selera Nusantara - Sudirman"/>
  </r>
  <r>
    <s v="TRX00583"/>
    <s v="CBG03"/>
    <x v="240"/>
    <s v="Take Away"/>
    <s v="E-wallet"/>
    <s v="Wednesday"/>
    <s v="Warung Selera Nusantara - Sudirman"/>
  </r>
  <r>
    <s v="TRX00212"/>
    <s v="CBG01"/>
    <x v="241"/>
    <s v="Dine-in"/>
    <s v="QRIS"/>
    <s v="Wednesday"/>
    <s v="Warung Selera Nusantara - Margonda"/>
  </r>
  <r>
    <s v="TRX00232"/>
    <s v="CBG03"/>
    <x v="242"/>
    <s v="Delivery"/>
    <s v="E-wallet"/>
    <s v="Wednesday"/>
    <s v="Warung Selera Nusantara - Sudirman"/>
  </r>
  <r>
    <s v="TRX00332"/>
    <s v="CBG04"/>
    <x v="243"/>
    <s v="Dine-in"/>
    <s v="Kartu Debit/Kredit"/>
    <s v="Wednesday"/>
    <s v="Warung Selera Nusantara - Tunjungan"/>
  </r>
  <r>
    <s v="TRX00246"/>
    <s v="CBG01"/>
    <x v="244"/>
    <s v="Delivery"/>
    <s v="QRIS"/>
    <s v="Thursday"/>
    <s v="Warung Selera Nusantara - Margonda"/>
  </r>
  <r>
    <s v="TRX00749"/>
    <s v="CBG03"/>
    <x v="245"/>
    <s v="Take Away"/>
    <s v="QRIS"/>
    <s v="Friday"/>
    <s v="Warung Selera Nusantara - Sudirman"/>
  </r>
  <r>
    <s v="TRX00263"/>
    <s v="CBG03"/>
    <x v="246"/>
    <s v="Delivery"/>
    <s v="Kartu Debit/Kredit"/>
    <s v="Friday"/>
    <s v="Warung Selera Nusantara - Sudirman"/>
  </r>
  <r>
    <s v="TRX00108"/>
    <s v="CBG04"/>
    <x v="247"/>
    <s v="Dine-in"/>
    <s v="Cash"/>
    <s v="Friday"/>
    <s v="Warung Selera Nusantara - Tunjungan"/>
  </r>
  <r>
    <s v="TRX00190"/>
    <s v="CBG03"/>
    <x v="248"/>
    <s v="Dine-in"/>
    <s v="Cash"/>
    <s v="Friday"/>
    <s v="Warung Selera Nusantara - Sudirman"/>
  </r>
  <r>
    <s v="TRX00606"/>
    <s v="CBG04"/>
    <x v="249"/>
    <s v="Delivery"/>
    <s v="QRIS"/>
    <s v="Saturday"/>
    <s v="Warung Selera Nusantara - Tunjungan"/>
  </r>
  <r>
    <s v="TRX00324"/>
    <s v="CBG03"/>
    <x v="250"/>
    <s v="Delivery"/>
    <s v="Cash"/>
    <s v="Saturday"/>
    <s v="Warung Selera Nusantara - Sudirman"/>
  </r>
  <r>
    <s v="TRX00169"/>
    <s v="CBG02"/>
    <x v="251"/>
    <s v="Dine-in"/>
    <s v="Kartu Debit/Kredit"/>
    <s v="Saturday"/>
    <s v="Warung Selera Nusantara - Dago"/>
  </r>
  <r>
    <s v="TRX00245"/>
    <s v="CBG04"/>
    <x v="252"/>
    <s v="Dine-in"/>
    <s v="E-wallet"/>
    <s v="Sunday"/>
    <s v="Warung Selera Nusantara - Tunjungan"/>
  </r>
  <r>
    <s v="TRX00148"/>
    <s v="CBG04"/>
    <x v="253"/>
    <s v="Take Away"/>
    <s v="Cash"/>
    <s v="Sunday"/>
    <s v="Warung Selera Nusantara - Tunjungan"/>
  </r>
  <r>
    <s v="TRX00470"/>
    <s v="CBG01"/>
    <x v="254"/>
    <s v="Take Away"/>
    <s v="Cash"/>
    <s v="Sunday"/>
    <s v="Warung Selera Nusantara - Margonda"/>
  </r>
  <r>
    <s v="TRX00062"/>
    <s v="CBG04"/>
    <x v="255"/>
    <s v="Dine-in"/>
    <s v="Cash"/>
    <s v="Sunday"/>
    <s v="Warung Selera Nusantara - Tunjungan"/>
  </r>
  <r>
    <s v="TRX00097"/>
    <s v="CBG01"/>
    <x v="256"/>
    <s v="Dine-in"/>
    <s v="QRIS"/>
    <s v="Sunday"/>
    <s v="Warung Selera Nusantara - Margonda"/>
  </r>
  <r>
    <s v="TRX00430"/>
    <s v="CBG03"/>
    <x v="257"/>
    <s v="Dine-in"/>
    <s v="Kartu Debit/Kredit"/>
    <s v="Monday"/>
    <s v="Warung Selera Nusantara - Sudirman"/>
  </r>
  <r>
    <s v="TRX00308"/>
    <s v="CBG02"/>
    <x v="258"/>
    <s v="Delivery"/>
    <s v="E-wallet"/>
    <s v="Tuesday"/>
    <s v="Warung Selera Nusantara - Dago"/>
  </r>
  <r>
    <s v="TRX00377"/>
    <s v="CBG01"/>
    <x v="259"/>
    <s v="Delivery"/>
    <s v="E-wallet"/>
    <s v="Tuesday"/>
    <s v="Warung Selera Nusantara - Margonda"/>
  </r>
  <r>
    <s v="TRX00822"/>
    <s v="CBG01"/>
    <x v="260"/>
    <s v="Delivery"/>
    <s v="Cash"/>
    <s v="Wednesday"/>
    <s v="Warung Selera Nusantara - Margonda"/>
  </r>
  <r>
    <s v="TRX00166"/>
    <s v="CBG02"/>
    <x v="261"/>
    <s v="Dine-in"/>
    <s v="QRIS"/>
    <s v="Wednesday"/>
    <s v="Warung Selera Nusantara - Dago"/>
  </r>
  <r>
    <s v="TRX00013"/>
    <s v="CBG02"/>
    <x v="262"/>
    <s v="Dine-in"/>
    <s v="QRIS"/>
    <s v="Wednesday"/>
    <s v="Warung Selera Nusantara - Dago"/>
  </r>
  <r>
    <s v="TRX00129"/>
    <s v="CBG02"/>
    <x v="263"/>
    <s v="Dine-in"/>
    <s v="Kartu Debit/Kredit"/>
    <s v="Wednesday"/>
    <s v="Warung Selera Nusantara - Dago"/>
  </r>
  <r>
    <s v="TRX00260"/>
    <s v="CBG04"/>
    <x v="264"/>
    <s v="Take Away"/>
    <s v="Kartu Debit/Kredit"/>
    <s v="Thursday"/>
    <s v="Warung Selera Nusantara - Tunjungan"/>
  </r>
  <r>
    <s v="TRX00742"/>
    <s v="CBG04"/>
    <x v="265"/>
    <s v="Dine-in"/>
    <s v="Kartu Debit/Kredit"/>
    <s v="Thursday"/>
    <s v="Warung Selera Nusantara - Tunjungan"/>
  </r>
  <r>
    <s v="TRX00786"/>
    <s v="CBG03"/>
    <x v="266"/>
    <s v="Dine-in"/>
    <s v="E-wallet"/>
    <s v="Thursday"/>
    <s v="Warung Selera Nusantara - Sudirman"/>
  </r>
  <r>
    <s v="TRX00523"/>
    <s v="CBG01"/>
    <x v="267"/>
    <s v="Delivery"/>
    <s v="QRIS"/>
    <s v="Friday"/>
    <s v="Warung Selera Nusantara - Margonda"/>
  </r>
  <r>
    <s v="TRX00180"/>
    <s v="CBG03"/>
    <x v="268"/>
    <s v="Take Away"/>
    <s v="E-wallet"/>
    <s v="Friday"/>
    <s v="Warung Selera Nusantara - Sudirman"/>
  </r>
  <r>
    <s v="TRX00082"/>
    <s v="CBG03"/>
    <x v="269"/>
    <s v="Dine-in"/>
    <s v="E-wallet"/>
    <s v="Saturday"/>
    <s v="Warung Selera Nusantara - Sudirman"/>
  </r>
  <r>
    <s v="TRX00251"/>
    <s v="CBG02"/>
    <x v="270"/>
    <s v="Dine-in"/>
    <s v="E-wallet"/>
    <s v="Sunday"/>
    <s v="Warung Selera Nusantara - Dago"/>
  </r>
  <r>
    <s v="TRX00591"/>
    <s v="CBG03"/>
    <x v="271"/>
    <s v="Dine-in"/>
    <s v="Cash"/>
    <s v="Sunday"/>
    <s v="Warung Selera Nusantara - Sudirman"/>
  </r>
  <r>
    <s v="TRX00505"/>
    <s v="CBG01"/>
    <x v="272"/>
    <s v="Dine-in"/>
    <s v="QRIS"/>
    <s v="Sunday"/>
    <s v="Warung Selera Nusantara - Margonda"/>
  </r>
  <r>
    <s v="TRX00220"/>
    <s v="CBG03"/>
    <x v="273"/>
    <s v="Dine-in"/>
    <s v="Cash"/>
    <s v="Monday"/>
    <s v="Warung Selera Nusantara - Sudirman"/>
  </r>
  <r>
    <s v="TRX00469"/>
    <s v="CBG03"/>
    <x v="274"/>
    <s v="Dine-in"/>
    <s v="Cash"/>
    <s v="Tuesday"/>
    <s v="Warung Selera Nusantara - Sudirman"/>
  </r>
  <r>
    <s v="TRX00636"/>
    <s v="CBG04"/>
    <x v="275"/>
    <s v="Dine-in"/>
    <s v="QRIS"/>
    <s v="Tuesday"/>
    <s v="Warung Selera Nusantara - Tunjungan"/>
  </r>
  <r>
    <s v="TRX00400"/>
    <s v="CBG04"/>
    <x v="276"/>
    <s v="Dine-in"/>
    <s v="QRIS"/>
    <s v="Tuesday"/>
    <s v="Warung Selera Nusantara - Tunjungan"/>
  </r>
  <r>
    <s v="TRX00122"/>
    <s v="CBG04"/>
    <x v="277"/>
    <s v="Dine-in"/>
    <s v="QRIS"/>
    <s v="Thursday"/>
    <s v="Warung Selera Nusantara - Tunjungan"/>
  </r>
  <r>
    <s v="TRX00351"/>
    <s v="CBG02"/>
    <x v="278"/>
    <s v="Take Away"/>
    <s v="Cash"/>
    <s v="Thursday"/>
    <s v="Warung Selera Nusantara - Dago"/>
  </r>
  <r>
    <s v="TRX00602"/>
    <s v="CBG03"/>
    <x v="279"/>
    <s v="Dine-in"/>
    <s v="E-wallet"/>
    <s v="Thursday"/>
    <s v="Warung Selera Nusantara - Sudirman"/>
  </r>
  <r>
    <s v="TRX00226"/>
    <s v="CBG03"/>
    <x v="280"/>
    <s v="Delivery"/>
    <s v="E-wallet"/>
    <s v="Friday"/>
    <s v="Warung Selera Nusantara - Sudirman"/>
  </r>
  <r>
    <s v="TRX00655"/>
    <s v="CBG03"/>
    <x v="281"/>
    <s v="Dine-in"/>
    <s v="Kartu Debit/Kredit"/>
    <s v="Friday"/>
    <s v="Warung Selera Nusantara - Sudirman"/>
  </r>
  <r>
    <s v="TRX00106"/>
    <s v="CBG01"/>
    <x v="282"/>
    <s v="Take Away"/>
    <s v="Kartu Debit/Kredit"/>
    <s v="Friday"/>
    <s v="Warung Selera Nusantara - Margonda"/>
  </r>
  <r>
    <s v="TRX00248"/>
    <s v="CBG01"/>
    <x v="283"/>
    <s v="Delivery"/>
    <s v="QRIS"/>
    <s v="Friday"/>
    <s v="Warung Selera Nusantara - Margonda"/>
  </r>
  <r>
    <s v="TRX00488"/>
    <s v="CBG03"/>
    <x v="284"/>
    <s v="Take Away"/>
    <s v="Cash"/>
    <s v="Monday"/>
    <s v="Warung Selera Nusantara - Sudirman"/>
  </r>
  <r>
    <s v="TRX00795"/>
    <s v="CBG03"/>
    <x v="285"/>
    <s v="Take Away"/>
    <s v="Kartu Debit/Kredit"/>
    <s v="Tuesday"/>
    <s v="Warung Selera Nusantara - Sudirman"/>
  </r>
  <r>
    <s v="TRX00300"/>
    <s v="CBG03"/>
    <x v="286"/>
    <s v="Dine-in"/>
    <s v="E-wallet"/>
    <s v="Wednesday"/>
    <s v="Warung Selera Nusantara - Sudirman"/>
  </r>
  <r>
    <s v="TRX00577"/>
    <s v="CBG03"/>
    <x v="287"/>
    <s v="Dine-in"/>
    <s v="QRIS"/>
    <s v="Wednesday"/>
    <s v="Warung Selera Nusantara - Sudirman"/>
  </r>
  <r>
    <s v="TRX00500"/>
    <s v="CBG04"/>
    <x v="288"/>
    <s v="Dine-in"/>
    <s v="Kartu Debit/Kredit"/>
    <s v="Wednesday"/>
    <s v="Warung Selera Nusantara - Tunjungan"/>
  </r>
  <r>
    <s v="TRX00452"/>
    <s v="CBG02"/>
    <x v="289"/>
    <s v="Take Away"/>
    <s v="E-wallet"/>
    <s v="Thursday"/>
    <s v="Warung Selera Nusantara - Dago"/>
  </r>
  <r>
    <s v="TRX00758"/>
    <s v="CBG04"/>
    <x v="290"/>
    <s v="Dine-in"/>
    <s v="QRIS"/>
    <s v="Friday"/>
    <s v="Warung Selera Nusantara - Tunjungan"/>
  </r>
  <r>
    <s v="TRX00779"/>
    <s v="CBG03"/>
    <x v="291"/>
    <s v="Dine-in"/>
    <s v="Cash"/>
    <s v="Friday"/>
    <s v="Warung Selera Nusantara - Sudirman"/>
  </r>
  <r>
    <s v="TRX00214"/>
    <s v="CBG03"/>
    <x v="292"/>
    <s v="Take Away"/>
    <s v="Cash"/>
    <s v="Saturday"/>
    <s v="Warung Selera Nusantara - Sudirman"/>
  </r>
  <r>
    <s v="TRX00628"/>
    <s v="CBG02"/>
    <x v="293"/>
    <s v="Delivery"/>
    <s v="QRIS"/>
    <s v="Saturday"/>
    <s v="Warung Selera Nusantara - Dago"/>
  </r>
  <r>
    <s v="TRX00763"/>
    <s v="CBG03"/>
    <x v="294"/>
    <s v="Delivery"/>
    <s v="QRIS"/>
    <s v="Saturday"/>
    <s v="Warung Selera Nusantara - Sudirman"/>
  </r>
  <r>
    <s v="TRX00784"/>
    <s v="CBG03"/>
    <x v="295"/>
    <s v="Dine-in"/>
    <s v="Kartu Debit/Kredit"/>
    <s v="Saturday"/>
    <s v="Warung Selera Nusantara - Sudirman"/>
  </r>
  <r>
    <s v="TRX00660"/>
    <s v="CBG04"/>
    <x v="296"/>
    <s v="Dine-in"/>
    <s v="QRIS"/>
    <s v="Saturday"/>
    <s v="Warung Selera Nusantara - Tunjungan"/>
  </r>
  <r>
    <s v="TRX00102"/>
    <s v="CBG01"/>
    <x v="297"/>
    <s v="Dine-in"/>
    <s v="Cash"/>
    <s v="Sunday"/>
    <s v="Warung Selera Nusantara - Margonda"/>
  </r>
  <r>
    <s v="TRX00234"/>
    <s v="CBG03"/>
    <x v="298"/>
    <s v="Dine-in"/>
    <s v="QRIS"/>
    <s v="Monday"/>
    <s v="Warung Selera Nusantara - Sudirman"/>
  </r>
  <r>
    <s v="TRX00015"/>
    <s v="CBG03"/>
    <x v="299"/>
    <s v="Dine-in"/>
    <s v="E-wallet"/>
    <s v="Monday"/>
    <s v="Warung Selera Nusantara - Sudirman"/>
  </r>
  <r>
    <s v="TRX00772"/>
    <s v="CBG03"/>
    <x v="300"/>
    <s v="Delivery"/>
    <s v="Cash"/>
    <s v="Monday"/>
    <s v="Warung Selera Nusantara - Sudirman"/>
  </r>
  <r>
    <s v="TRX00621"/>
    <s v="CBG01"/>
    <x v="301"/>
    <s v="Dine-in"/>
    <s v="QRIS"/>
    <s v="Wednesday"/>
    <s v="Warung Selera Nusantara - Margonda"/>
  </r>
  <r>
    <s v="TRX00586"/>
    <s v="CBG01"/>
    <x v="302"/>
    <s v="Dine-in"/>
    <s v="QRIS"/>
    <s v="Wednesday"/>
    <s v="Warung Selera Nusantara - Margonda"/>
  </r>
  <r>
    <s v="TRX00568"/>
    <s v="CBG01"/>
    <x v="303"/>
    <s v="Dine-in"/>
    <s v="Kartu Debit/Kredit"/>
    <s v="Wednesday"/>
    <s v="Warung Selera Nusantara - Margonda"/>
  </r>
  <r>
    <s v="TRX00221"/>
    <s v="CBG01"/>
    <x v="304"/>
    <s v="Delivery"/>
    <s v="Cash"/>
    <s v="Thursday"/>
    <s v="Warung Selera Nusantara - Margonda"/>
  </r>
  <r>
    <s v="TRX00464"/>
    <s v="CBG03"/>
    <x v="305"/>
    <s v="Dine-in"/>
    <s v="E-wallet"/>
    <s v="Friday"/>
    <s v="Warung Selera Nusantara - Sudirman"/>
  </r>
  <r>
    <s v="TRX00164"/>
    <s v="CBG04"/>
    <x v="306"/>
    <s v="Delivery"/>
    <s v="QRIS"/>
    <s v="Saturday"/>
    <s v="Warung Selera Nusantara - Tunjungan"/>
  </r>
  <r>
    <s v="TRX00767"/>
    <s v="CBG04"/>
    <x v="307"/>
    <s v="Dine-in"/>
    <s v="E-wallet"/>
    <s v="Saturday"/>
    <s v="Warung Selera Nusantara - Tunjungan"/>
  </r>
  <r>
    <s v="TRX00477"/>
    <s v="CBG01"/>
    <x v="308"/>
    <s v="Dine-in"/>
    <s v="Kartu Debit/Kredit"/>
    <s v="Saturday"/>
    <s v="Warung Selera Nusantara - Margonda"/>
  </r>
  <r>
    <s v="TRX00369"/>
    <s v="CBG04"/>
    <x v="309"/>
    <s v="Dine-in"/>
    <s v="QRIS"/>
    <s v="Saturday"/>
    <s v="Warung Selera Nusantara - Tunjungan"/>
  </r>
  <r>
    <s v="TRX00555"/>
    <s v="CBG02"/>
    <x v="310"/>
    <s v="Delivery"/>
    <s v="QRIS"/>
    <s v="Sunday"/>
    <s v="Warung Selera Nusantara - Dago"/>
  </r>
  <r>
    <s v="TRX00140"/>
    <s v="CBG01"/>
    <x v="311"/>
    <s v="Dine-in"/>
    <s v="QRIS"/>
    <s v="Sunday"/>
    <s v="Warung Selera Nusantara - Margonda"/>
  </r>
  <r>
    <s v="TRX00812"/>
    <s v="CBG03"/>
    <x v="312"/>
    <s v="Dine-in"/>
    <s v="Kartu Debit/Kredit"/>
    <s v="Sunday"/>
    <s v="Warung Selera Nusantara - Sudirman"/>
  </r>
  <r>
    <s v="TRX00205"/>
    <s v="CBG01"/>
    <x v="313"/>
    <s v="Take Away"/>
    <s v="Cash"/>
    <s v="Sunday"/>
    <s v="Warung Selera Nusantara - Margonda"/>
  </r>
  <r>
    <s v="TRX00599"/>
    <s v="CBG04"/>
    <x v="314"/>
    <s v="Dine-in"/>
    <s v="E-wallet"/>
    <s v="Monday"/>
    <s v="Warung Selera Nusantara - Tunjungan"/>
  </r>
  <r>
    <s v="TRX00239"/>
    <s v="CBG02"/>
    <x v="315"/>
    <s v="Delivery"/>
    <s v="Cash"/>
    <s v="Monday"/>
    <s v="Warung Selera Nusantara - Dago"/>
  </r>
  <r>
    <s v="TRX00206"/>
    <s v="CBG02"/>
    <x v="316"/>
    <s v="Delivery"/>
    <s v="QRIS"/>
    <s v="Wednesday"/>
    <s v="Warung Selera Nusantara - Dago"/>
  </r>
  <r>
    <s v="TRX00396"/>
    <s v="CBG03"/>
    <x v="317"/>
    <s v="Dine-in"/>
    <s v="E-wallet"/>
    <s v="Wednesday"/>
    <s v="Warung Selera Nusantara - Sudirman"/>
  </r>
  <r>
    <s v="TRX00658"/>
    <s v="CBG03"/>
    <x v="318"/>
    <s v="Delivery"/>
    <s v="Cash"/>
    <s v="Wednesday"/>
    <s v="Warung Selera Nusantara - Sudirman"/>
  </r>
  <r>
    <s v="TRX00292"/>
    <s v="CBG04"/>
    <x v="319"/>
    <s v="Dine-in"/>
    <s v="QRIS"/>
    <s v="Wednesday"/>
    <s v="Warung Selera Nusantara - Tunjungan"/>
  </r>
  <r>
    <s v="TRX00440"/>
    <s v="CBG01"/>
    <x v="320"/>
    <s v="Dine-in"/>
    <s v="Cash"/>
    <s v="Thursday"/>
    <s v="Warung Selera Nusantara - Margonda"/>
  </r>
  <r>
    <s v="TRX00361"/>
    <s v="CBG02"/>
    <x v="321"/>
    <s v="Dine-in"/>
    <s v="QRIS"/>
    <s v="Friday"/>
    <s v="Warung Selera Nusantara - Dago"/>
  </r>
  <r>
    <s v="TRX00284"/>
    <s v="CBG03"/>
    <x v="322"/>
    <s v="Take Away"/>
    <s v="Cash"/>
    <s v="Friday"/>
    <s v="Warung Selera Nusantara - Sudirman"/>
  </r>
  <r>
    <s v="TRX00165"/>
    <s v="CBG03"/>
    <x v="323"/>
    <s v="Dine-in"/>
    <s v="QRIS"/>
    <s v="Friday"/>
    <s v="Warung Selera Nusantara - Sudirman"/>
  </r>
  <r>
    <s v="TRX00646"/>
    <s v="CBG04"/>
    <x v="324"/>
    <s v="Delivery"/>
    <s v="E-wallet"/>
    <s v="Saturday"/>
    <s v="Warung Selera Nusantara - Tunjungan"/>
  </r>
  <r>
    <s v="TRX00449"/>
    <s v="CBG03"/>
    <x v="325"/>
    <s v="Dine-in"/>
    <s v="QRIS"/>
    <s v="Saturday"/>
    <s v="Warung Selera Nusantara - Sudirman"/>
  </r>
  <r>
    <s v="TRX00398"/>
    <s v="CBG02"/>
    <x v="326"/>
    <s v="Dine-in"/>
    <s v="QRIS"/>
    <s v="Saturday"/>
    <s v="Warung Selera Nusantara - Dago"/>
  </r>
  <r>
    <s v="TRX00125"/>
    <s v="CBG04"/>
    <x v="327"/>
    <s v="Dine-in"/>
    <s v="E-wallet"/>
    <s v="Sunday"/>
    <s v="Warung Selera Nusantara - Tunjungan"/>
  </r>
  <r>
    <s v="TRX00143"/>
    <s v="CBG03"/>
    <x v="328"/>
    <s v="Delivery"/>
    <s v="QRIS"/>
    <s v="Sunday"/>
    <s v="Warung Selera Nusantara - Sudirman"/>
  </r>
  <r>
    <s v="TRX00291"/>
    <s v="CBG01"/>
    <x v="329"/>
    <s v="Dine-in"/>
    <s v="QRIS"/>
    <s v="Sunday"/>
    <s v="Warung Selera Nusantara - Margonda"/>
  </r>
  <r>
    <s v="TRX00179"/>
    <s v="CBG03"/>
    <x v="330"/>
    <s v="Dine-in"/>
    <s v="QRIS"/>
    <s v="Sunday"/>
    <s v="Warung Selera Nusantara - Sudirman"/>
  </r>
  <r>
    <s v="TRX00381"/>
    <s v="CBG04"/>
    <x v="331"/>
    <s v="Dine-in"/>
    <s v="QRIS"/>
    <s v="Monday"/>
    <s v="Warung Selera Nusantara - Tunjungan"/>
  </r>
  <r>
    <s v="TRX00025"/>
    <s v="CBG04"/>
    <x v="332"/>
    <s v="Dine-in"/>
    <s v="E-wallet"/>
    <s v="Monday"/>
    <s v="Warung Selera Nusantara - Tunjungan"/>
  </r>
  <r>
    <s v="TRX00701"/>
    <s v="CBG02"/>
    <x v="333"/>
    <s v="Take Away"/>
    <s v="Kartu Debit/Kredit"/>
    <s v="Monday"/>
    <s v="Warung Selera Nusantara - Dago"/>
  </r>
  <r>
    <s v="TRX00690"/>
    <s v="CBG03"/>
    <x v="334"/>
    <s v="Take Away"/>
    <s v="QRIS"/>
    <s v="Wednesday"/>
    <s v="Warung Selera Nusantara - Sudirman"/>
  </r>
  <r>
    <s v="TRX00639"/>
    <s v="CBG03"/>
    <x v="335"/>
    <s v="Take Away"/>
    <s v="QRIS"/>
    <s v="Wednesday"/>
    <s v="Warung Selera Nusantara - Sudirman"/>
  </r>
  <r>
    <s v="TRX00359"/>
    <s v="CBG01"/>
    <x v="336"/>
    <s v="Take Away"/>
    <s v="Cash"/>
    <s v="Friday"/>
    <s v="Warung Selera Nusantara - Margonda"/>
  </r>
  <r>
    <s v="TRX00818"/>
    <s v="CBG03"/>
    <x v="337"/>
    <s v="Dine-in"/>
    <s v="QRIS"/>
    <s v="Saturday"/>
    <s v="Warung Selera Nusantara - Sudirman"/>
  </r>
  <r>
    <s v="TRX00840"/>
    <s v="CBG04"/>
    <x v="338"/>
    <s v="Take Away"/>
    <s v="Kartu Debit/Kredit"/>
    <s v="Saturday"/>
    <s v="Warung Selera Nusantara - Tunjungan"/>
  </r>
  <r>
    <s v="TRX00592"/>
    <s v="CBG03"/>
    <x v="339"/>
    <s v="Take Away"/>
    <s v="QRIS"/>
    <s v="Saturday"/>
    <s v="Warung Selera Nusantara - Sudirman"/>
  </r>
  <r>
    <s v="TRX00491"/>
    <s v="CBG03"/>
    <x v="340"/>
    <s v="Dine-in"/>
    <s v="QRIS"/>
    <s v="Saturday"/>
    <s v="Warung Selera Nusantara - Sudirman"/>
  </r>
  <r>
    <s v="TRX00664"/>
    <s v="CBG04"/>
    <x v="341"/>
    <s v="Dine-in"/>
    <s v="QRIS"/>
    <s v="Saturday"/>
    <s v="Warung Selera Nusantara - Tunjungan"/>
  </r>
  <r>
    <s v="TRX00063"/>
    <s v="CBG02"/>
    <x v="342"/>
    <s v="Delivery"/>
    <s v="Cash"/>
    <s v="Saturday"/>
    <s v="Warung Selera Nusantara - Dago"/>
  </r>
  <r>
    <s v="TRX00715"/>
    <s v="CBG03"/>
    <x v="343"/>
    <s v="Take Away"/>
    <s v="Cash"/>
    <s v="Saturday"/>
    <s v="Warung Selera Nusantara - Sudirman"/>
  </r>
  <r>
    <s v="TRX00294"/>
    <s v="CBG03"/>
    <x v="344"/>
    <s v="Dine-in"/>
    <s v="E-wallet"/>
    <s v="Sunday"/>
    <s v="Warung Selera Nusantara - Sudirman"/>
  </r>
  <r>
    <s v="TRX00202"/>
    <s v="CBG03"/>
    <x v="345"/>
    <s v="Dine-in"/>
    <s v="QRIS"/>
    <s v="Tuesday"/>
    <s v="Warung Selera Nusantara - Sudirman"/>
  </r>
  <r>
    <s v="TRX00032"/>
    <s v="CBG02"/>
    <x v="346"/>
    <s v="Dine-in"/>
    <s v="E-wallet"/>
    <s v="Wednesday"/>
    <s v="Warung Selera Nusantara - Dago"/>
  </r>
  <r>
    <s v="TRX00684"/>
    <s v="CBG04"/>
    <x v="347"/>
    <s v="Take Away"/>
    <s v="E-wallet"/>
    <s v="Wednesday"/>
    <s v="Warung Selera Nusantara - Tunjungan"/>
  </r>
  <r>
    <s v="TRX00191"/>
    <s v="CBG04"/>
    <x v="348"/>
    <s v="Take Away"/>
    <s v="Cash"/>
    <s v="Thursday"/>
    <s v="Warung Selera Nusantara - Tunjungan"/>
  </r>
  <r>
    <s v="TRX00008"/>
    <s v="CBG01"/>
    <x v="349"/>
    <s v="Take Away"/>
    <s v="E-wallet"/>
    <s v="Thursday"/>
    <s v="Warung Selera Nusantara - Margonda"/>
  </r>
  <r>
    <s v="TRX00525"/>
    <s v="CBG04"/>
    <x v="350"/>
    <s v="Dine-in"/>
    <s v="Cash"/>
    <s v="Thursday"/>
    <s v="Warung Selera Nusantara - Tunjungan"/>
  </r>
  <r>
    <s v="TRX00774"/>
    <s v="CBG03"/>
    <x v="351"/>
    <s v="Dine-in"/>
    <s v="Kartu Debit/Kredit"/>
    <s v="Thursday"/>
    <s v="Warung Selera Nusantara - Sudirman"/>
  </r>
  <r>
    <s v="TRX00083"/>
    <s v="CBG04"/>
    <x v="352"/>
    <s v="Dine-in"/>
    <s v="Cash"/>
    <s v="Friday"/>
    <s v="Warung Selera Nusantara - Tunjungan"/>
  </r>
  <r>
    <s v="TRX00290"/>
    <s v="CBG04"/>
    <x v="353"/>
    <s v="Take Away"/>
    <s v="QRIS"/>
    <s v="Saturday"/>
    <s v="Warung Selera Nusantara - Tunjungan"/>
  </r>
  <r>
    <s v="TRX00631"/>
    <s v="CBG02"/>
    <x v="354"/>
    <s v="Dine-in"/>
    <s v="E-wallet"/>
    <s v="Saturday"/>
    <s v="Warung Selera Nusantara - Dago"/>
  </r>
  <r>
    <s v="TRX00247"/>
    <s v="CBG04"/>
    <x v="355"/>
    <s v="Dine-in"/>
    <s v="Kartu Debit/Kredit"/>
    <s v="Sunday"/>
    <s v="Warung Selera Nusantara - Tunjungan"/>
  </r>
  <r>
    <s v="TRX00458"/>
    <s v="CBG04"/>
    <x v="356"/>
    <s v="Delivery"/>
    <s v="Cash"/>
    <s v="Sunday"/>
    <s v="Warung Selera Nusantara - Tunjungan"/>
  </r>
  <r>
    <s v="TRX00702"/>
    <s v="CBG03"/>
    <x v="357"/>
    <s v="Take Away"/>
    <s v="Cash"/>
    <s v="Sunday"/>
    <s v="Warung Selera Nusantara - Sudirman"/>
  </r>
  <r>
    <s v="TRX00399"/>
    <s v="CBG03"/>
    <x v="358"/>
    <s v="Take Away"/>
    <s v="QRIS"/>
    <s v="Sunday"/>
    <s v="Warung Selera Nusantara - Sudirman"/>
  </r>
  <r>
    <s v="TRX00112"/>
    <s v="CBG02"/>
    <x v="359"/>
    <s v="Dine-in"/>
    <s v="Kartu Debit/Kredit"/>
    <s v="Sunday"/>
    <s v="Warung Selera Nusantara - Dago"/>
  </r>
  <r>
    <s v="TRX00273"/>
    <s v="CBG03"/>
    <x v="360"/>
    <s v="Dine-in"/>
    <s v="E-wallet"/>
    <s v="Monday"/>
    <s v="Warung Selera Nusantara - Sudirman"/>
  </r>
  <r>
    <s v="TRX00504"/>
    <s v="CBG04"/>
    <x v="361"/>
    <s v="Dine-in"/>
    <s v="Kartu Debit/Kredit"/>
    <s v="Monday"/>
    <s v="Warung Selera Nusantara - Tunjungan"/>
  </r>
  <r>
    <s v="TRX00455"/>
    <s v="CBG03"/>
    <x v="362"/>
    <s v="Dine-in"/>
    <s v="Kartu Debit/Kredit"/>
    <s v="Monday"/>
    <s v="Warung Selera Nusantara - Sudirman"/>
  </r>
  <r>
    <s v="TRX00798"/>
    <s v="CBG01"/>
    <x v="363"/>
    <s v="Take Away"/>
    <s v="Cash"/>
    <s v="Monday"/>
    <s v="Warung Selera Nusantara - Margonda"/>
  </r>
  <r>
    <s v="TRX00529"/>
    <s v="CBG03"/>
    <x v="364"/>
    <s v="Delivery"/>
    <s v="QRIS"/>
    <s v="Tuesday"/>
    <s v="Warung Selera Nusantara - Sudirman"/>
  </r>
  <r>
    <s v="TRX00540"/>
    <s v="CBG01"/>
    <x v="365"/>
    <s v="Dine-in"/>
    <s v="QRIS"/>
    <s v="Wednesday"/>
    <s v="Warung Selera Nusantara - Margonda"/>
  </r>
  <r>
    <s v="TRX00207"/>
    <s v="CBG03"/>
    <x v="366"/>
    <s v="Dine-in"/>
    <s v="QRIS"/>
    <s v="Wednesday"/>
    <s v="Warung Selera Nusantara - Sudirman"/>
  </r>
  <r>
    <s v="TRX00492"/>
    <s v="CBG01"/>
    <x v="367"/>
    <s v="Take Away"/>
    <s v="E-wallet"/>
    <s v="Wednesday"/>
    <s v="Warung Selera Nusantara - Margonda"/>
  </r>
  <r>
    <s v="TRX00809"/>
    <s v="CBG04"/>
    <x v="368"/>
    <s v="Dine-in"/>
    <s v="Kartu Debit/Kredit"/>
    <s v="Thursday"/>
    <s v="Warung Selera Nusantara - Tunjungan"/>
  </r>
  <r>
    <s v="TRX00336"/>
    <s v="CBG04"/>
    <x v="369"/>
    <s v="Take Away"/>
    <s v="QRIS"/>
    <s v="Friday"/>
    <s v="Warung Selera Nusantara - Tunjungan"/>
  </r>
  <r>
    <s v="TRX00747"/>
    <s v="CBG04"/>
    <x v="370"/>
    <s v="Dine-in"/>
    <s v="E-wallet"/>
    <s v="Saturday"/>
    <s v="Warung Selera Nusantara - Tunjungan"/>
  </r>
  <r>
    <s v="TRX00406"/>
    <s v="CBG03"/>
    <x v="371"/>
    <s v="Dine-in"/>
    <s v="QRIS"/>
    <s v="Saturday"/>
    <s v="Warung Selera Nusantara - Sudirman"/>
  </r>
  <r>
    <s v="TRX00136"/>
    <s v="CBG04"/>
    <x v="372"/>
    <s v="Dine-in"/>
    <s v="Kartu Debit/Kredit"/>
    <s v="Saturday"/>
    <s v="Warung Selera Nusantara - Tunjungan"/>
  </r>
  <r>
    <s v="TRX00027"/>
    <s v="CBG03"/>
    <x v="373"/>
    <s v="Take Away"/>
    <s v="Kartu Debit/Kredit"/>
    <s v="Sunday"/>
    <s v="Warung Selera Nusantara - Sudirman"/>
  </r>
  <r>
    <s v="TRX00261"/>
    <s v="CBG04"/>
    <x v="374"/>
    <s v="Take Away"/>
    <s v="E-wallet"/>
    <s v="Sunday"/>
    <s v="Warung Selera Nusantara - Tunjungan"/>
  </r>
  <r>
    <s v="TRX00145"/>
    <s v="CBG03"/>
    <x v="375"/>
    <s v="Dine-in"/>
    <s v="Cash"/>
    <s v="Sunday"/>
    <s v="Warung Selera Nusantara - Sudirman"/>
  </r>
  <r>
    <s v="TRX00739"/>
    <s v="CBG02"/>
    <x v="376"/>
    <s v="Delivery"/>
    <s v="Cash"/>
    <s v="Monday"/>
    <s v="Warung Selera Nusantara - Dago"/>
  </r>
  <r>
    <s v="TRX00728"/>
    <s v="CBG02"/>
    <x v="377"/>
    <s v="Take Away"/>
    <s v="Cash"/>
    <s v="Monday"/>
    <s v="Warung Selera Nusantara - Dago"/>
  </r>
  <r>
    <s v="TRX00799"/>
    <s v="CBG02"/>
    <x v="378"/>
    <s v="Dine-in"/>
    <s v="Cash"/>
    <s v="Monday"/>
    <s v="Warung Selera Nusantara - Dago"/>
  </r>
  <r>
    <s v="TRX00022"/>
    <s v="CBG01"/>
    <x v="379"/>
    <s v="Dine-in"/>
    <s v="Cash"/>
    <s v="Tuesday"/>
    <s v="Warung Selera Nusantara - Margonda"/>
  </r>
  <r>
    <s v="TRX00463"/>
    <s v="CBG01"/>
    <x v="380"/>
    <s v="Dine-in"/>
    <s v="Cash"/>
    <s v="Tuesday"/>
    <s v="Warung Selera Nusantara - Margonda"/>
  </r>
  <r>
    <s v="TRX00187"/>
    <s v="CBG01"/>
    <x v="381"/>
    <s v="Dine-in"/>
    <s v="QRIS"/>
    <s v="Wednesday"/>
    <s v="Warung Selera Nusantara - Margonda"/>
  </r>
  <r>
    <s v="TRX00541"/>
    <s v="CBG01"/>
    <x v="382"/>
    <s v="Dine-in"/>
    <s v="QRIS"/>
    <s v="Friday"/>
    <s v="Warung Selera Nusantara - Margonda"/>
  </r>
  <r>
    <s v="TRX00423"/>
    <s v="CBG03"/>
    <x v="383"/>
    <s v="Take Away"/>
    <s v="Cash"/>
    <s v="Saturday"/>
    <s v="Warung Selera Nusantara - Sudirman"/>
  </r>
  <r>
    <s v="TRX00651"/>
    <s v="CBG02"/>
    <x v="384"/>
    <s v="Dine-in"/>
    <s v="Cash"/>
    <s v="Saturday"/>
    <s v="Warung Selera Nusantara - Dago"/>
  </r>
  <r>
    <s v="TRX00672"/>
    <s v="CBG02"/>
    <x v="385"/>
    <s v="Take Away"/>
    <s v="Kartu Debit/Kredit"/>
    <s v="Saturday"/>
    <s v="Warung Selera Nusantara - Dago"/>
  </r>
  <r>
    <s v="TRX00570"/>
    <s v="CBG01"/>
    <x v="386"/>
    <s v="Delivery"/>
    <s v="E-wallet"/>
    <s v="Saturday"/>
    <s v="Warung Selera Nusantara - Margonda"/>
  </r>
  <r>
    <s v="TRX00848"/>
    <s v="CBG02"/>
    <x v="387"/>
    <s v="Take Away"/>
    <s v="QRIS"/>
    <s v="Saturday"/>
    <s v="Warung Selera Nusantara - Dago"/>
  </r>
  <r>
    <s v="TRX00700"/>
    <s v="CBG03"/>
    <x v="388"/>
    <s v="Dine-in"/>
    <s v="E-wallet"/>
    <s v="Sunday"/>
    <s v="Warung Selera Nusantara - Sudirman"/>
  </r>
  <r>
    <s v="TRX00334"/>
    <s v="CBG04"/>
    <x v="389"/>
    <s v="Delivery"/>
    <s v="Kartu Debit/Kredit"/>
    <s v="Sunday"/>
    <s v="Warung Selera Nusantara - Tunjungan"/>
  </r>
  <r>
    <s v="TRX00353"/>
    <s v="CBG04"/>
    <x v="390"/>
    <s v="Delivery"/>
    <s v="E-wallet"/>
    <s v="Sunday"/>
    <s v="Warung Selera Nusantara - Tunjungan"/>
  </r>
  <r>
    <s v="TRX00446"/>
    <s v="CBG04"/>
    <x v="391"/>
    <s v="Dine-in"/>
    <s v="Cash"/>
    <s v="Sunday"/>
    <s v="Warung Selera Nusantara - Tunjungan"/>
  </r>
  <r>
    <s v="TRX00677"/>
    <s v="CBG04"/>
    <x v="392"/>
    <s v="Take Away"/>
    <s v="QRIS"/>
    <s v="Monday"/>
    <s v="Warung Selera Nusantara - Tunjungan"/>
  </r>
  <r>
    <s v="TRX00445"/>
    <s v="CBG02"/>
    <x v="393"/>
    <s v="Delivery"/>
    <s v="QRIS"/>
    <s v="Tuesday"/>
    <s v="Warung Selera Nusantara - Dago"/>
  </r>
  <r>
    <s v="TRX00402"/>
    <s v="CBG03"/>
    <x v="394"/>
    <s v="Take Away"/>
    <s v="E-wallet"/>
    <s v="Tuesday"/>
    <s v="Warung Selera Nusantara - Sudirman"/>
  </r>
  <r>
    <s v="TRX00118"/>
    <s v="CBG01"/>
    <x v="395"/>
    <s v="Take Away"/>
    <s v="QRIS"/>
    <s v="Tuesday"/>
    <s v="Warung Selera Nusantara - Margonda"/>
  </r>
  <r>
    <s v="TRX00725"/>
    <s v="CBG04"/>
    <x v="396"/>
    <s v="Dine-in"/>
    <s v="Cash"/>
    <s v="Thursday"/>
    <s v="Warung Selera Nusantara - Tunjungan"/>
  </r>
  <r>
    <s v="TRX00528"/>
    <s v="CBG03"/>
    <x v="397"/>
    <s v="Delivery"/>
    <s v="Kartu Debit/Kredit"/>
    <s v="Thursday"/>
    <s v="Warung Selera Nusantara - Sudirman"/>
  </r>
  <r>
    <s v="TRX00170"/>
    <s v="CBG02"/>
    <x v="398"/>
    <s v="Take Away"/>
    <s v="Cash"/>
    <s v="Thursday"/>
    <s v="Warung Selera Nusantara - Dago"/>
  </r>
  <r>
    <s v="TRX00834"/>
    <s v="CBG03"/>
    <x v="399"/>
    <s v="Delivery"/>
    <s v="Cash"/>
    <s v="Friday"/>
    <s v="Warung Selera Nusantara - Sudirman"/>
  </r>
  <r>
    <s v="TRX00622"/>
    <s v="CBG01"/>
    <x v="400"/>
    <s v="Dine-in"/>
    <s v="Cash"/>
    <s v="Saturday"/>
    <s v="Warung Selera Nusantara - Margonda"/>
  </r>
  <r>
    <s v="TRX00671"/>
    <s v="CBG01"/>
    <x v="401"/>
    <s v="Dine-in"/>
    <s v="E-wallet"/>
    <s v="Saturday"/>
    <s v="Warung Selera Nusantara - Margonda"/>
  </r>
  <r>
    <s v="TRX00643"/>
    <s v="CBG02"/>
    <x v="402"/>
    <s v="Dine-in"/>
    <s v="Cash"/>
    <s v="Saturday"/>
    <s v="Warung Selera Nusantara - Dago"/>
  </r>
  <r>
    <s v="TRX00420"/>
    <s v="CBG02"/>
    <x v="403"/>
    <s v="Dine-in"/>
    <s v="QRIS"/>
    <s v="Sunday"/>
    <s v="Warung Selera Nusantara - Dago"/>
  </r>
  <r>
    <s v="TRX00594"/>
    <s v="CBG04"/>
    <x v="404"/>
    <s v="Dine-in"/>
    <s v="E-wallet"/>
    <s v="Monday"/>
    <s v="Warung Selera Nusantara - Tunjungan"/>
  </r>
  <r>
    <s v="TRX00670"/>
    <s v="CBG04"/>
    <x v="405"/>
    <s v="Dine-in"/>
    <s v="E-wallet"/>
    <s v="Monday"/>
    <s v="Warung Selera Nusantara - Tunjungan"/>
  </r>
  <r>
    <s v="TRX00615"/>
    <s v="CBG03"/>
    <x v="406"/>
    <s v="Dine-in"/>
    <s v="Cash"/>
    <s v="Monday"/>
    <s v="Warung Selera Nusantara - Sudirman"/>
  </r>
  <r>
    <s v="TRX00633"/>
    <s v="CBG04"/>
    <x v="407"/>
    <s v="Dine-in"/>
    <s v="Cash"/>
    <s v="Tuesday"/>
    <s v="Warung Selera Nusantara - Tunjungan"/>
  </r>
  <r>
    <s v="TRX00137"/>
    <s v="CBG04"/>
    <x v="408"/>
    <s v="Dine-in"/>
    <s v="E-wallet"/>
    <s v="Wednesday"/>
    <s v="Warung Selera Nusantara - Tunjungan"/>
  </r>
  <r>
    <s v="TRX00019"/>
    <s v="CBG02"/>
    <x v="409"/>
    <s v="Dine-in"/>
    <s v="E-wallet"/>
    <s v="Wednesday"/>
    <s v="Warung Selera Nusantara - Dago"/>
  </r>
  <r>
    <s v="TRX00213"/>
    <s v="CBG01"/>
    <x v="410"/>
    <s v="Dine-in"/>
    <s v="Cash"/>
    <s v="Wednesday"/>
    <s v="Warung Selera Nusantara - Margonda"/>
  </r>
  <r>
    <s v="TRX00051"/>
    <s v="CBG04"/>
    <x v="411"/>
    <s v="Dine-in"/>
    <s v="QRIS"/>
    <s v="Friday"/>
    <s v="Warung Selera Nusantara - Tunjungan"/>
  </r>
  <r>
    <s v="TRX00704"/>
    <s v="CBG03"/>
    <x v="412"/>
    <s v="Delivery"/>
    <s v="Kartu Debit/Kredit"/>
    <s v="Saturday"/>
    <s v="Warung Selera Nusantara - Sudirman"/>
  </r>
  <r>
    <s v="TRX00066"/>
    <s v="CBG01"/>
    <x v="413"/>
    <s v="Take Away"/>
    <s v="QRIS"/>
    <s v="Saturday"/>
    <s v="Warung Selera Nusantara - Margonda"/>
  </r>
  <r>
    <s v="TRX00777"/>
    <s v="CBG02"/>
    <x v="414"/>
    <s v="Delivery"/>
    <s v="Cash"/>
    <s v="Sunday"/>
    <s v="Warung Selera Nusantara - Dago"/>
  </r>
  <r>
    <s v="TRX00731"/>
    <s v="CBG02"/>
    <x v="415"/>
    <s v="Dine-in"/>
    <s v="Kartu Debit/Kredit"/>
    <s v="Sunday"/>
    <s v="Warung Selera Nusantara - Dago"/>
  </r>
  <r>
    <s v="TRX00661"/>
    <s v="CBG03"/>
    <x v="416"/>
    <s v="Take Away"/>
    <s v="E-wallet"/>
    <s v="Sunday"/>
    <s v="Warung Selera Nusantara - Sudirman"/>
  </r>
  <r>
    <s v="TRX00421"/>
    <s v="CBG03"/>
    <x v="417"/>
    <s v="Delivery"/>
    <s v="QRIS"/>
    <s v="Sunday"/>
    <s v="Warung Selera Nusantara - Sudirman"/>
  </r>
  <r>
    <s v="TRX00708"/>
    <s v="CBG01"/>
    <x v="418"/>
    <s v="Dine-in"/>
    <s v="Cash"/>
    <s v="Monday"/>
    <s v="Warung Selera Nusantara - Margonda"/>
  </r>
  <r>
    <s v="TRX00699"/>
    <s v="CBG03"/>
    <x v="419"/>
    <s v="Dine-in"/>
    <s v="Cash"/>
    <s v="Monday"/>
    <s v="Warung Selera Nusantara - Sudirman"/>
  </r>
  <r>
    <s v="TRX00603"/>
    <s v="CBG03"/>
    <x v="420"/>
    <s v="Dine-in"/>
    <s v="QRIS"/>
    <s v="Monday"/>
    <s v="Warung Selera Nusantara - Sudirman"/>
  </r>
  <r>
    <s v="TRX00718"/>
    <s v="CBG03"/>
    <x v="421"/>
    <s v="Dine-in"/>
    <s v="Kartu Debit/Kredit"/>
    <s v="Monday"/>
    <s v="Warung Selera Nusantara - Sudirman"/>
  </r>
  <r>
    <s v="TRX00674"/>
    <s v="CBG03"/>
    <x v="422"/>
    <s v="Delivery"/>
    <s v="E-wallet"/>
    <s v="Monday"/>
    <s v="Warung Selera Nusantara - Sudirman"/>
  </r>
  <r>
    <s v="TRX00030"/>
    <s v="CBG03"/>
    <x v="423"/>
    <s v="Delivery"/>
    <s v="QRIS"/>
    <s v="Tuesday"/>
    <s v="Warung Selera Nusantara - Sudirman"/>
  </r>
  <r>
    <s v="TRX00374"/>
    <s v="CBG01"/>
    <x v="424"/>
    <s v="Dine-in"/>
    <s v="Cash"/>
    <s v="Tuesday"/>
    <s v="Warung Selera Nusantara - Margonda"/>
  </r>
  <r>
    <s v="TRX00313"/>
    <s v="CBG04"/>
    <x v="425"/>
    <s v="Take Away"/>
    <s v="QRIS"/>
    <s v="Wednesday"/>
    <s v="Warung Selera Nusantara - Tunjungan"/>
  </r>
  <r>
    <s v="TRX00375"/>
    <s v="CBG04"/>
    <x v="426"/>
    <s v="Dine-in"/>
    <s v="QRIS"/>
    <s v="Wednesday"/>
    <s v="Warung Selera Nusantara - Tunjungan"/>
  </r>
  <r>
    <s v="TRX00730"/>
    <s v="CBG04"/>
    <x v="427"/>
    <s v="Dine-in"/>
    <s v="Kartu Debit/Kredit"/>
    <s v="Thursday"/>
    <s v="Warung Selera Nusantara - Tunjungan"/>
  </r>
  <r>
    <s v="TRX00773"/>
    <s v="CBG03"/>
    <x v="428"/>
    <s v="Dine-in"/>
    <s v="Cash"/>
    <s v="Thursday"/>
    <s v="Warung Selera Nusantara - Sudirman"/>
  </r>
  <r>
    <s v="TRX00516"/>
    <s v="CBG03"/>
    <x v="429"/>
    <s v="Dine-in"/>
    <s v="QRIS"/>
    <s v="Friday"/>
    <s v="Warung Selera Nusantara - Sudirman"/>
  </r>
  <r>
    <s v="TRX00242"/>
    <s v="CBG04"/>
    <x v="430"/>
    <s v="Dine-in"/>
    <s v="E-wallet"/>
    <s v="Saturday"/>
    <s v="Warung Selera Nusantara - Tunjungan"/>
  </r>
  <r>
    <s v="TRX00270"/>
    <s v="CBG04"/>
    <x v="431"/>
    <s v="Dine-in"/>
    <s v="Cash"/>
    <s v="Saturday"/>
    <s v="Warung Selera Nusantara - Tunjungan"/>
  </r>
  <r>
    <s v="TRX00797"/>
    <s v="CBG01"/>
    <x v="432"/>
    <s v="Delivery"/>
    <s v="Cash"/>
    <s v="Saturday"/>
    <s v="Warung Selera Nusantara - Margonda"/>
  </r>
  <r>
    <s v="TRX00414"/>
    <s v="CBG02"/>
    <x v="433"/>
    <s v="Delivery"/>
    <s v="E-wallet"/>
    <s v="Sunday"/>
    <s v="Warung Selera Nusantara - Dago"/>
  </r>
  <r>
    <s v="TRX00050"/>
    <s v="CBG02"/>
    <x v="434"/>
    <s v="Delivery"/>
    <s v="Kartu Debit/Kredit"/>
    <s v="Sunday"/>
    <s v="Warung Selera Nusantara - Dago"/>
  </r>
  <r>
    <s v="TRX00627"/>
    <s v="CBG04"/>
    <x v="435"/>
    <s v="Delivery"/>
    <s v="QRIS"/>
    <s v="Sunday"/>
    <s v="Warung Selera Nusantara - Tunjungan"/>
  </r>
  <r>
    <s v="TRX00314"/>
    <s v="CBG04"/>
    <x v="436"/>
    <s v="Take Away"/>
    <s v="E-wallet"/>
    <s v="Sunday"/>
    <s v="Warung Selera Nusantara - Tunjungan"/>
  </r>
  <r>
    <s v="TRX00109"/>
    <s v="CBG03"/>
    <x v="437"/>
    <s v="Delivery"/>
    <s v="E-wallet"/>
    <s v="Monday"/>
    <s v="Warung Selera Nusantara - Sudirman"/>
  </r>
  <r>
    <s v="TRX00647"/>
    <s v="CBG03"/>
    <x v="438"/>
    <s v="Delivery"/>
    <s v="Kartu Debit/Kredit"/>
    <s v="Monday"/>
    <s v="Warung Selera Nusantara - Sudirman"/>
  </r>
  <r>
    <s v="TRX00521"/>
    <s v="CBG02"/>
    <x v="439"/>
    <s v="Dine-in"/>
    <s v="Cash"/>
    <s v="Monday"/>
    <s v="Warung Selera Nusantara - Dago"/>
  </r>
  <r>
    <s v="TRX00789"/>
    <s v="CBG01"/>
    <x v="440"/>
    <s v="Take Away"/>
    <s v="QRIS"/>
    <s v="Tuesday"/>
    <s v="Warung Selera Nusantara - Margonda"/>
  </r>
  <r>
    <s v="TRX00240"/>
    <s v="CBG03"/>
    <x v="441"/>
    <s v="Take Away"/>
    <s v="E-wallet"/>
    <s v="Wednesday"/>
    <s v="Warung Selera Nusantara - Sudirman"/>
  </r>
  <r>
    <s v="TRX00473"/>
    <s v="CBG04"/>
    <x v="442"/>
    <s v="Dine-in"/>
    <s v="QRIS"/>
    <s v="Wednesday"/>
    <s v="Warung Selera Nusantara - Tunjungan"/>
  </r>
  <r>
    <s v="TRX00608"/>
    <s v="CBG04"/>
    <x v="443"/>
    <s v="Dine-in"/>
    <s v="Cash"/>
    <s v="Thursday"/>
    <s v="Warung Selera Nusantara - Tunjungan"/>
  </r>
  <r>
    <s v="TRX00011"/>
    <s v="CBG02"/>
    <x v="444"/>
    <s v="Dine-in"/>
    <s v="Cash"/>
    <s v="Thursday"/>
    <s v="Warung Selera Nusantara - Dago"/>
  </r>
  <r>
    <s v="TRX00365"/>
    <s v="CBG03"/>
    <x v="445"/>
    <s v="Dine-in"/>
    <s v="QRIS"/>
    <s v="Thursday"/>
    <s v="Warung Selera Nusantara - Sudirman"/>
  </r>
  <r>
    <s v="TRX00302"/>
    <s v="CBG03"/>
    <x v="446"/>
    <s v="Take Away"/>
    <s v="Kartu Debit/Kredit"/>
    <s v="Thursday"/>
    <s v="Warung Selera Nusantara - Sudirman"/>
  </r>
  <r>
    <s v="TRX00357"/>
    <s v="CBG04"/>
    <x v="447"/>
    <s v="Dine-in"/>
    <s v="QRIS"/>
    <s v="Thursday"/>
    <s v="Warung Selera Nusantara - Tunjungan"/>
  </r>
  <r>
    <s v="TRX00648"/>
    <s v="CBG02"/>
    <x v="448"/>
    <s v="Dine-in"/>
    <s v="E-wallet"/>
    <s v="Thursday"/>
    <s v="Warung Selera Nusantara - Dago"/>
  </r>
  <r>
    <s v="TRX00609"/>
    <s v="CBG03"/>
    <x v="449"/>
    <s v="Dine-in"/>
    <s v="QRIS"/>
    <s v="Friday"/>
    <s v="Warung Selera Nusantara - Sudirman"/>
  </r>
  <r>
    <s v="TRX00299"/>
    <s v="CBG01"/>
    <x v="450"/>
    <s v="Delivery"/>
    <s v="Cash"/>
    <s v="Friday"/>
    <s v="Warung Selera Nusantara - Margonda"/>
  </r>
  <r>
    <s v="TRX00360"/>
    <s v="CBG02"/>
    <x v="451"/>
    <s v="Dine-in"/>
    <s v="Kartu Debit/Kredit"/>
    <s v="Saturday"/>
    <s v="Warung Selera Nusantara - Dago"/>
  </r>
  <r>
    <s v="TRX00160"/>
    <s v="CBG04"/>
    <x v="452"/>
    <s v="Dine-in"/>
    <s v="E-wallet"/>
    <s v="Saturday"/>
    <s v="Warung Selera Nusantara - Tunjungan"/>
  </r>
  <r>
    <s v="TRX00785"/>
    <s v="CBG01"/>
    <x v="453"/>
    <s v="Dine-in"/>
    <s v="E-wallet"/>
    <s v="Saturday"/>
    <s v="Warung Selera Nusantara - Margonda"/>
  </r>
  <r>
    <s v="TRX00569"/>
    <s v="CBG04"/>
    <x v="454"/>
    <s v="Take Away"/>
    <s v="Cash"/>
    <s v="Saturday"/>
    <s v="Warung Selera Nusantara - Tunjungan"/>
  </r>
  <r>
    <s v="TRX00256"/>
    <s v="CBG03"/>
    <x v="455"/>
    <s v="Dine-in"/>
    <s v="QRIS"/>
    <s v="Sunday"/>
    <s v="Warung Selera Nusantara - Sudirman"/>
  </r>
  <r>
    <s v="TRX00595"/>
    <s v="CBG02"/>
    <x v="456"/>
    <s v="Delivery"/>
    <s v="QRIS"/>
    <s v="Sunday"/>
    <s v="Warung Selera Nusantara - Dago"/>
  </r>
  <r>
    <s v="TRX00576"/>
    <s v="CBG04"/>
    <x v="457"/>
    <s v="Take Away"/>
    <s v="QRIS"/>
    <s v="Tuesday"/>
    <s v="Warung Selera Nusantara - Tunjungan"/>
  </r>
  <r>
    <s v="TRX00111"/>
    <s v="CBG03"/>
    <x v="458"/>
    <s v="Take Away"/>
    <s v="Kartu Debit/Kredit"/>
    <s v="Wednesday"/>
    <s v="Warung Selera Nusantara - Sudirman"/>
  </r>
  <r>
    <s v="TRX00792"/>
    <s v="CBG03"/>
    <x v="459"/>
    <s v="Dine-in"/>
    <s v="Kartu Debit/Kredit"/>
    <s v="Thursday"/>
    <s v="Warung Selera Nusantara - Sudirman"/>
  </r>
  <r>
    <s v="TRX00776"/>
    <s v="CBG01"/>
    <x v="460"/>
    <s v="Delivery"/>
    <s v="QRIS"/>
    <s v="Thursday"/>
    <s v="Warung Selera Nusantara - Margonda"/>
  </r>
  <r>
    <s v="TRX00494"/>
    <s v="CBG01"/>
    <x v="461"/>
    <s v="Dine-in"/>
    <s v="Cash"/>
    <s v="Thursday"/>
    <s v="Warung Selera Nusantara - Margonda"/>
  </r>
  <r>
    <s v="TRX00579"/>
    <s v="CBG04"/>
    <x v="462"/>
    <s v="Delivery"/>
    <s v="E-wallet"/>
    <s v="Thursday"/>
    <s v="Warung Selera Nusantara - Tunjungan"/>
  </r>
  <r>
    <s v="TRX00457"/>
    <s v="CBG03"/>
    <x v="463"/>
    <s v="Dine-in"/>
    <s v="QRIS"/>
    <s v="Friday"/>
    <s v="Warung Selera Nusantara - Sudirman"/>
  </r>
  <r>
    <s v="TRX00794"/>
    <s v="CBG01"/>
    <x v="464"/>
    <s v="Take Away"/>
    <s v="Kartu Debit/Kredit"/>
    <s v="Saturday"/>
    <s v="Warung Selera Nusantara - Margonda"/>
  </r>
  <r>
    <s v="TRX00629"/>
    <s v="CBG04"/>
    <x v="465"/>
    <s v="Delivery"/>
    <s v="QRIS"/>
    <s v="Saturday"/>
    <s v="Warung Selera Nusantara - Tunjungan"/>
  </r>
  <r>
    <s v="TRX00467"/>
    <s v="CBG01"/>
    <x v="466"/>
    <s v="Dine-in"/>
    <s v="Cash"/>
    <s v="Saturday"/>
    <s v="Warung Selera Nusantara - Margonda"/>
  </r>
  <r>
    <s v="TRX00482"/>
    <s v="CBG02"/>
    <x v="467"/>
    <s v="Delivery"/>
    <s v="QRIS"/>
    <s v="Sunday"/>
    <s v="Warung Selera Nusantara - Dago"/>
  </r>
  <r>
    <s v="TRX00281"/>
    <s v="CBG04"/>
    <x v="468"/>
    <s v="Dine-in"/>
    <s v="QRIS"/>
    <s v="Sunday"/>
    <s v="Warung Selera Nusantara - Tunjungan"/>
  </r>
  <r>
    <s v="TRX00044"/>
    <s v="CBG04"/>
    <x v="469"/>
    <s v="Dine-in"/>
    <s v="QRIS"/>
    <s v="Sunday"/>
    <s v="Warung Selera Nusantara - Tunjungan"/>
  </r>
  <r>
    <s v="TRX00208"/>
    <s v="CBG03"/>
    <x v="470"/>
    <s v="Dine-in"/>
    <s v="Kartu Debit/Kredit"/>
    <s v="Monday"/>
    <s v="Warung Selera Nusantara - Sudirman"/>
  </r>
  <r>
    <s v="TRX00192"/>
    <s v="CBG03"/>
    <x v="471"/>
    <s v="Dine-in"/>
    <s v="Cash"/>
    <s v="Monday"/>
    <s v="Warung Selera Nusantara - Sudirman"/>
  </r>
  <r>
    <s v="TRX00074"/>
    <s v="CBG03"/>
    <x v="472"/>
    <s v="Dine-in"/>
    <s v="QRIS"/>
    <s v="Tuesday"/>
    <s v="Warung Selera Nusantara - Sudirman"/>
  </r>
  <r>
    <s v="TRX00320"/>
    <s v="CBG03"/>
    <x v="473"/>
    <s v="Dine-in"/>
    <s v="E-wallet"/>
    <s v="Wednesday"/>
    <s v="Warung Selera Nusantara - Sudirman"/>
  </r>
  <r>
    <s v="TRX00033"/>
    <s v="CBG02"/>
    <x v="474"/>
    <s v="Take Away"/>
    <s v="E-wallet"/>
    <s v="Wednesday"/>
    <s v="Warung Selera Nusantara - Dago"/>
  </r>
  <r>
    <s v="TRX00189"/>
    <s v="CBG03"/>
    <x v="475"/>
    <s v="Dine-in"/>
    <s v="Kartu Debit/Kredit"/>
    <s v="Wednesday"/>
    <s v="Warung Selera Nusantara - Sudirman"/>
  </r>
  <r>
    <s v="TRX00800"/>
    <s v="CBG01"/>
    <x v="476"/>
    <s v="Take Away"/>
    <s v="E-wallet"/>
    <s v="Thursday"/>
    <s v="Warung Selera Nusantara - Margonda"/>
  </r>
  <r>
    <s v="TRX00532"/>
    <s v="CBG02"/>
    <x v="477"/>
    <s v="Delivery"/>
    <s v="QRIS"/>
    <s v="Thursday"/>
    <s v="Warung Selera Nusantara - Dago"/>
  </r>
  <r>
    <s v="TRX00734"/>
    <s v="CBG03"/>
    <x v="478"/>
    <s v="Take Away"/>
    <s v="Cash"/>
    <s v="Friday"/>
    <s v="Warung Selera Nusantara - Sudirman"/>
  </r>
  <r>
    <s v="TRX00035"/>
    <s v="CBG02"/>
    <x v="479"/>
    <s v="Delivery"/>
    <s v="E-wallet"/>
    <s v="Friday"/>
    <s v="Warung Selera Nusantara - Dago"/>
  </r>
  <r>
    <s v="TRX00805"/>
    <s v="CBG01"/>
    <x v="480"/>
    <s v="Dine-in"/>
    <s v="QRIS"/>
    <s v="Friday"/>
    <s v="Warung Selera Nusantara - Margonda"/>
  </r>
  <r>
    <s v="TRX00061"/>
    <s v="CBG04"/>
    <x v="481"/>
    <s v="Take Away"/>
    <s v="E-wallet"/>
    <s v="Friday"/>
    <s v="Warung Selera Nusantara - Tunjungan"/>
  </r>
  <r>
    <s v="TRX00358"/>
    <s v="CBG01"/>
    <x v="482"/>
    <s v="Dine-in"/>
    <s v="QRIS"/>
    <s v="Saturday"/>
    <s v="Warung Selera Nusantara - Margonda"/>
  </r>
  <r>
    <s v="TRX00315"/>
    <s v="CBG03"/>
    <x v="483"/>
    <s v="Take Away"/>
    <s v="Kartu Debit/Kredit"/>
    <s v="Sunday"/>
    <s v="Warung Selera Nusantara - Sudirman"/>
  </r>
  <r>
    <s v="TRX00116"/>
    <s v="CBG01"/>
    <x v="484"/>
    <s v="Delivery"/>
    <s v="QRIS"/>
    <s v="Sunday"/>
    <s v="Warung Selera Nusantara - Margonda"/>
  </r>
  <r>
    <s v="TRX00531"/>
    <s v="CBG02"/>
    <x v="485"/>
    <s v="Dine-in"/>
    <s v="E-wallet"/>
    <s v="Sunday"/>
    <s v="Warung Selera Nusantara - Dago"/>
  </r>
  <r>
    <s v="TRX00266"/>
    <s v="CBG03"/>
    <x v="486"/>
    <s v="Dine-in"/>
    <s v="QRIS"/>
    <s v="Sunday"/>
    <s v="Warung Selera Nusantara - Sudirman"/>
  </r>
  <r>
    <s v="TRX00459"/>
    <s v="CBG03"/>
    <x v="487"/>
    <s v="Take Away"/>
    <s v="E-wallet"/>
    <s v="Sunday"/>
    <s v="Warung Selera Nusantara - Sudirman"/>
  </r>
  <r>
    <s v="TRX00317"/>
    <s v="CBG01"/>
    <x v="488"/>
    <s v="Delivery"/>
    <s v="Kartu Debit/Kredit"/>
    <s v="Sunday"/>
    <s v="Warung Selera Nusantara - Margonda"/>
  </r>
  <r>
    <s v="TRX00665"/>
    <s v="CBG02"/>
    <x v="489"/>
    <s v="Take Away"/>
    <s v="Kartu Debit/Kredit"/>
    <s v="Sunday"/>
    <s v="Warung Selera Nusantara - Dago"/>
  </r>
  <r>
    <s v="TRX00543"/>
    <s v="CBG03"/>
    <x v="490"/>
    <s v="Dine-in"/>
    <s v="QRIS"/>
    <s v="Sunday"/>
    <s v="Warung Selera Nusantara - Sudirman"/>
  </r>
  <r>
    <s v="TRX00837"/>
    <s v="CBG01"/>
    <x v="491"/>
    <s v="Dine-in"/>
    <s v="QRIS"/>
    <s v="Sunday"/>
    <s v="Warung Selera Nusantara - Margonda"/>
  </r>
  <r>
    <s v="TRX00282"/>
    <s v="CBG04"/>
    <x v="492"/>
    <s v="Dine-in"/>
    <s v="Kartu Debit/Kredit"/>
    <s v="Monday"/>
    <s v="Warung Selera Nusantara - Tunjungan"/>
  </r>
  <r>
    <s v="TRX00466"/>
    <s v="CBG03"/>
    <x v="493"/>
    <s v="Delivery"/>
    <s v="QRIS"/>
    <s v="Tuesday"/>
    <s v="Warung Selera Nusantara - Sudirman"/>
  </r>
  <r>
    <s v="TRX00746"/>
    <s v="CBG03"/>
    <x v="494"/>
    <s v="Delivery"/>
    <s v="Cash"/>
    <s v="Wednesday"/>
    <s v="Warung Selera Nusantara - Sudirman"/>
  </r>
  <r>
    <s v="TRX00201"/>
    <s v="CBG02"/>
    <x v="495"/>
    <s v="Take Away"/>
    <s v="Cash"/>
    <s v="Wednesday"/>
    <s v="Warung Selera Nusantara - Dago"/>
  </r>
  <r>
    <s v="TRX00216"/>
    <s v="CBG01"/>
    <x v="496"/>
    <s v="Dine-in"/>
    <s v="Cash"/>
    <s v="Thursday"/>
    <s v="Warung Selera Nusantara - Margonda"/>
  </r>
  <r>
    <s v="TRX00770"/>
    <s v="CBG01"/>
    <x v="497"/>
    <s v="Delivery"/>
    <s v="QRIS"/>
    <s v="Thursday"/>
    <s v="Warung Selera Nusantara - Margonda"/>
  </r>
  <r>
    <s v="TRX00486"/>
    <s v="CBG01"/>
    <x v="498"/>
    <s v="Take Away"/>
    <s v="QRIS"/>
    <s v="Thursday"/>
    <s v="Warung Selera Nusantara - Margonda"/>
  </r>
  <r>
    <s v="TRX00803"/>
    <s v="CBG04"/>
    <x v="499"/>
    <s v="Dine-in"/>
    <s v="E-wallet"/>
    <s v="Thursday"/>
    <s v="Warung Selera Nusantara - Tunjungan"/>
  </r>
  <r>
    <s v="TRX00743"/>
    <s v="CBG03"/>
    <x v="500"/>
    <s v="Take Away"/>
    <s v="Cash"/>
    <s v="Thursday"/>
    <s v="Warung Selera Nusantara - Sudirman"/>
  </r>
  <r>
    <s v="TRX00425"/>
    <s v="CBG03"/>
    <x v="501"/>
    <s v="Dine-in"/>
    <s v="Kartu Debit/Kredit"/>
    <s v="Thursday"/>
    <s v="Warung Selera Nusantara - Sudirman"/>
  </r>
  <r>
    <s v="TRX00204"/>
    <s v="CBG03"/>
    <x v="502"/>
    <s v="Take Away"/>
    <s v="Kartu Debit/Kredit"/>
    <s v="Friday"/>
    <s v="Warung Selera Nusantara - Sudirman"/>
  </r>
  <r>
    <s v="TRX00520"/>
    <s v="CBG03"/>
    <x v="503"/>
    <s v="Dine-in"/>
    <s v="QRIS"/>
    <s v="Friday"/>
    <s v="Warung Selera Nusantara - Sudirman"/>
  </r>
  <r>
    <s v="TRX00371"/>
    <s v="CBG02"/>
    <x v="504"/>
    <s v="Delivery"/>
    <s v="Kartu Debit/Kredit"/>
    <s v="Saturday"/>
    <s v="Warung Selera Nusantara - Dago"/>
  </r>
  <r>
    <s v="TRX00287"/>
    <s v="CBG04"/>
    <x v="505"/>
    <s v="Dine-in"/>
    <s v="Cash"/>
    <s v="Saturday"/>
    <s v="Warung Selera Nusantara - Tunjungan"/>
  </r>
  <r>
    <s v="TRX00563"/>
    <s v="CBG04"/>
    <x v="506"/>
    <s v="Take Away"/>
    <s v="E-wallet"/>
    <s v="Saturday"/>
    <s v="Warung Selera Nusantara - Tunjungan"/>
  </r>
  <r>
    <s v="TRX00085"/>
    <s v="CBG03"/>
    <x v="507"/>
    <s v="Dine-in"/>
    <s v="Kartu Debit/Kredit"/>
    <s v="Sunday"/>
    <s v="Warung Selera Nusantara - Sudirman"/>
  </r>
  <r>
    <s v="TRX00507"/>
    <s v="CBG03"/>
    <x v="508"/>
    <s v="Dine-in"/>
    <s v="E-wallet"/>
    <s v="Sunday"/>
    <s v="Warung Selera Nusantara - Sudirman"/>
  </r>
  <r>
    <s v="TRX00736"/>
    <s v="CBG03"/>
    <x v="509"/>
    <s v="Take Away"/>
    <s v="Kartu Debit/Kredit"/>
    <s v="Monday"/>
    <s v="Warung Selera Nusantara - Sudirman"/>
  </r>
  <r>
    <s v="TRX00020"/>
    <s v="CBG04"/>
    <x v="510"/>
    <s v="Dine-in"/>
    <s v="Cash"/>
    <s v="Monday"/>
    <s v="Warung Selera Nusantara - Tunjungan"/>
  </r>
  <r>
    <s v="TRX00316"/>
    <s v="CBG01"/>
    <x v="511"/>
    <s v="Dine-in"/>
    <s v="QRIS"/>
    <s v="Tuesday"/>
    <s v="Warung Selera Nusantara - Margonda"/>
  </r>
  <r>
    <s v="TRX00524"/>
    <s v="CBG04"/>
    <x v="512"/>
    <s v="Take Away"/>
    <s v="Cash"/>
    <s v="Tuesday"/>
    <s v="Warung Selera Nusantara - Tunjungan"/>
  </r>
  <r>
    <s v="TRX00819"/>
    <s v="CBG02"/>
    <x v="513"/>
    <s v="Dine-in"/>
    <s v="Kartu Debit/Kredit"/>
    <s v="Wednesday"/>
    <s v="Warung Selera Nusantara - Dago"/>
  </r>
  <r>
    <s v="TRX00493"/>
    <s v="CBG02"/>
    <x v="514"/>
    <s v="Take Away"/>
    <s v="Kartu Debit/Kredit"/>
    <s v="Friday"/>
    <s v="Warung Selera Nusantara - Dago"/>
  </r>
  <r>
    <s v="TRX00460"/>
    <s v="CBG02"/>
    <x v="515"/>
    <s v="Take Away"/>
    <s v="E-wallet"/>
    <s v="Saturday"/>
    <s v="Warung Selera Nusantara - Dago"/>
  </r>
  <r>
    <s v="TRX00277"/>
    <s v="CBG04"/>
    <x v="516"/>
    <s v="Take Away"/>
    <s v="QRIS"/>
    <s v="Saturday"/>
    <s v="Warung Selera Nusantara - Tunjungan"/>
  </r>
  <r>
    <s v="TRX00003"/>
    <s v="CBG02"/>
    <x v="517"/>
    <s v="Dine-in"/>
    <s v="Kartu Debit/Kredit"/>
    <s v="Monday"/>
    <s v="Warung Selera Nusantara - Dago"/>
  </r>
  <r>
    <s v="TRX00635"/>
    <s v="CBG01"/>
    <x v="518"/>
    <s v="Delivery"/>
    <s v="Cash"/>
    <s v="Monday"/>
    <s v="Warung Selera Nusantara - Margonda"/>
  </r>
  <r>
    <s v="TRX00197"/>
    <s v="CBG04"/>
    <x v="519"/>
    <s v="Dine-in"/>
    <s v="QRIS"/>
    <s v="Tuesday"/>
    <s v="Warung Selera Nusantara - Tunjungan"/>
  </r>
  <r>
    <s v="TRX00561"/>
    <s v="CBG01"/>
    <x v="520"/>
    <s v="Dine-in"/>
    <s v="Cash"/>
    <s v="Wednesday"/>
    <s v="Warung Selera Nusantara - Margonda"/>
  </r>
  <r>
    <s v="TRX00339"/>
    <s v="CBG03"/>
    <x v="521"/>
    <s v="Take Away"/>
    <s v="Cash"/>
    <s v="Wednesday"/>
    <s v="Warung Selera Nusantara - Sudirman"/>
  </r>
  <r>
    <s v="TRX00047"/>
    <s v="CBG01"/>
    <x v="522"/>
    <s v="Dine-in"/>
    <s v="QRIS"/>
    <s v="Thursday"/>
    <s v="Warung Selera Nusantara - Margonda"/>
  </r>
  <r>
    <s v="TRX00610"/>
    <s v="CBG01"/>
    <x v="523"/>
    <s v="Dine-in"/>
    <s v="QRIS"/>
    <s v="Thursday"/>
    <s v="Warung Selera Nusantara - Margonda"/>
  </r>
  <r>
    <s v="TRX00101"/>
    <s v="CBG02"/>
    <x v="524"/>
    <s v="Dine-in"/>
    <s v="E-wallet"/>
    <s v="Friday"/>
    <s v="Warung Selera Nusantara - Dago"/>
  </r>
  <r>
    <s v="TRX00257"/>
    <s v="CBG01"/>
    <x v="525"/>
    <s v="Dine-in"/>
    <s v="Cash"/>
    <s v="Friday"/>
    <s v="Warung Selera Nusantara - Margonda"/>
  </r>
  <r>
    <s v="TRX00065"/>
    <s v="CBG03"/>
    <x v="526"/>
    <s v="Dine-in"/>
    <s v="QRIS"/>
    <s v="Sunday"/>
    <s v="Warung Selera Nusantara - Sudirman"/>
  </r>
  <r>
    <s v="TRX00222"/>
    <s v="CBG01"/>
    <x v="527"/>
    <s v="Delivery"/>
    <s v="E-wallet"/>
    <s v="Sunday"/>
    <s v="Warung Selera Nusantara - Margonda"/>
  </r>
  <r>
    <s v="TRX00264"/>
    <s v="CBG01"/>
    <x v="528"/>
    <s v="Dine-in"/>
    <s v="QRIS"/>
    <s v="Sunday"/>
    <s v="Warung Selera Nusantara - Margonda"/>
  </r>
  <r>
    <s v="TRX00286"/>
    <s v="CBG03"/>
    <x v="529"/>
    <s v="Dine-in"/>
    <s v="QRIS"/>
    <s v="Sunday"/>
    <s v="Warung Selera Nusantara - Sudirman"/>
  </r>
  <r>
    <s v="TRX00028"/>
    <s v="CBG03"/>
    <x v="530"/>
    <s v="Dine-in"/>
    <s v="Kartu Debit/Kredit"/>
    <s v="Sunday"/>
    <s v="Warung Selera Nusantara - Sudirman"/>
  </r>
  <r>
    <s v="TRX00134"/>
    <s v="CBG01"/>
    <x v="531"/>
    <s v="Dine-in"/>
    <s v="Kartu Debit/Kredit"/>
    <s v="Sunday"/>
    <s v="Warung Selera Nusantara - Margonda"/>
  </r>
  <r>
    <s v="TRX00017"/>
    <s v="CBG02"/>
    <x v="532"/>
    <s v="Delivery"/>
    <s v="QRIS"/>
    <s v="Monday"/>
    <s v="Warung Selera Nusantara - Dago"/>
  </r>
  <r>
    <s v="TRX00379"/>
    <s v="CBG03"/>
    <x v="533"/>
    <s v="Dine-in"/>
    <s v="Kartu Debit/Kredit"/>
    <s v="Tuesday"/>
    <s v="Warung Selera Nusantara - Sudirman"/>
  </r>
  <r>
    <s v="TRX00211"/>
    <s v="CBG02"/>
    <x v="534"/>
    <s v="Delivery"/>
    <s v="QRIS"/>
    <s v="Tuesday"/>
    <s v="Warung Selera Nusantara - Dago"/>
  </r>
  <r>
    <s v="TRX00363"/>
    <s v="CBG03"/>
    <x v="535"/>
    <s v="Take Away"/>
    <s v="Cash"/>
    <s v="Wednesday"/>
    <s v="Warung Selera Nusantara - Sudirman"/>
  </r>
  <r>
    <s v="TRX00395"/>
    <s v="CBG04"/>
    <x v="536"/>
    <s v="Dine-in"/>
    <s v="Kartu Debit/Kredit"/>
    <s v="Wednesday"/>
    <s v="Warung Selera Nusantara - Tunjungan"/>
  </r>
  <r>
    <s v="TRX00014"/>
    <s v="CBG01"/>
    <x v="537"/>
    <s v="Take Away"/>
    <s v="E-wallet"/>
    <s v="Thursday"/>
    <s v="Warung Selera Nusantara - Margonda"/>
  </r>
  <r>
    <s v="TRX00474"/>
    <s v="CBG03"/>
    <x v="538"/>
    <s v="Take Away"/>
    <s v="Kartu Debit/Kredit"/>
    <s v="Friday"/>
    <s v="Warung Selera Nusantara - Sudirman"/>
  </r>
  <r>
    <s v="TRX00024"/>
    <s v="CBG03"/>
    <x v="539"/>
    <s v="Dine-in"/>
    <s v="Kartu Debit/Kredit"/>
    <s v="Friday"/>
    <s v="Warung Selera Nusantara - Sudirman"/>
  </r>
  <r>
    <s v="TRX00766"/>
    <s v="CBG02"/>
    <x v="540"/>
    <s v="Delivery"/>
    <s v="E-wallet"/>
    <s v="Friday"/>
    <s v="Warung Selera Nusantara - Dago"/>
  </r>
  <r>
    <s v="TRX00354"/>
    <s v="CBG03"/>
    <x v="541"/>
    <s v="Delivery"/>
    <s v="E-wallet"/>
    <s v="Friday"/>
    <s v="Warung Selera Nusantara - Sudirman"/>
  </r>
  <r>
    <s v="TRX00465"/>
    <s v="CBG02"/>
    <x v="542"/>
    <s v="Delivery"/>
    <s v="Kartu Debit/Kredit"/>
    <s v="Friday"/>
    <s v="Warung Selera Nusantara - Dago"/>
  </r>
  <r>
    <s v="TRX00335"/>
    <s v="CBG02"/>
    <x v="543"/>
    <s v="Delivery"/>
    <s v="QRIS"/>
    <s v="Friday"/>
    <s v="Warung Selera Nusantara - Dago"/>
  </r>
  <r>
    <s v="TRX00110"/>
    <s v="CBG04"/>
    <x v="544"/>
    <s v="Dine-in"/>
    <s v="E-wallet"/>
    <s v="Saturday"/>
    <s v="Warung Selera Nusantara - Tunjungan"/>
  </r>
  <r>
    <s v="TRX00341"/>
    <s v="CBG03"/>
    <x v="545"/>
    <s v="Dine-in"/>
    <s v="Kartu Debit/Kredit"/>
    <s v="Saturday"/>
    <s v="Warung Selera Nusantara - Sudirman"/>
  </r>
  <r>
    <s v="TRX00228"/>
    <s v="CBG01"/>
    <x v="546"/>
    <s v="Dine-in"/>
    <s v="QRIS"/>
    <s v="Saturday"/>
    <s v="Warung Selera Nusantara - Margonda"/>
  </r>
  <r>
    <s v="TRX00318"/>
    <s v="CBG03"/>
    <x v="547"/>
    <s v="Take Away"/>
    <s v="QRIS"/>
    <s v="Sunday"/>
    <s v="Warung Selera Nusantara - Sudirman"/>
  </r>
  <r>
    <s v="TRX00167"/>
    <s v="CBG04"/>
    <x v="548"/>
    <s v="Take Away"/>
    <s v="Cash"/>
    <s v="Sunday"/>
    <s v="Warung Selera Nusantara - Tunjungan"/>
  </r>
  <r>
    <s v="TRX00279"/>
    <s v="CBG04"/>
    <x v="549"/>
    <s v="Dine-in"/>
    <s v="Cash"/>
    <s v="Sunday"/>
    <s v="Warung Selera Nusantara - Tunjungan"/>
  </r>
  <r>
    <s v="TRX00267"/>
    <s v="CBG03"/>
    <x v="550"/>
    <s v="Take Away"/>
    <s v="Kartu Debit/Kredit"/>
    <s v="Tuesday"/>
    <s v="Warung Selera Nusantara - Sudirman"/>
  </r>
  <r>
    <s v="TRX00514"/>
    <s v="CBG02"/>
    <x v="551"/>
    <s v="Dine-in"/>
    <s v="QRIS"/>
    <s v="Wednesday"/>
    <s v="Warung Selera Nusantara - Dago"/>
  </r>
  <r>
    <s v="TRX00663"/>
    <s v="CBG03"/>
    <x v="552"/>
    <s v="Dine-in"/>
    <s v="QRIS"/>
    <s v="Wednesday"/>
    <s v="Warung Selera Nusantara - Sudirman"/>
  </r>
  <r>
    <s v="TRX00394"/>
    <s v="CBG03"/>
    <x v="553"/>
    <s v="Take Away"/>
    <s v="Kartu Debit/Kredit"/>
    <s v="Wednesday"/>
    <s v="Warung Selera Nusantara - Sudirman"/>
  </r>
  <r>
    <s v="TRX00340"/>
    <s v="CBG01"/>
    <x v="554"/>
    <s v="Dine-in"/>
    <s v="E-wallet"/>
    <s v="Wednesday"/>
    <s v="Warung Selera Nusantara - Margonda"/>
  </r>
  <r>
    <s v="TRX00053"/>
    <s v="CBG01"/>
    <x v="555"/>
    <s v="Delivery"/>
    <s v="Cash"/>
    <s v="Wednesday"/>
    <s v="Warung Selera Nusantara - Margonda"/>
  </r>
  <r>
    <s v="TRX00105"/>
    <s v="CBG01"/>
    <x v="556"/>
    <s v="Dine-in"/>
    <s v="QRIS"/>
    <s v="Thursday"/>
    <s v="Warung Selera Nusantara - Margonda"/>
  </r>
  <r>
    <s v="TRX00255"/>
    <s v="CBG04"/>
    <x v="557"/>
    <s v="Delivery"/>
    <s v="QRIS"/>
    <s v="Thursday"/>
    <s v="Warung Selera Nusantara - Tunjungan"/>
  </r>
  <r>
    <s v="TRX00404"/>
    <s v="CBG04"/>
    <x v="558"/>
    <s v="Dine-in"/>
    <s v="E-wallet"/>
    <s v="Friday"/>
    <s v="Warung Selera Nusantara - Tunjungan"/>
  </r>
  <r>
    <s v="TRX00487"/>
    <s v="CBG03"/>
    <x v="559"/>
    <s v="Dine-in"/>
    <s v="Cash"/>
    <s v="Friday"/>
    <s v="Warung Selera Nusantara - Sudirman"/>
  </r>
  <r>
    <s v="TRX00068"/>
    <s v="CBG02"/>
    <x v="560"/>
    <s v="Take Away"/>
    <s v="Kartu Debit/Kredit"/>
    <s v="Friday"/>
    <s v="Warung Selera Nusantara - Dago"/>
  </r>
  <r>
    <s v="TRX00546"/>
    <s v="CBG03"/>
    <x v="561"/>
    <s v="Dine-in"/>
    <m/>
    <s v="Saturday"/>
    <s v="Warung Selera Nusantara - Sudirman"/>
  </r>
  <r>
    <s v="TRX00342"/>
    <s v="CBG03"/>
    <x v="562"/>
    <s v="Dine-in"/>
    <s v="E-wallet"/>
    <s v="Sunday"/>
    <s v="Warung Selera Nusantara - Sudirman"/>
  </r>
  <r>
    <s v="TRX00077"/>
    <s v="CBG03"/>
    <x v="563"/>
    <s v="Delivery"/>
    <s v="QRIS"/>
    <s v="Sunday"/>
    <s v="Warung Selera Nusantara - Sudirman"/>
  </r>
  <r>
    <s v="TRX00328"/>
    <s v="CBG03"/>
    <x v="564"/>
    <s v="Dine-in"/>
    <s v="QRIS"/>
    <s v="Sunday"/>
    <s v="Warung Selera Nusantara - Sudirman"/>
  </r>
  <r>
    <s v="TRX00508"/>
    <s v="CBG02"/>
    <x v="565"/>
    <s v="Dine-in"/>
    <s v="QRIS"/>
    <s v="Sunday"/>
    <s v="Warung Selera Nusantara - Dago"/>
  </r>
  <r>
    <s v="TRX00265"/>
    <s v="CBG03"/>
    <x v="566"/>
    <s v="Dine-in"/>
    <s v="E-wallet"/>
    <s v="Sunday"/>
    <s v="Warung Selera Nusantara - Sudirman"/>
  </r>
  <r>
    <s v="TRX00177"/>
    <s v="CBG04"/>
    <x v="567"/>
    <s v="Dine-in"/>
    <s v="QRIS"/>
    <s v="Sunday"/>
    <s v="Warung Selera Nusantara - Tunjungan"/>
  </r>
  <r>
    <s v="TRX00472"/>
    <s v="CBG01"/>
    <x v="568"/>
    <s v="Delivery"/>
    <s v="QRIS"/>
    <s v="Monday"/>
    <s v="Warung Selera Nusantara - Margonda"/>
  </r>
  <r>
    <s v="TRX00378"/>
    <s v="CBG04"/>
    <x v="569"/>
    <s v="Dine-in"/>
    <s v="Kartu Debit/Kredit"/>
    <s v="Monday"/>
    <s v="Warung Selera Nusantara - Tunjungan"/>
  </r>
  <r>
    <s v="TRX00147"/>
    <s v="CBG03"/>
    <x v="570"/>
    <s v="Dine-in"/>
    <s v="Kartu Debit/Kredit"/>
    <s v="Monday"/>
    <s v="Warung Selera Nusantara - Sudirman"/>
  </r>
  <r>
    <s v="TRX00710"/>
    <s v="CBG04"/>
    <x v="571"/>
    <s v="Dine-in"/>
    <s v="Cash"/>
    <s v="Monday"/>
    <s v="Warung Selera Nusantara - Tunjungan"/>
  </r>
  <r>
    <s v="TRX00418"/>
    <s v="CBG02"/>
    <x v="572"/>
    <s v="Dine-in"/>
    <s v="Cash"/>
    <s v="Tuesday"/>
    <s v="Warung Selera Nusantara - Dago"/>
  </r>
  <r>
    <s v="TRX00616"/>
    <s v="CBG01"/>
    <x v="573"/>
    <s v="Take Away"/>
    <s v="Kartu Debit/Kredit"/>
    <s v="Tuesday"/>
    <s v="Warung Selera Nusantara - Margonda"/>
  </r>
  <r>
    <s v="TRX00645"/>
    <s v="CBG04"/>
    <x v="574"/>
    <s v="Dine-in"/>
    <s v="Cash"/>
    <s v="Tuesday"/>
    <s v="Warung Selera Nusantara - Tunjungan"/>
  </r>
  <r>
    <s v="TRX00072"/>
    <s v="CBG04"/>
    <x v="575"/>
    <s v="Dine-in"/>
    <s v="E-wallet"/>
    <s v="Tuesday"/>
    <s v="Warung Selera Nusantara - Tunjungan"/>
  </r>
  <r>
    <s v="TRX00355"/>
    <s v="CBG03"/>
    <x v="576"/>
    <s v="Dine-in"/>
    <s v="QRIS"/>
    <s v="Wednesday"/>
    <s v="Warung Selera Nusantara - Sudirman"/>
  </r>
  <r>
    <s v="TRX00283"/>
    <s v="CBG02"/>
    <x v="577"/>
    <s v="Dine-in"/>
    <s v="Kartu Debit/Kredit"/>
    <s v="Thursday"/>
    <s v="Warung Selera Nusantara - Dago"/>
  </r>
  <r>
    <s v="TRX00509"/>
    <s v="CBG03"/>
    <x v="578"/>
    <s v="Dine-in"/>
    <s v="Cash"/>
    <s v="Friday"/>
    <s v="Warung Selera Nusantara - Sudirman"/>
  </r>
  <r>
    <s v="TRX00069"/>
    <s v="CBG03"/>
    <x v="579"/>
    <s v="Dine-in"/>
    <s v="QRIS"/>
    <s v="Friday"/>
    <s v="Warung Selera Nusantara - Sudirman"/>
  </r>
  <r>
    <s v="TRX00624"/>
    <s v="CBG04"/>
    <x v="580"/>
    <s v="Take Away"/>
    <s v="QRIS"/>
    <s v="Friday"/>
    <s v="Warung Selera Nusantara - Tunjungan"/>
  </r>
  <r>
    <s v="TRX00325"/>
    <s v="CBG04"/>
    <x v="581"/>
    <s v="Dine-in"/>
    <s v="E-wallet"/>
    <s v="Friday"/>
    <s v="Warung Selera Nusantara - Tunjungan"/>
  </r>
  <r>
    <s v="TRX00605"/>
    <s v="CBG02"/>
    <x v="582"/>
    <s v="Delivery"/>
    <s v="QRIS"/>
    <s v="Friday"/>
    <s v="Warung Selera Nusantara - Dago"/>
  </r>
  <r>
    <s v="TRX00173"/>
    <s v="CBG04"/>
    <x v="583"/>
    <s v="Take Away"/>
    <s v="Cash"/>
    <s v="Saturday"/>
    <s v="Warung Selera Nusantara - Tunjungan"/>
  </r>
  <r>
    <s v="TRX00184"/>
    <s v="CBG01"/>
    <x v="584"/>
    <s v="Dine-in"/>
    <s v="QRIS"/>
    <s v="Saturday"/>
    <s v="Warung Selera Nusantara - Margonda"/>
  </r>
  <r>
    <s v="TRX00845"/>
    <s v="CBG01"/>
    <x v="585"/>
    <s v="Dine-in"/>
    <s v="E-wallet"/>
    <s v="Saturday"/>
    <s v="Warung Selera Nusantara - Margonda"/>
  </r>
  <r>
    <s v="TRX00560"/>
    <s v="CBG04"/>
    <x v="586"/>
    <s v="Delivery"/>
    <s v="QRIS"/>
    <s v="Sunday"/>
    <s v="Warung Selera Nusantara - Tunjungan"/>
  </r>
  <r>
    <s v="TRX00829"/>
    <s v="CBG02"/>
    <x v="587"/>
    <s v="Delivery"/>
    <s v="E-wallet"/>
    <s v="Sunday"/>
    <s v="Warung Selera Nusantara - Dago"/>
  </r>
  <r>
    <s v="TRX00839"/>
    <s v="CBG01"/>
    <x v="588"/>
    <s v="Dine-in"/>
    <s v="Cash"/>
    <s v="Sunday"/>
    <s v="Warung Selera Nusantara - Margonda"/>
  </r>
  <r>
    <s v="TRX00847"/>
    <s v="CBG02"/>
    <x v="589"/>
    <s v="Take Away"/>
    <s v="QRIS"/>
    <s v="Monday"/>
    <s v="Warung Selera Nusantara - Dago"/>
  </r>
  <r>
    <s v="TRX00162"/>
    <s v="CBG01"/>
    <x v="590"/>
    <s v="Dine-in"/>
    <s v="Cash"/>
    <s v="Monday"/>
    <s v="Warung Selera Nusantara - Margonda"/>
  </r>
  <r>
    <s v="TRX00224"/>
    <s v="CBG03"/>
    <x v="591"/>
    <s v="Dine-in"/>
    <s v="QRIS"/>
    <s v="Monday"/>
    <s v="Warung Selera Nusantara - Sudirman"/>
  </r>
  <r>
    <s v="TRX00623"/>
    <s v="CBG02"/>
    <x v="592"/>
    <s v="Dine-in"/>
    <s v="QRIS"/>
    <s v="Tuesday"/>
    <s v="Warung Selera Nusantara - Dago"/>
  </r>
  <r>
    <s v="TRX00350"/>
    <s v="CBG02"/>
    <x v="593"/>
    <s v="Dine-in"/>
    <s v="QRIS"/>
    <s v="Tuesday"/>
    <s v="Warung Selera Nusantara - Dago"/>
  </r>
  <r>
    <s v="TRX00526"/>
    <s v="CBG03"/>
    <x v="594"/>
    <s v="Dine-in"/>
    <s v="Cash"/>
    <s v="Wednesday"/>
    <s v="Warung Selera Nusantara - Sudirman"/>
  </r>
  <r>
    <s v="TRX00644"/>
    <s v="CBG04"/>
    <x v="595"/>
    <s v="Dine-in"/>
    <s v="Cash"/>
    <s v="Wednesday"/>
    <s v="Warung Selera Nusantara - Tunjungan"/>
  </r>
  <r>
    <s v="TRX00031"/>
    <s v="CBG03"/>
    <x v="596"/>
    <s v="Dine-in"/>
    <s v="E-wallet"/>
    <s v="Wednesday"/>
    <s v="Warung Selera Nusantara - Sudirman"/>
  </r>
  <r>
    <s v="TRX00384"/>
    <s v="CBG03"/>
    <x v="597"/>
    <s v="Dine-in"/>
    <s v="QRIS"/>
    <s v="Wednesday"/>
    <s v="Warung Selera Nusantara - Sudirman"/>
  </r>
  <r>
    <s v="TRX00653"/>
    <s v="CBG02"/>
    <x v="598"/>
    <s v="Delivery"/>
    <s v="QRIS"/>
    <s v="Thursday"/>
    <s v="Warung Selera Nusantara - Dago"/>
  </r>
  <r>
    <s v="TRX00155"/>
    <s v="CBG02"/>
    <x v="599"/>
    <s v="Take Away"/>
    <s v="E-wallet"/>
    <s v="Thursday"/>
    <s v="Warung Selera Nusantara - Dago"/>
  </r>
  <r>
    <s v="TRX00278"/>
    <s v="CBG02"/>
    <x v="600"/>
    <s v="Take Away"/>
    <s v="QRIS"/>
    <s v="Friday"/>
    <s v="Warung Selera Nusantara - Dago"/>
  </r>
  <r>
    <s v="TRX00210"/>
    <s v="CBG01"/>
    <x v="601"/>
    <s v="Take Away"/>
    <s v="E-wallet"/>
    <s v="Friday"/>
    <s v="Warung Selera Nusantara - Margonda"/>
  </r>
  <r>
    <s v="TRX00513"/>
    <s v="CBG03"/>
    <x v="602"/>
    <s v="Dine-in"/>
    <s v="QRIS"/>
    <s v="Friday"/>
    <s v="Warung Selera Nusantara - Sudirman"/>
  </r>
  <r>
    <s v="TRX00034"/>
    <s v="CBG04"/>
    <x v="603"/>
    <s v="Dine-in"/>
    <s v="E-wallet"/>
    <s v="Friday"/>
    <s v="Warung Selera Nusantara - Tunjungan"/>
  </r>
  <r>
    <s v="TRX00574"/>
    <s v="CBG02"/>
    <x v="604"/>
    <s v="Dine-in"/>
    <s v="Cash"/>
    <s v="Saturday"/>
    <s v="Warung Selera Nusantara - Dago"/>
  </r>
  <r>
    <s v="TRX00218"/>
    <s v="CBG03"/>
    <x v="605"/>
    <s v="Dine-in"/>
    <s v="E-wallet"/>
    <s v="Saturday"/>
    <s v="Warung Selera Nusantara - Sudirman"/>
  </r>
  <r>
    <s v="TRX00721"/>
    <s v="CBG01"/>
    <x v="606"/>
    <s v="Dine-in"/>
    <s v="Cash"/>
    <s v="Saturday"/>
    <s v="Warung Selera Nusantara - Margonda"/>
  </r>
  <r>
    <s v="TRX00088"/>
    <s v="CBG02"/>
    <x v="607"/>
    <s v="Dine-in"/>
    <s v="Cash"/>
    <s v="Sunday"/>
    <s v="Warung Selera Nusantara - Dago"/>
  </r>
  <r>
    <s v="TRX00441"/>
    <s v="CBG01"/>
    <x v="608"/>
    <s v="Delivery"/>
    <s v="E-wallet"/>
    <s v="Sunday"/>
    <s v="Warung Selera Nusantara - Margonda"/>
  </r>
  <r>
    <s v="TRX00424"/>
    <s v="CBG01"/>
    <x v="609"/>
    <s v="Dine-in"/>
    <s v="Kartu Debit/Kredit"/>
    <s v="Monday"/>
    <s v="Warung Selera Nusantara - Margonda"/>
  </r>
  <r>
    <s v="TRX00132"/>
    <s v="CBG03"/>
    <x v="610"/>
    <s v="Take Away"/>
    <s v="Cash"/>
    <s v="Tuesday"/>
    <s v="Warung Selera Nusantara - Sudirman"/>
  </r>
  <r>
    <s v="TRX00244"/>
    <s v="CBG01"/>
    <x v="611"/>
    <s v="Dine-in"/>
    <s v="QRIS"/>
    <s v="Tuesday"/>
    <s v="Warung Selera Nusantara - Margonda"/>
  </r>
  <r>
    <s v="TRX00787"/>
    <s v="CBG03"/>
    <x v="612"/>
    <s v="Dine-in"/>
    <s v="Kartu Debit/Kredit"/>
    <s v="Tuesday"/>
    <s v="Warung Selera Nusantara - Sudirman"/>
  </r>
  <r>
    <s v="TRX00002"/>
    <s v="CBG03"/>
    <x v="613"/>
    <s v="Dine-in"/>
    <s v="E-wallet"/>
    <s v="Wednesday"/>
    <s v="Warung Selera Nusantara - Sudirman"/>
  </r>
  <r>
    <s v="TRX00296"/>
    <s v="CBG04"/>
    <x v="614"/>
    <s v="Dine-in"/>
    <s v="QRIS"/>
    <s v="Wednesday"/>
    <s v="Warung Selera Nusantara - Tunjungan"/>
  </r>
  <r>
    <s v="TRX00095"/>
    <s v="CBG03"/>
    <x v="615"/>
    <s v="Dine-in"/>
    <s v="E-wallet"/>
    <s v="Wednesday"/>
    <s v="Warung Selera Nusantara - Sudirman"/>
  </r>
  <r>
    <s v="TRX00821"/>
    <s v="CBG01"/>
    <x v="616"/>
    <s v="Dine-in"/>
    <s v="E-wallet"/>
    <s v="Thursday"/>
    <s v="Warung Selera Nusantara - Margonda"/>
  </r>
  <r>
    <s v="TRX00182"/>
    <s v="CBG02"/>
    <x v="617"/>
    <s v="Take Away"/>
    <s v="Cash"/>
    <s v="Thursday"/>
    <s v="Warung Selera Nusantara - Dago"/>
  </r>
  <r>
    <s v="TRX00098"/>
    <s v="CBG04"/>
    <x v="618"/>
    <s v="Dine-in"/>
    <s v="Kartu Debit/Kredit"/>
    <s v="Thursday"/>
    <s v="Warung Selera Nusantara - Tunjungan"/>
  </r>
  <r>
    <s v="TRX00753"/>
    <s v="CBG01"/>
    <x v="619"/>
    <s v="Dine-in"/>
    <s v="Cash"/>
    <s v="Thursday"/>
    <s v="Warung Selera Nusantara - Margonda"/>
  </r>
  <r>
    <s v="TRX00347"/>
    <s v="CBG04"/>
    <x v="620"/>
    <s v="Delivery"/>
    <s v="QRIS"/>
    <s v="Friday"/>
    <s v="Warung Selera Nusantara - Tunjungan"/>
  </r>
  <r>
    <s v="TRX00345"/>
    <s v="CBG02"/>
    <x v="621"/>
    <s v="Delivery"/>
    <s v="Kartu Debit/Kredit"/>
    <s v="Friday"/>
    <s v="Warung Selera Nusantara - Dago"/>
  </r>
  <r>
    <s v="TRX00156"/>
    <s v="CBG04"/>
    <x v="622"/>
    <s v="Take Away"/>
    <s v="E-wallet"/>
    <s v="Saturday"/>
    <s v="Warung Selera Nusantara - Tunjungan"/>
  </r>
  <r>
    <s v="TRX00434"/>
    <s v="CBG02"/>
    <x v="623"/>
    <s v="Dine-in"/>
    <s v="Kartu Debit/Kredit"/>
    <s v="Sunday"/>
    <s v="Warung Selera Nusantara - Dago"/>
  </r>
  <r>
    <s v="TRX00117"/>
    <s v="CBG01"/>
    <x v="624"/>
    <s v="Dine-in"/>
    <s v="E-wallet"/>
    <s v="Sunday"/>
    <s v="Warung Selera Nusantara - Margonda"/>
  </r>
  <r>
    <s v="TRX00133"/>
    <s v="CBG04"/>
    <x v="625"/>
    <s v="Dine-in"/>
    <s v="Kartu Debit/Kredit"/>
    <s v="Sunday"/>
    <s v="Warung Selera Nusantara - Tunjungan"/>
  </r>
  <r>
    <s v="TRX00687"/>
    <s v="CBG02"/>
    <x v="626"/>
    <s v="Delivery"/>
    <s v="E-wallet"/>
    <s v="Sunday"/>
    <s v="Warung Selera Nusantara - Dago"/>
  </r>
  <r>
    <s v="TRX00107"/>
    <s v="CBG03"/>
    <x v="627"/>
    <s v="Delivery"/>
    <s v="E-wallet"/>
    <s v="Sunday"/>
    <s v="Warung Selera Nusantara - Sudirman"/>
  </r>
  <r>
    <s v="TRX00175"/>
    <s v="CBG04"/>
    <x v="628"/>
    <s v="Dine-in"/>
    <s v="QRIS"/>
    <s v="Monday"/>
    <s v="Warung Selera Nusantara - Tunjungan"/>
  </r>
  <r>
    <s v="TRX00705"/>
    <s v="CBG03"/>
    <x v="629"/>
    <s v="Dine-in"/>
    <s v="Cash"/>
    <s v="Monday"/>
    <s v="Warung Selera Nusantara - Sudirman"/>
  </r>
  <r>
    <s v="TRX00087"/>
    <s v="CBG02"/>
    <x v="630"/>
    <s v="Dine-in"/>
    <s v="QRIS"/>
    <s v="Monday"/>
    <s v="Warung Selera Nusantara - Dago"/>
  </r>
  <r>
    <s v="TRX00059"/>
    <s v="CBG02"/>
    <x v="631"/>
    <s v="Dine-in"/>
    <s v="QRIS"/>
    <s v="Tuesday"/>
    <s v="Warung Selera Nusantara - Dago"/>
  </r>
  <r>
    <s v="TRX00093"/>
    <s v="CBG02"/>
    <x v="632"/>
    <s v="Dine-in"/>
    <s v="E-wallet"/>
    <s v="Tuesday"/>
    <s v="Warung Selera Nusantara - Dago"/>
  </r>
  <r>
    <s v="TRX00709"/>
    <s v="CBG01"/>
    <x v="633"/>
    <s v="Take Away"/>
    <s v="QRIS"/>
    <s v="Tuesday"/>
    <s v="Warung Selera Nusantara - Margonda"/>
  </r>
  <r>
    <s v="TRX00641"/>
    <s v="CBG03"/>
    <x v="634"/>
    <s v="Dine-in"/>
    <s v="QRIS"/>
    <s v="Wednesday"/>
    <s v="Warung Selera Nusantara - Sudirman"/>
  </r>
  <r>
    <s v="TRX00581"/>
    <s v="CBG03"/>
    <x v="635"/>
    <s v="Dine-in"/>
    <s v="Cash"/>
    <s v="Thursday"/>
    <s v="Warung Selera Nusantara - Sudirman"/>
  </r>
  <r>
    <s v="TRX00089"/>
    <s v="CBG03"/>
    <x v="636"/>
    <s v="Take Away"/>
    <s v="Cash"/>
    <s v="Friday"/>
    <s v="Warung Selera Nusantara - Sudirman"/>
  </r>
  <r>
    <s v="TRX00741"/>
    <s v="CBG01"/>
    <x v="637"/>
    <s v="Dine-in"/>
    <s v="E-wallet"/>
    <s v="Friday"/>
    <s v="Warung Selera Nusantara - Margonda"/>
  </r>
  <r>
    <s v="TRX00217"/>
    <s v="CBG03"/>
    <x v="638"/>
    <s v="Delivery"/>
    <s v="Kartu Debit/Kredit"/>
    <s v="Friday"/>
    <s v="Warung Selera Nusantara - Sudirman"/>
  </r>
  <r>
    <s v="TRX00016"/>
    <s v="CBG01"/>
    <x v="639"/>
    <s v="Take Away"/>
    <s v="E-wallet"/>
    <s v="Friday"/>
    <s v="Warung Selera Nusantara - Margonda"/>
  </r>
  <r>
    <s v="TRX00522"/>
    <s v="CBG03"/>
    <x v="640"/>
    <s v="Dine-in"/>
    <s v="Cash"/>
    <s v="Saturday"/>
    <s v="Warung Selera Nusantara - Sudirman"/>
  </r>
  <r>
    <s v="TRX00719"/>
    <s v="CBG02"/>
    <x v="641"/>
    <s v="Dine-in"/>
    <s v="QRIS"/>
    <s v="Saturday"/>
    <s v="Warung Selera Nusantara - Dago"/>
  </r>
  <r>
    <s v="TRX00126"/>
    <s v="CBG02"/>
    <x v="642"/>
    <s v="Dine-in"/>
    <s v="Kartu Debit/Kredit"/>
    <s v="Saturday"/>
    <s v="Warung Selera Nusantara - Dago"/>
  </r>
  <r>
    <s v="TRX00481"/>
    <s v="CBG03"/>
    <x v="643"/>
    <s v="Dine-in"/>
    <s v="Kartu Debit/Kredit"/>
    <s v="Saturday"/>
    <s v="Warung Selera Nusantara - Sudirman"/>
  </r>
  <r>
    <s v="TRX00634"/>
    <s v="CBG01"/>
    <x v="644"/>
    <s v="Dine-in"/>
    <s v="Kartu Debit/Kredit"/>
    <s v="Saturday"/>
    <s v="Warung Selera Nusantara - Margonda"/>
  </r>
  <r>
    <s v="TRX00056"/>
    <s v="CBG04"/>
    <x v="645"/>
    <s v="Delivery"/>
    <s v="QRIS"/>
    <s v="Sunday"/>
    <s v="Warung Selera Nusantara - Tunjungan"/>
  </r>
  <r>
    <s v="TRX00225"/>
    <s v="CBG01"/>
    <x v="646"/>
    <s v="Dine-in"/>
    <s v="Cash"/>
    <s v="Sunday"/>
    <s v="Warung Selera Nusantara - Margonda"/>
  </r>
  <r>
    <s v="TRX00057"/>
    <s v="CBG01"/>
    <x v="647"/>
    <s v="Delivery"/>
    <s v="QRIS"/>
    <s v="Sunday"/>
    <s v="Warung Selera Nusantara - Margonda"/>
  </r>
  <r>
    <s v="TRX00219"/>
    <s v="CBG03"/>
    <x v="648"/>
    <s v="Delivery"/>
    <s v="QRIS"/>
    <s v="Sunday"/>
    <s v="Warung Selera Nusantara - Sudirman"/>
  </r>
  <r>
    <s v="TRX00060"/>
    <s v="CBG01"/>
    <x v="649"/>
    <s v="Take Away"/>
    <s v="QRIS"/>
    <s v="Tuesday"/>
    <s v="Warung Selera Nusantara - Margonda"/>
  </r>
  <r>
    <s v="TRX00311"/>
    <s v="CBG01"/>
    <x v="650"/>
    <s v="Take Away"/>
    <s v="E-wallet"/>
    <s v="Wednesday"/>
    <s v="Warung Selera Nusantara - Margonda"/>
  </r>
  <r>
    <s v="TRX00501"/>
    <s v="CBG03"/>
    <x v="651"/>
    <s v="Delivery"/>
    <s v="QRIS"/>
    <s v="Wednesday"/>
    <s v="Warung Selera Nusantara - Sudirman"/>
  </r>
  <r>
    <s v="TRX00575"/>
    <s v="CBG04"/>
    <x v="652"/>
    <s v="Dine-in"/>
    <s v="QRIS"/>
    <s v="Saturday"/>
    <s v="Warung Selera Nusantara - Tunjungan"/>
  </r>
  <r>
    <s v="TRX00691"/>
    <s v="CBG03"/>
    <x v="653"/>
    <s v="Dine-in"/>
    <s v="E-wallet"/>
    <s v="Tuesday"/>
    <s v="Warung Selera Nusantara - Sudirman"/>
  </r>
  <r>
    <s v="TRX00235"/>
    <s v="CBG04"/>
    <x v="654"/>
    <s v="Dine-in"/>
    <s v="QRIS"/>
    <s v="Wednesday"/>
    <s v="Warung Selera Nusantara - Tunjungan"/>
  </r>
  <r>
    <s v="TRX00309"/>
    <s v="CBG02"/>
    <x v="655"/>
    <s v="Dine-in"/>
    <s v="E-wallet"/>
    <s v="Wednesday"/>
    <s v="Warung Selera Nusantara - Dago"/>
  </r>
  <r>
    <s v="TRX00835"/>
    <s v="CBG04"/>
    <x v="656"/>
    <s v="Dine-in"/>
    <s v="Kartu Debit/Kredit"/>
    <s v="Wednesday"/>
    <s v="Warung Selera Nusantara - Tunjungan"/>
  </r>
  <r>
    <s v="TRX00695"/>
    <s v="CBG04"/>
    <x v="657"/>
    <s v="Dine-in"/>
    <s v="QRIS"/>
    <s v="Wednesday"/>
    <s v="Warung Selera Nusantara - Tunjungan"/>
  </r>
  <r>
    <s v="TRX00144"/>
    <s v="CBG02"/>
    <x v="658"/>
    <s v="Take Away"/>
    <s v="E-wallet"/>
    <s v="Wednesday"/>
    <s v="Warung Selera Nusantara - Dago"/>
  </r>
  <r>
    <s v="TRX00545"/>
    <s v="CBG01"/>
    <x v="659"/>
    <s v="Dine-in"/>
    <s v="Kartu Debit/Kredit"/>
    <s v="Wednesday"/>
    <s v="Warung Selera Nusantara - Margonda"/>
  </r>
  <r>
    <s v="TRX00036"/>
    <s v="CBG03"/>
    <x v="660"/>
    <s v="Dine-in"/>
    <s v="QRIS"/>
    <s v="Thursday"/>
    <s v="Warung Selera Nusantara - Sudirman"/>
  </r>
  <r>
    <s v="TRX00176"/>
    <s v="CBG03"/>
    <x v="661"/>
    <s v="Dine-in"/>
    <s v="E-wallet"/>
    <s v="Thursday"/>
    <s v="Warung Selera Nusantara - Sudirman"/>
  </r>
  <r>
    <s v="TRX00713"/>
    <s v="CBG02"/>
    <x v="662"/>
    <s v="Take Away"/>
    <s v="QRIS"/>
    <s v="Thursday"/>
    <s v="Warung Selera Nusantara - Dago"/>
  </r>
  <r>
    <s v="TRX00203"/>
    <s v="CBG02"/>
    <x v="663"/>
    <s v="Take Away"/>
    <s v="E-wallet"/>
    <s v="Thursday"/>
    <s v="Warung Selera Nusantara - Dago"/>
  </r>
  <r>
    <s v="TRX00750"/>
    <s v="CBG04"/>
    <x v="664"/>
    <s v="Take Away"/>
    <s v="Cash"/>
    <s v="Saturday"/>
    <s v="Warung Selera Nusantara - Tunjungan"/>
  </r>
  <r>
    <s v="TRX00124"/>
    <s v="CBG02"/>
    <x v="665"/>
    <s v="Dine-in"/>
    <s v="QRIS"/>
    <s v="Saturday"/>
    <s v="Warung Selera Nusantara - Dago"/>
  </r>
  <r>
    <s v="TRX00199"/>
    <s v="CBG02"/>
    <x v="666"/>
    <s v="Take Away"/>
    <s v="QRIS"/>
    <s v="Saturday"/>
    <s v="Warung Selera Nusantara - Dago"/>
  </r>
  <r>
    <s v="TRX00619"/>
    <s v="CBG03"/>
    <x v="667"/>
    <s v="Take Away"/>
    <s v="Cash"/>
    <s v="Saturday"/>
    <s v="Warung Selera Nusantara - Sudirman"/>
  </r>
  <r>
    <s v="TRX00092"/>
    <s v="CBG04"/>
    <x v="668"/>
    <s v="Dine-in"/>
    <s v="E-wallet"/>
    <s v="Sunday"/>
    <s v="Warung Selera Nusantara - Tunjungan"/>
  </r>
  <r>
    <s v="TRX00844"/>
    <s v="CBG03"/>
    <x v="669"/>
    <s v="Dine-in"/>
    <s v="Cash"/>
    <s v="Monday"/>
    <s v="Warung Selera Nusantara - Sudirman"/>
  </r>
  <r>
    <s v="TRX00625"/>
    <s v="CBG03"/>
    <x v="670"/>
    <s v="Delivery"/>
    <s v="QRIS"/>
    <s v="Tuesday"/>
    <s v="Warung Selera Nusantara - Sudirman"/>
  </r>
  <r>
    <s v="TRX00824"/>
    <s v="CBG02"/>
    <x v="671"/>
    <s v="Dine-in"/>
    <s v="QRIS"/>
    <s v="Tuesday"/>
    <s v="Warung Selera Nusantara - Dago"/>
  </r>
  <r>
    <s v="TRX00673"/>
    <s v="CBG04"/>
    <x v="672"/>
    <s v="Delivery"/>
    <s v="Kartu Debit/Kredit"/>
    <s v="Wednesday"/>
    <s v="Warung Selera Nusantara - Tunjungan"/>
  </r>
  <r>
    <s v="TRX00846"/>
    <s v="CBG03"/>
    <x v="673"/>
    <s v="Take Away"/>
    <s v="QRIS"/>
    <s v="Thursday"/>
    <s v="Warung Selera Nusantara - Sudirman"/>
  </r>
  <r>
    <s v="TRX00585"/>
    <s v="CBG01"/>
    <x v="674"/>
    <s v="Dine-in"/>
    <s v="Cash"/>
    <s v="Thursday"/>
    <s v="Warung Selera Nusantara - Margonda"/>
  </r>
  <r>
    <s v="TRX00005"/>
    <s v="CBG02"/>
    <x v="675"/>
    <s v="Delivery"/>
    <s v="QRIS"/>
    <s v="Friday"/>
    <s v="Warung Selera Nusantara - Dago"/>
  </r>
  <r>
    <s v="TRX00744"/>
    <s v="CBG02"/>
    <x v="676"/>
    <s v="Dine-in"/>
    <s v="E-wallet"/>
    <s v="Friday"/>
    <s v="Warung Selera Nusantara - Dago"/>
  </r>
  <r>
    <s v="TRX00590"/>
    <s v="CBG03"/>
    <x v="677"/>
    <s v="Dine-in"/>
    <s v="QRIS"/>
    <s v="Friday"/>
    <s v="Warung Selera Nusantara - Sudirman"/>
  </r>
  <r>
    <s v="TRX00564"/>
    <s v="CBG04"/>
    <x v="678"/>
    <s v="Take Away"/>
    <s v="Cash"/>
    <s v="Saturday"/>
    <s v="Warung Selera Nusantara - Tunjungan"/>
  </r>
  <r>
    <s v="TRX00793"/>
    <s v="CBG02"/>
    <x v="679"/>
    <s v="Dine-in"/>
    <s v="Cash"/>
    <s v="Saturday"/>
    <s v="Warung Selera Nusantara - Dago"/>
  </r>
  <r>
    <s v="TRX00049"/>
    <s v="CBG02"/>
    <x v="680"/>
    <s v="Dine-in"/>
    <s v="Kartu Debit/Kredit"/>
    <s v="Saturday"/>
    <s v="Warung Selera Nusantara - Dago"/>
  </r>
  <r>
    <s v="TRX00215"/>
    <s v="CBG01"/>
    <x v="681"/>
    <s v="Dine-in"/>
    <s v="E-wallet"/>
    <s v="Sunday"/>
    <s v="Warung Selera Nusantara - Margonda"/>
  </r>
  <r>
    <s v="TRX00843"/>
    <s v="CBG03"/>
    <x v="682"/>
    <s v="Dine-in"/>
    <s v="QRIS"/>
    <s v="Sunday"/>
    <s v="Warung Selera Nusantara - Sudirman"/>
  </r>
  <r>
    <s v="TRX00811"/>
    <s v="CBG03"/>
    <x v="683"/>
    <s v="Take Away"/>
    <s v="QRIS"/>
    <s v="Sunday"/>
    <s v="Warung Selera Nusantara - Sudirman"/>
  </r>
  <r>
    <s v="TRX00551"/>
    <s v="CBG04"/>
    <x v="684"/>
    <s v="Dine-in"/>
    <s v="QRIS"/>
    <s v="Sunday"/>
    <s v="Warung Selera Nusantara - Tunjungan"/>
  </r>
  <r>
    <s v="TRX00573"/>
    <s v="CBG04"/>
    <x v="685"/>
    <s v="Delivery"/>
    <s v="Cash"/>
    <s v="Monday"/>
    <s v="Warung Selera Nusantara - Tunjungan"/>
  </r>
  <r>
    <s v="TRX00714"/>
    <s v="CBG03"/>
    <x v="686"/>
    <s v="Take Away"/>
    <s v="QRIS"/>
    <s v="Monday"/>
    <s v="Warung Selera Nusantara - Sudirman"/>
  </r>
  <r>
    <s v="TRX00735"/>
    <s v="CBG01"/>
    <x v="687"/>
    <s v="Dine-in"/>
    <s v="Kartu Debit/Kredit"/>
    <s v="Tuesday"/>
    <s v="Warung Selera Nusantara - Margonda"/>
  </r>
  <r>
    <s v="TRX00751"/>
    <s v="CBG04"/>
    <x v="688"/>
    <s v="Dine-in"/>
    <s v="QRIS"/>
    <s v="Wednesday"/>
    <s v="Warung Selera Nusantara - Tunjungan"/>
  </r>
  <r>
    <s v="TRX00471"/>
    <s v="CBG02"/>
    <x v="689"/>
    <s v="Dine-in"/>
    <s v="QRIS"/>
    <s v="Wednesday"/>
    <s v="Warung Selera Nusantara - Dago"/>
  </r>
  <r>
    <s v="TRX00366"/>
    <s v="CBG01"/>
    <x v="690"/>
    <s v="Dine-in"/>
    <s v="QRIS"/>
    <s v="Thursday"/>
    <s v="Warung Selera Nusantara - Margonda"/>
  </r>
  <r>
    <s v="TRX00447"/>
    <s v="CBG03"/>
    <x v="691"/>
    <s v="Take Away"/>
    <s v="Cash"/>
    <s v="Friday"/>
    <s v="Warung Selera Nusantara - Sudirman"/>
  </r>
  <r>
    <s v="TRX00757"/>
    <s v="CBG01"/>
    <x v="692"/>
    <s v="Delivery"/>
    <s v="QRIS"/>
    <s v="Friday"/>
    <s v="Warung Selera Nusantara - Margonda"/>
  </r>
  <r>
    <s v="TRX00724"/>
    <s v="CBG02"/>
    <x v="693"/>
    <s v="Delivery"/>
    <s v="Cash"/>
    <s v="Saturday"/>
    <s v="Warung Selera Nusantara - Dago"/>
  </r>
  <r>
    <s v="TRX00376"/>
    <s v="CBG02"/>
    <x v="694"/>
    <s v="Dine-in"/>
    <s v="E-wallet"/>
    <s v="Sunday"/>
    <s v="Warung Selera Nusantara - Dago"/>
  </r>
  <r>
    <s v="TRX00337"/>
    <s v="CBG03"/>
    <x v="695"/>
    <s v="Dine-in"/>
    <s v="Kartu Debit/Kredit"/>
    <s v="Sunday"/>
    <s v="Warung Selera Nusantara - Sudirman"/>
  </r>
  <r>
    <s v="TRX00640"/>
    <s v="CBG02"/>
    <x v="696"/>
    <s v="Dine-in"/>
    <s v="QRIS"/>
    <s v="Sunday"/>
    <s v="Warung Selera Nusantara - Dago"/>
  </r>
  <r>
    <s v="TRX00760"/>
    <s v="CBG04"/>
    <x v="697"/>
    <s v="Dine-in"/>
    <s v="E-wallet"/>
    <s v="Sunday"/>
    <s v="Warung Selera Nusantara - Tunjungan"/>
  </r>
  <r>
    <s v="TRX00301"/>
    <s v="CBG04"/>
    <x v="698"/>
    <s v="Dine-in"/>
    <s v="Kartu Debit/Kredit"/>
    <s v="Sunday"/>
    <s v="Warung Selera Nusantara - Tunjungan"/>
  </r>
  <r>
    <s v="TRX00567"/>
    <s v="CBG03"/>
    <x v="699"/>
    <s v="Dine-in"/>
    <s v="Cash"/>
    <s v="Monday"/>
    <s v="Warung Selera Nusantara - Sudirman"/>
  </r>
  <r>
    <s v="TRX00698"/>
    <s v="CBG04"/>
    <x v="700"/>
    <s v="Dine-in"/>
    <s v="QRIS"/>
    <s v="Monday"/>
    <s v="Warung Selera Nusantara - Tunjungan"/>
  </r>
  <r>
    <s v="TRX00084"/>
    <s v="CBG03"/>
    <x v="701"/>
    <s v="Take Away"/>
    <s v="Cash"/>
    <s v="Tuesday"/>
    <s v="Warung Selera Nusantara - Sudirman"/>
  </r>
  <r>
    <s v="TRX00748"/>
    <s v="CBG04"/>
    <x v="702"/>
    <s v="Delivery"/>
    <s v="QRIS"/>
    <s v="Tuesday"/>
    <s v="Warung Selera Nusantara - Tunjungan"/>
  </r>
  <r>
    <s v="TRX00582"/>
    <s v="CBG03"/>
    <x v="703"/>
    <s v="Take Away"/>
    <s v="Cash"/>
    <s v="Wednesday"/>
    <s v="Warung Selera Nusantara - Sudirman"/>
  </r>
  <r>
    <s v="TRX00193"/>
    <s v="CBG04"/>
    <x v="704"/>
    <s v="Delivery"/>
    <s v="Cash"/>
    <s v="Wednesday"/>
    <s v="Warung Selera Nusantara - Tunjungan"/>
  </r>
  <r>
    <s v="TRX00666"/>
    <s v="CBG04"/>
    <x v="705"/>
    <s v="Dine-in"/>
    <s v="Kartu Debit/Kredit"/>
    <s v="Friday"/>
    <s v="Warung Selera Nusantara - Tunjungan"/>
  </r>
  <r>
    <s v="TRX00383"/>
    <s v="CBG03"/>
    <x v="706"/>
    <s v="Delivery"/>
    <s v="QRIS"/>
    <s v="Saturday"/>
    <s v="Warung Selera Nusantara - Sudirman"/>
  </r>
  <r>
    <s v="TRX00686"/>
    <s v="CBG03"/>
    <x v="707"/>
    <s v="Delivery"/>
    <s v="E-wallet"/>
    <s v="Saturday"/>
    <s v="Warung Selera Nusantara - Sudirman"/>
  </r>
  <r>
    <s v="TRX00274"/>
    <s v="CBG03"/>
    <x v="708"/>
    <s v="Take Away"/>
    <s v="Kartu Debit/Kredit"/>
    <s v="Saturday"/>
    <s v="Warung Selera Nusantara - Sudirman"/>
  </r>
  <r>
    <s v="TRX00023"/>
    <s v="CBG04"/>
    <x v="709"/>
    <s v="Take Away"/>
    <s v="QRIS"/>
    <s v="Saturday"/>
    <s v="Warung Selera Nusantara - Tunjungan"/>
  </r>
  <r>
    <s v="TRX00280"/>
    <s v="CBG02"/>
    <x v="710"/>
    <s v="Dine-in"/>
    <s v="QRIS"/>
    <s v="Sunday"/>
    <s v="Warung Selera Nusantara - Dago"/>
  </r>
  <r>
    <s v="TRX00154"/>
    <s v="CBG02"/>
    <x v="711"/>
    <s v="Dine-in"/>
    <s v="QRIS"/>
    <s v="Sunday"/>
    <s v="Warung Selera Nusantara - Dago"/>
  </r>
  <r>
    <s v="TRX00788"/>
    <s v="CBG04"/>
    <x v="712"/>
    <s v="Delivery"/>
    <s v="Cash"/>
    <s v="Sunday"/>
    <s v="Warung Selera Nusantara - Tunjungan"/>
  </r>
  <r>
    <s v="TRX00141"/>
    <s v="CBG04"/>
    <x v="713"/>
    <s v="Dine-in"/>
    <s v="Kartu Debit/Kredit"/>
    <s v="Monday"/>
    <s v="Warung Selera Nusantara - Tunjungan"/>
  </r>
  <r>
    <s v="TRX00233"/>
    <s v="CBG03"/>
    <x v="714"/>
    <s v="Take Away"/>
    <s v="Cash"/>
    <s v="Tuesday"/>
    <s v="Warung Selera Nusantara - Sudirman"/>
  </r>
  <r>
    <s v="TRX00048"/>
    <s v="CBG03"/>
    <x v="715"/>
    <s v="Dine-in"/>
    <s v="Cash"/>
    <s v="Tuesday"/>
    <s v="Warung Selera Nusantara - Sudirman"/>
  </r>
  <r>
    <s v="TRX00559"/>
    <s v="CBG04"/>
    <x v="716"/>
    <s v="Delivery"/>
    <s v="Cash"/>
    <s v="Tuesday"/>
    <s v="Warung Selera Nusantara - Tunjungan"/>
  </r>
  <r>
    <s v="TRX00451"/>
    <s v="CBG02"/>
    <x v="717"/>
    <s v="Take Away"/>
    <s v="QRIS"/>
    <s v="Wednesday"/>
    <s v="Warung Selera Nusantara - Dago"/>
  </r>
  <r>
    <s v="TRX00669"/>
    <s v="CBG01"/>
    <x v="718"/>
    <s v="Take Away"/>
    <s v="QRIS"/>
    <s v="Wednesday"/>
    <s v="Warung Selera Nusantara - Margonda"/>
  </r>
  <r>
    <s v="TRX00589"/>
    <s v="CBG04"/>
    <x v="719"/>
    <s v="Take Away"/>
    <s v="Cash"/>
    <s v="Friday"/>
    <s v="Warung Selera Nusantara - Tunjungan"/>
  </r>
  <r>
    <s v="TRX00090"/>
    <s v="CBG04"/>
    <x v="720"/>
    <s v="Take Away"/>
    <s v="QRIS"/>
    <s v="Saturday"/>
    <s v="Warung Selera Nusantara - Tunjungan"/>
  </r>
  <r>
    <s v="TRX00726"/>
    <s v="CBG03"/>
    <x v="721"/>
    <s v="Take Away"/>
    <s v="Kartu Debit/Kredit"/>
    <s v="Saturday"/>
    <s v="Warung Selera Nusantara - Sudirman"/>
  </r>
  <r>
    <s v="TRX00790"/>
    <s v="CBG04"/>
    <x v="722"/>
    <s v="Dine-in"/>
    <s v="QRIS"/>
    <s v="Saturday"/>
    <s v="Warung Selera Nusantara - Tunjungan"/>
  </r>
  <r>
    <s v="TRX00390"/>
    <s v="CBG01"/>
    <x v="723"/>
    <s v="Dine-in"/>
    <s v="QRIS"/>
    <s v="Saturday"/>
    <s v="Warung Selera Nusantara - Margonda"/>
  </r>
  <r>
    <s v="TRX00638"/>
    <s v="CBG01"/>
    <x v="724"/>
    <s v="Dine-in"/>
    <s v="E-wallet"/>
    <s v="Saturday"/>
    <s v="Warung Selera Nusantara - Margonda"/>
  </r>
  <r>
    <s v="TRX00041"/>
    <s v="CBG04"/>
    <x v="725"/>
    <s v="Dine-in"/>
    <s v="QRIS"/>
    <s v="Sunday"/>
    <s v="Warung Selera Nusantara - Tunjungan"/>
  </r>
  <r>
    <s v="TRX00352"/>
    <s v="CBG01"/>
    <x v="726"/>
    <s v="Delivery"/>
    <s v="Kartu Debit/Kredit"/>
    <s v="Sunday"/>
    <s v="Warung Selera Nusantara - Margonda"/>
  </r>
  <r>
    <s v="TRX00070"/>
    <s v="CBG03"/>
    <x v="727"/>
    <s v="Dine-in"/>
    <s v="E-wallet"/>
    <s v="Sunday"/>
    <s v="Warung Selera Nusantara - Sudirman"/>
  </r>
  <r>
    <s v="TRX00692"/>
    <s v="CBG02"/>
    <x v="728"/>
    <s v="Dine-in"/>
    <s v="QRIS"/>
    <s v="Sunday"/>
    <s v="Warung Selera Nusantara - Dago"/>
  </r>
  <r>
    <s v="TRX00755"/>
    <s v="CBG03"/>
    <x v="729"/>
    <s v="Delivery"/>
    <s v="Kartu Debit/Kredit"/>
    <s v="Monday"/>
    <s v="Warung Selera Nusantara - Sudirman"/>
  </r>
  <r>
    <s v="TRX00476"/>
    <s v="CBG01"/>
    <x v="730"/>
    <s v="Dine-in"/>
    <s v="E-wallet"/>
    <s v="Tuesday"/>
    <s v="Warung Selera Nusantara - Margonda"/>
  </r>
  <r>
    <s v="TRX00327"/>
    <s v="CBG03"/>
    <x v="731"/>
    <s v="Delivery"/>
    <s v="Cash"/>
    <s v="Tuesday"/>
    <s v="Warung Selera Nusantara - Sudirman"/>
  </r>
  <r>
    <s v="TRX00535"/>
    <s v="CBG01"/>
    <x v="732"/>
    <s v="Dine-in"/>
    <s v="Cash"/>
    <s v="Wednesday"/>
    <s v="Warung Selera Nusantara - Margonda"/>
  </r>
  <r>
    <s v="TRX00356"/>
    <s v="CBG01"/>
    <x v="733"/>
    <s v="Take Away"/>
    <s v="QRIS"/>
    <s v="Wednesday"/>
    <s v="Warung Selera Nusantara - Margonda"/>
  </r>
  <r>
    <s v="TRX00450"/>
    <s v="CBG01"/>
    <x v="734"/>
    <s v="Dine-in"/>
    <s v="E-wallet"/>
    <s v="Thursday"/>
    <s v="Warung Selera Nusantara - Margonda"/>
  </r>
  <r>
    <s v="TRX00680"/>
    <s v="CBG03"/>
    <x v="735"/>
    <s v="Dine-in"/>
    <s v="QRIS"/>
    <s v="Friday"/>
    <s v="Warung Selera Nusantara - Sudirman"/>
  </r>
  <r>
    <s v="TRX00407"/>
    <s v="CBG04"/>
    <x v="736"/>
    <s v="Dine-in"/>
    <s v="Kartu Debit/Kredit"/>
    <s v="Saturday"/>
    <s v="Warung Selera Nusantara - Tunjungan"/>
  </r>
  <r>
    <s v="TRX00737"/>
    <s v="CBG03"/>
    <x v="737"/>
    <s v="Dine-in"/>
    <s v="E-wallet"/>
    <s v="Sunday"/>
    <s v="Warung Selera Nusantara - Sudirman"/>
  </r>
  <r>
    <s v="TRX00681"/>
    <s v="CBG04"/>
    <x v="738"/>
    <s v="Dine-in"/>
    <s v="Cash"/>
    <s v="Sunday"/>
    <s v="Warung Selera Nusantara - Tunjungan"/>
  </r>
  <r>
    <s v="TRX00547"/>
    <s v="CBG04"/>
    <x v="739"/>
    <s v="Dine-in"/>
    <s v="Kartu Debit/Kredit"/>
    <s v="Monday"/>
    <s v="Warung Selera Nusantara - Tunjungan"/>
  </r>
  <r>
    <s v="TRX00230"/>
    <s v="CBG01"/>
    <x v="740"/>
    <s v="Take Away"/>
    <s v="Cash"/>
    <s v="Monday"/>
    <s v="Warung Selera Nusantara - Margonda"/>
  </r>
  <r>
    <s v="TRX00128"/>
    <s v="CBG03"/>
    <x v="741"/>
    <s v="Take Away"/>
    <s v="QRIS"/>
    <s v="Tuesday"/>
    <s v="Warung Selera Nusantara - Sudirman"/>
  </r>
  <r>
    <s v="TRX00437"/>
    <s v="CBG03"/>
    <x v="742"/>
    <s v="Delivery"/>
    <s v="Cash"/>
    <s v="Tuesday"/>
    <s v="Warung Selera Nusantara - Sudirman"/>
  </r>
  <r>
    <s v="TRX00442"/>
    <s v="CBG02"/>
    <x v="743"/>
    <s v="Delivery"/>
    <s v="QRIS"/>
    <s v="Wednesday"/>
    <s v="Warung Selera Nusantara - Dago"/>
  </r>
  <r>
    <s v="TRX00198"/>
    <s v="CBG03"/>
    <x v="744"/>
    <s v="Delivery"/>
    <s v="E-wallet"/>
    <s v="Thursday"/>
    <s v="Warung Selera Nusantara - Sudirman"/>
  </r>
  <r>
    <s v="TRX00496"/>
    <s v="CBG03"/>
    <x v="745"/>
    <s v="Delivery"/>
    <s v="E-wallet"/>
    <s v="Friday"/>
    <s v="Warung Selera Nusantara - Sudirman"/>
  </r>
  <r>
    <s v="TRX00484"/>
    <s v="CBG01"/>
    <x v="746"/>
    <s v="Dine-in"/>
    <s v="Cash"/>
    <s v="Friday"/>
    <s v="Warung Selera Nusantara - Margonda"/>
  </r>
  <r>
    <s v="TRX00417"/>
    <s v="CBG02"/>
    <x v="747"/>
    <s v="Dine-in"/>
    <s v="QRIS"/>
    <s v="Friday"/>
    <s v="Warung Selera Nusantara - Dago"/>
  </r>
  <r>
    <s v="TRX00412"/>
    <s v="CBG04"/>
    <x v="748"/>
    <s v="Dine-in"/>
    <s v="Cash"/>
    <s v="Friday"/>
    <s v="Warung Selera Nusantara - Tunjungan"/>
  </r>
  <r>
    <s v="TRX00121"/>
    <s v="CBG01"/>
    <x v="749"/>
    <s v="Delivery"/>
    <s v="E-wallet"/>
    <s v="Friday"/>
    <s v="Warung Selera Nusantara - Margonda"/>
  </r>
  <r>
    <s v="TRX00073"/>
    <s v="CBG04"/>
    <x v="750"/>
    <s v="Delivery"/>
    <s v="E-wallet"/>
    <s v="Saturday"/>
    <s v="Warung Selera Nusantara - Tunjungan"/>
  </r>
  <r>
    <s v="TRX00745"/>
    <s v="CBG01"/>
    <x v="751"/>
    <s v="Dine-in"/>
    <s v="QRIS"/>
    <s v="Saturday"/>
    <s v="Warung Selera Nusantara - Margonda"/>
  </r>
  <r>
    <s v="TRX00326"/>
    <s v="CBG04"/>
    <x v="752"/>
    <s v="Dine-in"/>
    <s v="QRIS"/>
    <s v="Saturday"/>
    <s v="Warung Selera Nusantara - Tunjungan"/>
  </r>
  <r>
    <s v="TRX00346"/>
    <s v="CBG03"/>
    <x v="753"/>
    <s v="Dine-in"/>
    <s v="Cash"/>
    <s v="Saturday"/>
    <s v="Warung Selera Nusantara - Sudirman"/>
  </r>
  <r>
    <s v="TRX00659"/>
    <s v="CBG03"/>
    <x v="754"/>
    <s v="Dine-in"/>
    <s v="E-wallet"/>
    <s v="Sunday"/>
    <s v="Warung Selera Nusantara - Sudirman"/>
  </r>
  <r>
    <s v="TRX00825"/>
    <s v="CBG01"/>
    <x v="755"/>
    <s v="Dine-in"/>
    <s v="QRIS"/>
    <s v="Sunday"/>
    <s v="Warung Selera Nusantara - Margonda"/>
  </r>
  <r>
    <s v="TRX00600"/>
    <s v="CBG03"/>
    <x v="756"/>
    <s v="Dine-in"/>
    <s v="Kartu Debit/Kredit"/>
    <s v="Tuesday"/>
    <s v="Warung Selera Nusantara - Sudirman"/>
  </r>
  <r>
    <s v="TRX00462"/>
    <s v="CBG03"/>
    <x v="757"/>
    <s v="Take Away"/>
    <s v="Cash"/>
    <s v="Tuesday"/>
    <s v="Warung Selera Nusantara - Sudirman"/>
  </r>
  <r>
    <s v="TRX00832"/>
    <s v="CBG03"/>
    <x v="758"/>
    <s v="Dine-in"/>
    <s v="QRIS"/>
    <s v="Tuesday"/>
    <s v="Warung Selera Nusantara - Sudirman"/>
  </r>
  <r>
    <s v="TRX00391"/>
    <s v="CBG03"/>
    <x v="759"/>
    <s v="Dine-in"/>
    <s v="E-wallet"/>
    <s v="Tuesday"/>
    <s v="Warung Selera Nusantara - Sudirman"/>
  </r>
  <r>
    <s v="TRX00419"/>
    <s v="CBG03"/>
    <x v="760"/>
    <s v="Dine-in"/>
    <s v="QRIS"/>
    <s v="Thursday"/>
    <s v="Warung Selera Nusantara - Sudirman"/>
  </r>
  <r>
    <s v="TRX00444"/>
    <s v="CBG04"/>
    <x v="761"/>
    <s v="Delivery"/>
    <s v="Cash"/>
    <s v="Thursday"/>
    <s v="Warung Selera Nusantara - Tunjungan"/>
  </r>
  <r>
    <s v="TRX00461"/>
    <s v="CBG03"/>
    <x v="762"/>
    <s v="Dine-in"/>
    <s v="Cash"/>
    <s v="Friday"/>
    <s v="Warung Selera Nusantara - Sudirman"/>
  </r>
  <r>
    <s v="TRX00720"/>
    <s v="CBG04"/>
    <x v="763"/>
    <s v="Delivery"/>
    <s v="QRIS"/>
    <s v="Friday"/>
    <s v="Warung Selera Nusantara - Tunjungan"/>
  </r>
  <r>
    <s v="TRX00685"/>
    <s v="CBG03"/>
    <x v="764"/>
    <s v="Dine-in"/>
    <s v="Cash"/>
    <s v="Friday"/>
    <s v="Warung Selera Nusantara - Sudirman"/>
  </r>
  <r>
    <s v="TRX00135"/>
    <s v="CBG02"/>
    <x v="765"/>
    <s v="Take Away"/>
    <s v="Cash"/>
    <s v="Saturday"/>
    <s v="Warung Selera Nusantara - Dago"/>
  </r>
  <r>
    <s v="TRX00080"/>
    <s v="CBG01"/>
    <x v="766"/>
    <s v="Take Away"/>
    <s v="E-wallet"/>
    <s v="Saturday"/>
    <s v="Warung Selera Nusantara - Margonda"/>
  </r>
  <r>
    <s v="TRX00693"/>
    <s v="CBG01"/>
    <x v="767"/>
    <s v="Delivery"/>
    <s v="E-wallet"/>
    <s v="Saturday"/>
    <s v="Warung Selera Nusantara - Margonda"/>
  </r>
  <r>
    <s v="TRX00306"/>
    <s v="CBG02"/>
    <x v="768"/>
    <s v="Dine-in"/>
    <s v="Cash"/>
    <s v="Sunday"/>
    <s v="Warung Selera Nusantara - Dago"/>
  </r>
  <r>
    <s v="TRX00557"/>
    <s v="CBG03"/>
    <x v="769"/>
    <s v="Dine-in"/>
    <s v="QRIS"/>
    <s v="Sunday"/>
    <s v="Warung Selera Nusantara - Sudirman"/>
  </r>
  <r>
    <s v="TRX00071"/>
    <s v="CBG01"/>
    <x v="770"/>
    <s v="Take Away"/>
    <s v="E-wallet"/>
    <s v="Monday"/>
    <s v="Warung Selera Nusantara - Margonda"/>
  </r>
  <r>
    <s v="TRX00850"/>
    <s v="CBG01"/>
    <x v="771"/>
    <s v="Take Away"/>
    <s v="QRIS"/>
    <s v="Monday"/>
    <s v="Warung Selera Nusantara - Margonda"/>
  </r>
  <r>
    <s v="TRX00607"/>
    <s v="CBG03"/>
    <x v="772"/>
    <s v="Dine-in"/>
    <s v="Kartu Debit/Kredit"/>
    <s v="Monday"/>
    <s v="Warung Selera Nusantara - Sudirman"/>
  </r>
  <r>
    <s v="TRX00527"/>
    <s v="CBG03"/>
    <x v="773"/>
    <s v="Take Away"/>
    <s v="Kartu Debit/Kredit"/>
    <s v="Tuesday"/>
    <s v="Warung Selera Nusantara - Sudirman"/>
  </r>
  <r>
    <s v="TRX00814"/>
    <s v="CBG03"/>
    <x v="774"/>
    <s v="Delivery"/>
    <s v="Kartu Debit/Kredit"/>
    <s v="Tuesday"/>
    <s v="Warung Selera Nusantara - Sudirman"/>
  </r>
  <r>
    <s v="TRX00498"/>
    <s v="CBG02"/>
    <x v="775"/>
    <s v="Delivery"/>
    <s v="QRIS"/>
    <s v="Tuesday"/>
    <s v="Warung Selera Nusantara - Dago"/>
  </r>
  <r>
    <s v="TRX00539"/>
    <s v="CBG04"/>
    <x v="776"/>
    <s v="Dine-in"/>
    <s v="QRIS"/>
    <s v="Tuesday"/>
    <s v="Warung Selera Nusantara - Tunjungan"/>
  </r>
  <r>
    <s v="TRX00534"/>
    <s v="CBG03"/>
    <x v="777"/>
    <s v="Delivery"/>
    <s v="Kartu Debit/Kredit"/>
    <s v="Wednesday"/>
    <s v="Warung Selera Nusantara - Sudirman"/>
  </r>
  <r>
    <s v="TRX00338"/>
    <s v="CBG03"/>
    <x v="778"/>
    <s v="Dine-in"/>
    <s v="QRIS"/>
    <s v="Thursday"/>
    <s v="Warung Selera Nusantara - Sudirman"/>
  </r>
  <r>
    <s v="TRX00195"/>
    <s v="CBG04"/>
    <x v="779"/>
    <s v="Take Away"/>
    <s v="E-wallet"/>
    <s v="Friday"/>
    <s v="Warung Selera Nusantara - Tunjungan"/>
  </r>
  <r>
    <s v="TRX00675"/>
    <s v="CBG02"/>
    <x v="780"/>
    <s v="Dine-in"/>
    <s v="QRIS"/>
    <s v="Saturday"/>
    <s v="Warung Selera Nusantara - Dago"/>
  </r>
  <r>
    <s v="TRX00086"/>
    <s v="CBG04"/>
    <x v="781"/>
    <s v="Delivery"/>
    <s v="QRIS"/>
    <s v="Saturday"/>
    <s v="Warung Selera Nusantara - Tunjungan"/>
  </r>
  <r>
    <s v="TRX00802"/>
    <s v="CBG04"/>
    <x v="782"/>
    <s v="Dine-in"/>
    <s v="Cash"/>
    <s v="Saturday"/>
    <s v="Warung Selera Nusantara - Tunjungan"/>
  </r>
  <r>
    <s v="TRX00310"/>
    <s v="CBG02"/>
    <x v="783"/>
    <s v="Delivery"/>
    <s v="QRIS"/>
    <s v="Saturday"/>
    <s v="Warung Selera Nusantara - Dago"/>
  </r>
  <r>
    <s v="TRX00249"/>
    <s v="CBG02"/>
    <x v="784"/>
    <s v="Dine-in"/>
    <s v="Cash"/>
    <s v="Sunday"/>
    <s v="Warung Selera Nusantara - Dago"/>
  </r>
  <r>
    <s v="TRX00289"/>
    <s v="CBG04"/>
    <x v="785"/>
    <s v="Dine-in"/>
    <s v="QRIS"/>
    <s v="Sunday"/>
    <s v="Warung Selera Nusantara - Tunjungan"/>
  </r>
  <r>
    <s v="TRX00403"/>
    <s v="CBG03"/>
    <x v="786"/>
    <s v="Delivery"/>
    <s v="E-wallet"/>
    <s v="Sunday"/>
    <s v="Warung Selera Nusantara - Sudirman"/>
  </r>
  <r>
    <s v="TRX00780"/>
    <s v="CBG02"/>
    <x v="787"/>
    <s v="Dine-in"/>
    <s v="E-wallet"/>
    <s v="Sunday"/>
    <s v="Warung Selera Nusantara - Dago"/>
  </r>
  <r>
    <s v="TRX00312"/>
    <s v="CBG02"/>
    <x v="788"/>
    <s v="Dine-in"/>
    <s v="QRIS"/>
    <s v="Monday"/>
    <s v="Warung Selera Nusantara - Dago"/>
  </r>
  <r>
    <s v="TRX00601"/>
    <s v="CBG02"/>
    <x v="789"/>
    <s v="Delivery"/>
    <s v="Cash"/>
    <s v="Tuesday"/>
    <s v="Warung Selera Nusantara - Dago"/>
  </r>
  <r>
    <s v="TRX00029"/>
    <s v="CBG01"/>
    <x v="790"/>
    <s v="Dine-in"/>
    <s v="QRIS"/>
    <s v="Tuesday"/>
    <s v="Warung Selera Nusantara - Margonda"/>
  </r>
  <r>
    <s v="TRX00103"/>
    <s v="CBG04"/>
    <x v="791"/>
    <s v="Dine-in"/>
    <s v="Cash"/>
    <s v="Tuesday"/>
    <s v="Warung Selera Nusantara - Tunjungan"/>
  </r>
  <r>
    <s v="TRX00678"/>
    <s v="CBG01"/>
    <x v="792"/>
    <s v="Dine-in"/>
    <s v="Kartu Debit/Kredit"/>
    <s v="Tuesday"/>
    <s v="Warung Selera Nusantara - Margonda"/>
  </r>
  <r>
    <s v="TRX00130"/>
    <s v="CBG03"/>
    <x v="793"/>
    <s v="Dine-in"/>
    <s v="Cash"/>
    <s v="Thursday"/>
    <s v="Warung Selera Nusantara - Sudirman"/>
  </r>
  <r>
    <s v="TRX00333"/>
    <s v="CBG01"/>
    <x v="794"/>
    <s v="Take Away"/>
    <s v="QRIS"/>
    <s v="Thursday"/>
    <s v="Warung Selera Nusantara - Margonda"/>
  </r>
  <r>
    <s v="TRX00288"/>
    <s v="CBG03"/>
    <x v="795"/>
    <s v="Take Away"/>
    <s v="QRIS"/>
    <s v="Friday"/>
    <s v="Warung Selera Nusantara - Sudirman"/>
  </r>
  <r>
    <s v="TRX00238"/>
    <s v="CBG04"/>
    <x v="796"/>
    <s v="Dine-in"/>
    <s v="E-wallet"/>
    <s v="Friday"/>
    <s v="Warung Selera Nusantara - Tunjungan"/>
  </r>
  <r>
    <s v="TRX00769"/>
    <s v="CBG03"/>
    <x v="797"/>
    <s v="Dine-in"/>
    <s v="QRIS"/>
    <s v="Friday"/>
    <s v="Warung Selera Nusantara - Sudirman"/>
  </r>
  <r>
    <s v="TRX00479"/>
    <s v="CBG03"/>
    <x v="798"/>
    <s v="Take Away"/>
    <s v="QRIS"/>
    <s v="Friday"/>
    <s v="Warung Selera Nusantara - Sudirman"/>
  </r>
  <r>
    <s v="TRX00174"/>
    <s v="CBG03"/>
    <x v="799"/>
    <s v="Dine-in"/>
    <s v="QRIS"/>
    <s v="Friday"/>
    <s v="Warung Selera Nusantara - Sudirman"/>
  </r>
  <r>
    <s v="TRX00578"/>
    <s v="CBG02"/>
    <x v="800"/>
    <s v="Dine-in"/>
    <s v="QRIS"/>
    <s v="Saturday"/>
    <s v="Warung Selera Nusantara - Dago"/>
  </r>
  <r>
    <s v="TRX00836"/>
    <s v="CBG03"/>
    <x v="801"/>
    <s v="Dine-in"/>
    <s v="E-wallet"/>
    <s v="Saturday"/>
    <s v="Warung Selera Nusantara - Sudirman"/>
  </r>
  <r>
    <s v="TRX00115"/>
    <s v="CBG01"/>
    <x v="802"/>
    <s v="Dine-in"/>
    <s v="Cash"/>
    <s v="Saturday"/>
    <s v="Warung Selera Nusantara - Margonda"/>
  </r>
  <r>
    <s v="TRX00515"/>
    <s v="CBG03"/>
    <x v="803"/>
    <s v="Dine-in"/>
    <s v="Cash"/>
    <s v="Saturday"/>
    <s v="Warung Selera Nusantara - Sudirman"/>
  </r>
  <r>
    <s v="TRX00732"/>
    <s v="CBG03"/>
    <x v="804"/>
    <s v="Delivery"/>
    <s v="QRIS"/>
    <s v="Saturday"/>
    <s v="Warung Selera Nusantara - Sudirman"/>
  </r>
  <r>
    <s v="TRX00611"/>
    <s v="CBG04"/>
    <x v="805"/>
    <s v="Dine-in"/>
    <s v="QRIS"/>
    <s v="Saturday"/>
    <s v="Warung Selera Nusantara - Tunjungan"/>
  </r>
  <r>
    <s v="TRX00490"/>
    <s v="CBG03"/>
    <x v="806"/>
    <s v="Dine-in"/>
    <s v="Cash"/>
    <s v="Sunday"/>
    <s v="Warung Selera Nusantara - Sudirman"/>
  </r>
  <r>
    <s v="TRX00544"/>
    <s v="CBG01"/>
    <x v="807"/>
    <s v="Dine-in"/>
    <s v="E-wallet"/>
    <s v="Monday"/>
    <s v="Warung Selera Nusantara - Margonda"/>
  </r>
  <r>
    <s v="TRX00536"/>
    <s v="CBG04"/>
    <x v="808"/>
    <s v="Dine-in"/>
    <s v="Cash"/>
    <s v="Monday"/>
    <s v="Warung Selera Nusantara - Tunjungan"/>
  </r>
  <r>
    <s v="TRX00185"/>
    <s v="CBG04"/>
    <x v="809"/>
    <s v="Dine-in"/>
    <s v="Cash"/>
    <s v="Monday"/>
    <s v="Warung Selera Nusantara - Tunjungan"/>
  </r>
  <r>
    <s v="TRX00010"/>
    <s v="CBG01"/>
    <x v="810"/>
    <s v="Dine-in"/>
    <s v="QRIS"/>
    <s v="Tuesday"/>
    <s v="Warung Selera Nusantara - Margonda"/>
  </r>
  <r>
    <s v="TRX00227"/>
    <s v="CBG04"/>
    <x v="811"/>
    <s v="Dine-in"/>
    <s v="Kartu Debit/Kredit"/>
    <s v="Tuesday"/>
    <s v="Warung Selera Nusantara - Tunjungan"/>
  </r>
  <r>
    <s v="TRX00729"/>
    <s v="CBG04"/>
    <x v="812"/>
    <s v="Dine-in"/>
    <s v="QRIS"/>
    <s v="Wednesday"/>
    <s v="Warung Selera Nusantara - Tunjungan"/>
  </r>
  <r>
    <s v="TRX00489"/>
    <s v="CBG03"/>
    <x v="813"/>
    <s v="Delivery"/>
    <s v="QRIS"/>
    <s v="Thursday"/>
    <s v="Warung Selera Nusantara - Sudirman"/>
  </r>
  <r>
    <s v="TRX00119"/>
    <s v="CBG04"/>
    <x v="814"/>
    <s v="Dine-in"/>
    <s v="Cash"/>
    <s v="Friday"/>
    <s v="Warung Selera Nusantara - Tunjungan"/>
  </r>
  <r>
    <s v="TRX00502"/>
    <s v="CBG04"/>
    <x v="815"/>
    <s v="Dine-in"/>
    <s v="E-wallet"/>
    <s v="Friday"/>
    <s v="Warung Selera Nusantara - Tunjungan"/>
  </r>
  <r>
    <s v="TRX00740"/>
    <s v="CBG02"/>
    <x v="816"/>
    <s v="Delivery"/>
    <s v="QRIS"/>
    <s v="Saturday"/>
    <s v="Warung Selera Nusantara - Dago"/>
  </r>
  <r>
    <s v="TRX00042"/>
    <s v="CBG03"/>
    <x v="817"/>
    <s v="Dine-in"/>
    <s v="Cash"/>
    <s v="Saturday"/>
    <s v="Warung Selera Nusantara - Sudirman"/>
  </r>
  <r>
    <s v="TRX00272"/>
    <s v="CBG04"/>
    <x v="818"/>
    <s v="Delivery"/>
    <s v="QRIS"/>
    <s v="Saturday"/>
    <s v="Warung Selera Nusantara - Tunjungan"/>
  </r>
  <r>
    <s v="TRX00838"/>
    <s v="CBG01"/>
    <x v="819"/>
    <s v="Delivery"/>
    <s v="QRIS"/>
    <s v="Saturday"/>
    <s v="Warung Selera Nusantara - Margonda"/>
  </r>
  <r>
    <s v="TRX00158"/>
    <s v="CBG03"/>
    <x v="820"/>
    <s v="Take Away"/>
    <s v="QRIS"/>
    <s v="Sunday"/>
    <s v="Warung Selera Nusantara - Sudirman"/>
  </r>
  <r>
    <s v="TRX00171"/>
    <s v="CBG03"/>
    <x v="821"/>
    <s v="Delivery"/>
    <s v="QRIS"/>
    <s v="Sunday"/>
    <s v="Warung Selera Nusantara - Sudirman"/>
  </r>
  <r>
    <s v="TRX00820"/>
    <s v="CBG03"/>
    <x v="822"/>
    <s v="Dine-in"/>
    <s v="QRIS"/>
    <s v="Sunday"/>
    <s v="Warung Selera Nusantara - Sudirman"/>
  </r>
  <r>
    <s v="TRX00064"/>
    <s v="CBG03"/>
    <x v="823"/>
    <s v="Dine-in"/>
    <s v="QRIS"/>
    <s v="Sunday"/>
    <s v="Warung Selera Nusantara - Sudirman"/>
  </r>
  <r>
    <s v="TRX00717"/>
    <s v="CBG03"/>
    <x v="824"/>
    <s v="Dine-in"/>
    <s v="QRIS"/>
    <s v="Sunday"/>
    <s v="Warung Selera Nusantara - Sudirman"/>
  </r>
  <r>
    <s v="TRX00831"/>
    <s v="CBG02"/>
    <x v="825"/>
    <s v="Delivery"/>
    <s v="Cash"/>
    <s v="Sunday"/>
    <s v="Warung Selera Nusantara - Dago"/>
  </r>
  <r>
    <s v="TRX00668"/>
    <s v="CBG02"/>
    <x v="826"/>
    <s v="Delivery"/>
    <s v="QRIS"/>
    <s v="Monday"/>
    <s v="Warung Selera Nusantara - Dago"/>
  </r>
  <r>
    <s v="TRX00241"/>
    <s v="CBG02"/>
    <x v="827"/>
    <s v="Take Away"/>
    <s v="E-wallet"/>
    <s v="Tuesday"/>
    <s v="Warung Selera Nusantara - Dago"/>
  </r>
  <r>
    <s v="TRX00448"/>
    <s v="CBG01"/>
    <x v="828"/>
    <s v="Dine-in"/>
    <s v="Kartu Debit/Kredit"/>
    <s v="Tuesday"/>
    <s v="Warung Selera Nusantara - Margonda"/>
  </r>
  <r>
    <s v="TRX00099"/>
    <s v="CBG03"/>
    <x v="829"/>
    <s v="Take Away"/>
    <s v="Kartu Debit/Kredit"/>
    <s v="Wednesday"/>
    <s v="Warung Selera Nusantara - Sudirman"/>
  </r>
  <r>
    <s v="TRX00405"/>
    <s v="CBG01"/>
    <x v="830"/>
    <s v="Dine-in"/>
    <s v="E-wallet"/>
    <s v="Wednesday"/>
    <s v="Warung Selera Nusantara - Margonda"/>
  </r>
  <r>
    <s v="TRX00584"/>
    <s v="CBG04"/>
    <x v="831"/>
    <s v="Delivery"/>
    <s v="E-wallet"/>
    <s v="Thursday"/>
    <s v="Warung Selera Nusantara - Tunjungan"/>
  </r>
  <r>
    <s v="TRX00435"/>
    <s v="CBG01"/>
    <x v="832"/>
    <s v="Take Away"/>
    <s v="Cash"/>
    <s v="Thursday"/>
    <s v="Warung Selera Nusantara - Margonda"/>
  </r>
  <r>
    <s v="TRX00510"/>
    <s v="CBG02"/>
    <x v="833"/>
    <s v="Dine-in"/>
    <s v="Kartu Debit/Kredit"/>
    <s v="Thursday"/>
    <s v="Warung Selera Nusantara - Dago"/>
  </r>
  <r>
    <s v="TRX00411"/>
    <s v="CBG02"/>
    <x v="834"/>
    <s v="Dine-in"/>
    <s v="E-wallet"/>
    <s v="Thursday"/>
    <s v="Warung Selera Nusantara - Dago"/>
  </r>
  <r>
    <s v="TRX00804"/>
    <s v="CBG01"/>
    <x v="835"/>
    <s v="Delivery"/>
    <s v="E-wallet"/>
    <s v="Thursday"/>
    <s v="Warung Selera Nusantara - Margonda"/>
  </r>
  <r>
    <s v="TRX00841"/>
    <s v="CBG04"/>
    <x v="836"/>
    <s v="Dine-in"/>
    <s v="Kartu Debit/Kredit"/>
    <s v="Friday"/>
    <s v="Warung Selera Nusantara - Tunjungan"/>
  </r>
  <r>
    <s v="TRX00183"/>
    <s v="CBG03"/>
    <x v="837"/>
    <s v="Dine-in"/>
    <s v="QRIS"/>
    <s v="Saturday"/>
    <s v="Warung Selera Nusantara - Sudirman"/>
  </r>
  <r>
    <s v="TRX00566"/>
    <s v="CBG03"/>
    <x v="838"/>
    <s v="Delivery"/>
    <s v="Cash"/>
    <s v="Saturday"/>
    <s v="Warung Selera Nusantara - Sudirman"/>
  </r>
  <r>
    <s v="TRX00236"/>
    <s v="CBG03"/>
    <x v="839"/>
    <s v="Dine-in"/>
    <s v="QRIS"/>
    <s v="Saturday"/>
    <s v="Warung Selera Nusantara - Sudirman"/>
  </r>
  <r>
    <s v="TRX00711"/>
    <s v="CBG02"/>
    <x v="840"/>
    <s v="Take Away"/>
    <s v="Kartu Debit/Kredit"/>
    <s v="Saturday"/>
    <s v="Warung Selera Nusantara - Dago"/>
  </r>
  <r>
    <s v="TRX00597"/>
    <s v="CBG03"/>
    <x v="841"/>
    <s v="Take Away"/>
    <s v="E-wallet"/>
    <s v="Sunday"/>
    <s v="Warung Selera Nusantara - Sudirman"/>
  </r>
  <r>
    <s v="TRX00830"/>
    <s v="CBG03"/>
    <x v="842"/>
    <s v="Dine-in"/>
    <s v="Kartu Debit/Kredit"/>
    <s v="Sunday"/>
    <s v="Warung Selera Nusantara - Sudirman"/>
  </r>
  <r>
    <s v="TRX00138"/>
    <s v="CBG01"/>
    <x v="843"/>
    <s v="Dine-in"/>
    <s v="E-wallet"/>
    <s v="Sunday"/>
    <s v="Warung Selera Nusantara - Margonda"/>
  </r>
  <r>
    <s v="TRX00303"/>
    <s v="CBG01"/>
    <x v="844"/>
    <s v="Take Away"/>
    <s v="Cash"/>
    <s v="Tuesday"/>
    <s v="Warung Selera Nusantara - Margonda"/>
  </r>
  <r>
    <s v="TRX00694"/>
    <s v="CBG03"/>
    <x v="845"/>
    <s v="Delivery"/>
    <s v="E-wallet"/>
    <s v="Tuesday"/>
    <s v="Warung Selera Nusantara - Sudirman"/>
  </r>
  <r>
    <s v="TRX00554"/>
    <s v="CBG04"/>
    <x v="846"/>
    <s v="Dine-in"/>
    <s v="QRIS"/>
    <s v="Tuesday"/>
    <s v="Warung Selera Nusantara - Tunjungan"/>
  </r>
  <r>
    <s v="TRX00637"/>
    <s v="CBG03"/>
    <x v="847"/>
    <s v="Dine-in"/>
    <s v="QRIS"/>
    <s v="Wednesday"/>
    <s v="Warung Selera Nusantara - Sudirman"/>
  </r>
  <r>
    <s v="TRX00771"/>
    <s v="CBG02"/>
    <x v="848"/>
    <s v="Take Away"/>
    <s v="E-wallet"/>
    <s v="Wednesday"/>
    <s v="Warung Selera Nusantara - Dag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F6ADD-ED73-4AF5-A0F9-480E7F597EFB}" name="PivotTable10" cacheId="1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7">
    <pivotField dataField="1" showAll="0"/>
    <pivotField showAll="0"/>
    <pivotField axis="axisRow" numFmtId="165" showAll="0" sortType="descending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"/>
  </rowFields>
  <rowItems count="16">
    <i>
      <x v="13"/>
    </i>
    <i>
      <x v="20"/>
    </i>
    <i>
      <x v="14"/>
    </i>
    <i>
      <x v="19"/>
    </i>
    <i>
      <x v="21"/>
    </i>
    <i>
      <x v="12"/>
    </i>
    <i>
      <x v="22"/>
    </i>
    <i>
      <x v="18"/>
    </i>
    <i>
      <x v="17"/>
    </i>
    <i>
      <x v="15"/>
    </i>
    <i>
      <x v="11"/>
    </i>
    <i>
      <x v="9"/>
    </i>
    <i>
      <x v="10"/>
    </i>
    <i>
      <x v="16"/>
    </i>
    <i>
      <x v="8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40A3C-4373-4255-BDEC-D45CF9855B6D}" name="PivotTable12" cacheId="12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B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3"/>
    </i>
    <i>
      <x v="2"/>
    </i>
    <i>
      <x/>
    </i>
    <i>
      <x v="6"/>
    </i>
    <i>
      <x v="5"/>
    </i>
    <i>
      <x v="1"/>
    </i>
    <i>
      <x v="4"/>
    </i>
    <i t="grand">
      <x/>
    </i>
  </rowItems>
  <colItems count="1">
    <i/>
  </colItems>
  <dataFields count="1">
    <dataField name="Count of transaction_id" fld="1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rungSeleraNusantara_Dummy Project_Data 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F4E26-4353-49D1-83C6-EB1FD06D3944}" name="PivotTable22" cacheId="1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transaction_id" fld="1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rungSeleraNusantara_Dummy Project_Data 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094A4-E789-4A9C-880C-393476566E58}" name="PivotTable16" cacheId="1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8" firstHeaderRow="1" firstDataRow="1" firstDataCol="1"/>
  <pivotFields count="9">
    <pivotField showAll="0"/>
    <pivotField showAll="0"/>
    <pivotField showAll="0"/>
    <pivotField dataField="1" showAll="0"/>
    <pivotField numFmtId="3" showAll="0"/>
    <pivotField axis="axisRow" showAll="0" sortType="descending">
      <items count="25">
        <item x="2"/>
        <item x="4"/>
        <item x="21"/>
        <item x="20"/>
        <item x="19"/>
        <item x="5"/>
        <item x="0"/>
        <item x="22"/>
        <item x="11"/>
        <item x="9"/>
        <item x="13"/>
        <item x="10"/>
        <item x="12"/>
        <item x="15"/>
        <item x="23"/>
        <item x="18"/>
        <item x="3"/>
        <item x="7"/>
        <item x="17"/>
        <item x="8"/>
        <item x="14"/>
        <item x="16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25">
    <i>
      <x v="1"/>
    </i>
    <i>
      <x v="6"/>
    </i>
    <i>
      <x v="8"/>
    </i>
    <i>
      <x/>
    </i>
    <i>
      <x v="16"/>
    </i>
    <i>
      <x v="13"/>
    </i>
    <i>
      <x v="9"/>
    </i>
    <i>
      <x v="23"/>
    </i>
    <i>
      <x v="20"/>
    </i>
    <i>
      <x v="3"/>
    </i>
    <i>
      <x v="22"/>
    </i>
    <i>
      <x v="10"/>
    </i>
    <i>
      <x v="4"/>
    </i>
    <i>
      <x v="11"/>
    </i>
    <i>
      <x v="21"/>
    </i>
    <i>
      <x v="12"/>
    </i>
    <i>
      <x v="5"/>
    </i>
    <i>
      <x v="19"/>
    </i>
    <i>
      <x v="7"/>
    </i>
    <i>
      <x v="17"/>
    </i>
    <i>
      <x v="2"/>
    </i>
    <i>
      <x v="15"/>
    </i>
    <i>
      <x v="18"/>
    </i>
    <i>
      <x v="14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B48AF-AB84-497F-BFFE-166C34A0F544}" name="PivotTable17" cacheId="1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8" firstHeaderRow="1" firstDataRow="1" firstDataCol="1"/>
  <pivotFields count="9">
    <pivotField showAll="0"/>
    <pivotField showAll="0"/>
    <pivotField showAll="0"/>
    <pivotField showAll="0"/>
    <pivotField numFmtId="3" showAll="0"/>
    <pivotField axis="axisRow" showAll="0" sortType="descending">
      <items count="25">
        <item x="2"/>
        <item x="4"/>
        <item x="21"/>
        <item x="20"/>
        <item x="19"/>
        <item x="5"/>
        <item x="0"/>
        <item x="22"/>
        <item x="11"/>
        <item x="9"/>
        <item x="13"/>
        <item x="10"/>
        <item x="12"/>
        <item x="15"/>
        <item x="23"/>
        <item x="18"/>
        <item x="3"/>
        <item x="7"/>
        <item x="17"/>
        <item x="8"/>
        <item x="14"/>
        <item x="16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5"/>
  </rowFields>
  <rowItems count="25">
    <i>
      <x v="1"/>
    </i>
    <i>
      <x v="6"/>
    </i>
    <i>
      <x v="13"/>
    </i>
    <i>
      <x v="8"/>
    </i>
    <i>
      <x v="16"/>
    </i>
    <i>
      <x v="3"/>
    </i>
    <i>
      <x v="20"/>
    </i>
    <i>
      <x v="9"/>
    </i>
    <i>
      <x v="12"/>
    </i>
    <i>
      <x v="23"/>
    </i>
    <i>
      <x v="19"/>
    </i>
    <i>
      <x v="4"/>
    </i>
    <i>
      <x v="22"/>
    </i>
    <i>
      <x/>
    </i>
    <i>
      <x v="11"/>
    </i>
    <i>
      <x v="15"/>
    </i>
    <i>
      <x v="21"/>
    </i>
    <i>
      <x v="17"/>
    </i>
    <i>
      <x v="2"/>
    </i>
    <i>
      <x v="10"/>
    </i>
    <i>
      <x v="5"/>
    </i>
    <i>
      <x v="18"/>
    </i>
    <i>
      <x v="7"/>
    </i>
    <i>
      <x v="1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E918B-BE18-4531-A371-3324A927FADA}" name="PivotTable18" cacheId="1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8" firstHeaderRow="1" firstDataRow="1" firstDataCol="1"/>
  <pivotFields count="9">
    <pivotField showAll="0"/>
    <pivotField showAll="0"/>
    <pivotField showAll="0"/>
    <pivotField showAll="0"/>
    <pivotField numFmtId="3" showAll="0"/>
    <pivotField axis="axisRow" showAll="0" sortType="descending">
      <items count="25">
        <item x="2"/>
        <item x="4"/>
        <item x="21"/>
        <item x="20"/>
        <item x="19"/>
        <item x="5"/>
        <item x="0"/>
        <item x="22"/>
        <item x="11"/>
        <item x="9"/>
        <item x="13"/>
        <item x="10"/>
        <item x="12"/>
        <item x="15"/>
        <item x="23"/>
        <item x="18"/>
        <item x="3"/>
        <item x="7"/>
        <item x="17"/>
        <item x="8"/>
        <item x="14"/>
        <item x="16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25">
    <i>
      <x v="1"/>
    </i>
    <i>
      <x v="6"/>
    </i>
    <i>
      <x v="13"/>
    </i>
    <i>
      <x v="8"/>
    </i>
    <i>
      <x v="16"/>
    </i>
    <i>
      <x v="3"/>
    </i>
    <i>
      <x v="20"/>
    </i>
    <i>
      <x v="9"/>
    </i>
    <i>
      <x v="12"/>
    </i>
    <i>
      <x v="22"/>
    </i>
    <i>
      <x v="23"/>
    </i>
    <i>
      <x v="4"/>
    </i>
    <i>
      <x v="19"/>
    </i>
    <i>
      <x v="11"/>
    </i>
    <i>
      <x/>
    </i>
    <i>
      <x v="21"/>
    </i>
    <i>
      <x v="15"/>
    </i>
    <i>
      <x v="17"/>
    </i>
    <i>
      <x v="10"/>
    </i>
    <i>
      <x v="5"/>
    </i>
    <i>
      <x v="2"/>
    </i>
    <i>
      <x v="18"/>
    </i>
    <i>
      <x v="7"/>
    </i>
    <i>
      <x v="14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DC19F-A4B2-4416-B294-86EEE4A72B8C}" name="Table1" displayName="Table1" ref="A1:G851" totalsRowShown="0" headerRowDxfId="2" headerRowBorderDxfId="9" tableBorderDxfId="10" totalsRowBorderDxfId="8">
  <autoFilter ref="A1:G851" xr:uid="{2E5DC19F-A4B2-4416-B294-86EEE4A72B8C}"/>
  <tableColumns count="7">
    <tableColumn id="1" xr3:uid="{325519F4-31C5-432D-B042-71BAAAC6B631}" name="transaction_id" dataDxfId="7"/>
    <tableColumn id="2" xr3:uid="{A1BFF926-1215-4224-ACCD-153933BC19B7}" name="cabang_id" dataDxfId="6"/>
    <tableColumn id="3" xr3:uid="{EB246E73-82F0-4326-B155-269118C4C9F8}" name="tanggal" dataDxfId="5"/>
    <tableColumn id="4" xr3:uid="{C0466DEC-FFAA-444E-BDDA-E733CF238771}" name="tipe_order" dataDxfId="4"/>
    <tableColumn id="5" xr3:uid="{8E9DD694-1FC7-4CF9-AC21-A4755C610CE2}" name="metode_bayar" dataDxfId="3"/>
    <tableColumn id="6" xr3:uid="{AF70EA66-7048-4F8C-A2C0-D1AF257A894F}" name="nama_hari" dataDxfId="1">
      <calculatedColumnFormula>TEXT(C2,"dddd")</calculatedColumnFormula>
    </tableColumn>
    <tableColumn id="7" xr3:uid="{8A414800-26D1-40DC-AB19-6B5EA8964764}" name="nama_cabang" dataDxfId="0">
      <calculatedColumnFormula>VLOOKUP(B2,cabang!A:C,2,FALSE)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4" workbookViewId="0"/>
  </sheetViews>
  <sheetFormatPr defaultRowHeight="14.5" x14ac:dyDescent="0.35"/>
  <cols>
    <col min="1" max="1" width="85" customWidth="1"/>
  </cols>
  <sheetData>
    <row r="1" spans="1:1" ht="18" x14ac:dyDescent="0.4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/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/>
    </row>
    <row r="16" spans="1:1" x14ac:dyDescent="0.35">
      <c r="A16" s="2" t="s">
        <v>11</v>
      </c>
    </row>
    <row r="17" spans="1:1" x14ac:dyDescent="0.35">
      <c r="A17" s="2" t="s">
        <v>12</v>
      </c>
    </row>
    <row r="18" spans="1:1" x14ac:dyDescent="0.35">
      <c r="A18" s="2"/>
    </row>
    <row r="19" spans="1:1" x14ac:dyDescent="0.35">
      <c r="A19" s="2" t="s">
        <v>13</v>
      </c>
    </row>
    <row r="20" spans="1:1" x14ac:dyDescent="0.35">
      <c r="A20" s="2" t="s">
        <v>14</v>
      </c>
    </row>
    <row r="21" spans="1:1" x14ac:dyDescent="0.35">
      <c r="A21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1"/>
  <sheetViews>
    <sheetView zoomScale="83" zoomScaleNormal="83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17" customWidth="1"/>
    <col min="2" max="2" width="12" customWidth="1"/>
    <col min="3" max="3" width="22" customWidth="1"/>
    <col min="4" max="4" width="13" customWidth="1"/>
    <col min="5" max="5" width="21" customWidth="1"/>
    <col min="6" max="6" width="14.81640625" customWidth="1"/>
    <col min="7" max="7" width="31.36328125" customWidth="1"/>
  </cols>
  <sheetData>
    <row r="1" spans="1:7" x14ac:dyDescent="0.35">
      <c r="A1" s="9" t="s">
        <v>16</v>
      </c>
      <c r="B1" s="10" t="s">
        <v>17</v>
      </c>
      <c r="C1" s="10" t="s">
        <v>18</v>
      </c>
      <c r="D1" s="10" t="s">
        <v>19</v>
      </c>
      <c r="E1" s="11" t="s">
        <v>20</v>
      </c>
      <c r="F1" s="10" t="s">
        <v>3071</v>
      </c>
      <c r="G1" s="10" t="s">
        <v>3043</v>
      </c>
    </row>
    <row r="2" spans="1:7" x14ac:dyDescent="0.35">
      <c r="A2" s="7" t="s">
        <v>21</v>
      </c>
      <c r="B2" s="4" t="s">
        <v>22</v>
      </c>
      <c r="C2" s="5">
        <v>45658.366666666669</v>
      </c>
      <c r="D2" s="4" t="s">
        <v>23</v>
      </c>
      <c r="E2" s="8" t="s">
        <v>24</v>
      </c>
      <c r="F2" t="str">
        <f t="shared" ref="F2:F65" si="0">TEXT(C2,"dddd")</f>
        <v>Wednesday</v>
      </c>
      <c r="G2" t="str">
        <f>VLOOKUP(B2,cabang!A:C,2,FALSE)</f>
        <v>Warung Selera Nusantara - Margonda</v>
      </c>
    </row>
    <row r="3" spans="1:7" x14ac:dyDescent="0.35">
      <c r="A3" s="7" t="s">
        <v>25</v>
      </c>
      <c r="B3" s="4" t="s">
        <v>22</v>
      </c>
      <c r="C3" s="5">
        <v>45658.472916666673</v>
      </c>
      <c r="D3" s="4" t="s">
        <v>23</v>
      </c>
      <c r="E3" s="8" t="s">
        <v>24</v>
      </c>
      <c r="F3" t="str">
        <f t="shared" si="0"/>
        <v>Wednesday</v>
      </c>
      <c r="G3" t="str">
        <f>VLOOKUP(B3,cabang!A:C,2,FALSE)</f>
        <v>Warung Selera Nusantara - Margonda</v>
      </c>
    </row>
    <row r="4" spans="1:7" x14ac:dyDescent="0.35">
      <c r="A4" s="7" t="s">
        <v>26</v>
      </c>
      <c r="B4" s="4" t="s">
        <v>27</v>
      </c>
      <c r="C4" s="5">
        <v>45658.711805555547</v>
      </c>
      <c r="D4" s="4" t="s">
        <v>28</v>
      </c>
      <c r="E4" s="8" t="s">
        <v>29</v>
      </c>
      <c r="F4" t="str">
        <f t="shared" si="0"/>
        <v>Wednesday</v>
      </c>
      <c r="G4" t="str">
        <f>VLOOKUP(B4,cabang!A:C,2,FALSE)</f>
        <v>Warung Selera Nusantara - Tunjungan</v>
      </c>
    </row>
    <row r="5" spans="1:7" x14ac:dyDescent="0.35">
      <c r="A5" s="7" t="s">
        <v>30</v>
      </c>
      <c r="B5" s="4" t="s">
        <v>31</v>
      </c>
      <c r="C5" s="5">
        <v>45658.81527777778</v>
      </c>
      <c r="D5" s="4" t="s">
        <v>28</v>
      </c>
      <c r="E5" s="8" t="s">
        <v>24</v>
      </c>
      <c r="F5" t="str">
        <f t="shared" si="0"/>
        <v>Wednesday</v>
      </c>
      <c r="G5" t="str">
        <f>VLOOKUP(B5,cabang!A:C,2,FALSE)</f>
        <v>Warung Selera Nusantara - Sudirman</v>
      </c>
    </row>
    <row r="6" spans="1:7" x14ac:dyDescent="0.35">
      <c r="A6" s="7" t="s">
        <v>32</v>
      </c>
      <c r="B6" s="4" t="s">
        <v>27</v>
      </c>
      <c r="C6" s="5">
        <v>45660.827777777777</v>
      </c>
      <c r="D6" s="4" t="s">
        <v>23</v>
      </c>
      <c r="E6" s="8" t="s">
        <v>33</v>
      </c>
      <c r="F6" t="str">
        <f t="shared" si="0"/>
        <v>Friday</v>
      </c>
      <c r="G6" t="str">
        <f>VLOOKUP(B6,cabang!A:C,2,FALSE)</f>
        <v>Warung Selera Nusantara - Tunjungan</v>
      </c>
    </row>
    <row r="7" spans="1:7" x14ac:dyDescent="0.35">
      <c r="A7" s="7" t="s">
        <v>34</v>
      </c>
      <c r="B7" s="4" t="s">
        <v>31</v>
      </c>
      <c r="C7" s="5">
        <v>45660.832638888889</v>
      </c>
      <c r="D7" s="4" t="s">
        <v>23</v>
      </c>
      <c r="E7" s="8" t="s">
        <v>29</v>
      </c>
      <c r="F7" t="str">
        <f t="shared" si="0"/>
        <v>Friday</v>
      </c>
      <c r="G7" t="str">
        <f>VLOOKUP(B7,cabang!A:C,2,FALSE)</f>
        <v>Warung Selera Nusantara - Sudirman</v>
      </c>
    </row>
    <row r="8" spans="1:7" x14ac:dyDescent="0.35">
      <c r="A8" s="7" t="s">
        <v>35</v>
      </c>
      <c r="B8" s="4" t="s">
        <v>31</v>
      </c>
      <c r="C8" s="5">
        <v>45661.393750000003</v>
      </c>
      <c r="D8" s="4" t="s">
        <v>23</v>
      </c>
      <c r="E8" s="8" t="s">
        <v>24</v>
      </c>
      <c r="F8" t="str">
        <f t="shared" si="0"/>
        <v>Saturday</v>
      </c>
      <c r="G8" t="str">
        <f>VLOOKUP(B8,cabang!A:C,2,FALSE)</f>
        <v>Warung Selera Nusantara - Sudirman</v>
      </c>
    </row>
    <row r="9" spans="1:7" x14ac:dyDescent="0.35">
      <c r="A9" s="7" t="s">
        <v>36</v>
      </c>
      <c r="B9" s="4" t="s">
        <v>22</v>
      </c>
      <c r="C9" s="5">
        <v>45661.555555555547</v>
      </c>
      <c r="D9" s="4" t="s">
        <v>23</v>
      </c>
      <c r="E9" s="8" t="s">
        <v>24</v>
      </c>
      <c r="F9" t="str">
        <f t="shared" si="0"/>
        <v>Saturday</v>
      </c>
      <c r="G9" t="str">
        <f>VLOOKUP(B9,cabang!A:C,2,FALSE)</f>
        <v>Warung Selera Nusantara - Margonda</v>
      </c>
    </row>
    <row r="10" spans="1:7" x14ac:dyDescent="0.35">
      <c r="A10" s="7" t="s">
        <v>37</v>
      </c>
      <c r="B10" s="4" t="s">
        <v>31</v>
      </c>
      <c r="C10" s="5">
        <v>45661.574305555558</v>
      </c>
      <c r="D10" s="4" t="s">
        <v>28</v>
      </c>
      <c r="E10" s="8" t="s">
        <v>38</v>
      </c>
      <c r="F10" t="str">
        <f t="shared" si="0"/>
        <v>Saturday</v>
      </c>
      <c r="G10" t="str">
        <f>VLOOKUP(B10,cabang!A:C,2,FALSE)</f>
        <v>Warung Selera Nusantara - Sudirman</v>
      </c>
    </row>
    <row r="11" spans="1:7" x14ac:dyDescent="0.35">
      <c r="A11" s="7" t="s">
        <v>39</v>
      </c>
      <c r="B11" s="4" t="s">
        <v>31</v>
      </c>
      <c r="C11" s="5">
        <v>45662.671527777777</v>
      </c>
      <c r="D11" s="4" t="s">
        <v>23</v>
      </c>
      <c r="E11" s="8" t="s">
        <v>33</v>
      </c>
      <c r="F11" t="str">
        <f t="shared" si="0"/>
        <v>Sunday</v>
      </c>
      <c r="G11" t="str">
        <f>VLOOKUP(B11,cabang!A:C,2,FALSE)</f>
        <v>Warung Selera Nusantara - Sudirman</v>
      </c>
    </row>
    <row r="12" spans="1:7" x14ac:dyDescent="0.35">
      <c r="A12" s="7" t="s">
        <v>40</v>
      </c>
      <c r="B12" s="4" t="s">
        <v>31</v>
      </c>
      <c r="C12" s="5">
        <v>45663.494444444441</v>
      </c>
      <c r="D12" s="4" t="s">
        <v>23</v>
      </c>
      <c r="E12" s="8" t="s">
        <v>24</v>
      </c>
      <c r="F12" t="str">
        <f t="shared" si="0"/>
        <v>Monday</v>
      </c>
      <c r="G12" t="str">
        <f>VLOOKUP(B12,cabang!A:C,2,FALSE)</f>
        <v>Warung Selera Nusantara - Sudirman</v>
      </c>
    </row>
    <row r="13" spans="1:7" x14ac:dyDescent="0.35">
      <c r="A13" s="7" t="s">
        <v>41</v>
      </c>
      <c r="B13" s="4" t="s">
        <v>22</v>
      </c>
      <c r="C13" s="5">
        <v>45663.511111111111</v>
      </c>
      <c r="D13" s="4" t="s">
        <v>23</v>
      </c>
      <c r="E13" s="8" t="s">
        <v>24</v>
      </c>
      <c r="F13" t="str">
        <f t="shared" si="0"/>
        <v>Monday</v>
      </c>
      <c r="G13" t="str">
        <f>VLOOKUP(B13,cabang!A:C,2,FALSE)</f>
        <v>Warung Selera Nusantara - Margonda</v>
      </c>
    </row>
    <row r="14" spans="1:7" x14ac:dyDescent="0.35">
      <c r="A14" s="7" t="s">
        <v>42</v>
      </c>
      <c r="B14" s="4" t="s">
        <v>43</v>
      </c>
      <c r="C14" s="5">
        <v>45663.62777777778</v>
      </c>
      <c r="D14" s="4" t="s">
        <v>44</v>
      </c>
      <c r="E14" s="8" t="s">
        <v>29</v>
      </c>
      <c r="F14" t="str">
        <f t="shared" si="0"/>
        <v>Monday</v>
      </c>
      <c r="G14" t="str">
        <f>VLOOKUP(B14,cabang!A:C,2,FALSE)</f>
        <v>Warung Selera Nusantara - Dago</v>
      </c>
    </row>
    <row r="15" spans="1:7" x14ac:dyDescent="0.35">
      <c r="A15" s="7" t="s">
        <v>45</v>
      </c>
      <c r="B15" s="4" t="s">
        <v>31</v>
      </c>
      <c r="C15" s="5">
        <v>45664.442361111112</v>
      </c>
      <c r="D15" s="4" t="s">
        <v>23</v>
      </c>
      <c r="E15" s="8" t="s">
        <v>29</v>
      </c>
      <c r="F15" t="str">
        <f t="shared" si="0"/>
        <v>Tuesday</v>
      </c>
      <c r="G15" t="str">
        <f>VLOOKUP(B15,cabang!A:C,2,FALSE)</f>
        <v>Warung Selera Nusantara - Sudirman</v>
      </c>
    </row>
    <row r="16" spans="1:7" x14ac:dyDescent="0.35">
      <c r="A16" s="7" t="s">
        <v>46</v>
      </c>
      <c r="B16" s="4" t="s">
        <v>22</v>
      </c>
      <c r="C16" s="5">
        <v>45665.506249999999</v>
      </c>
      <c r="D16" s="4" t="s">
        <v>28</v>
      </c>
      <c r="E16" s="8" t="s">
        <v>38</v>
      </c>
      <c r="F16" t="str">
        <f t="shared" si="0"/>
        <v>Wednesday</v>
      </c>
      <c r="G16" t="str">
        <f>VLOOKUP(B16,cabang!A:C,2,FALSE)</f>
        <v>Warung Selera Nusantara - Margonda</v>
      </c>
    </row>
    <row r="17" spans="1:7" x14ac:dyDescent="0.35">
      <c r="A17" s="7" t="s">
        <v>47</v>
      </c>
      <c r="B17" s="4" t="s">
        <v>22</v>
      </c>
      <c r="C17" s="5">
        <v>45665.622916666667</v>
      </c>
      <c r="D17" s="4" t="s">
        <v>44</v>
      </c>
      <c r="E17" s="8" t="s">
        <v>29</v>
      </c>
      <c r="F17" t="str">
        <f t="shared" si="0"/>
        <v>Wednesday</v>
      </c>
      <c r="G17" t="str">
        <f>VLOOKUP(B17,cabang!A:C,2,FALSE)</f>
        <v>Warung Selera Nusantara - Margonda</v>
      </c>
    </row>
    <row r="18" spans="1:7" x14ac:dyDescent="0.35">
      <c r="A18" s="7" t="s">
        <v>48</v>
      </c>
      <c r="B18" s="4" t="s">
        <v>27</v>
      </c>
      <c r="C18" s="5">
        <v>45665.782638888893</v>
      </c>
      <c r="D18" s="4" t="s">
        <v>23</v>
      </c>
      <c r="E18" s="8" t="s">
        <v>33</v>
      </c>
      <c r="F18" t="str">
        <f t="shared" si="0"/>
        <v>Wednesday</v>
      </c>
      <c r="G18" t="str">
        <f>VLOOKUP(B18,cabang!A:C,2,FALSE)</f>
        <v>Warung Selera Nusantara - Tunjungan</v>
      </c>
    </row>
    <row r="19" spans="1:7" x14ac:dyDescent="0.35">
      <c r="A19" s="7" t="s">
        <v>49</v>
      </c>
      <c r="B19" s="4" t="s">
        <v>43</v>
      </c>
      <c r="C19" s="5">
        <v>45666.525694444441</v>
      </c>
      <c r="D19" s="4" t="s">
        <v>23</v>
      </c>
      <c r="E19" s="8" t="s">
        <v>24</v>
      </c>
      <c r="F19" t="str">
        <f t="shared" si="0"/>
        <v>Thursday</v>
      </c>
      <c r="G19" t="str">
        <f>VLOOKUP(B19,cabang!A:C,2,FALSE)</f>
        <v>Warung Selera Nusantara - Dago</v>
      </c>
    </row>
    <row r="20" spans="1:7" x14ac:dyDescent="0.35">
      <c r="A20" s="7" t="s">
        <v>50</v>
      </c>
      <c r="B20" s="4" t="s">
        <v>27</v>
      </c>
      <c r="C20" s="5">
        <v>45666.605555555558</v>
      </c>
      <c r="D20" s="4" t="s">
        <v>23</v>
      </c>
      <c r="E20" s="8" t="s">
        <v>29</v>
      </c>
      <c r="F20" t="str">
        <f t="shared" si="0"/>
        <v>Thursday</v>
      </c>
      <c r="G20" t="str">
        <f>VLOOKUP(B20,cabang!A:C,2,FALSE)</f>
        <v>Warung Selera Nusantara - Tunjungan</v>
      </c>
    </row>
    <row r="21" spans="1:7" x14ac:dyDescent="0.35">
      <c r="A21" s="7" t="s">
        <v>51</v>
      </c>
      <c r="B21" s="4" t="s">
        <v>31</v>
      </c>
      <c r="C21" s="5">
        <v>45667.51666666667</v>
      </c>
      <c r="D21" s="4" t="s">
        <v>44</v>
      </c>
      <c r="E21" s="8" t="s">
        <v>29</v>
      </c>
      <c r="F21" t="str">
        <f t="shared" si="0"/>
        <v>Friday</v>
      </c>
      <c r="G21" t="str">
        <f>VLOOKUP(B21,cabang!A:C,2,FALSE)</f>
        <v>Warung Selera Nusantara - Sudirman</v>
      </c>
    </row>
    <row r="22" spans="1:7" x14ac:dyDescent="0.35">
      <c r="A22" s="7" t="s">
        <v>52</v>
      </c>
      <c r="B22" s="4" t="s">
        <v>31</v>
      </c>
      <c r="C22" s="5">
        <v>45668.531944444447</v>
      </c>
      <c r="D22" s="4" t="s">
        <v>23</v>
      </c>
      <c r="E22" s="8" t="s">
        <v>29</v>
      </c>
      <c r="F22" t="str">
        <f t="shared" si="0"/>
        <v>Saturday</v>
      </c>
      <c r="G22" t="str">
        <f>VLOOKUP(B22,cabang!A:C,2,FALSE)</f>
        <v>Warung Selera Nusantara - Sudirman</v>
      </c>
    </row>
    <row r="23" spans="1:7" x14ac:dyDescent="0.35">
      <c r="A23" s="7" t="s">
        <v>53</v>
      </c>
      <c r="B23" s="4" t="s">
        <v>43</v>
      </c>
      <c r="C23" s="5">
        <v>45668.87222222222</v>
      </c>
      <c r="D23" s="4" t="s">
        <v>44</v>
      </c>
      <c r="E23" s="8" t="s">
        <v>24</v>
      </c>
      <c r="F23" t="str">
        <f t="shared" si="0"/>
        <v>Saturday</v>
      </c>
      <c r="G23" t="str">
        <f>VLOOKUP(B23,cabang!A:C,2,FALSE)</f>
        <v>Warung Selera Nusantara - Dago</v>
      </c>
    </row>
    <row r="24" spans="1:7" x14ac:dyDescent="0.35">
      <c r="A24" s="7" t="s">
        <v>54</v>
      </c>
      <c r="B24" s="4" t="s">
        <v>22</v>
      </c>
      <c r="C24" s="5">
        <v>45668.904861111107</v>
      </c>
      <c r="D24" s="4" t="s">
        <v>28</v>
      </c>
      <c r="E24" s="8" t="s">
        <v>33</v>
      </c>
      <c r="F24" t="str">
        <f t="shared" si="0"/>
        <v>Saturday</v>
      </c>
      <c r="G24" t="str">
        <f>VLOOKUP(B24,cabang!A:C,2,FALSE)</f>
        <v>Warung Selera Nusantara - Margonda</v>
      </c>
    </row>
    <row r="25" spans="1:7" x14ac:dyDescent="0.35">
      <c r="A25" s="7" t="s">
        <v>55</v>
      </c>
      <c r="B25" s="4" t="s">
        <v>22</v>
      </c>
      <c r="C25" s="5">
        <v>45669.769444444442</v>
      </c>
      <c r="D25" s="4" t="s">
        <v>44</v>
      </c>
      <c r="E25" s="8" t="s">
        <v>33</v>
      </c>
      <c r="F25" t="str">
        <f t="shared" si="0"/>
        <v>Sunday</v>
      </c>
      <c r="G25" t="str">
        <f>VLOOKUP(B25,cabang!A:C,2,FALSE)</f>
        <v>Warung Selera Nusantara - Margonda</v>
      </c>
    </row>
    <row r="26" spans="1:7" x14ac:dyDescent="0.35">
      <c r="A26" s="7" t="s">
        <v>56</v>
      </c>
      <c r="B26" s="4" t="s">
        <v>31</v>
      </c>
      <c r="C26" s="5">
        <v>45669.810416666667</v>
      </c>
      <c r="D26" s="4" t="s">
        <v>28</v>
      </c>
      <c r="E26" s="8" t="s">
        <v>29</v>
      </c>
      <c r="F26" t="str">
        <f t="shared" si="0"/>
        <v>Sunday</v>
      </c>
      <c r="G26" t="str">
        <f>VLOOKUP(B26,cabang!A:C,2,FALSE)</f>
        <v>Warung Selera Nusantara - Sudirman</v>
      </c>
    </row>
    <row r="27" spans="1:7" x14ac:dyDescent="0.35">
      <c r="A27" s="7" t="s">
        <v>57</v>
      </c>
      <c r="B27" s="4" t="s">
        <v>43</v>
      </c>
      <c r="C27" s="5">
        <v>45669.816666666673</v>
      </c>
      <c r="D27" s="4" t="s">
        <v>23</v>
      </c>
      <c r="E27" s="8" t="s">
        <v>29</v>
      </c>
      <c r="F27" t="str">
        <f t="shared" si="0"/>
        <v>Sunday</v>
      </c>
      <c r="G27" t="str">
        <f>VLOOKUP(B27,cabang!A:C,2,FALSE)</f>
        <v>Warung Selera Nusantara - Dago</v>
      </c>
    </row>
    <row r="28" spans="1:7" x14ac:dyDescent="0.35">
      <c r="A28" s="7" t="s">
        <v>58</v>
      </c>
      <c r="B28" s="4" t="s">
        <v>31</v>
      </c>
      <c r="C28" s="5">
        <v>45669.87222222222</v>
      </c>
      <c r="D28" s="4" t="s">
        <v>23</v>
      </c>
      <c r="E28" s="8" t="s">
        <v>24</v>
      </c>
      <c r="F28" t="str">
        <f t="shared" si="0"/>
        <v>Sunday</v>
      </c>
      <c r="G28" t="str">
        <f>VLOOKUP(B28,cabang!A:C,2,FALSE)</f>
        <v>Warung Selera Nusantara - Sudirman</v>
      </c>
    </row>
    <row r="29" spans="1:7" x14ac:dyDescent="0.35">
      <c r="A29" s="7" t="s">
        <v>59</v>
      </c>
      <c r="B29" s="4" t="s">
        <v>27</v>
      </c>
      <c r="C29" s="5">
        <v>45670.429861111108</v>
      </c>
      <c r="D29" s="4" t="s">
        <v>23</v>
      </c>
      <c r="E29" s="8" t="s">
        <v>38</v>
      </c>
      <c r="F29" t="str">
        <f t="shared" si="0"/>
        <v>Monday</v>
      </c>
      <c r="G29" t="str">
        <f>VLOOKUP(B29,cabang!A:C,2,FALSE)</f>
        <v>Warung Selera Nusantara - Tunjungan</v>
      </c>
    </row>
    <row r="30" spans="1:7" x14ac:dyDescent="0.35">
      <c r="A30" s="7" t="s">
        <v>60</v>
      </c>
      <c r="B30" s="4" t="s">
        <v>27</v>
      </c>
      <c r="C30" s="5">
        <v>45670.84375</v>
      </c>
      <c r="D30" s="4" t="s">
        <v>23</v>
      </c>
      <c r="E30" s="8" t="s">
        <v>38</v>
      </c>
      <c r="F30" t="str">
        <f t="shared" si="0"/>
        <v>Monday</v>
      </c>
      <c r="G30" t="str">
        <f>VLOOKUP(B30,cabang!A:C,2,FALSE)</f>
        <v>Warung Selera Nusantara - Tunjungan</v>
      </c>
    </row>
    <row r="31" spans="1:7" x14ac:dyDescent="0.35">
      <c r="A31" s="7" t="s">
        <v>61</v>
      </c>
      <c r="B31" s="4" t="s">
        <v>31</v>
      </c>
      <c r="C31" s="5">
        <v>45673.569444444453</v>
      </c>
      <c r="D31" s="4" t="s">
        <v>44</v>
      </c>
      <c r="E31" s="8" t="s">
        <v>24</v>
      </c>
      <c r="F31" t="str">
        <f t="shared" si="0"/>
        <v>Thursday</v>
      </c>
      <c r="G31" t="str">
        <f>VLOOKUP(B31,cabang!A:C,2,FALSE)</f>
        <v>Warung Selera Nusantara - Sudirman</v>
      </c>
    </row>
    <row r="32" spans="1:7" x14ac:dyDescent="0.35">
      <c r="A32" s="7" t="s">
        <v>62</v>
      </c>
      <c r="B32" s="4" t="s">
        <v>27</v>
      </c>
      <c r="C32" s="5">
        <v>45673.874305555553</v>
      </c>
      <c r="D32" s="4" t="s">
        <v>28</v>
      </c>
      <c r="E32" s="8" t="s">
        <v>29</v>
      </c>
      <c r="F32" t="str">
        <f t="shared" si="0"/>
        <v>Thursday</v>
      </c>
      <c r="G32" t="str">
        <f>VLOOKUP(B32,cabang!A:C,2,FALSE)</f>
        <v>Warung Selera Nusantara - Tunjungan</v>
      </c>
    </row>
    <row r="33" spans="1:7" x14ac:dyDescent="0.35">
      <c r="A33" s="7" t="s">
        <v>63</v>
      </c>
      <c r="B33" s="4" t="s">
        <v>31</v>
      </c>
      <c r="C33" s="5">
        <v>45673.884722222218</v>
      </c>
      <c r="D33" s="4" t="s">
        <v>23</v>
      </c>
      <c r="E33" s="8" t="s">
        <v>24</v>
      </c>
      <c r="F33" t="str">
        <f t="shared" si="0"/>
        <v>Thursday</v>
      </c>
      <c r="G33" t="str">
        <f>VLOOKUP(B33,cabang!A:C,2,FALSE)</f>
        <v>Warung Selera Nusantara - Sudirman</v>
      </c>
    </row>
    <row r="34" spans="1:7" x14ac:dyDescent="0.35">
      <c r="A34" s="7" t="s">
        <v>64</v>
      </c>
      <c r="B34" s="4" t="s">
        <v>27</v>
      </c>
      <c r="C34" s="5">
        <v>45673.897916666669</v>
      </c>
      <c r="D34" s="4" t="s">
        <v>23</v>
      </c>
      <c r="E34" s="8" t="s">
        <v>29</v>
      </c>
      <c r="F34" t="str">
        <f t="shared" si="0"/>
        <v>Thursday</v>
      </c>
      <c r="G34" t="str">
        <f>VLOOKUP(B34,cabang!A:C,2,FALSE)</f>
        <v>Warung Selera Nusantara - Tunjungan</v>
      </c>
    </row>
    <row r="35" spans="1:7" x14ac:dyDescent="0.35">
      <c r="A35" s="7" t="s">
        <v>65</v>
      </c>
      <c r="B35" s="4" t="s">
        <v>27</v>
      </c>
      <c r="C35" s="5">
        <v>45674.587500000001</v>
      </c>
      <c r="D35" s="4" t="s">
        <v>28</v>
      </c>
      <c r="E35" s="8" t="s">
        <v>29</v>
      </c>
      <c r="F35" t="str">
        <f t="shared" si="0"/>
        <v>Friday</v>
      </c>
      <c r="G35" t="str">
        <f>VLOOKUP(B35,cabang!A:C,2,FALSE)</f>
        <v>Warung Selera Nusantara - Tunjungan</v>
      </c>
    </row>
    <row r="36" spans="1:7" x14ac:dyDescent="0.35">
      <c r="A36" s="7" t="s">
        <v>66</v>
      </c>
      <c r="B36" s="4" t="s">
        <v>31</v>
      </c>
      <c r="C36" s="5">
        <v>45674.708333333343</v>
      </c>
      <c r="D36" s="4" t="s">
        <v>23</v>
      </c>
      <c r="E36" s="8" t="s">
        <v>29</v>
      </c>
      <c r="F36" t="str">
        <f t="shared" si="0"/>
        <v>Friday</v>
      </c>
      <c r="G36" t="str">
        <f>VLOOKUP(B36,cabang!A:C,2,FALSE)</f>
        <v>Warung Selera Nusantara - Sudirman</v>
      </c>
    </row>
    <row r="37" spans="1:7" x14ac:dyDescent="0.35">
      <c r="A37" s="7" t="s">
        <v>67</v>
      </c>
      <c r="B37" s="4" t="s">
        <v>31</v>
      </c>
      <c r="C37" s="5">
        <v>45675.621527777781</v>
      </c>
      <c r="D37" s="4" t="s">
        <v>44</v>
      </c>
      <c r="E37" s="8" t="s">
        <v>29</v>
      </c>
      <c r="F37" t="str">
        <f t="shared" si="0"/>
        <v>Saturday</v>
      </c>
      <c r="G37" t="str">
        <f>VLOOKUP(B37,cabang!A:C,2,FALSE)</f>
        <v>Warung Selera Nusantara - Sudirman</v>
      </c>
    </row>
    <row r="38" spans="1:7" x14ac:dyDescent="0.35">
      <c r="A38" s="7" t="s">
        <v>68</v>
      </c>
      <c r="B38" s="4" t="s">
        <v>43</v>
      </c>
      <c r="C38" s="5">
        <v>45675.845833333333</v>
      </c>
      <c r="D38" s="4" t="s">
        <v>23</v>
      </c>
      <c r="E38" s="8" t="s">
        <v>24</v>
      </c>
      <c r="F38" t="str">
        <f t="shared" si="0"/>
        <v>Saturday</v>
      </c>
      <c r="G38" t="str">
        <f>VLOOKUP(B38,cabang!A:C,2,FALSE)</f>
        <v>Warung Selera Nusantara - Dago</v>
      </c>
    </row>
    <row r="39" spans="1:7" x14ac:dyDescent="0.35">
      <c r="A39" s="7" t="s">
        <v>69</v>
      </c>
      <c r="B39" s="4" t="s">
        <v>43</v>
      </c>
      <c r="C39" s="5">
        <v>45676.636111111111</v>
      </c>
      <c r="D39" s="4" t="s">
        <v>44</v>
      </c>
      <c r="E39" s="8" t="s">
        <v>29</v>
      </c>
      <c r="F39" t="str">
        <f t="shared" si="0"/>
        <v>Sunday</v>
      </c>
      <c r="G39" t="str">
        <f>VLOOKUP(B39,cabang!A:C,2,FALSE)</f>
        <v>Warung Selera Nusantara - Dago</v>
      </c>
    </row>
    <row r="40" spans="1:7" x14ac:dyDescent="0.35">
      <c r="A40" s="7" t="s">
        <v>70</v>
      </c>
      <c r="B40" s="4" t="s">
        <v>31</v>
      </c>
      <c r="C40" s="5">
        <v>45676.823611111111</v>
      </c>
      <c r="D40" s="4" t="s">
        <v>28</v>
      </c>
      <c r="E40" s="8" t="s">
        <v>24</v>
      </c>
      <c r="F40" t="str">
        <f t="shared" si="0"/>
        <v>Sunday</v>
      </c>
      <c r="G40" t="str">
        <f>VLOOKUP(B40,cabang!A:C,2,FALSE)</f>
        <v>Warung Selera Nusantara - Sudirman</v>
      </c>
    </row>
    <row r="41" spans="1:7" x14ac:dyDescent="0.35">
      <c r="A41" s="7" t="s">
        <v>71</v>
      </c>
      <c r="B41" s="4" t="s">
        <v>31</v>
      </c>
      <c r="C41" s="5">
        <v>45676.837500000001</v>
      </c>
      <c r="D41" s="4" t="s">
        <v>28</v>
      </c>
      <c r="E41" s="8" t="s">
        <v>29</v>
      </c>
      <c r="F41" t="str">
        <f t="shared" si="0"/>
        <v>Sunday</v>
      </c>
      <c r="G41" t="str">
        <f>VLOOKUP(B41,cabang!A:C,2,FALSE)</f>
        <v>Warung Selera Nusantara - Sudirman</v>
      </c>
    </row>
    <row r="42" spans="1:7" x14ac:dyDescent="0.35">
      <c r="A42" s="7" t="s">
        <v>72</v>
      </c>
      <c r="B42" s="4" t="s">
        <v>31</v>
      </c>
      <c r="C42" s="5">
        <v>45677.79791666667</v>
      </c>
      <c r="D42" s="4" t="s">
        <v>44</v>
      </c>
      <c r="E42" s="8" t="s">
        <v>38</v>
      </c>
      <c r="F42" t="str">
        <f t="shared" si="0"/>
        <v>Monday</v>
      </c>
      <c r="G42" t="str">
        <f>VLOOKUP(B42,cabang!A:C,2,FALSE)</f>
        <v>Warung Selera Nusantara - Sudirman</v>
      </c>
    </row>
    <row r="43" spans="1:7" x14ac:dyDescent="0.35">
      <c r="A43" s="7" t="s">
        <v>73</v>
      </c>
      <c r="B43" s="4" t="s">
        <v>31</v>
      </c>
      <c r="C43" s="5">
        <v>45678.444444444453</v>
      </c>
      <c r="D43" s="4" t="s">
        <v>23</v>
      </c>
      <c r="E43" s="8" t="s">
        <v>24</v>
      </c>
      <c r="F43" t="str">
        <f t="shared" si="0"/>
        <v>Tuesday</v>
      </c>
      <c r="G43" t="str">
        <f>VLOOKUP(B43,cabang!A:C,2,FALSE)</f>
        <v>Warung Selera Nusantara - Sudirman</v>
      </c>
    </row>
    <row r="44" spans="1:7" x14ac:dyDescent="0.35">
      <c r="A44" s="7" t="s">
        <v>74</v>
      </c>
      <c r="B44" s="4" t="s">
        <v>31</v>
      </c>
      <c r="C44" s="5">
        <v>45678.482638888891</v>
      </c>
      <c r="D44" s="4" t="s">
        <v>23</v>
      </c>
      <c r="E44" s="8" t="s">
        <v>38</v>
      </c>
      <c r="F44" t="str">
        <f t="shared" si="0"/>
        <v>Tuesday</v>
      </c>
      <c r="G44" t="str">
        <f>VLOOKUP(B44,cabang!A:C,2,FALSE)</f>
        <v>Warung Selera Nusantara - Sudirman</v>
      </c>
    </row>
    <row r="45" spans="1:7" x14ac:dyDescent="0.35">
      <c r="A45" s="7" t="s">
        <v>75</v>
      </c>
      <c r="B45" s="4" t="s">
        <v>31</v>
      </c>
      <c r="C45" s="5">
        <v>45678.484722222223</v>
      </c>
      <c r="D45" s="4" t="s">
        <v>23</v>
      </c>
      <c r="E45" s="8" t="s">
        <v>24</v>
      </c>
      <c r="F45" t="str">
        <f t="shared" si="0"/>
        <v>Tuesday</v>
      </c>
      <c r="G45" t="str">
        <f>VLOOKUP(B45,cabang!A:C,2,FALSE)</f>
        <v>Warung Selera Nusantara - Sudirman</v>
      </c>
    </row>
    <row r="46" spans="1:7" x14ac:dyDescent="0.35">
      <c r="A46" s="7" t="s">
        <v>76</v>
      </c>
      <c r="B46" s="4" t="s">
        <v>43</v>
      </c>
      <c r="C46" s="5">
        <v>45678.77847222222</v>
      </c>
      <c r="D46" s="4" t="s">
        <v>28</v>
      </c>
      <c r="E46" s="8" t="s">
        <v>38</v>
      </c>
      <c r="F46" t="str">
        <f t="shared" si="0"/>
        <v>Tuesday</v>
      </c>
      <c r="G46" t="str">
        <f>VLOOKUP(B46,cabang!A:C,2,FALSE)</f>
        <v>Warung Selera Nusantara - Dago</v>
      </c>
    </row>
    <row r="47" spans="1:7" x14ac:dyDescent="0.35">
      <c r="A47" s="7" t="s">
        <v>77</v>
      </c>
      <c r="B47" s="4" t="s">
        <v>27</v>
      </c>
      <c r="C47" s="5">
        <v>45678.797222222223</v>
      </c>
      <c r="D47" s="4" t="s">
        <v>28</v>
      </c>
      <c r="E47" s="8" t="s">
        <v>33</v>
      </c>
      <c r="F47" t="str">
        <f t="shared" si="0"/>
        <v>Tuesday</v>
      </c>
      <c r="G47" t="str">
        <f>VLOOKUP(B47,cabang!A:C,2,FALSE)</f>
        <v>Warung Selera Nusantara - Tunjungan</v>
      </c>
    </row>
    <row r="48" spans="1:7" x14ac:dyDescent="0.35">
      <c r="A48" s="7" t="s">
        <v>78</v>
      </c>
      <c r="B48" s="4" t="s">
        <v>27</v>
      </c>
      <c r="C48" s="5">
        <v>45679.464583333327</v>
      </c>
      <c r="D48" s="4" t="s">
        <v>23</v>
      </c>
      <c r="E48" s="8" t="s">
        <v>33</v>
      </c>
      <c r="F48" t="str">
        <f t="shared" si="0"/>
        <v>Wednesday</v>
      </c>
      <c r="G48" t="str">
        <f>VLOOKUP(B48,cabang!A:C,2,FALSE)</f>
        <v>Warung Selera Nusantara - Tunjungan</v>
      </c>
    </row>
    <row r="49" spans="1:7" x14ac:dyDescent="0.35">
      <c r="A49" s="7" t="s">
        <v>79</v>
      </c>
      <c r="B49" s="4" t="s">
        <v>27</v>
      </c>
      <c r="C49" s="5">
        <v>45679.513194444437</v>
      </c>
      <c r="D49" s="4" t="s">
        <v>44</v>
      </c>
      <c r="E49" s="8" t="s">
        <v>29</v>
      </c>
      <c r="F49" t="str">
        <f t="shared" si="0"/>
        <v>Wednesday</v>
      </c>
      <c r="G49" t="str">
        <f>VLOOKUP(B49,cabang!A:C,2,FALSE)</f>
        <v>Warung Selera Nusantara - Tunjungan</v>
      </c>
    </row>
    <row r="50" spans="1:7" x14ac:dyDescent="0.35">
      <c r="A50" s="7" t="s">
        <v>80</v>
      </c>
      <c r="B50" s="4" t="s">
        <v>22</v>
      </c>
      <c r="C50" s="5">
        <v>45679.772916666669</v>
      </c>
      <c r="D50" s="4" t="s">
        <v>23</v>
      </c>
      <c r="E50" s="8" t="s">
        <v>24</v>
      </c>
      <c r="F50" t="str">
        <f t="shared" si="0"/>
        <v>Wednesday</v>
      </c>
      <c r="G50" t="str">
        <f>VLOOKUP(B50,cabang!A:C,2,FALSE)</f>
        <v>Warung Selera Nusantara - Margonda</v>
      </c>
    </row>
    <row r="51" spans="1:7" x14ac:dyDescent="0.35">
      <c r="A51" s="7" t="s">
        <v>81</v>
      </c>
      <c r="B51" s="4" t="s">
        <v>31</v>
      </c>
      <c r="C51" s="5">
        <v>45680.511111111111</v>
      </c>
      <c r="D51" s="4" t="s">
        <v>23</v>
      </c>
      <c r="E51" s="8" t="s">
        <v>24</v>
      </c>
      <c r="F51" t="str">
        <f t="shared" si="0"/>
        <v>Thursday</v>
      </c>
      <c r="G51" t="str">
        <f>VLOOKUP(B51,cabang!A:C,2,FALSE)</f>
        <v>Warung Selera Nusantara - Sudirman</v>
      </c>
    </row>
    <row r="52" spans="1:7" x14ac:dyDescent="0.35">
      <c r="A52" s="7" t="s">
        <v>82</v>
      </c>
      <c r="B52" s="4" t="s">
        <v>22</v>
      </c>
      <c r="C52" s="5">
        <v>45680.53125</v>
      </c>
      <c r="D52" s="4" t="s">
        <v>23</v>
      </c>
      <c r="E52" s="8" t="s">
        <v>38</v>
      </c>
      <c r="F52" t="str">
        <f t="shared" si="0"/>
        <v>Thursday</v>
      </c>
      <c r="G52" t="str">
        <f>VLOOKUP(B52,cabang!A:C,2,FALSE)</f>
        <v>Warung Selera Nusantara - Margonda</v>
      </c>
    </row>
    <row r="53" spans="1:7" x14ac:dyDescent="0.35">
      <c r="A53" s="7" t="s">
        <v>83</v>
      </c>
      <c r="B53" s="4" t="s">
        <v>27</v>
      </c>
      <c r="C53" s="5">
        <v>45680.652083333327</v>
      </c>
      <c r="D53" s="4" t="s">
        <v>44</v>
      </c>
      <c r="E53" s="8" t="s">
        <v>24</v>
      </c>
      <c r="F53" t="str">
        <f t="shared" si="0"/>
        <v>Thursday</v>
      </c>
      <c r="G53" t="str">
        <f>VLOOKUP(B53,cabang!A:C,2,FALSE)</f>
        <v>Warung Selera Nusantara - Tunjungan</v>
      </c>
    </row>
    <row r="54" spans="1:7" x14ac:dyDescent="0.35">
      <c r="A54" s="7" t="s">
        <v>84</v>
      </c>
      <c r="B54" s="4" t="s">
        <v>22</v>
      </c>
      <c r="C54" s="5">
        <v>45681.505555555559</v>
      </c>
      <c r="D54" s="4" t="s">
        <v>44</v>
      </c>
      <c r="E54" s="8" t="s">
        <v>33</v>
      </c>
      <c r="F54" t="str">
        <f t="shared" si="0"/>
        <v>Friday</v>
      </c>
      <c r="G54" t="str">
        <f>VLOOKUP(B54,cabang!A:C,2,FALSE)</f>
        <v>Warung Selera Nusantara - Margonda</v>
      </c>
    </row>
    <row r="55" spans="1:7" x14ac:dyDescent="0.35">
      <c r="A55" s="7" t="s">
        <v>85</v>
      </c>
      <c r="B55" s="4" t="s">
        <v>31</v>
      </c>
      <c r="C55" s="5">
        <v>45681.525694444441</v>
      </c>
      <c r="D55" s="4" t="s">
        <v>23</v>
      </c>
      <c r="E55" s="8" t="s">
        <v>24</v>
      </c>
      <c r="F55" t="str">
        <f t="shared" si="0"/>
        <v>Friday</v>
      </c>
      <c r="G55" t="str">
        <f>VLOOKUP(B55,cabang!A:C,2,FALSE)</f>
        <v>Warung Selera Nusantara - Sudirman</v>
      </c>
    </row>
    <row r="56" spans="1:7" x14ac:dyDescent="0.35">
      <c r="A56" s="7" t="s">
        <v>86</v>
      </c>
      <c r="B56" s="4" t="s">
        <v>31</v>
      </c>
      <c r="C56" s="5">
        <v>45681.715277777781</v>
      </c>
      <c r="D56" s="4" t="s">
        <v>23</v>
      </c>
      <c r="E56" s="8" t="s">
        <v>29</v>
      </c>
      <c r="F56" t="str">
        <f t="shared" si="0"/>
        <v>Friday</v>
      </c>
      <c r="G56" t="str">
        <f>VLOOKUP(B56,cabang!A:C,2,FALSE)</f>
        <v>Warung Selera Nusantara - Sudirman</v>
      </c>
    </row>
    <row r="57" spans="1:7" x14ac:dyDescent="0.35">
      <c r="A57" s="7" t="s">
        <v>87</v>
      </c>
      <c r="B57" s="4" t="s">
        <v>27</v>
      </c>
      <c r="C57" s="5">
        <v>45681.873611111107</v>
      </c>
      <c r="D57" s="4" t="s">
        <v>28</v>
      </c>
      <c r="E57" s="8" t="s">
        <v>33</v>
      </c>
      <c r="F57" t="str">
        <f t="shared" si="0"/>
        <v>Friday</v>
      </c>
      <c r="G57" t="str">
        <f>VLOOKUP(B57,cabang!A:C,2,FALSE)</f>
        <v>Warung Selera Nusantara - Tunjungan</v>
      </c>
    </row>
    <row r="58" spans="1:7" x14ac:dyDescent="0.35">
      <c r="A58" s="7" t="s">
        <v>88</v>
      </c>
      <c r="B58" s="4" t="s">
        <v>31</v>
      </c>
      <c r="C58" s="5">
        <v>45682.390972222223</v>
      </c>
      <c r="D58" s="4" t="s">
        <v>23</v>
      </c>
      <c r="E58" s="8" t="s">
        <v>33</v>
      </c>
      <c r="F58" t="str">
        <f t="shared" si="0"/>
        <v>Saturday</v>
      </c>
      <c r="G58" t="str">
        <f>VLOOKUP(B58,cabang!A:C,2,FALSE)</f>
        <v>Warung Selera Nusantara - Sudirman</v>
      </c>
    </row>
    <row r="59" spans="1:7" x14ac:dyDescent="0.35">
      <c r="A59" s="7" t="s">
        <v>89</v>
      </c>
      <c r="B59" s="4" t="s">
        <v>22</v>
      </c>
      <c r="C59" s="5">
        <v>45682.397222222222</v>
      </c>
      <c r="D59" s="4" t="s">
        <v>23</v>
      </c>
      <c r="E59" s="8" t="s">
        <v>24</v>
      </c>
      <c r="F59" t="str">
        <f t="shared" si="0"/>
        <v>Saturday</v>
      </c>
      <c r="G59" t="str">
        <f>VLOOKUP(B59,cabang!A:C,2,FALSE)</f>
        <v>Warung Selera Nusantara - Margonda</v>
      </c>
    </row>
    <row r="60" spans="1:7" x14ac:dyDescent="0.35">
      <c r="A60" s="7" t="s">
        <v>90</v>
      </c>
      <c r="B60" s="4" t="s">
        <v>22</v>
      </c>
      <c r="C60" s="5">
        <v>45682.467361111107</v>
      </c>
      <c r="D60" s="4" t="s">
        <v>23</v>
      </c>
      <c r="E60" s="8" t="s">
        <v>33</v>
      </c>
      <c r="F60" t="str">
        <f t="shared" si="0"/>
        <v>Saturday</v>
      </c>
      <c r="G60" t="str">
        <f>VLOOKUP(B60,cabang!A:C,2,FALSE)</f>
        <v>Warung Selera Nusantara - Margonda</v>
      </c>
    </row>
    <row r="61" spans="1:7" x14ac:dyDescent="0.35">
      <c r="A61" s="7" t="s">
        <v>91</v>
      </c>
      <c r="B61" s="4" t="s">
        <v>27</v>
      </c>
      <c r="C61" s="5">
        <v>45682.571527777778</v>
      </c>
      <c r="D61" s="4" t="s">
        <v>44</v>
      </c>
      <c r="E61" s="8" t="s">
        <v>29</v>
      </c>
      <c r="F61" t="str">
        <f t="shared" si="0"/>
        <v>Saturday</v>
      </c>
      <c r="G61" t="str">
        <f>VLOOKUP(B61,cabang!A:C,2,FALSE)</f>
        <v>Warung Selera Nusantara - Tunjungan</v>
      </c>
    </row>
    <row r="62" spans="1:7" x14ac:dyDescent="0.35">
      <c r="A62" s="7" t="s">
        <v>92</v>
      </c>
      <c r="B62" s="4" t="s">
        <v>31</v>
      </c>
      <c r="C62" s="5">
        <v>45682.724305555559</v>
      </c>
      <c r="D62" s="4" t="s">
        <v>23</v>
      </c>
      <c r="E62" s="8" t="s">
        <v>33</v>
      </c>
      <c r="F62" t="str">
        <f t="shared" si="0"/>
        <v>Saturday</v>
      </c>
      <c r="G62" t="str">
        <f>VLOOKUP(B62,cabang!A:C,2,FALSE)</f>
        <v>Warung Selera Nusantara - Sudirman</v>
      </c>
    </row>
    <row r="63" spans="1:7" x14ac:dyDescent="0.35">
      <c r="A63" s="7" t="s">
        <v>93</v>
      </c>
      <c r="B63" s="4" t="s">
        <v>31</v>
      </c>
      <c r="C63" s="5">
        <v>45682.772916666669</v>
      </c>
      <c r="D63" s="4" t="s">
        <v>23</v>
      </c>
      <c r="E63" s="8" t="s">
        <v>33</v>
      </c>
      <c r="F63" t="str">
        <f t="shared" si="0"/>
        <v>Saturday</v>
      </c>
      <c r="G63" t="str">
        <f>VLOOKUP(B63,cabang!A:C,2,FALSE)</f>
        <v>Warung Selera Nusantara - Sudirman</v>
      </c>
    </row>
    <row r="64" spans="1:7" x14ac:dyDescent="0.35">
      <c r="A64" s="7" t="s">
        <v>94</v>
      </c>
      <c r="B64" s="4" t="s">
        <v>31</v>
      </c>
      <c r="C64" s="5">
        <v>45682.835416666669</v>
      </c>
      <c r="D64" s="4" t="s">
        <v>23</v>
      </c>
      <c r="E64" s="8" t="s">
        <v>24</v>
      </c>
      <c r="F64" t="str">
        <f t="shared" si="0"/>
        <v>Saturday</v>
      </c>
      <c r="G64" t="str">
        <f>VLOOKUP(B64,cabang!A:C,2,FALSE)</f>
        <v>Warung Selera Nusantara - Sudirman</v>
      </c>
    </row>
    <row r="65" spans="1:7" x14ac:dyDescent="0.35">
      <c r="A65" s="7" t="s">
        <v>95</v>
      </c>
      <c r="B65" s="4" t="s">
        <v>27</v>
      </c>
      <c r="C65" s="5">
        <v>45682.843055555553</v>
      </c>
      <c r="D65" s="4" t="s">
        <v>28</v>
      </c>
      <c r="E65" s="8" t="s">
        <v>24</v>
      </c>
      <c r="F65" t="str">
        <f t="shared" si="0"/>
        <v>Saturday</v>
      </c>
      <c r="G65" t="str">
        <f>VLOOKUP(B65,cabang!A:C,2,FALSE)</f>
        <v>Warung Selera Nusantara - Tunjungan</v>
      </c>
    </row>
    <row r="66" spans="1:7" x14ac:dyDescent="0.35">
      <c r="A66" s="7" t="s">
        <v>96</v>
      </c>
      <c r="B66" s="4" t="s">
        <v>27</v>
      </c>
      <c r="C66" s="5">
        <v>45683.527777777781</v>
      </c>
      <c r="D66" s="4" t="s">
        <v>28</v>
      </c>
      <c r="E66" s="8" t="s">
        <v>24</v>
      </c>
      <c r="F66" t="str">
        <f t="shared" ref="F66:F129" si="1">TEXT(C66,"dddd")</f>
        <v>Sunday</v>
      </c>
      <c r="G66" t="str">
        <f>VLOOKUP(B66,cabang!A:C,2,FALSE)</f>
        <v>Warung Selera Nusantara - Tunjungan</v>
      </c>
    </row>
    <row r="67" spans="1:7" x14ac:dyDescent="0.35">
      <c r="A67" s="7" t="s">
        <v>97</v>
      </c>
      <c r="B67" s="4" t="s">
        <v>31</v>
      </c>
      <c r="C67" s="5">
        <v>45685.439583333333</v>
      </c>
      <c r="D67" s="4" t="s">
        <v>23</v>
      </c>
      <c r="E67" s="8" t="s">
        <v>33</v>
      </c>
      <c r="F67" t="str">
        <f t="shared" si="1"/>
        <v>Tuesday</v>
      </c>
      <c r="G67" t="str">
        <f>VLOOKUP(B67,cabang!A:C,2,FALSE)</f>
        <v>Warung Selera Nusantara - Sudirman</v>
      </c>
    </row>
    <row r="68" spans="1:7" x14ac:dyDescent="0.35">
      <c r="A68" s="7" t="s">
        <v>98</v>
      </c>
      <c r="B68" s="4" t="s">
        <v>27</v>
      </c>
      <c r="C68" s="5">
        <v>45685.871527777781</v>
      </c>
      <c r="D68" s="4" t="s">
        <v>23</v>
      </c>
      <c r="E68" s="8" t="s">
        <v>29</v>
      </c>
      <c r="F68" t="str">
        <f t="shared" si="1"/>
        <v>Tuesday</v>
      </c>
      <c r="G68" t="str">
        <f>VLOOKUP(B68,cabang!A:C,2,FALSE)</f>
        <v>Warung Selera Nusantara - Tunjungan</v>
      </c>
    </row>
    <row r="69" spans="1:7" x14ac:dyDescent="0.35">
      <c r="A69" s="7" t="s">
        <v>99</v>
      </c>
      <c r="B69" s="4" t="s">
        <v>27</v>
      </c>
      <c r="C69" s="5">
        <v>45685.896527777782</v>
      </c>
      <c r="D69" s="4" t="s">
        <v>28</v>
      </c>
      <c r="E69" s="8" t="s">
        <v>24</v>
      </c>
      <c r="F69" t="str">
        <f t="shared" si="1"/>
        <v>Tuesday</v>
      </c>
      <c r="G69" t="str">
        <f>VLOOKUP(B69,cabang!A:C,2,FALSE)</f>
        <v>Warung Selera Nusantara - Tunjungan</v>
      </c>
    </row>
    <row r="70" spans="1:7" x14ac:dyDescent="0.35">
      <c r="A70" s="7" t="s">
        <v>100</v>
      </c>
      <c r="B70" s="4" t="s">
        <v>22</v>
      </c>
      <c r="C70" s="5">
        <v>45686.806944444441</v>
      </c>
      <c r="D70" s="4" t="s">
        <v>28</v>
      </c>
      <c r="E70" s="8" t="s">
        <v>24</v>
      </c>
      <c r="F70" t="str">
        <f t="shared" si="1"/>
        <v>Wednesday</v>
      </c>
      <c r="G70" t="str">
        <f>VLOOKUP(B70,cabang!A:C,2,FALSE)</f>
        <v>Warung Selera Nusantara - Margonda</v>
      </c>
    </row>
    <row r="71" spans="1:7" x14ac:dyDescent="0.35">
      <c r="A71" s="7" t="s">
        <v>101</v>
      </c>
      <c r="B71" s="4" t="s">
        <v>22</v>
      </c>
      <c r="C71" s="5">
        <v>45687.470138888893</v>
      </c>
      <c r="D71" s="4" t="s">
        <v>23</v>
      </c>
      <c r="E71" s="8" t="s">
        <v>38</v>
      </c>
      <c r="F71" t="str">
        <f t="shared" si="1"/>
        <v>Thursday</v>
      </c>
      <c r="G71" t="str">
        <f>VLOOKUP(B71,cabang!A:C,2,FALSE)</f>
        <v>Warung Selera Nusantara - Margonda</v>
      </c>
    </row>
    <row r="72" spans="1:7" x14ac:dyDescent="0.35">
      <c r="A72" s="7" t="s">
        <v>102</v>
      </c>
      <c r="B72" s="4" t="s">
        <v>31</v>
      </c>
      <c r="C72" s="5">
        <v>45687.561111111107</v>
      </c>
      <c r="D72" s="4" t="s">
        <v>28</v>
      </c>
      <c r="E72" s="8" t="s">
        <v>24</v>
      </c>
      <c r="F72" t="str">
        <f t="shared" si="1"/>
        <v>Thursday</v>
      </c>
      <c r="G72" t="str">
        <f>VLOOKUP(B72,cabang!A:C,2,FALSE)</f>
        <v>Warung Selera Nusantara - Sudirman</v>
      </c>
    </row>
    <row r="73" spans="1:7" x14ac:dyDescent="0.35">
      <c r="A73" s="7" t="s">
        <v>103</v>
      </c>
      <c r="B73" s="4" t="s">
        <v>31</v>
      </c>
      <c r="C73" s="5">
        <v>45688.686111111107</v>
      </c>
      <c r="D73" s="4" t="s">
        <v>28</v>
      </c>
      <c r="E73" s="8" t="s">
        <v>24</v>
      </c>
      <c r="F73" t="str">
        <f t="shared" si="1"/>
        <v>Friday</v>
      </c>
      <c r="G73" t="str">
        <f>VLOOKUP(B73,cabang!A:C,2,FALSE)</f>
        <v>Warung Selera Nusantara - Sudirman</v>
      </c>
    </row>
    <row r="74" spans="1:7" x14ac:dyDescent="0.35">
      <c r="A74" s="7" t="s">
        <v>104</v>
      </c>
      <c r="B74" s="4" t="s">
        <v>31</v>
      </c>
      <c r="C74" s="5">
        <v>45689.350694444453</v>
      </c>
      <c r="D74" s="4" t="s">
        <v>28</v>
      </c>
      <c r="E74" s="8" t="s">
        <v>33</v>
      </c>
      <c r="F74" t="str">
        <f t="shared" si="1"/>
        <v>Saturday</v>
      </c>
      <c r="G74" t="str">
        <f>VLOOKUP(B74,cabang!A:C,2,FALSE)</f>
        <v>Warung Selera Nusantara - Sudirman</v>
      </c>
    </row>
    <row r="75" spans="1:7" x14ac:dyDescent="0.35">
      <c r="A75" s="7" t="s">
        <v>105</v>
      </c>
      <c r="B75" s="4" t="s">
        <v>22</v>
      </c>
      <c r="C75" s="5">
        <v>45689.384027777778</v>
      </c>
      <c r="D75" s="4" t="s">
        <v>44</v>
      </c>
      <c r="E75" s="8" t="s">
        <v>33</v>
      </c>
      <c r="F75" t="str">
        <f t="shared" si="1"/>
        <v>Saturday</v>
      </c>
      <c r="G75" t="str">
        <f>VLOOKUP(B75,cabang!A:C,2,FALSE)</f>
        <v>Warung Selera Nusantara - Margonda</v>
      </c>
    </row>
    <row r="76" spans="1:7" x14ac:dyDescent="0.35">
      <c r="A76" s="7" t="s">
        <v>106</v>
      </c>
      <c r="B76" s="4" t="s">
        <v>31</v>
      </c>
      <c r="C76" s="5">
        <v>45689.476388888892</v>
      </c>
      <c r="D76" s="4" t="s">
        <v>44</v>
      </c>
      <c r="E76" s="8" t="s">
        <v>33</v>
      </c>
      <c r="F76" t="str">
        <f t="shared" si="1"/>
        <v>Saturday</v>
      </c>
      <c r="G76" t="str">
        <f>VLOOKUP(B76,cabang!A:C,2,FALSE)</f>
        <v>Warung Selera Nusantara - Sudirman</v>
      </c>
    </row>
    <row r="77" spans="1:7" x14ac:dyDescent="0.35">
      <c r="A77" s="7" t="s">
        <v>107</v>
      </c>
      <c r="B77" s="4" t="s">
        <v>31</v>
      </c>
      <c r="C77" s="5">
        <v>45689.738194444442</v>
      </c>
      <c r="D77" s="4" t="s">
        <v>44</v>
      </c>
      <c r="E77" s="8" t="s">
        <v>29</v>
      </c>
      <c r="F77" t="str">
        <f t="shared" si="1"/>
        <v>Saturday</v>
      </c>
      <c r="G77" t="str">
        <f>VLOOKUP(B77,cabang!A:C,2,FALSE)</f>
        <v>Warung Selera Nusantara - Sudirman</v>
      </c>
    </row>
    <row r="78" spans="1:7" x14ac:dyDescent="0.35">
      <c r="A78" s="7" t="s">
        <v>108</v>
      </c>
      <c r="B78" s="4" t="s">
        <v>43</v>
      </c>
      <c r="C78" s="5">
        <v>45689.77847222222</v>
      </c>
      <c r="D78" s="4" t="s">
        <v>23</v>
      </c>
      <c r="E78" s="8" t="s">
        <v>33</v>
      </c>
      <c r="F78" t="str">
        <f t="shared" si="1"/>
        <v>Saturday</v>
      </c>
      <c r="G78" t="str">
        <f>VLOOKUP(B78,cabang!A:C,2,FALSE)</f>
        <v>Warung Selera Nusantara - Dago</v>
      </c>
    </row>
    <row r="79" spans="1:7" x14ac:dyDescent="0.35">
      <c r="A79" s="7" t="s">
        <v>109</v>
      </c>
      <c r="B79" s="4" t="s">
        <v>31</v>
      </c>
      <c r="C79" s="5">
        <v>45689.837500000001</v>
      </c>
      <c r="D79" s="4" t="s">
        <v>23</v>
      </c>
      <c r="E79" s="8" t="s">
        <v>38</v>
      </c>
      <c r="F79" t="str">
        <f t="shared" si="1"/>
        <v>Saturday</v>
      </c>
      <c r="G79" t="str">
        <f>VLOOKUP(B79,cabang!A:C,2,FALSE)</f>
        <v>Warung Selera Nusantara - Sudirman</v>
      </c>
    </row>
    <row r="80" spans="1:7" x14ac:dyDescent="0.35">
      <c r="A80" s="7" t="s">
        <v>110</v>
      </c>
      <c r="B80" s="4" t="s">
        <v>31</v>
      </c>
      <c r="C80" s="5">
        <v>45689.865972222222</v>
      </c>
      <c r="D80" s="4" t="s">
        <v>23</v>
      </c>
      <c r="E80" s="8" t="s">
        <v>33</v>
      </c>
      <c r="F80" t="str">
        <f t="shared" si="1"/>
        <v>Saturday</v>
      </c>
      <c r="G80" t="str">
        <f>VLOOKUP(B80,cabang!A:C,2,FALSE)</f>
        <v>Warung Selera Nusantara - Sudirman</v>
      </c>
    </row>
    <row r="81" spans="1:7" x14ac:dyDescent="0.35">
      <c r="A81" s="7" t="s">
        <v>111</v>
      </c>
      <c r="B81" s="4" t="s">
        <v>43</v>
      </c>
      <c r="C81" s="5">
        <v>45690.527777777781</v>
      </c>
      <c r="D81" s="4" t="s">
        <v>23</v>
      </c>
      <c r="E81" s="8" t="s">
        <v>29</v>
      </c>
      <c r="F81" t="str">
        <f t="shared" si="1"/>
        <v>Sunday</v>
      </c>
      <c r="G81" t="str">
        <f>VLOOKUP(B81,cabang!A:C,2,FALSE)</f>
        <v>Warung Selera Nusantara - Dago</v>
      </c>
    </row>
    <row r="82" spans="1:7" x14ac:dyDescent="0.35">
      <c r="A82" s="7" t="s">
        <v>112</v>
      </c>
      <c r="B82" s="4" t="s">
        <v>22</v>
      </c>
      <c r="C82" s="5">
        <v>45690.693749999999</v>
      </c>
      <c r="D82" s="4" t="s">
        <v>23</v>
      </c>
      <c r="E82" s="8" t="s">
        <v>33</v>
      </c>
      <c r="F82" t="str">
        <f t="shared" si="1"/>
        <v>Sunday</v>
      </c>
      <c r="G82" t="str">
        <f>VLOOKUP(B82,cabang!A:C,2,FALSE)</f>
        <v>Warung Selera Nusantara - Margonda</v>
      </c>
    </row>
    <row r="83" spans="1:7" x14ac:dyDescent="0.35">
      <c r="A83" s="7" t="s">
        <v>113</v>
      </c>
      <c r="B83" s="4" t="s">
        <v>22</v>
      </c>
      <c r="C83" s="5">
        <v>45690.818749999999</v>
      </c>
      <c r="D83" s="4" t="s">
        <v>23</v>
      </c>
      <c r="E83" s="8" t="s">
        <v>24</v>
      </c>
      <c r="F83" t="str">
        <f t="shared" si="1"/>
        <v>Sunday</v>
      </c>
      <c r="G83" t="str">
        <f>VLOOKUP(B83,cabang!A:C,2,FALSE)</f>
        <v>Warung Selera Nusantara - Margonda</v>
      </c>
    </row>
    <row r="84" spans="1:7" x14ac:dyDescent="0.35">
      <c r="A84" s="7" t="s">
        <v>114</v>
      </c>
      <c r="B84" s="4" t="s">
        <v>43</v>
      </c>
      <c r="C84" s="5">
        <v>45690.847916666673</v>
      </c>
      <c r="D84" s="4" t="s">
        <v>23</v>
      </c>
      <c r="E84" s="8" t="s">
        <v>33</v>
      </c>
      <c r="F84" t="str">
        <f t="shared" si="1"/>
        <v>Sunday</v>
      </c>
      <c r="G84" t="str">
        <f>VLOOKUP(B84,cabang!A:C,2,FALSE)</f>
        <v>Warung Selera Nusantara - Dago</v>
      </c>
    </row>
    <row r="85" spans="1:7" x14ac:dyDescent="0.35">
      <c r="A85" s="7" t="s">
        <v>115</v>
      </c>
      <c r="B85" s="4" t="s">
        <v>31</v>
      </c>
      <c r="C85" s="5">
        <v>45690.859027777777</v>
      </c>
      <c r="D85" s="4" t="s">
        <v>23</v>
      </c>
      <c r="E85" s="8" t="s">
        <v>24</v>
      </c>
      <c r="F85" t="str">
        <f t="shared" si="1"/>
        <v>Sunday</v>
      </c>
      <c r="G85" t="str">
        <f>VLOOKUP(B85,cabang!A:C,2,FALSE)</f>
        <v>Warung Selera Nusantara - Sudirman</v>
      </c>
    </row>
    <row r="86" spans="1:7" x14ac:dyDescent="0.35">
      <c r="A86" s="7" t="s">
        <v>116</v>
      </c>
      <c r="B86" s="4" t="s">
        <v>31</v>
      </c>
      <c r="C86" s="5">
        <v>45691.322222222218</v>
      </c>
      <c r="D86" s="4" t="s">
        <v>23</v>
      </c>
      <c r="E86" s="8" t="s">
        <v>24</v>
      </c>
      <c r="F86" t="str">
        <f t="shared" si="1"/>
        <v>Monday</v>
      </c>
      <c r="G86" t="str">
        <f>VLOOKUP(B86,cabang!A:C,2,FALSE)</f>
        <v>Warung Selera Nusantara - Sudirman</v>
      </c>
    </row>
    <row r="87" spans="1:7" x14ac:dyDescent="0.35">
      <c r="A87" s="7" t="s">
        <v>117</v>
      </c>
      <c r="B87" s="4" t="s">
        <v>43</v>
      </c>
      <c r="C87" s="5">
        <v>45691.5625</v>
      </c>
      <c r="D87" s="4" t="s">
        <v>44</v>
      </c>
      <c r="E87" s="8" t="s">
        <v>29</v>
      </c>
      <c r="F87" t="str">
        <f t="shared" si="1"/>
        <v>Monday</v>
      </c>
      <c r="G87" t="str">
        <f>VLOOKUP(B87,cabang!A:C,2,FALSE)</f>
        <v>Warung Selera Nusantara - Dago</v>
      </c>
    </row>
    <row r="88" spans="1:7" x14ac:dyDescent="0.35">
      <c r="A88" s="7" t="s">
        <v>118</v>
      </c>
      <c r="B88" s="4" t="s">
        <v>27</v>
      </c>
      <c r="C88" s="5">
        <v>45691.676388888889</v>
      </c>
      <c r="D88" s="4" t="s">
        <v>23</v>
      </c>
      <c r="E88" s="8" t="s">
        <v>29</v>
      </c>
      <c r="F88" t="str">
        <f t="shared" si="1"/>
        <v>Monday</v>
      </c>
      <c r="G88" t="str">
        <f>VLOOKUP(B88,cabang!A:C,2,FALSE)</f>
        <v>Warung Selera Nusantara - Tunjungan</v>
      </c>
    </row>
    <row r="89" spans="1:7" x14ac:dyDescent="0.35">
      <c r="A89" s="7" t="s">
        <v>119</v>
      </c>
      <c r="B89" s="4" t="s">
        <v>43</v>
      </c>
      <c r="C89" s="5">
        <v>45692.479861111111</v>
      </c>
      <c r="D89" s="4" t="s">
        <v>23</v>
      </c>
      <c r="E89" s="8" t="s">
        <v>24</v>
      </c>
      <c r="F89" t="str">
        <f t="shared" si="1"/>
        <v>Tuesday</v>
      </c>
      <c r="G89" t="str">
        <f>VLOOKUP(B89,cabang!A:C,2,FALSE)</f>
        <v>Warung Selera Nusantara - Dago</v>
      </c>
    </row>
    <row r="90" spans="1:7" x14ac:dyDescent="0.35">
      <c r="A90" s="7" t="s">
        <v>120</v>
      </c>
      <c r="B90" s="4" t="s">
        <v>43</v>
      </c>
      <c r="C90" s="5">
        <v>45692.76666666667</v>
      </c>
      <c r="D90" s="4" t="s">
        <v>44</v>
      </c>
      <c r="E90" s="8" t="s">
        <v>33</v>
      </c>
      <c r="F90" t="str">
        <f t="shared" si="1"/>
        <v>Tuesday</v>
      </c>
      <c r="G90" t="str">
        <f>VLOOKUP(B90,cabang!A:C,2,FALSE)</f>
        <v>Warung Selera Nusantara - Dago</v>
      </c>
    </row>
    <row r="91" spans="1:7" x14ac:dyDescent="0.35">
      <c r="A91" s="7" t="s">
        <v>121</v>
      </c>
      <c r="B91" s="4" t="s">
        <v>43</v>
      </c>
      <c r="C91" s="5">
        <v>45694.489583333343</v>
      </c>
      <c r="D91" s="4" t="s">
        <v>23</v>
      </c>
      <c r="E91" s="8" t="s">
        <v>24</v>
      </c>
      <c r="F91" t="str">
        <f t="shared" si="1"/>
        <v>Thursday</v>
      </c>
      <c r="G91" t="str">
        <f>VLOOKUP(B91,cabang!A:C,2,FALSE)</f>
        <v>Warung Selera Nusantara - Dago</v>
      </c>
    </row>
    <row r="92" spans="1:7" x14ac:dyDescent="0.35">
      <c r="A92" s="7" t="s">
        <v>122</v>
      </c>
      <c r="B92" s="4" t="s">
        <v>43</v>
      </c>
      <c r="C92" s="5">
        <v>45695.834027777782</v>
      </c>
      <c r="D92" s="4" t="s">
        <v>23</v>
      </c>
      <c r="E92" s="8" t="s">
        <v>24</v>
      </c>
      <c r="F92" t="str">
        <f t="shared" si="1"/>
        <v>Friday</v>
      </c>
      <c r="G92" t="str">
        <f>VLOOKUP(B92,cabang!A:C,2,FALSE)</f>
        <v>Warung Selera Nusantara - Dago</v>
      </c>
    </row>
    <row r="93" spans="1:7" x14ac:dyDescent="0.35">
      <c r="A93" s="7" t="s">
        <v>123</v>
      </c>
      <c r="B93" s="4" t="s">
        <v>31</v>
      </c>
      <c r="C93" s="5">
        <v>45696.356249999997</v>
      </c>
      <c r="D93" s="4" t="s">
        <v>28</v>
      </c>
      <c r="E93" s="8" t="s">
        <v>29</v>
      </c>
      <c r="F93" t="str">
        <f t="shared" si="1"/>
        <v>Saturday</v>
      </c>
      <c r="G93" t="str">
        <f>VLOOKUP(B93,cabang!A:C,2,FALSE)</f>
        <v>Warung Selera Nusantara - Sudirman</v>
      </c>
    </row>
    <row r="94" spans="1:7" x14ac:dyDescent="0.35">
      <c r="A94" s="7" t="s">
        <v>124</v>
      </c>
      <c r="B94" s="4" t="s">
        <v>22</v>
      </c>
      <c r="C94" s="5">
        <v>45697.404861111107</v>
      </c>
      <c r="D94" s="4" t="s">
        <v>23</v>
      </c>
      <c r="E94" s="8" t="s">
        <v>29</v>
      </c>
      <c r="F94" t="str">
        <f t="shared" si="1"/>
        <v>Sunday</v>
      </c>
      <c r="G94" t="str">
        <f>VLOOKUP(B94,cabang!A:C,2,FALSE)</f>
        <v>Warung Selera Nusantara - Margonda</v>
      </c>
    </row>
    <row r="95" spans="1:7" x14ac:dyDescent="0.35">
      <c r="A95" s="7" t="s">
        <v>125</v>
      </c>
      <c r="B95" s="4" t="s">
        <v>27</v>
      </c>
      <c r="C95" s="5">
        <v>45697.519444444442</v>
      </c>
      <c r="D95" s="4" t="s">
        <v>23</v>
      </c>
      <c r="E95" s="8" t="s">
        <v>24</v>
      </c>
      <c r="F95" t="str">
        <f t="shared" si="1"/>
        <v>Sunday</v>
      </c>
      <c r="G95" t="str">
        <f>VLOOKUP(B95,cabang!A:C,2,FALSE)</f>
        <v>Warung Selera Nusantara - Tunjungan</v>
      </c>
    </row>
    <row r="96" spans="1:7" x14ac:dyDescent="0.35">
      <c r="A96" s="7" t="s">
        <v>126</v>
      </c>
      <c r="B96" s="4" t="s">
        <v>31</v>
      </c>
      <c r="C96" s="5">
        <v>45697.9</v>
      </c>
      <c r="D96" s="4" t="s">
        <v>23</v>
      </c>
      <c r="E96" s="8" t="s">
        <v>33</v>
      </c>
      <c r="F96" t="str">
        <f t="shared" si="1"/>
        <v>Sunday</v>
      </c>
      <c r="G96" t="str">
        <f>VLOOKUP(B96,cabang!A:C,2,FALSE)</f>
        <v>Warung Selera Nusantara - Sudirman</v>
      </c>
    </row>
    <row r="97" spans="1:7" x14ac:dyDescent="0.35">
      <c r="A97" s="7" t="s">
        <v>127</v>
      </c>
      <c r="B97" s="4" t="s">
        <v>22</v>
      </c>
      <c r="C97" s="5">
        <v>45698.513194444437</v>
      </c>
      <c r="D97" s="4" t="s">
        <v>44</v>
      </c>
      <c r="E97" s="8" t="s">
        <v>29</v>
      </c>
      <c r="F97" t="str">
        <f t="shared" si="1"/>
        <v>Monday</v>
      </c>
      <c r="G97" t="str">
        <f>VLOOKUP(B97,cabang!A:C,2,FALSE)</f>
        <v>Warung Selera Nusantara - Margonda</v>
      </c>
    </row>
    <row r="98" spans="1:7" x14ac:dyDescent="0.35">
      <c r="A98" s="7" t="s">
        <v>128</v>
      </c>
      <c r="B98" s="4" t="s">
        <v>31</v>
      </c>
      <c r="C98" s="5">
        <v>45698.765277777777</v>
      </c>
      <c r="D98" s="4" t="s">
        <v>28</v>
      </c>
      <c r="E98" s="8" t="s">
        <v>29</v>
      </c>
      <c r="F98" t="str">
        <f t="shared" si="1"/>
        <v>Monday</v>
      </c>
      <c r="G98" t="str">
        <f>VLOOKUP(B98,cabang!A:C,2,FALSE)</f>
        <v>Warung Selera Nusantara - Sudirman</v>
      </c>
    </row>
    <row r="99" spans="1:7" x14ac:dyDescent="0.35">
      <c r="A99" s="7" t="s">
        <v>129</v>
      </c>
      <c r="B99" s="4" t="s">
        <v>31</v>
      </c>
      <c r="C99" s="5">
        <v>45699.531944444447</v>
      </c>
      <c r="D99" s="4" t="s">
        <v>23</v>
      </c>
      <c r="E99" s="8" t="s">
        <v>38</v>
      </c>
      <c r="F99" t="str">
        <f t="shared" si="1"/>
        <v>Tuesday</v>
      </c>
      <c r="G99" t="str">
        <f>VLOOKUP(B99,cabang!A:C,2,FALSE)</f>
        <v>Warung Selera Nusantara - Sudirman</v>
      </c>
    </row>
    <row r="100" spans="1:7" x14ac:dyDescent="0.35">
      <c r="A100" s="7" t="s">
        <v>130</v>
      </c>
      <c r="B100" s="4" t="s">
        <v>31</v>
      </c>
      <c r="C100" s="5">
        <v>45699.551388888889</v>
      </c>
      <c r="D100" s="4" t="s">
        <v>28</v>
      </c>
      <c r="E100" s="8" t="s">
        <v>29</v>
      </c>
      <c r="F100" t="str">
        <f t="shared" si="1"/>
        <v>Tuesday</v>
      </c>
      <c r="G100" t="str">
        <f>VLOOKUP(B100,cabang!A:C,2,FALSE)</f>
        <v>Warung Selera Nusantara - Sudirman</v>
      </c>
    </row>
    <row r="101" spans="1:7" x14ac:dyDescent="0.35">
      <c r="A101" s="7" t="s">
        <v>131</v>
      </c>
      <c r="B101" s="4" t="s">
        <v>43</v>
      </c>
      <c r="C101" s="5">
        <v>45699.738888888889</v>
      </c>
      <c r="D101" s="4" t="s">
        <v>44</v>
      </c>
      <c r="E101" s="8" t="s">
        <v>33</v>
      </c>
      <c r="F101" t="str">
        <f t="shared" si="1"/>
        <v>Tuesday</v>
      </c>
      <c r="G101" t="str">
        <f>VLOOKUP(B101,cabang!A:C,2,FALSE)</f>
        <v>Warung Selera Nusantara - Dago</v>
      </c>
    </row>
    <row r="102" spans="1:7" x14ac:dyDescent="0.35">
      <c r="A102" s="7" t="s">
        <v>132</v>
      </c>
      <c r="B102" s="4" t="s">
        <v>31</v>
      </c>
      <c r="C102" s="5">
        <v>45699.799305555563</v>
      </c>
      <c r="D102" s="4" t="s">
        <v>23</v>
      </c>
      <c r="E102" s="8" t="s">
        <v>24</v>
      </c>
      <c r="F102" t="str">
        <f t="shared" si="1"/>
        <v>Tuesday</v>
      </c>
      <c r="G102" t="str">
        <f>VLOOKUP(B102,cabang!A:C,2,FALSE)</f>
        <v>Warung Selera Nusantara - Sudirman</v>
      </c>
    </row>
    <row r="103" spans="1:7" x14ac:dyDescent="0.35">
      <c r="A103" s="7" t="s">
        <v>133</v>
      </c>
      <c r="B103" s="4" t="s">
        <v>43</v>
      </c>
      <c r="C103" s="5">
        <v>45699.818055555559</v>
      </c>
      <c r="D103" s="4" t="s">
        <v>44</v>
      </c>
      <c r="E103" s="8" t="s">
        <v>29</v>
      </c>
      <c r="F103" t="str">
        <f t="shared" si="1"/>
        <v>Tuesday</v>
      </c>
      <c r="G103" t="str">
        <f>VLOOKUP(B103,cabang!A:C,2,FALSE)</f>
        <v>Warung Selera Nusantara - Dago</v>
      </c>
    </row>
    <row r="104" spans="1:7" x14ac:dyDescent="0.35">
      <c r="A104" s="7" t="s">
        <v>134</v>
      </c>
      <c r="B104" s="4" t="s">
        <v>27</v>
      </c>
      <c r="C104" s="5">
        <v>45701.564583333333</v>
      </c>
      <c r="D104" s="4" t="s">
        <v>44</v>
      </c>
      <c r="E104" s="8" t="s">
        <v>24</v>
      </c>
      <c r="F104" t="str">
        <f t="shared" si="1"/>
        <v>Thursday</v>
      </c>
      <c r="G104" t="str">
        <f>VLOOKUP(B104,cabang!A:C,2,FALSE)</f>
        <v>Warung Selera Nusantara - Tunjungan</v>
      </c>
    </row>
    <row r="105" spans="1:7" x14ac:dyDescent="0.35">
      <c r="A105" s="7" t="s">
        <v>135</v>
      </c>
      <c r="B105" s="4" t="s">
        <v>31</v>
      </c>
      <c r="C105" s="5">
        <v>45701.565972222219</v>
      </c>
      <c r="D105" s="4" t="s">
        <v>44</v>
      </c>
      <c r="E105" s="8" t="s">
        <v>33</v>
      </c>
      <c r="F105" t="str">
        <f t="shared" si="1"/>
        <v>Thursday</v>
      </c>
      <c r="G105" t="str">
        <f>VLOOKUP(B105,cabang!A:C,2,FALSE)</f>
        <v>Warung Selera Nusantara - Sudirman</v>
      </c>
    </row>
    <row r="106" spans="1:7" x14ac:dyDescent="0.35">
      <c r="A106" s="7" t="s">
        <v>136</v>
      </c>
      <c r="B106" s="4" t="s">
        <v>22</v>
      </c>
      <c r="C106" s="5">
        <v>45701.824305555558</v>
      </c>
      <c r="D106" s="4" t="s">
        <v>23</v>
      </c>
      <c r="E106" s="8" t="s">
        <v>38</v>
      </c>
      <c r="F106" t="str">
        <f t="shared" si="1"/>
        <v>Thursday</v>
      </c>
      <c r="G106" t="str">
        <f>VLOOKUP(B106,cabang!A:C,2,FALSE)</f>
        <v>Warung Selera Nusantara - Margonda</v>
      </c>
    </row>
    <row r="107" spans="1:7" x14ac:dyDescent="0.35">
      <c r="A107" s="7" t="s">
        <v>137</v>
      </c>
      <c r="B107" s="4" t="s">
        <v>27</v>
      </c>
      <c r="C107" s="5">
        <v>45702.77847222222</v>
      </c>
      <c r="D107" s="4" t="s">
        <v>23</v>
      </c>
      <c r="E107" s="8" t="s">
        <v>24</v>
      </c>
      <c r="F107" t="str">
        <f t="shared" si="1"/>
        <v>Friday</v>
      </c>
      <c r="G107" t="str">
        <f>VLOOKUP(B107,cabang!A:C,2,FALSE)</f>
        <v>Warung Selera Nusantara - Tunjungan</v>
      </c>
    </row>
    <row r="108" spans="1:7" x14ac:dyDescent="0.35">
      <c r="A108" s="7" t="s">
        <v>138</v>
      </c>
      <c r="B108" s="4" t="s">
        <v>31</v>
      </c>
      <c r="C108" s="5">
        <v>45702.8125</v>
      </c>
      <c r="D108" s="4" t="s">
        <v>23</v>
      </c>
      <c r="E108" s="8" t="s">
        <v>33</v>
      </c>
      <c r="F108" t="str">
        <f t="shared" si="1"/>
        <v>Friday</v>
      </c>
      <c r="G108" t="str">
        <f>VLOOKUP(B108,cabang!A:C,2,FALSE)</f>
        <v>Warung Selera Nusantara - Sudirman</v>
      </c>
    </row>
    <row r="109" spans="1:7" x14ac:dyDescent="0.35">
      <c r="A109" s="7" t="s">
        <v>139</v>
      </c>
      <c r="B109" s="4" t="s">
        <v>22</v>
      </c>
      <c r="C109" s="5">
        <v>45702.824305555558</v>
      </c>
      <c r="D109" s="4" t="s">
        <v>44</v>
      </c>
      <c r="E109" s="8" t="s">
        <v>24</v>
      </c>
      <c r="F109" t="str">
        <f t="shared" si="1"/>
        <v>Friday</v>
      </c>
      <c r="G109" t="str">
        <f>VLOOKUP(B109,cabang!A:C,2,FALSE)</f>
        <v>Warung Selera Nusantara - Margonda</v>
      </c>
    </row>
    <row r="110" spans="1:7" x14ac:dyDescent="0.35">
      <c r="A110" s="7" t="s">
        <v>140</v>
      </c>
      <c r="B110" s="4" t="s">
        <v>31</v>
      </c>
      <c r="C110" s="5">
        <v>45703.734027777777</v>
      </c>
      <c r="D110" s="4" t="s">
        <v>141</v>
      </c>
      <c r="E110" s="8" t="s">
        <v>29</v>
      </c>
      <c r="F110" t="str">
        <f t="shared" si="1"/>
        <v>Saturday</v>
      </c>
      <c r="G110" t="str">
        <f>VLOOKUP(B110,cabang!A:C,2,FALSE)</f>
        <v>Warung Selera Nusantara - Sudirman</v>
      </c>
    </row>
    <row r="111" spans="1:7" x14ac:dyDescent="0.35">
      <c r="A111" s="7" t="s">
        <v>142</v>
      </c>
      <c r="B111" s="4" t="s">
        <v>43</v>
      </c>
      <c r="C111" s="5">
        <v>45703.838194444441</v>
      </c>
      <c r="D111" s="4" t="s">
        <v>44</v>
      </c>
      <c r="E111" s="8" t="s">
        <v>24</v>
      </c>
      <c r="F111" t="str">
        <f t="shared" si="1"/>
        <v>Saturday</v>
      </c>
      <c r="G111" t="str">
        <f>VLOOKUP(B111,cabang!A:C,2,FALSE)</f>
        <v>Warung Selera Nusantara - Dago</v>
      </c>
    </row>
    <row r="112" spans="1:7" x14ac:dyDescent="0.35">
      <c r="A112" s="7" t="s">
        <v>143</v>
      </c>
      <c r="B112" s="4" t="s">
        <v>31</v>
      </c>
      <c r="C112" s="5">
        <v>45704.486111111109</v>
      </c>
      <c r="D112" s="4" t="s">
        <v>28</v>
      </c>
      <c r="E112" s="8" t="s">
        <v>24</v>
      </c>
      <c r="F112" t="str">
        <f t="shared" si="1"/>
        <v>Sunday</v>
      </c>
      <c r="G112" t="str">
        <f>VLOOKUP(B112,cabang!A:C,2,FALSE)</f>
        <v>Warung Selera Nusantara - Sudirman</v>
      </c>
    </row>
    <row r="113" spans="1:7" x14ac:dyDescent="0.35">
      <c r="A113" s="7" t="s">
        <v>144</v>
      </c>
      <c r="B113" s="4" t="s">
        <v>31</v>
      </c>
      <c r="C113" s="5">
        <v>45704.552777777782</v>
      </c>
      <c r="D113" s="4" t="s">
        <v>23</v>
      </c>
      <c r="E113" s="8" t="s">
        <v>33</v>
      </c>
      <c r="F113" t="str">
        <f t="shared" si="1"/>
        <v>Sunday</v>
      </c>
      <c r="G113" t="str">
        <f>VLOOKUP(B113,cabang!A:C,2,FALSE)</f>
        <v>Warung Selera Nusantara - Sudirman</v>
      </c>
    </row>
    <row r="114" spans="1:7" x14ac:dyDescent="0.35">
      <c r="A114" s="7" t="s">
        <v>145</v>
      </c>
      <c r="B114" s="4" t="s">
        <v>31</v>
      </c>
      <c r="C114" s="5">
        <v>45704.720833333333</v>
      </c>
      <c r="D114" s="4" t="s">
        <v>28</v>
      </c>
      <c r="E114" s="8" t="s">
        <v>33</v>
      </c>
      <c r="F114" t="str">
        <f t="shared" si="1"/>
        <v>Sunday</v>
      </c>
      <c r="G114" t="str">
        <f>VLOOKUP(B114,cabang!A:C,2,FALSE)</f>
        <v>Warung Selera Nusantara - Sudirman</v>
      </c>
    </row>
    <row r="115" spans="1:7" x14ac:dyDescent="0.35">
      <c r="A115" s="7" t="s">
        <v>146</v>
      </c>
      <c r="B115" s="4" t="s">
        <v>27</v>
      </c>
      <c r="C115" s="5">
        <v>45704.730555555558</v>
      </c>
      <c r="D115" s="4" t="s">
        <v>44</v>
      </c>
      <c r="E115" s="8" t="s">
        <v>38</v>
      </c>
      <c r="F115" t="str">
        <f t="shared" si="1"/>
        <v>Sunday</v>
      </c>
      <c r="G115" t="str">
        <f>VLOOKUP(B115,cabang!A:C,2,FALSE)</f>
        <v>Warung Selera Nusantara - Tunjungan</v>
      </c>
    </row>
    <row r="116" spans="1:7" x14ac:dyDescent="0.35">
      <c r="A116" s="7" t="s">
        <v>147</v>
      </c>
      <c r="B116" s="4" t="s">
        <v>22</v>
      </c>
      <c r="C116" s="5">
        <v>45704.761805555558</v>
      </c>
      <c r="D116" s="4" t="s">
        <v>23</v>
      </c>
      <c r="E116" s="8" t="s">
        <v>29</v>
      </c>
      <c r="F116" t="str">
        <f t="shared" si="1"/>
        <v>Sunday</v>
      </c>
      <c r="G116" t="str">
        <f>VLOOKUP(B116,cabang!A:C,2,FALSE)</f>
        <v>Warung Selera Nusantara - Margonda</v>
      </c>
    </row>
    <row r="117" spans="1:7" x14ac:dyDescent="0.35">
      <c r="A117" s="7" t="s">
        <v>148</v>
      </c>
      <c r="B117" s="4" t="s">
        <v>27</v>
      </c>
      <c r="C117" s="5">
        <v>45704.831250000003</v>
      </c>
      <c r="D117" s="4" t="s">
        <v>23</v>
      </c>
      <c r="E117" s="8" t="s">
        <v>33</v>
      </c>
      <c r="F117" t="str">
        <f t="shared" si="1"/>
        <v>Sunday</v>
      </c>
      <c r="G117" t="str">
        <f>VLOOKUP(B117,cabang!A:C,2,FALSE)</f>
        <v>Warung Selera Nusantara - Tunjungan</v>
      </c>
    </row>
    <row r="118" spans="1:7" x14ac:dyDescent="0.35">
      <c r="A118" s="7" t="s">
        <v>149</v>
      </c>
      <c r="B118" s="4" t="s">
        <v>22</v>
      </c>
      <c r="C118" s="5">
        <v>45704.835416666669</v>
      </c>
      <c r="D118" s="4" t="s">
        <v>44</v>
      </c>
      <c r="E118" s="8" t="s">
        <v>24</v>
      </c>
      <c r="F118" t="str">
        <f t="shared" si="1"/>
        <v>Sunday</v>
      </c>
      <c r="G118" t="str">
        <f>VLOOKUP(B118,cabang!A:C,2,FALSE)</f>
        <v>Warung Selera Nusantara - Margonda</v>
      </c>
    </row>
    <row r="119" spans="1:7" x14ac:dyDescent="0.35">
      <c r="A119" s="7" t="s">
        <v>150</v>
      </c>
      <c r="B119" s="4" t="s">
        <v>22</v>
      </c>
      <c r="C119" s="5">
        <v>45705.430555555547</v>
      </c>
      <c r="D119" s="4" t="s">
        <v>23</v>
      </c>
      <c r="E119" s="8" t="s">
        <v>33</v>
      </c>
      <c r="F119" t="str">
        <f t="shared" si="1"/>
        <v>Monday</v>
      </c>
      <c r="G119" t="str">
        <f>VLOOKUP(B119,cabang!A:C,2,FALSE)</f>
        <v>Warung Selera Nusantara - Margonda</v>
      </c>
    </row>
    <row r="120" spans="1:7" x14ac:dyDescent="0.35">
      <c r="A120" s="7" t="s">
        <v>151</v>
      </c>
      <c r="B120" s="4" t="s">
        <v>31</v>
      </c>
      <c r="C120" s="5">
        <v>45705.481944444437</v>
      </c>
      <c r="D120" s="4" t="s">
        <v>23</v>
      </c>
      <c r="E120" s="8" t="s">
        <v>24</v>
      </c>
      <c r="F120" t="str">
        <f t="shared" si="1"/>
        <v>Monday</v>
      </c>
      <c r="G120" t="str">
        <f>VLOOKUP(B120,cabang!A:C,2,FALSE)</f>
        <v>Warung Selera Nusantara - Sudirman</v>
      </c>
    </row>
    <row r="121" spans="1:7" x14ac:dyDescent="0.35">
      <c r="A121" s="7" t="s">
        <v>152</v>
      </c>
      <c r="B121" s="4" t="s">
        <v>31</v>
      </c>
      <c r="C121" s="5">
        <v>45705.84652777778</v>
      </c>
      <c r="D121" s="4" t="s">
        <v>28</v>
      </c>
      <c r="E121" s="8" t="s">
        <v>24</v>
      </c>
      <c r="F121" t="str">
        <f t="shared" si="1"/>
        <v>Monday</v>
      </c>
      <c r="G121" t="str">
        <f>VLOOKUP(B121,cabang!A:C,2,FALSE)</f>
        <v>Warung Selera Nusantara - Sudirman</v>
      </c>
    </row>
    <row r="122" spans="1:7" x14ac:dyDescent="0.35">
      <c r="A122" s="7" t="s">
        <v>153</v>
      </c>
      <c r="B122" s="4" t="s">
        <v>22</v>
      </c>
      <c r="C122" s="5">
        <v>45706.543749999997</v>
      </c>
      <c r="D122" s="4" t="s">
        <v>23</v>
      </c>
      <c r="E122" s="8" t="s">
        <v>38</v>
      </c>
      <c r="F122" t="str">
        <f t="shared" si="1"/>
        <v>Tuesday</v>
      </c>
      <c r="G122" t="str">
        <f>VLOOKUP(B122,cabang!A:C,2,FALSE)</f>
        <v>Warung Selera Nusantara - Margonda</v>
      </c>
    </row>
    <row r="123" spans="1:7" x14ac:dyDescent="0.35">
      <c r="A123" s="7" t="s">
        <v>154</v>
      </c>
      <c r="B123" s="4" t="s">
        <v>31</v>
      </c>
      <c r="C123" s="5">
        <v>45706.826388888891</v>
      </c>
      <c r="D123" s="4" t="s">
        <v>23</v>
      </c>
      <c r="E123" s="8" t="s">
        <v>24</v>
      </c>
      <c r="F123" t="str">
        <f t="shared" si="1"/>
        <v>Tuesday</v>
      </c>
      <c r="G123" t="str">
        <f>VLOOKUP(B123,cabang!A:C,2,FALSE)</f>
        <v>Warung Selera Nusantara - Sudirman</v>
      </c>
    </row>
    <row r="124" spans="1:7" x14ac:dyDescent="0.35">
      <c r="A124" s="7" t="s">
        <v>155</v>
      </c>
      <c r="B124" s="4" t="s">
        <v>31</v>
      </c>
      <c r="C124" s="5">
        <v>45706.896527777782</v>
      </c>
      <c r="D124" s="4" t="s">
        <v>23</v>
      </c>
      <c r="E124" s="8" t="s">
        <v>29</v>
      </c>
      <c r="F124" t="str">
        <f t="shared" si="1"/>
        <v>Tuesday</v>
      </c>
      <c r="G124" t="str">
        <f>VLOOKUP(B124,cabang!A:C,2,FALSE)</f>
        <v>Warung Selera Nusantara - Sudirman</v>
      </c>
    </row>
    <row r="125" spans="1:7" x14ac:dyDescent="0.35">
      <c r="A125" s="7" t="s">
        <v>156</v>
      </c>
      <c r="B125" s="4" t="s">
        <v>22</v>
      </c>
      <c r="C125" s="5">
        <v>45707.489583333343</v>
      </c>
      <c r="D125" s="4" t="s">
        <v>23</v>
      </c>
      <c r="E125" s="8" t="s">
        <v>33</v>
      </c>
      <c r="F125" t="str">
        <f t="shared" si="1"/>
        <v>Wednesday</v>
      </c>
      <c r="G125" t="str">
        <f>VLOOKUP(B125,cabang!A:C,2,FALSE)</f>
        <v>Warung Selera Nusantara - Margonda</v>
      </c>
    </row>
    <row r="126" spans="1:7" x14ac:dyDescent="0.35">
      <c r="A126" s="7" t="s">
        <v>157</v>
      </c>
      <c r="B126" s="4" t="s">
        <v>43</v>
      </c>
      <c r="C126" s="5">
        <v>45707.558333333327</v>
      </c>
      <c r="D126" s="4" t="s">
        <v>23</v>
      </c>
      <c r="E126" s="8" t="s">
        <v>24</v>
      </c>
      <c r="F126" t="str">
        <f t="shared" si="1"/>
        <v>Wednesday</v>
      </c>
      <c r="G126" t="str">
        <f>VLOOKUP(B126,cabang!A:C,2,FALSE)</f>
        <v>Warung Selera Nusantara - Dago</v>
      </c>
    </row>
    <row r="127" spans="1:7" x14ac:dyDescent="0.35">
      <c r="A127" s="7" t="s">
        <v>158</v>
      </c>
      <c r="B127" s="4" t="s">
        <v>22</v>
      </c>
      <c r="C127" s="5">
        <v>45708.504861111112</v>
      </c>
      <c r="D127" s="4" t="s">
        <v>23</v>
      </c>
      <c r="E127" s="8" t="s">
        <v>29</v>
      </c>
      <c r="F127" t="str">
        <f t="shared" si="1"/>
        <v>Thursday</v>
      </c>
      <c r="G127" t="str">
        <f>VLOOKUP(B127,cabang!A:C,2,FALSE)</f>
        <v>Warung Selera Nusantara - Margonda</v>
      </c>
    </row>
    <row r="128" spans="1:7" x14ac:dyDescent="0.35">
      <c r="A128" s="7" t="s">
        <v>159</v>
      </c>
      <c r="B128" s="4" t="s">
        <v>27</v>
      </c>
      <c r="C128" s="5">
        <v>45708.522222222222</v>
      </c>
      <c r="D128" s="4" t="s">
        <v>23</v>
      </c>
      <c r="E128" s="8" t="s">
        <v>24</v>
      </c>
      <c r="F128" t="str">
        <f t="shared" si="1"/>
        <v>Thursday</v>
      </c>
      <c r="G128" t="str">
        <f>VLOOKUP(B128,cabang!A:C,2,FALSE)</f>
        <v>Warung Selera Nusantara - Tunjungan</v>
      </c>
    </row>
    <row r="129" spans="1:7" x14ac:dyDescent="0.35">
      <c r="A129" s="7" t="s">
        <v>160</v>
      </c>
      <c r="B129" s="4" t="s">
        <v>27</v>
      </c>
      <c r="C129" s="5">
        <v>45708.53125</v>
      </c>
      <c r="D129" s="4" t="s">
        <v>28</v>
      </c>
      <c r="E129" s="8" t="s">
        <v>38</v>
      </c>
      <c r="F129" t="str">
        <f t="shared" si="1"/>
        <v>Thursday</v>
      </c>
      <c r="G129" t="str">
        <f>VLOOKUP(B129,cabang!A:C,2,FALSE)</f>
        <v>Warung Selera Nusantara - Tunjungan</v>
      </c>
    </row>
    <row r="130" spans="1:7" x14ac:dyDescent="0.35">
      <c r="A130" s="7" t="s">
        <v>161</v>
      </c>
      <c r="B130" s="4" t="s">
        <v>31</v>
      </c>
      <c r="C130" s="5">
        <v>45709.538194444453</v>
      </c>
      <c r="D130" s="4" t="s">
        <v>23</v>
      </c>
      <c r="E130" s="8" t="s">
        <v>29</v>
      </c>
      <c r="F130" t="str">
        <f t="shared" ref="F130:F193" si="2">TEXT(C130,"dddd")</f>
        <v>Friday</v>
      </c>
      <c r="G130" t="str">
        <f>VLOOKUP(B130,cabang!A:C,2,FALSE)</f>
        <v>Warung Selera Nusantara - Sudirman</v>
      </c>
    </row>
    <row r="131" spans="1:7" x14ac:dyDescent="0.35">
      <c r="A131" s="7" t="s">
        <v>162</v>
      </c>
      <c r="B131" s="4" t="s">
        <v>22</v>
      </c>
      <c r="C131" s="5">
        <v>45709.668055555558</v>
      </c>
      <c r="D131" s="4" t="s">
        <v>44</v>
      </c>
      <c r="E131" s="8" t="s">
        <v>38</v>
      </c>
      <c r="F131" t="str">
        <f t="shared" si="2"/>
        <v>Friday</v>
      </c>
      <c r="G131" t="str">
        <f>VLOOKUP(B131,cabang!A:C,2,FALSE)</f>
        <v>Warung Selera Nusantara - Margonda</v>
      </c>
    </row>
    <row r="132" spans="1:7" x14ac:dyDescent="0.35">
      <c r="A132" s="7" t="s">
        <v>163</v>
      </c>
      <c r="B132" s="4" t="s">
        <v>27</v>
      </c>
      <c r="C132" s="5">
        <v>45709.82916666667</v>
      </c>
      <c r="D132" s="4" t="s">
        <v>23</v>
      </c>
      <c r="E132" s="8" t="s">
        <v>24</v>
      </c>
      <c r="F132" t="str">
        <f t="shared" si="2"/>
        <v>Friday</v>
      </c>
      <c r="G132" t="str">
        <f>VLOOKUP(B132,cabang!A:C,2,FALSE)</f>
        <v>Warung Selera Nusantara - Tunjungan</v>
      </c>
    </row>
    <row r="133" spans="1:7" x14ac:dyDescent="0.35">
      <c r="A133" s="7" t="s">
        <v>164</v>
      </c>
      <c r="B133" s="4" t="s">
        <v>27</v>
      </c>
      <c r="C133" s="5">
        <v>45710.487500000003</v>
      </c>
      <c r="D133" s="4" t="s">
        <v>28</v>
      </c>
      <c r="E133" s="8" t="s">
        <v>29</v>
      </c>
      <c r="F133" t="str">
        <f t="shared" si="2"/>
        <v>Saturday</v>
      </c>
      <c r="G133" t="str">
        <f>VLOOKUP(B133,cabang!A:C,2,FALSE)</f>
        <v>Warung Selera Nusantara - Tunjungan</v>
      </c>
    </row>
    <row r="134" spans="1:7" x14ac:dyDescent="0.35">
      <c r="A134" s="7" t="s">
        <v>165</v>
      </c>
      <c r="B134" s="4" t="s">
        <v>43</v>
      </c>
      <c r="C134" s="5">
        <v>45710.524305555547</v>
      </c>
      <c r="D134" s="4" t="s">
        <v>28</v>
      </c>
      <c r="E134" s="8" t="s">
        <v>24</v>
      </c>
      <c r="F134" t="str">
        <f t="shared" si="2"/>
        <v>Saturday</v>
      </c>
      <c r="G134" t="str">
        <f>VLOOKUP(B134,cabang!A:C,2,FALSE)</f>
        <v>Warung Selera Nusantara - Dago</v>
      </c>
    </row>
    <row r="135" spans="1:7" x14ac:dyDescent="0.35">
      <c r="A135" s="7" t="s">
        <v>166</v>
      </c>
      <c r="B135" s="4" t="s">
        <v>31</v>
      </c>
      <c r="C135" s="5">
        <v>45710.54791666667</v>
      </c>
      <c r="D135" s="4" t="s">
        <v>23</v>
      </c>
      <c r="E135" s="8" t="s">
        <v>33</v>
      </c>
      <c r="F135" t="str">
        <f t="shared" si="2"/>
        <v>Saturday</v>
      </c>
      <c r="G135" t="str">
        <f>VLOOKUP(B135,cabang!A:C,2,FALSE)</f>
        <v>Warung Selera Nusantara - Sudirman</v>
      </c>
    </row>
    <row r="136" spans="1:7" x14ac:dyDescent="0.35">
      <c r="A136" s="7" t="s">
        <v>167</v>
      </c>
      <c r="B136" s="4" t="s">
        <v>22</v>
      </c>
      <c r="C136" s="5">
        <v>45710.575694444437</v>
      </c>
      <c r="D136" s="4" t="s">
        <v>23</v>
      </c>
      <c r="E136" s="8" t="s">
        <v>24</v>
      </c>
      <c r="F136" t="str">
        <f t="shared" si="2"/>
        <v>Saturday</v>
      </c>
      <c r="G136" t="str">
        <f>VLOOKUP(B136,cabang!A:C,2,FALSE)</f>
        <v>Warung Selera Nusantara - Margonda</v>
      </c>
    </row>
    <row r="137" spans="1:7" x14ac:dyDescent="0.35">
      <c r="A137" s="7" t="s">
        <v>168</v>
      </c>
      <c r="B137" s="4" t="s">
        <v>31</v>
      </c>
      <c r="C137" s="5">
        <v>45710.788888888892</v>
      </c>
      <c r="D137" s="4" t="s">
        <v>28</v>
      </c>
      <c r="E137" s="8" t="s">
        <v>29</v>
      </c>
      <c r="F137" t="str">
        <f t="shared" si="2"/>
        <v>Saturday</v>
      </c>
      <c r="G137" t="str">
        <f>VLOOKUP(B137,cabang!A:C,2,FALSE)</f>
        <v>Warung Selera Nusantara - Sudirman</v>
      </c>
    </row>
    <row r="138" spans="1:7" x14ac:dyDescent="0.35">
      <c r="A138" s="7" t="s">
        <v>169</v>
      </c>
      <c r="B138" s="4" t="s">
        <v>31</v>
      </c>
      <c r="C138" s="5">
        <v>45711.482638888891</v>
      </c>
      <c r="D138" s="4" t="s">
        <v>28</v>
      </c>
      <c r="E138" s="8" t="s">
        <v>29</v>
      </c>
      <c r="F138" t="str">
        <f t="shared" si="2"/>
        <v>Sunday</v>
      </c>
      <c r="G138" t="str">
        <f>VLOOKUP(B138,cabang!A:C,2,FALSE)</f>
        <v>Warung Selera Nusantara - Sudirman</v>
      </c>
    </row>
    <row r="139" spans="1:7" x14ac:dyDescent="0.35">
      <c r="A139" s="7" t="s">
        <v>170</v>
      </c>
      <c r="B139" s="4" t="s">
        <v>22</v>
      </c>
      <c r="C139" s="5">
        <v>45711.517361111109</v>
      </c>
      <c r="D139" s="4" t="s">
        <v>23</v>
      </c>
      <c r="E139" s="8" t="s">
        <v>38</v>
      </c>
      <c r="F139" t="str">
        <f t="shared" si="2"/>
        <v>Sunday</v>
      </c>
      <c r="G139" t="str">
        <f>VLOOKUP(B139,cabang!A:C,2,FALSE)</f>
        <v>Warung Selera Nusantara - Margonda</v>
      </c>
    </row>
    <row r="140" spans="1:7" x14ac:dyDescent="0.35">
      <c r="A140" s="7" t="s">
        <v>171</v>
      </c>
      <c r="B140" s="4" t="s">
        <v>27</v>
      </c>
      <c r="C140" s="5">
        <v>45711.523611111108</v>
      </c>
      <c r="D140" s="4" t="s">
        <v>23</v>
      </c>
      <c r="E140" s="8" t="s">
        <v>24</v>
      </c>
      <c r="F140" t="str">
        <f t="shared" si="2"/>
        <v>Sunday</v>
      </c>
      <c r="G140" t="str">
        <f>VLOOKUP(B140,cabang!A:C,2,FALSE)</f>
        <v>Warung Selera Nusantara - Tunjungan</v>
      </c>
    </row>
    <row r="141" spans="1:7" x14ac:dyDescent="0.35">
      <c r="A141" s="7" t="s">
        <v>172</v>
      </c>
      <c r="B141" s="4" t="s">
        <v>27</v>
      </c>
      <c r="C141" s="5">
        <v>45711.803472222222</v>
      </c>
      <c r="D141" s="4" t="s">
        <v>28</v>
      </c>
      <c r="E141" s="8" t="s">
        <v>38</v>
      </c>
      <c r="F141" t="str">
        <f t="shared" si="2"/>
        <v>Sunday</v>
      </c>
      <c r="G141" t="str">
        <f>VLOOKUP(B141,cabang!A:C,2,FALSE)</f>
        <v>Warung Selera Nusantara - Tunjungan</v>
      </c>
    </row>
    <row r="142" spans="1:7" x14ac:dyDescent="0.35">
      <c r="A142" s="7" t="s">
        <v>173</v>
      </c>
      <c r="B142" s="4" t="s">
        <v>27</v>
      </c>
      <c r="C142" s="5">
        <v>45712.49722222222</v>
      </c>
      <c r="D142" s="4" t="s">
        <v>23</v>
      </c>
      <c r="E142" s="8" t="s">
        <v>33</v>
      </c>
      <c r="F142" t="str">
        <f t="shared" si="2"/>
        <v>Monday</v>
      </c>
      <c r="G142" t="str">
        <f>VLOOKUP(B142,cabang!A:C,2,FALSE)</f>
        <v>Warung Selera Nusantara - Tunjungan</v>
      </c>
    </row>
    <row r="143" spans="1:7" x14ac:dyDescent="0.35">
      <c r="A143" s="7" t="s">
        <v>174</v>
      </c>
      <c r="B143" s="4" t="s">
        <v>22</v>
      </c>
      <c r="C143" s="5">
        <v>45712.648611111108</v>
      </c>
      <c r="D143" s="4" t="s">
        <v>44</v>
      </c>
      <c r="E143" s="8" t="s">
        <v>24</v>
      </c>
      <c r="F143" t="str">
        <f t="shared" si="2"/>
        <v>Monday</v>
      </c>
      <c r="G143" t="str">
        <f>VLOOKUP(B143,cabang!A:C,2,FALSE)</f>
        <v>Warung Selera Nusantara - Margonda</v>
      </c>
    </row>
    <row r="144" spans="1:7" x14ac:dyDescent="0.35">
      <c r="A144" s="7" t="s">
        <v>175</v>
      </c>
      <c r="B144" s="4" t="s">
        <v>43</v>
      </c>
      <c r="C144" s="5">
        <v>45712.759027777778</v>
      </c>
      <c r="D144" s="4" t="s">
        <v>23</v>
      </c>
      <c r="E144" s="8" t="s">
        <v>24</v>
      </c>
      <c r="F144" t="str">
        <f t="shared" si="2"/>
        <v>Monday</v>
      </c>
      <c r="G144" t="str">
        <f>VLOOKUP(B144,cabang!A:C,2,FALSE)</f>
        <v>Warung Selera Nusantara - Dago</v>
      </c>
    </row>
    <row r="145" spans="1:7" x14ac:dyDescent="0.35">
      <c r="A145" s="7" t="s">
        <v>176</v>
      </c>
      <c r="B145" s="4" t="s">
        <v>22</v>
      </c>
      <c r="C145" s="5">
        <v>45712.811805555553</v>
      </c>
      <c r="D145" s="4" t="s">
        <v>28</v>
      </c>
      <c r="E145" s="8" t="s">
        <v>29</v>
      </c>
      <c r="F145" t="str">
        <f t="shared" si="2"/>
        <v>Monday</v>
      </c>
      <c r="G145" t="str">
        <f>VLOOKUP(B145,cabang!A:C,2,FALSE)</f>
        <v>Warung Selera Nusantara - Margonda</v>
      </c>
    </row>
    <row r="146" spans="1:7" x14ac:dyDescent="0.35">
      <c r="A146" s="7" t="s">
        <v>177</v>
      </c>
      <c r="B146" s="4" t="s">
        <v>27</v>
      </c>
      <c r="C146" s="5">
        <v>45713.748611111107</v>
      </c>
      <c r="D146" s="4" t="s">
        <v>23</v>
      </c>
      <c r="E146" s="8" t="s">
        <v>38</v>
      </c>
      <c r="F146" t="str">
        <f t="shared" si="2"/>
        <v>Tuesday</v>
      </c>
      <c r="G146" t="str">
        <f>VLOOKUP(B146,cabang!A:C,2,FALSE)</f>
        <v>Warung Selera Nusantara - Tunjungan</v>
      </c>
    </row>
    <row r="147" spans="1:7" x14ac:dyDescent="0.35">
      <c r="A147" s="7" t="s">
        <v>178</v>
      </c>
      <c r="B147" s="4" t="s">
        <v>27</v>
      </c>
      <c r="C147" s="5">
        <v>45713.782638888893</v>
      </c>
      <c r="D147" s="4" t="s">
        <v>44</v>
      </c>
      <c r="E147" s="8" t="s">
        <v>29</v>
      </c>
      <c r="F147" t="str">
        <f t="shared" si="2"/>
        <v>Tuesday</v>
      </c>
      <c r="G147" t="str">
        <f>VLOOKUP(B147,cabang!A:C,2,FALSE)</f>
        <v>Warung Selera Nusantara - Tunjungan</v>
      </c>
    </row>
    <row r="148" spans="1:7" x14ac:dyDescent="0.35">
      <c r="A148" s="7" t="s">
        <v>179</v>
      </c>
      <c r="B148" s="4" t="s">
        <v>27</v>
      </c>
      <c r="C148" s="5">
        <v>45713.821527777778</v>
      </c>
      <c r="D148" s="4" t="s">
        <v>23</v>
      </c>
      <c r="E148" s="8" t="s">
        <v>180</v>
      </c>
      <c r="F148" t="str">
        <f t="shared" si="2"/>
        <v>Tuesday</v>
      </c>
      <c r="G148" t="str">
        <f>VLOOKUP(B148,cabang!A:C,2,FALSE)</f>
        <v>Warung Selera Nusantara - Tunjungan</v>
      </c>
    </row>
    <row r="149" spans="1:7" x14ac:dyDescent="0.35">
      <c r="A149" s="7" t="s">
        <v>181</v>
      </c>
      <c r="B149" s="4" t="s">
        <v>31</v>
      </c>
      <c r="C149" s="5">
        <v>45713.836111111108</v>
      </c>
      <c r="D149" s="4" t="s">
        <v>23</v>
      </c>
      <c r="E149" s="8" t="s">
        <v>24</v>
      </c>
      <c r="F149" t="str">
        <f t="shared" si="2"/>
        <v>Tuesday</v>
      </c>
      <c r="G149" t="str">
        <f>VLOOKUP(B149,cabang!A:C,2,FALSE)</f>
        <v>Warung Selera Nusantara - Sudirman</v>
      </c>
    </row>
    <row r="150" spans="1:7" x14ac:dyDescent="0.35">
      <c r="A150" s="7" t="s">
        <v>182</v>
      </c>
      <c r="B150" s="4" t="s">
        <v>22</v>
      </c>
      <c r="C150" s="5">
        <v>45714.580555555563</v>
      </c>
      <c r="D150" s="4" t="s">
        <v>44</v>
      </c>
      <c r="E150" s="8" t="s">
        <v>33</v>
      </c>
      <c r="F150" t="str">
        <f t="shared" si="2"/>
        <v>Wednesday</v>
      </c>
      <c r="G150" t="str">
        <f>VLOOKUP(B150,cabang!A:C,2,FALSE)</f>
        <v>Warung Selera Nusantara - Margonda</v>
      </c>
    </row>
    <row r="151" spans="1:7" x14ac:dyDescent="0.35">
      <c r="A151" s="7" t="s">
        <v>183</v>
      </c>
      <c r="B151" s="4" t="s">
        <v>31</v>
      </c>
      <c r="C151" s="5">
        <v>45714.727777777778</v>
      </c>
      <c r="D151" s="4" t="s">
        <v>28</v>
      </c>
      <c r="E151" s="8" t="s">
        <v>24</v>
      </c>
      <c r="F151" t="str">
        <f t="shared" si="2"/>
        <v>Wednesday</v>
      </c>
      <c r="G151" t="str">
        <f>VLOOKUP(B151,cabang!A:C,2,FALSE)</f>
        <v>Warung Selera Nusantara - Sudirman</v>
      </c>
    </row>
    <row r="152" spans="1:7" x14ac:dyDescent="0.35">
      <c r="A152" s="7" t="s">
        <v>184</v>
      </c>
      <c r="B152" s="4" t="s">
        <v>31</v>
      </c>
      <c r="C152" s="5">
        <v>45714.847222222219</v>
      </c>
      <c r="D152" s="4" t="s">
        <v>23</v>
      </c>
      <c r="E152" s="8" t="s">
        <v>33</v>
      </c>
      <c r="F152" t="str">
        <f t="shared" si="2"/>
        <v>Wednesday</v>
      </c>
      <c r="G152" t="str">
        <f>VLOOKUP(B152,cabang!A:C,2,FALSE)</f>
        <v>Warung Selera Nusantara - Sudirman</v>
      </c>
    </row>
    <row r="153" spans="1:7" x14ac:dyDescent="0.35">
      <c r="A153" s="7" t="s">
        <v>185</v>
      </c>
      <c r="B153" s="4" t="s">
        <v>31</v>
      </c>
      <c r="C153" s="5">
        <v>45715.582638888889</v>
      </c>
      <c r="D153" s="4" t="s">
        <v>23</v>
      </c>
      <c r="E153" s="8" t="s">
        <v>33</v>
      </c>
      <c r="F153" t="str">
        <f t="shared" si="2"/>
        <v>Thursday</v>
      </c>
      <c r="G153" t="str">
        <f>VLOOKUP(B153,cabang!A:C,2,FALSE)</f>
        <v>Warung Selera Nusantara - Sudirman</v>
      </c>
    </row>
    <row r="154" spans="1:7" x14ac:dyDescent="0.35">
      <c r="A154" s="7" t="s">
        <v>186</v>
      </c>
      <c r="B154" s="4" t="s">
        <v>31</v>
      </c>
      <c r="C154" s="5">
        <v>45715.72152777778</v>
      </c>
      <c r="D154" s="4" t="s">
        <v>23</v>
      </c>
      <c r="E154" s="8" t="s">
        <v>24</v>
      </c>
      <c r="F154" t="str">
        <f t="shared" si="2"/>
        <v>Thursday</v>
      </c>
      <c r="G154" t="str">
        <f>VLOOKUP(B154,cabang!A:C,2,FALSE)</f>
        <v>Warung Selera Nusantara - Sudirman</v>
      </c>
    </row>
    <row r="155" spans="1:7" x14ac:dyDescent="0.35">
      <c r="A155" s="7" t="s">
        <v>187</v>
      </c>
      <c r="B155" s="4" t="s">
        <v>43</v>
      </c>
      <c r="C155" s="5">
        <v>45715.912499999999</v>
      </c>
      <c r="D155" s="4" t="s">
        <v>23</v>
      </c>
      <c r="E155" s="8" t="s">
        <v>33</v>
      </c>
      <c r="F155" t="str">
        <f t="shared" si="2"/>
        <v>Thursday</v>
      </c>
      <c r="G155" t="str">
        <f>VLOOKUP(B155,cabang!A:C,2,FALSE)</f>
        <v>Warung Selera Nusantara - Dago</v>
      </c>
    </row>
    <row r="156" spans="1:7" x14ac:dyDescent="0.35">
      <c r="A156" s="7" t="s">
        <v>188</v>
      </c>
      <c r="B156" s="4" t="s">
        <v>31</v>
      </c>
      <c r="C156" s="5">
        <v>45716.788194444453</v>
      </c>
      <c r="D156" s="4" t="s">
        <v>23</v>
      </c>
      <c r="E156" s="8" t="s">
        <v>24</v>
      </c>
      <c r="F156" t="str">
        <f t="shared" si="2"/>
        <v>Friday</v>
      </c>
      <c r="G156" t="str">
        <f>VLOOKUP(B156,cabang!A:C,2,FALSE)</f>
        <v>Warung Selera Nusantara - Sudirman</v>
      </c>
    </row>
    <row r="157" spans="1:7" x14ac:dyDescent="0.35">
      <c r="A157" s="7" t="s">
        <v>189</v>
      </c>
      <c r="B157" s="4" t="s">
        <v>43</v>
      </c>
      <c r="C157" s="5">
        <v>45717.820138888892</v>
      </c>
      <c r="D157" s="4" t="s">
        <v>23</v>
      </c>
      <c r="E157" s="8" t="s">
        <v>38</v>
      </c>
      <c r="F157" t="str">
        <f t="shared" si="2"/>
        <v>Saturday</v>
      </c>
      <c r="G157" t="str">
        <f>VLOOKUP(B157,cabang!A:C,2,FALSE)</f>
        <v>Warung Selera Nusantara - Dago</v>
      </c>
    </row>
    <row r="158" spans="1:7" x14ac:dyDescent="0.35">
      <c r="A158" s="7" t="s">
        <v>190</v>
      </c>
      <c r="B158" s="4" t="s">
        <v>22</v>
      </c>
      <c r="C158" s="5">
        <v>45717.844444444447</v>
      </c>
      <c r="D158" s="4" t="s">
        <v>23</v>
      </c>
      <c r="E158" s="8" t="s">
        <v>33</v>
      </c>
      <c r="F158" t="str">
        <f t="shared" si="2"/>
        <v>Saturday</v>
      </c>
      <c r="G158" t="str">
        <f>VLOOKUP(B158,cabang!A:C,2,FALSE)</f>
        <v>Warung Selera Nusantara - Margonda</v>
      </c>
    </row>
    <row r="159" spans="1:7" x14ac:dyDescent="0.35">
      <c r="A159" s="7" t="s">
        <v>191</v>
      </c>
      <c r="B159" s="4" t="s">
        <v>43</v>
      </c>
      <c r="C159" s="5">
        <v>45718.315972222219</v>
      </c>
      <c r="D159" s="4" t="s">
        <v>23</v>
      </c>
      <c r="E159" s="8" t="s">
        <v>29</v>
      </c>
      <c r="F159" t="str">
        <f t="shared" si="2"/>
        <v>Sunday</v>
      </c>
      <c r="G159" t="str">
        <f>VLOOKUP(B159,cabang!A:C,2,FALSE)</f>
        <v>Warung Selera Nusantara - Dago</v>
      </c>
    </row>
    <row r="160" spans="1:7" x14ac:dyDescent="0.35">
      <c r="A160" s="7" t="s">
        <v>192</v>
      </c>
      <c r="B160" s="4" t="s">
        <v>43</v>
      </c>
      <c r="C160" s="5">
        <v>45718.673611111109</v>
      </c>
      <c r="D160" s="4" t="s">
        <v>23</v>
      </c>
      <c r="E160" s="8" t="s">
        <v>38</v>
      </c>
      <c r="F160" t="str">
        <f t="shared" si="2"/>
        <v>Sunday</v>
      </c>
      <c r="G160" t="str">
        <f>VLOOKUP(B160,cabang!A:C,2,FALSE)</f>
        <v>Warung Selera Nusantara - Dago</v>
      </c>
    </row>
    <row r="161" spans="1:7" x14ac:dyDescent="0.35">
      <c r="A161" s="7" t="s">
        <v>193</v>
      </c>
      <c r="B161" s="4" t="s">
        <v>31</v>
      </c>
      <c r="C161" s="5">
        <v>45719.675000000003</v>
      </c>
      <c r="D161" s="4" t="s">
        <v>44</v>
      </c>
      <c r="E161" s="8" t="s">
        <v>24</v>
      </c>
      <c r="F161" t="str">
        <f t="shared" si="2"/>
        <v>Monday</v>
      </c>
      <c r="G161" t="str">
        <f>VLOOKUP(B161,cabang!A:C,2,FALSE)</f>
        <v>Warung Selera Nusantara - Sudirman</v>
      </c>
    </row>
    <row r="162" spans="1:7" x14ac:dyDescent="0.35">
      <c r="A162" s="7" t="s">
        <v>194</v>
      </c>
      <c r="B162" s="4" t="s">
        <v>22</v>
      </c>
      <c r="C162" s="5">
        <v>45720.560416666667</v>
      </c>
      <c r="D162" s="4" t="s">
        <v>23</v>
      </c>
      <c r="E162" s="8" t="s">
        <v>24</v>
      </c>
      <c r="F162" t="str">
        <f t="shared" si="2"/>
        <v>Tuesday</v>
      </c>
      <c r="G162" t="str">
        <f>VLOOKUP(B162,cabang!A:C,2,FALSE)</f>
        <v>Warung Selera Nusantara - Margonda</v>
      </c>
    </row>
    <row r="163" spans="1:7" x14ac:dyDescent="0.35">
      <c r="A163" s="7" t="s">
        <v>195</v>
      </c>
      <c r="B163" s="4" t="s">
        <v>43</v>
      </c>
      <c r="C163" s="5">
        <v>45720.563194444447</v>
      </c>
      <c r="D163" s="4" t="s">
        <v>28</v>
      </c>
      <c r="E163" s="8" t="s">
        <v>38</v>
      </c>
      <c r="F163" t="str">
        <f t="shared" si="2"/>
        <v>Tuesday</v>
      </c>
      <c r="G163" t="str">
        <f>VLOOKUP(B163,cabang!A:C,2,FALSE)</f>
        <v>Warung Selera Nusantara - Dago</v>
      </c>
    </row>
    <row r="164" spans="1:7" x14ac:dyDescent="0.35">
      <c r="A164" s="7" t="s">
        <v>196</v>
      </c>
      <c r="B164" s="4" t="s">
        <v>43</v>
      </c>
      <c r="C164" s="5">
        <v>45720.647916666669</v>
      </c>
      <c r="D164" s="4" t="s">
        <v>23</v>
      </c>
      <c r="E164" s="8" t="s">
        <v>33</v>
      </c>
      <c r="F164" t="str">
        <f t="shared" si="2"/>
        <v>Tuesday</v>
      </c>
      <c r="G164" t="str">
        <f>VLOOKUP(B164,cabang!A:C,2,FALSE)</f>
        <v>Warung Selera Nusantara - Dago</v>
      </c>
    </row>
    <row r="165" spans="1:7" x14ac:dyDescent="0.35">
      <c r="A165" s="7" t="s">
        <v>197</v>
      </c>
      <c r="B165" s="4" t="s">
        <v>22</v>
      </c>
      <c r="C165" s="5">
        <v>45720.806250000001</v>
      </c>
      <c r="D165" s="4" t="s">
        <v>23</v>
      </c>
      <c r="E165" s="8" t="s">
        <v>29</v>
      </c>
      <c r="F165" t="str">
        <f t="shared" si="2"/>
        <v>Tuesday</v>
      </c>
      <c r="G165" t="str">
        <f>VLOOKUP(B165,cabang!A:C,2,FALSE)</f>
        <v>Warung Selera Nusantara - Margonda</v>
      </c>
    </row>
    <row r="166" spans="1:7" x14ac:dyDescent="0.35">
      <c r="A166" s="7" t="s">
        <v>198</v>
      </c>
      <c r="B166" s="4" t="s">
        <v>22</v>
      </c>
      <c r="C166" s="5">
        <v>45721.741666666669</v>
      </c>
      <c r="D166" s="4" t="s">
        <v>28</v>
      </c>
      <c r="E166" s="8" t="s">
        <v>29</v>
      </c>
      <c r="F166" t="str">
        <f t="shared" si="2"/>
        <v>Wednesday</v>
      </c>
      <c r="G166" t="str">
        <f>VLOOKUP(B166,cabang!A:C,2,FALSE)</f>
        <v>Warung Selera Nusantara - Margonda</v>
      </c>
    </row>
    <row r="167" spans="1:7" x14ac:dyDescent="0.35">
      <c r="A167" s="7" t="s">
        <v>199</v>
      </c>
      <c r="B167" s="4" t="s">
        <v>27</v>
      </c>
      <c r="C167" s="5">
        <v>45721.907638888893</v>
      </c>
      <c r="D167" s="4" t="s">
        <v>23</v>
      </c>
      <c r="E167" s="8" t="s">
        <v>38</v>
      </c>
      <c r="F167" t="str">
        <f t="shared" si="2"/>
        <v>Wednesday</v>
      </c>
      <c r="G167" t="str">
        <f>VLOOKUP(B167,cabang!A:C,2,FALSE)</f>
        <v>Warung Selera Nusantara - Tunjungan</v>
      </c>
    </row>
    <row r="168" spans="1:7" x14ac:dyDescent="0.35">
      <c r="A168" s="7" t="s">
        <v>200</v>
      </c>
      <c r="B168" s="4" t="s">
        <v>43</v>
      </c>
      <c r="C168" s="5">
        <v>45722.45</v>
      </c>
      <c r="D168" s="4" t="s">
        <v>23</v>
      </c>
      <c r="E168" s="8" t="s">
        <v>38</v>
      </c>
      <c r="F168" t="str">
        <f t="shared" si="2"/>
        <v>Thursday</v>
      </c>
      <c r="G168" t="str">
        <f>VLOOKUP(B168,cabang!A:C,2,FALSE)</f>
        <v>Warung Selera Nusantara - Dago</v>
      </c>
    </row>
    <row r="169" spans="1:7" x14ac:dyDescent="0.35">
      <c r="A169" s="7" t="s">
        <v>201</v>
      </c>
      <c r="B169" s="4" t="s">
        <v>43</v>
      </c>
      <c r="C169" s="5">
        <v>45723.341666666667</v>
      </c>
      <c r="D169" s="4" t="s">
        <v>44</v>
      </c>
      <c r="E169" s="8" t="s">
        <v>38</v>
      </c>
      <c r="F169" t="str">
        <f t="shared" si="2"/>
        <v>Friday</v>
      </c>
      <c r="G169" t="str">
        <f>VLOOKUP(B169,cabang!A:C,2,FALSE)</f>
        <v>Warung Selera Nusantara - Dago</v>
      </c>
    </row>
    <row r="170" spans="1:7" x14ac:dyDescent="0.35">
      <c r="A170" s="7" t="s">
        <v>202</v>
      </c>
      <c r="B170" s="4" t="s">
        <v>22</v>
      </c>
      <c r="C170" s="5">
        <v>45723.765972222223</v>
      </c>
      <c r="D170" s="4" t="s">
        <v>23</v>
      </c>
      <c r="E170" s="8" t="s">
        <v>33</v>
      </c>
      <c r="F170" t="str">
        <f t="shared" si="2"/>
        <v>Friday</v>
      </c>
      <c r="G170" t="str">
        <f>VLOOKUP(B170,cabang!A:C,2,FALSE)</f>
        <v>Warung Selera Nusantara - Margonda</v>
      </c>
    </row>
    <row r="171" spans="1:7" x14ac:dyDescent="0.35">
      <c r="A171" s="7" t="s">
        <v>203</v>
      </c>
      <c r="B171" s="4" t="s">
        <v>31</v>
      </c>
      <c r="C171" s="5">
        <v>45723.853472222218</v>
      </c>
      <c r="D171" s="4" t="s">
        <v>23</v>
      </c>
      <c r="E171" s="8" t="s">
        <v>29</v>
      </c>
      <c r="F171" t="str">
        <f t="shared" si="2"/>
        <v>Friday</v>
      </c>
      <c r="G171" t="str">
        <f>VLOOKUP(B171,cabang!A:C,2,FALSE)</f>
        <v>Warung Selera Nusantara - Sudirman</v>
      </c>
    </row>
    <row r="172" spans="1:7" x14ac:dyDescent="0.35">
      <c r="A172" s="7" t="s">
        <v>204</v>
      </c>
      <c r="B172" s="4" t="s">
        <v>31</v>
      </c>
      <c r="C172" s="5">
        <v>45724.336111111108</v>
      </c>
      <c r="D172" s="4" t="s">
        <v>23</v>
      </c>
      <c r="E172" s="8" t="s">
        <v>38</v>
      </c>
      <c r="F172" t="str">
        <f t="shared" si="2"/>
        <v>Saturday</v>
      </c>
      <c r="G172" t="str">
        <f>VLOOKUP(B172,cabang!A:C,2,FALSE)</f>
        <v>Warung Selera Nusantara - Sudirman</v>
      </c>
    </row>
    <row r="173" spans="1:7" x14ac:dyDescent="0.35">
      <c r="A173" s="7" t="s">
        <v>205</v>
      </c>
      <c r="B173" s="4" t="s">
        <v>27</v>
      </c>
      <c r="C173" s="5">
        <v>45724.553472222222</v>
      </c>
      <c r="D173" s="4" t="s">
        <v>23</v>
      </c>
      <c r="E173" s="8" t="s">
        <v>29</v>
      </c>
      <c r="F173" t="str">
        <f t="shared" si="2"/>
        <v>Saturday</v>
      </c>
      <c r="G173" t="str">
        <f>VLOOKUP(B173,cabang!A:C,2,FALSE)</f>
        <v>Warung Selera Nusantara - Tunjungan</v>
      </c>
    </row>
    <row r="174" spans="1:7" x14ac:dyDescent="0.35">
      <c r="A174" s="7" t="s">
        <v>206</v>
      </c>
      <c r="B174" s="4" t="s">
        <v>31</v>
      </c>
      <c r="C174" s="5">
        <v>45725.626388888893</v>
      </c>
      <c r="D174" s="4" t="s">
        <v>44</v>
      </c>
      <c r="E174" s="8" t="s">
        <v>24</v>
      </c>
      <c r="F174" t="str">
        <f t="shared" si="2"/>
        <v>Sunday</v>
      </c>
      <c r="G174" t="str">
        <f>VLOOKUP(B174,cabang!A:C,2,FALSE)</f>
        <v>Warung Selera Nusantara - Sudirman</v>
      </c>
    </row>
    <row r="175" spans="1:7" x14ac:dyDescent="0.35">
      <c r="A175" s="7" t="s">
        <v>207</v>
      </c>
      <c r="B175" s="4" t="s">
        <v>27</v>
      </c>
      <c r="C175" s="5">
        <v>45725.819444444453</v>
      </c>
      <c r="D175" s="4" t="s">
        <v>44</v>
      </c>
      <c r="E175" s="8" t="s">
        <v>33</v>
      </c>
      <c r="F175" t="str">
        <f t="shared" si="2"/>
        <v>Sunday</v>
      </c>
      <c r="G175" t="str">
        <f>VLOOKUP(B175,cabang!A:C,2,FALSE)</f>
        <v>Warung Selera Nusantara - Tunjungan</v>
      </c>
    </row>
    <row r="176" spans="1:7" x14ac:dyDescent="0.35">
      <c r="A176" s="7" t="s">
        <v>208</v>
      </c>
      <c r="B176" s="4" t="s">
        <v>27</v>
      </c>
      <c r="C176" s="5">
        <v>45725.831944444442</v>
      </c>
      <c r="D176" s="4" t="s">
        <v>23</v>
      </c>
      <c r="E176" s="8" t="s">
        <v>24</v>
      </c>
      <c r="F176" t="str">
        <f t="shared" si="2"/>
        <v>Sunday</v>
      </c>
      <c r="G176" t="str">
        <f>VLOOKUP(B176,cabang!A:C,2,FALSE)</f>
        <v>Warung Selera Nusantara - Tunjungan</v>
      </c>
    </row>
    <row r="177" spans="1:7" x14ac:dyDescent="0.35">
      <c r="A177" s="7" t="s">
        <v>209</v>
      </c>
      <c r="B177" s="4" t="s">
        <v>31</v>
      </c>
      <c r="C177" s="5">
        <v>45726.502083333333</v>
      </c>
      <c r="D177" s="4" t="s">
        <v>23</v>
      </c>
      <c r="E177" s="8" t="s">
        <v>24</v>
      </c>
      <c r="F177" t="str">
        <f t="shared" si="2"/>
        <v>Monday</v>
      </c>
      <c r="G177" t="str">
        <f>VLOOKUP(B177,cabang!A:C,2,FALSE)</f>
        <v>Warung Selera Nusantara - Sudirman</v>
      </c>
    </row>
    <row r="178" spans="1:7" x14ac:dyDescent="0.35">
      <c r="A178" s="7" t="s">
        <v>210</v>
      </c>
      <c r="B178" s="4" t="s">
        <v>22</v>
      </c>
      <c r="C178" s="5">
        <v>45726.545138888891</v>
      </c>
      <c r="D178" s="4" t="s">
        <v>44</v>
      </c>
      <c r="E178" s="8" t="s">
        <v>29</v>
      </c>
      <c r="F178" t="str">
        <f t="shared" si="2"/>
        <v>Monday</v>
      </c>
      <c r="G178" t="str">
        <f>VLOOKUP(B178,cabang!A:C,2,FALSE)</f>
        <v>Warung Selera Nusantara - Margonda</v>
      </c>
    </row>
    <row r="179" spans="1:7" x14ac:dyDescent="0.35">
      <c r="A179" s="7" t="s">
        <v>211</v>
      </c>
      <c r="B179" s="4" t="s">
        <v>22</v>
      </c>
      <c r="C179" s="5">
        <v>45727.87777777778</v>
      </c>
      <c r="D179" s="4" t="s">
        <v>23</v>
      </c>
      <c r="E179" s="8" t="s">
        <v>29</v>
      </c>
      <c r="F179" t="str">
        <f t="shared" si="2"/>
        <v>Tuesday</v>
      </c>
      <c r="G179" t="str">
        <f>VLOOKUP(B179,cabang!A:C,2,FALSE)</f>
        <v>Warung Selera Nusantara - Margonda</v>
      </c>
    </row>
    <row r="180" spans="1:7" x14ac:dyDescent="0.35">
      <c r="A180" s="7" t="s">
        <v>212</v>
      </c>
      <c r="B180" s="4" t="s">
        <v>43</v>
      </c>
      <c r="C180" s="5">
        <v>45728.684027777781</v>
      </c>
      <c r="D180" s="4" t="s">
        <v>44</v>
      </c>
      <c r="E180" s="8" t="s">
        <v>24</v>
      </c>
      <c r="F180" t="str">
        <f t="shared" si="2"/>
        <v>Wednesday</v>
      </c>
      <c r="G180" t="str">
        <f>VLOOKUP(B180,cabang!A:C,2,FALSE)</f>
        <v>Warung Selera Nusantara - Dago</v>
      </c>
    </row>
    <row r="181" spans="1:7" x14ac:dyDescent="0.35">
      <c r="A181" s="7" t="s">
        <v>213</v>
      </c>
      <c r="B181" s="4" t="s">
        <v>31</v>
      </c>
      <c r="C181" s="5">
        <v>45728.864583333343</v>
      </c>
      <c r="D181" s="4" t="s">
        <v>23</v>
      </c>
      <c r="E181" s="8" t="s">
        <v>24</v>
      </c>
      <c r="F181" t="str">
        <f t="shared" si="2"/>
        <v>Wednesday</v>
      </c>
      <c r="G181" t="str">
        <f>VLOOKUP(B181,cabang!A:C,2,FALSE)</f>
        <v>Warung Selera Nusantara - Sudirman</v>
      </c>
    </row>
    <row r="182" spans="1:7" x14ac:dyDescent="0.35">
      <c r="A182" s="7" t="s">
        <v>214</v>
      </c>
      <c r="B182" s="4" t="s">
        <v>27</v>
      </c>
      <c r="C182" s="5">
        <v>45729.788194444453</v>
      </c>
      <c r="D182" s="4" t="s">
        <v>28</v>
      </c>
      <c r="E182" s="8" t="s">
        <v>24</v>
      </c>
      <c r="F182" t="str">
        <f t="shared" si="2"/>
        <v>Thursday</v>
      </c>
      <c r="G182" t="str">
        <f>VLOOKUP(B182,cabang!A:C,2,FALSE)</f>
        <v>Warung Selera Nusantara - Tunjungan</v>
      </c>
    </row>
    <row r="183" spans="1:7" x14ac:dyDescent="0.35">
      <c r="A183" s="7" t="s">
        <v>215</v>
      </c>
      <c r="B183" s="4" t="s">
        <v>43</v>
      </c>
      <c r="C183" s="5">
        <v>45729.848611111112</v>
      </c>
      <c r="D183" s="4" t="s">
        <v>23</v>
      </c>
      <c r="E183" s="8" t="s">
        <v>24</v>
      </c>
      <c r="F183" t="str">
        <f t="shared" si="2"/>
        <v>Thursday</v>
      </c>
      <c r="G183" t="str">
        <f>VLOOKUP(B183,cabang!A:C,2,FALSE)</f>
        <v>Warung Selera Nusantara - Dago</v>
      </c>
    </row>
    <row r="184" spans="1:7" x14ac:dyDescent="0.35">
      <c r="A184" s="7" t="s">
        <v>216</v>
      </c>
      <c r="B184" s="4" t="s">
        <v>31</v>
      </c>
      <c r="C184" s="5">
        <v>45730.481249999997</v>
      </c>
      <c r="D184" s="4" t="s">
        <v>44</v>
      </c>
      <c r="E184" s="8" t="s">
        <v>38</v>
      </c>
      <c r="F184" t="str">
        <f t="shared" si="2"/>
        <v>Friday</v>
      </c>
      <c r="G184" t="str">
        <f>VLOOKUP(B184,cabang!A:C,2,FALSE)</f>
        <v>Warung Selera Nusantara - Sudirman</v>
      </c>
    </row>
    <row r="185" spans="1:7" x14ac:dyDescent="0.35">
      <c r="A185" s="7" t="s">
        <v>217</v>
      </c>
      <c r="B185" s="4" t="s">
        <v>27</v>
      </c>
      <c r="C185" s="5">
        <v>45730.59375</v>
      </c>
      <c r="D185" s="4" t="s">
        <v>28</v>
      </c>
      <c r="E185" s="8" t="s">
        <v>33</v>
      </c>
      <c r="F185" t="str">
        <f t="shared" si="2"/>
        <v>Friday</v>
      </c>
      <c r="G185" t="str">
        <f>VLOOKUP(B185,cabang!A:C,2,FALSE)</f>
        <v>Warung Selera Nusantara - Tunjungan</v>
      </c>
    </row>
    <row r="186" spans="1:7" x14ac:dyDescent="0.35">
      <c r="A186" s="7" t="s">
        <v>218</v>
      </c>
      <c r="B186" s="4" t="s">
        <v>43</v>
      </c>
      <c r="C186" s="5">
        <v>45730.85</v>
      </c>
      <c r="D186" s="4" t="s">
        <v>28</v>
      </c>
      <c r="E186" s="8" t="s">
        <v>24</v>
      </c>
      <c r="F186" t="str">
        <f t="shared" si="2"/>
        <v>Friday</v>
      </c>
      <c r="G186" t="str">
        <f>VLOOKUP(B186,cabang!A:C,2,FALSE)</f>
        <v>Warung Selera Nusantara - Dago</v>
      </c>
    </row>
    <row r="187" spans="1:7" x14ac:dyDescent="0.35">
      <c r="A187" s="7" t="s">
        <v>219</v>
      </c>
      <c r="B187" s="4" t="s">
        <v>27</v>
      </c>
      <c r="C187" s="5">
        <v>45730.90625</v>
      </c>
      <c r="D187" s="4" t="s">
        <v>28</v>
      </c>
      <c r="E187" s="8" t="s">
        <v>29</v>
      </c>
      <c r="F187" t="str">
        <f t="shared" si="2"/>
        <v>Friday</v>
      </c>
      <c r="G187" t="str">
        <f>VLOOKUP(B187,cabang!A:C,2,FALSE)</f>
        <v>Warung Selera Nusantara - Tunjungan</v>
      </c>
    </row>
    <row r="188" spans="1:7" x14ac:dyDescent="0.35">
      <c r="A188" s="7" t="s">
        <v>220</v>
      </c>
      <c r="B188" s="4" t="s">
        <v>27</v>
      </c>
      <c r="C188" s="5">
        <v>45731.380555555559</v>
      </c>
      <c r="D188" s="4" t="s">
        <v>28</v>
      </c>
      <c r="E188" s="8" t="s">
        <v>24</v>
      </c>
      <c r="F188" t="str">
        <f t="shared" si="2"/>
        <v>Saturday</v>
      </c>
      <c r="G188" t="str">
        <f>VLOOKUP(B188,cabang!A:C,2,FALSE)</f>
        <v>Warung Selera Nusantara - Tunjungan</v>
      </c>
    </row>
    <row r="189" spans="1:7" x14ac:dyDescent="0.35">
      <c r="A189" s="7" t="s">
        <v>221</v>
      </c>
      <c r="B189" s="4" t="s">
        <v>27</v>
      </c>
      <c r="C189" s="5">
        <v>45731.447916666657</v>
      </c>
      <c r="D189" s="4" t="s">
        <v>23</v>
      </c>
      <c r="E189" s="8" t="s">
        <v>29</v>
      </c>
      <c r="F189" t="str">
        <f t="shared" si="2"/>
        <v>Saturday</v>
      </c>
      <c r="G189" t="str">
        <f>VLOOKUP(B189,cabang!A:C,2,FALSE)</f>
        <v>Warung Selera Nusantara - Tunjungan</v>
      </c>
    </row>
    <row r="190" spans="1:7" x14ac:dyDescent="0.35">
      <c r="A190" s="7" t="s">
        <v>222</v>
      </c>
      <c r="B190" s="4" t="s">
        <v>31</v>
      </c>
      <c r="C190" s="5">
        <v>45731.532638888893</v>
      </c>
      <c r="D190" s="4" t="s">
        <v>23</v>
      </c>
      <c r="E190" s="8" t="s">
        <v>24</v>
      </c>
      <c r="F190" t="str">
        <f t="shared" si="2"/>
        <v>Saturday</v>
      </c>
      <c r="G190" t="str">
        <f>VLOOKUP(B190,cabang!A:C,2,FALSE)</f>
        <v>Warung Selera Nusantara - Sudirman</v>
      </c>
    </row>
    <row r="191" spans="1:7" x14ac:dyDescent="0.35">
      <c r="A191" s="7" t="s">
        <v>223</v>
      </c>
      <c r="B191" s="4" t="s">
        <v>43</v>
      </c>
      <c r="C191" s="5">
        <v>45732.474305555559</v>
      </c>
      <c r="D191" s="4" t="s">
        <v>44</v>
      </c>
      <c r="E191" s="8" t="s">
        <v>24</v>
      </c>
      <c r="F191" t="str">
        <f t="shared" si="2"/>
        <v>Sunday</v>
      </c>
      <c r="G191" t="str">
        <f>VLOOKUP(B191,cabang!A:C,2,FALSE)</f>
        <v>Warung Selera Nusantara - Dago</v>
      </c>
    </row>
    <row r="192" spans="1:7" x14ac:dyDescent="0.35">
      <c r="A192" s="7" t="s">
        <v>224</v>
      </c>
      <c r="B192" s="4" t="s">
        <v>31</v>
      </c>
      <c r="C192" s="5">
        <v>45732.493055555547</v>
      </c>
      <c r="D192" s="4" t="s">
        <v>28</v>
      </c>
      <c r="E192" s="8" t="s">
        <v>29</v>
      </c>
      <c r="F192" t="str">
        <f t="shared" si="2"/>
        <v>Sunday</v>
      </c>
      <c r="G192" t="str">
        <f>VLOOKUP(B192,cabang!A:C,2,FALSE)</f>
        <v>Warung Selera Nusantara - Sudirman</v>
      </c>
    </row>
    <row r="193" spans="1:7" x14ac:dyDescent="0.35">
      <c r="A193" s="7" t="s">
        <v>225</v>
      </c>
      <c r="B193" s="4" t="s">
        <v>27</v>
      </c>
      <c r="C193" s="5">
        <v>45732.526388888888</v>
      </c>
      <c r="D193" s="4" t="s">
        <v>23</v>
      </c>
      <c r="E193" s="8" t="s">
        <v>24</v>
      </c>
      <c r="F193" t="str">
        <f t="shared" si="2"/>
        <v>Sunday</v>
      </c>
      <c r="G193" t="str">
        <f>VLOOKUP(B193,cabang!A:C,2,FALSE)</f>
        <v>Warung Selera Nusantara - Tunjungan</v>
      </c>
    </row>
    <row r="194" spans="1:7" x14ac:dyDescent="0.35">
      <c r="A194" s="7" t="s">
        <v>226</v>
      </c>
      <c r="B194" s="4" t="s">
        <v>43</v>
      </c>
      <c r="C194" s="5">
        <v>45732.724999999999</v>
      </c>
      <c r="D194" s="4" t="s">
        <v>23</v>
      </c>
      <c r="E194" s="8" t="s">
        <v>38</v>
      </c>
      <c r="F194" t="str">
        <f t="shared" ref="F194:F257" si="3">TEXT(C194,"dddd")</f>
        <v>Sunday</v>
      </c>
      <c r="G194" t="str">
        <f>VLOOKUP(B194,cabang!A:C,2,FALSE)</f>
        <v>Warung Selera Nusantara - Dago</v>
      </c>
    </row>
    <row r="195" spans="1:7" x14ac:dyDescent="0.35">
      <c r="A195" s="7" t="s">
        <v>227</v>
      </c>
      <c r="B195" s="4" t="s">
        <v>22</v>
      </c>
      <c r="C195" s="5">
        <v>45732.793749999997</v>
      </c>
      <c r="D195" s="4" t="s">
        <v>23</v>
      </c>
      <c r="E195" s="8" t="s">
        <v>29</v>
      </c>
      <c r="F195" t="str">
        <f t="shared" si="3"/>
        <v>Sunday</v>
      </c>
      <c r="G195" t="str">
        <f>VLOOKUP(B195,cabang!A:C,2,FALSE)</f>
        <v>Warung Selera Nusantara - Margonda</v>
      </c>
    </row>
    <row r="196" spans="1:7" x14ac:dyDescent="0.35">
      <c r="A196" s="7" t="s">
        <v>228</v>
      </c>
      <c r="B196" s="4" t="s">
        <v>27</v>
      </c>
      <c r="C196" s="5">
        <v>45732.902777777781</v>
      </c>
      <c r="D196" s="4" t="s">
        <v>23</v>
      </c>
      <c r="E196" s="8" t="s">
        <v>24</v>
      </c>
      <c r="F196" t="str">
        <f t="shared" si="3"/>
        <v>Sunday</v>
      </c>
      <c r="G196" t="str">
        <f>VLOOKUP(B196,cabang!A:C,2,FALSE)</f>
        <v>Warung Selera Nusantara - Tunjungan</v>
      </c>
    </row>
    <row r="197" spans="1:7" x14ac:dyDescent="0.35">
      <c r="A197" s="7" t="s">
        <v>229</v>
      </c>
      <c r="B197" s="4" t="s">
        <v>31</v>
      </c>
      <c r="C197" s="5">
        <v>45733.480555555558</v>
      </c>
      <c r="D197" s="4" t="s">
        <v>23</v>
      </c>
      <c r="E197" s="8" t="s">
        <v>24</v>
      </c>
      <c r="F197" t="str">
        <f t="shared" si="3"/>
        <v>Monday</v>
      </c>
      <c r="G197" t="str">
        <f>VLOOKUP(B197,cabang!A:C,2,FALSE)</f>
        <v>Warung Selera Nusantara - Sudirman</v>
      </c>
    </row>
    <row r="198" spans="1:7" x14ac:dyDescent="0.35">
      <c r="A198" s="7" t="s">
        <v>230</v>
      </c>
      <c r="B198" s="4" t="s">
        <v>22</v>
      </c>
      <c r="C198" s="5">
        <v>45734.386805555558</v>
      </c>
      <c r="D198" s="4" t="s">
        <v>44</v>
      </c>
      <c r="E198" s="8" t="s">
        <v>33</v>
      </c>
      <c r="F198" t="str">
        <f t="shared" si="3"/>
        <v>Tuesday</v>
      </c>
      <c r="G198" t="str">
        <f>VLOOKUP(B198,cabang!A:C,2,FALSE)</f>
        <v>Warung Selera Nusantara - Margonda</v>
      </c>
    </row>
    <row r="199" spans="1:7" x14ac:dyDescent="0.35">
      <c r="A199" s="7" t="s">
        <v>231</v>
      </c>
      <c r="B199" s="4" t="s">
        <v>31</v>
      </c>
      <c r="C199" s="5">
        <v>45734.55972222222</v>
      </c>
      <c r="D199" s="4" t="s">
        <v>44</v>
      </c>
      <c r="E199" s="8" t="s">
        <v>24</v>
      </c>
      <c r="F199" t="str">
        <f t="shared" si="3"/>
        <v>Tuesday</v>
      </c>
      <c r="G199" t="str">
        <f>VLOOKUP(B199,cabang!A:C,2,FALSE)</f>
        <v>Warung Selera Nusantara - Sudirman</v>
      </c>
    </row>
    <row r="200" spans="1:7" x14ac:dyDescent="0.35">
      <c r="A200" s="7" t="s">
        <v>232</v>
      </c>
      <c r="B200" s="4" t="s">
        <v>27</v>
      </c>
      <c r="C200" s="5">
        <v>45734.5625</v>
      </c>
      <c r="D200" s="4" t="s">
        <v>23</v>
      </c>
      <c r="E200" s="8" t="s">
        <v>24</v>
      </c>
      <c r="F200" t="str">
        <f t="shared" si="3"/>
        <v>Tuesday</v>
      </c>
      <c r="G200" t="str">
        <f>VLOOKUP(B200,cabang!A:C,2,FALSE)</f>
        <v>Warung Selera Nusantara - Tunjungan</v>
      </c>
    </row>
    <row r="201" spans="1:7" x14ac:dyDescent="0.35">
      <c r="A201" s="7" t="s">
        <v>233</v>
      </c>
      <c r="B201" s="4" t="s">
        <v>43</v>
      </c>
      <c r="C201" s="5">
        <v>45734.823611111111</v>
      </c>
      <c r="D201" s="4" t="s">
        <v>28</v>
      </c>
      <c r="E201" s="8" t="s">
        <v>24</v>
      </c>
      <c r="F201" t="str">
        <f t="shared" si="3"/>
        <v>Tuesday</v>
      </c>
      <c r="G201" t="str">
        <f>VLOOKUP(B201,cabang!A:C,2,FALSE)</f>
        <v>Warung Selera Nusantara - Dago</v>
      </c>
    </row>
    <row r="202" spans="1:7" x14ac:dyDescent="0.35">
      <c r="A202" s="7" t="s">
        <v>234</v>
      </c>
      <c r="B202" s="4" t="s">
        <v>31</v>
      </c>
      <c r="C202" s="5">
        <v>45735.54791666667</v>
      </c>
      <c r="D202" s="4" t="s">
        <v>23</v>
      </c>
      <c r="E202" s="8" t="s">
        <v>24</v>
      </c>
      <c r="F202" t="str">
        <f t="shared" si="3"/>
        <v>Wednesday</v>
      </c>
      <c r="G202" t="str">
        <f>VLOOKUP(B202,cabang!A:C,2,FALSE)</f>
        <v>Warung Selera Nusantara - Sudirman</v>
      </c>
    </row>
    <row r="203" spans="1:7" x14ac:dyDescent="0.35">
      <c r="A203" s="7" t="s">
        <v>235</v>
      </c>
      <c r="B203" s="4" t="s">
        <v>43</v>
      </c>
      <c r="C203" s="5">
        <v>45737.445833333331</v>
      </c>
      <c r="D203" s="4" t="s">
        <v>236</v>
      </c>
      <c r="E203" s="8" t="s">
        <v>38</v>
      </c>
      <c r="F203" t="str">
        <f t="shared" si="3"/>
        <v>Friday</v>
      </c>
      <c r="G203" t="str">
        <f>VLOOKUP(B203,cabang!A:C,2,FALSE)</f>
        <v>Warung Selera Nusantara - Dago</v>
      </c>
    </row>
    <row r="204" spans="1:7" x14ac:dyDescent="0.35">
      <c r="A204" s="7" t="s">
        <v>237</v>
      </c>
      <c r="B204" s="4" t="s">
        <v>22</v>
      </c>
      <c r="C204" s="5">
        <v>45737.447916666657</v>
      </c>
      <c r="D204" s="4" t="s">
        <v>23</v>
      </c>
      <c r="E204" s="8" t="s">
        <v>29</v>
      </c>
      <c r="F204" t="str">
        <f t="shared" si="3"/>
        <v>Friday</v>
      </c>
      <c r="G204" t="str">
        <f>VLOOKUP(B204,cabang!A:C,2,FALSE)</f>
        <v>Warung Selera Nusantara - Margonda</v>
      </c>
    </row>
    <row r="205" spans="1:7" x14ac:dyDescent="0.35">
      <c r="A205" s="7" t="s">
        <v>238</v>
      </c>
      <c r="B205" s="4" t="s">
        <v>22</v>
      </c>
      <c r="C205" s="5">
        <v>45737.505555555559</v>
      </c>
      <c r="D205" s="4" t="s">
        <v>23</v>
      </c>
      <c r="E205" s="8" t="s">
        <v>24</v>
      </c>
      <c r="F205" t="str">
        <f t="shared" si="3"/>
        <v>Friday</v>
      </c>
      <c r="G205" t="str">
        <f>VLOOKUP(B205,cabang!A:C,2,FALSE)</f>
        <v>Warung Selera Nusantara - Margonda</v>
      </c>
    </row>
    <row r="206" spans="1:7" x14ac:dyDescent="0.35">
      <c r="A206" s="7" t="s">
        <v>239</v>
      </c>
      <c r="B206" s="4" t="s">
        <v>31</v>
      </c>
      <c r="C206" s="5">
        <v>45737.505555555559</v>
      </c>
      <c r="D206" s="4" t="s">
        <v>23</v>
      </c>
      <c r="E206" s="8" t="s">
        <v>24</v>
      </c>
      <c r="F206" t="str">
        <f t="shared" si="3"/>
        <v>Friday</v>
      </c>
      <c r="G206" t="str">
        <f>VLOOKUP(B206,cabang!A:C,2,FALSE)</f>
        <v>Warung Selera Nusantara - Sudirman</v>
      </c>
    </row>
    <row r="207" spans="1:7" x14ac:dyDescent="0.35">
      <c r="A207" s="7" t="s">
        <v>240</v>
      </c>
      <c r="B207" s="4" t="s">
        <v>31</v>
      </c>
      <c r="C207" s="5">
        <v>45738.463194444441</v>
      </c>
      <c r="D207" s="4" t="s">
        <v>28</v>
      </c>
      <c r="E207" s="8" t="s">
        <v>24</v>
      </c>
      <c r="F207" t="str">
        <f t="shared" si="3"/>
        <v>Saturday</v>
      </c>
      <c r="G207" t="str">
        <f>VLOOKUP(B207,cabang!A:C,2,FALSE)</f>
        <v>Warung Selera Nusantara - Sudirman</v>
      </c>
    </row>
    <row r="208" spans="1:7" x14ac:dyDescent="0.35">
      <c r="A208" s="7" t="s">
        <v>241</v>
      </c>
      <c r="B208" s="4" t="s">
        <v>31</v>
      </c>
      <c r="C208" s="5">
        <v>45738.676388888889</v>
      </c>
      <c r="D208" s="4" t="s">
        <v>23</v>
      </c>
      <c r="E208" s="8" t="s">
        <v>33</v>
      </c>
      <c r="F208" t="str">
        <f t="shared" si="3"/>
        <v>Saturday</v>
      </c>
      <c r="G208" t="str">
        <f>VLOOKUP(B208,cabang!A:C,2,FALSE)</f>
        <v>Warung Selera Nusantara - Sudirman</v>
      </c>
    </row>
    <row r="209" spans="1:7" x14ac:dyDescent="0.35">
      <c r="A209" s="7" t="s">
        <v>242</v>
      </c>
      <c r="B209" s="4" t="s">
        <v>31</v>
      </c>
      <c r="C209" s="5">
        <v>45738.786111111112</v>
      </c>
      <c r="D209" s="4" t="s">
        <v>23</v>
      </c>
      <c r="E209" s="8" t="s">
        <v>38</v>
      </c>
      <c r="F209" t="str">
        <f t="shared" si="3"/>
        <v>Saturday</v>
      </c>
      <c r="G209" t="str">
        <f>VLOOKUP(B209,cabang!A:C,2,FALSE)</f>
        <v>Warung Selera Nusantara - Sudirman</v>
      </c>
    </row>
    <row r="210" spans="1:7" x14ac:dyDescent="0.35">
      <c r="A210" s="7" t="s">
        <v>243</v>
      </c>
      <c r="B210" s="4" t="s">
        <v>43</v>
      </c>
      <c r="C210" s="5">
        <v>45739.495833333327</v>
      </c>
      <c r="D210" s="4" t="s">
        <v>44</v>
      </c>
      <c r="E210" s="8" t="s">
        <v>33</v>
      </c>
      <c r="F210" t="str">
        <f t="shared" si="3"/>
        <v>Sunday</v>
      </c>
      <c r="G210" t="str">
        <f>VLOOKUP(B210,cabang!A:C,2,FALSE)</f>
        <v>Warung Selera Nusantara - Dago</v>
      </c>
    </row>
    <row r="211" spans="1:7" x14ac:dyDescent="0.35">
      <c r="A211" s="7" t="s">
        <v>244</v>
      </c>
      <c r="B211" s="4" t="s">
        <v>31</v>
      </c>
      <c r="C211" s="5">
        <v>45739.526388888888</v>
      </c>
      <c r="D211" s="4" t="s">
        <v>23</v>
      </c>
      <c r="E211" s="8" t="s">
        <v>33</v>
      </c>
      <c r="F211" t="str">
        <f t="shared" si="3"/>
        <v>Sunday</v>
      </c>
      <c r="G211" t="str">
        <f>VLOOKUP(B211,cabang!A:C,2,FALSE)</f>
        <v>Warung Selera Nusantara - Sudirman</v>
      </c>
    </row>
    <row r="212" spans="1:7" x14ac:dyDescent="0.35">
      <c r="A212" s="7" t="s">
        <v>245</v>
      </c>
      <c r="B212" s="4" t="s">
        <v>27</v>
      </c>
      <c r="C212" s="5">
        <v>45739.825694444437</v>
      </c>
      <c r="D212" s="4" t="s">
        <v>44</v>
      </c>
      <c r="E212" s="8" t="s">
        <v>38</v>
      </c>
      <c r="F212" t="str">
        <f t="shared" si="3"/>
        <v>Sunday</v>
      </c>
      <c r="G212" t="str">
        <f>VLOOKUP(B212,cabang!A:C,2,FALSE)</f>
        <v>Warung Selera Nusantara - Tunjungan</v>
      </c>
    </row>
    <row r="213" spans="1:7" x14ac:dyDescent="0.35">
      <c r="A213" s="7" t="s">
        <v>246</v>
      </c>
      <c r="B213" s="4" t="s">
        <v>27</v>
      </c>
      <c r="C213" s="5">
        <v>45740.46597222222</v>
      </c>
      <c r="D213" s="4" t="s">
        <v>23</v>
      </c>
      <c r="E213" s="8" t="s">
        <v>24</v>
      </c>
      <c r="F213" t="str">
        <f t="shared" si="3"/>
        <v>Monday</v>
      </c>
      <c r="G213" t="str">
        <f>VLOOKUP(B213,cabang!A:C,2,FALSE)</f>
        <v>Warung Selera Nusantara - Tunjungan</v>
      </c>
    </row>
    <row r="214" spans="1:7" x14ac:dyDescent="0.35">
      <c r="A214" s="7" t="s">
        <v>247</v>
      </c>
      <c r="B214" s="4" t="s">
        <v>22</v>
      </c>
      <c r="C214" s="5">
        <v>45740.522222222222</v>
      </c>
      <c r="D214" s="4" t="s">
        <v>28</v>
      </c>
      <c r="E214" s="8" t="s">
        <v>24</v>
      </c>
      <c r="F214" t="str">
        <f t="shared" si="3"/>
        <v>Monday</v>
      </c>
      <c r="G214" t="str">
        <f>VLOOKUP(B214,cabang!A:C,2,FALSE)</f>
        <v>Warung Selera Nusantara - Margonda</v>
      </c>
    </row>
    <row r="215" spans="1:7" x14ac:dyDescent="0.35">
      <c r="A215" s="7" t="s">
        <v>248</v>
      </c>
      <c r="B215" s="4" t="s">
        <v>22</v>
      </c>
      <c r="C215" s="5">
        <v>45740.665972222218</v>
      </c>
      <c r="D215" s="4" t="s">
        <v>23</v>
      </c>
      <c r="E215" s="8" t="s">
        <v>29</v>
      </c>
      <c r="F215" t="str">
        <f t="shared" si="3"/>
        <v>Monday</v>
      </c>
      <c r="G215" t="str">
        <f>VLOOKUP(B215,cabang!A:C,2,FALSE)</f>
        <v>Warung Selera Nusantara - Margonda</v>
      </c>
    </row>
    <row r="216" spans="1:7" x14ac:dyDescent="0.35">
      <c r="A216" s="7" t="s">
        <v>249</v>
      </c>
      <c r="B216" s="4" t="s">
        <v>27</v>
      </c>
      <c r="C216" s="5">
        <v>45740.759027777778</v>
      </c>
      <c r="D216" s="4" t="s">
        <v>23</v>
      </c>
      <c r="E216" s="8" t="s">
        <v>29</v>
      </c>
      <c r="F216" t="str">
        <f t="shared" si="3"/>
        <v>Monday</v>
      </c>
      <c r="G216" t="str">
        <f>VLOOKUP(B216,cabang!A:C,2,FALSE)</f>
        <v>Warung Selera Nusantara - Tunjungan</v>
      </c>
    </row>
    <row r="217" spans="1:7" x14ac:dyDescent="0.35">
      <c r="A217" s="7" t="s">
        <v>250</v>
      </c>
      <c r="B217" s="4" t="s">
        <v>27</v>
      </c>
      <c r="C217" s="5">
        <v>45740.811805555553</v>
      </c>
      <c r="D217" s="4" t="s">
        <v>23</v>
      </c>
      <c r="E217" s="8" t="s">
        <v>29</v>
      </c>
      <c r="F217" t="str">
        <f t="shared" si="3"/>
        <v>Monday</v>
      </c>
      <c r="G217" t="str">
        <f>VLOOKUP(B217,cabang!A:C,2,FALSE)</f>
        <v>Warung Selera Nusantara - Tunjungan</v>
      </c>
    </row>
    <row r="218" spans="1:7" x14ac:dyDescent="0.35">
      <c r="A218" s="7" t="s">
        <v>251</v>
      </c>
      <c r="B218" s="4" t="s">
        <v>31</v>
      </c>
      <c r="C218" s="5">
        <v>45740.866666666669</v>
      </c>
      <c r="D218" s="4" t="s">
        <v>23</v>
      </c>
      <c r="E218" s="8" t="s">
        <v>24</v>
      </c>
      <c r="F218" t="str">
        <f t="shared" si="3"/>
        <v>Monday</v>
      </c>
      <c r="G218" t="str">
        <f>VLOOKUP(B218,cabang!A:C,2,FALSE)</f>
        <v>Warung Selera Nusantara - Sudirman</v>
      </c>
    </row>
    <row r="219" spans="1:7" x14ac:dyDescent="0.35">
      <c r="A219" s="7" t="s">
        <v>252</v>
      </c>
      <c r="B219" s="4" t="s">
        <v>27</v>
      </c>
      <c r="C219" s="5">
        <v>45740.881249999999</v>
      </c>
      <c r="D219" s="4" t="s">
        <v>23</v>
      </c>
      <c r="E219" s="8" t="s">
        <v>29</v>
      </c>
      <c r="F219" t="str">
        <f t="shared" si="3"/>
        <v>Monday</v>
      </c>
      <c r="G219" t="str">
        <f>VLOOKUP(B219,cabang!A:C,2,FALSE)</f>
        <v>Warung Selera Nusantara - Tunjungan</v>
      </c>
    </row>
    <row r="220" spans="1:7" x14ac:dyDescent="0.35">
      <c r="A220" s="7" t="s">
        <v>253</v>
      </c>
      <c r="B220" s="4" t="s">
        <v>27</v>
      </c>
      <c r="C220" s="5">
        <v>45741.448611111111</v>
      </c>
      <c r="D220" s="4" t="s">
        <v>23</v>
      </c>
      <c r="E220" s="8" t="s">
        <v>29</v>
      </c>
      <c r="F220" t="str">
        <f t="shared" si="3"/>
        <v>Tuesday</v>
      </c>
      <c r="G220" t="str">
        <f>VLOOKUP(B220,cabang!A:C,2,FALSE)</f>
        <v>Warung Selera Nusantara - Tunjungan</v>
      </c>
    </row>
    <row r="221" spans="1:7" x14ac:dyDescent="0.35">
      <c r="A221" s="7" t="s">
        <v>254</v>
      </c>
      <c r="B221" s="4" t="s">
        <v>43</v>
      </c>
      <c r="C221" s="5">
        <v>45742.621527777781</v>
      </c>
      <c r="D221" s="4" t="s">
        <v>44</v>
      </c>
      <c r="E221" s="8" t="s">
        <v>33</v>
      </c>
      <c r="F221" t="str">
        <f t="shared" si="3"/>
        <v>Wednesday</v>
      </c>
      <c r="G221" t="str">
        <f>VLOOKUP(B221,cabang!A:C,2,FALSE)</f>
        <v>Warung Selera Nusantara - Dago</v>
      </c>
    </row>
    <row r="222" spans="1:7" x14ac:dyDescent="0.35">
      <c r="A222" s="7" t="s">
        <v>255</v>
      </c>
      <c r="B222" s="4" t="s">
        <v>22</v>
      </c>
      <c r="C222" s="5">
        <v>45742.757638888892</v>
      </c>
      <c r="D222" s="4" t="s">
        <v>23</v>
      </c>
      <c r="E222" s="8" t="s">
        <v>24</v>
      </c>
      <c r="F222" t="str">
        <f t="shared" si="3"/>
        <v>Wednesday</v>
      </c>
      <c r="G222" t="str">
        <f>VLOOKUP(B222,cabang!A:C,2,FALSE)</f>
        <v>Warung Selera Nusantara - Margonda</v>
      </c>
    </row>
    <row r="223" spans="1:7" x14ac:dyDescent="0.35">
      <c r="A223" s="7" t="s">
        <v>256</v>
      </c>
      <c r="B223" s="4" t="s">
        <v>27</v>
      </c>
      <c r="C223" s="5">
        <v>45744.518055555563</v>
      </c>
      <c r="D223" s="4" t="s">
        <v>44</v>
      </c>
      <c r="E223" s="8" t="s">
        <v>33</v>
      </c>
      <c r="F223" t="str">
        <f t="shared" si="3"/>
        <v>Friday</v>
      </c>
      <c r="G223" t="str">
        <f>VLOOKUP(B223,cabang!A:C,2,FALSE)</f>
        <v>Warung Selera Nusantara - Tunjungan</v>
      </c>
    </row>
    <row r="224" spans="1:7" x14ac:dyDescent="0.35">
      <c r="A224" s="7" t="s">
        <v>257</v>
      </c>
      <c r="B224" s="4" t="s">
        <v>31</v>
      </c>
      <c r="C224" s="5">
        <v>45745.459027777782</v>
      </c>
      <c r="D224" s="4" t="s">
        <v>23</v>
      </c>
      <c r="E224" s="8" t="s">
        <v>24</v>
      </c>
      <c r="F224" t="str">
        <f t="shared" si="3"/>
        <v>Saturday</v>
      </c>
      <c r="G224" t="str">
        <f>VLOOKUP(B224,cabang!A:C,2,FALSE)</f>
        <v>Warung Selera Nusantara - Sudirman</v>
      </c>
    </row>
    <row r="225" spans="1:7" x14ac:dyDescent="0.35">
      <c r="A225" s="7" t="s">
        <v>258</v>
      </c>
      <c r="B225" s="4" t="s">
        <v>22</v>
      </c>
      <c r="C225" s="5">
        <v>45745.481249999997</v>
      </c>
      <c r="D225" s="4" t="s">
        <v>23</v>
      </c>
      <c r="E225" s="8" t="s">
        <v>33</v>
      </c>
      <c r="F225" t="str">
        <f t="shared" si="3"/>
        <v>Saturday</v>
      </c>
      <c r="G225" t="str">
        <f>VLOOKUP(B225,cabang!A:C,2,FALSE)</f>
        <v>Warung Selera Nusantara - Margonda</v>
      </c>
    </row>
    <row r="226" spans="1:7" x14ac:dyDescent="0.35">
      <c r="A226" s="7" t="s">
        <v>259</v>
      </c>
      <c r="B226" s="4" t="s">
        <v>31</v>
      </c>
      <c r="C226" s="5">
        <v>45745.500694444447</v>
      </c>
      <c r="D226" s="4" t="s">
        <v>44</v>
      </c>
      <c r="E226" s="8" t="s">
        <v>24</v>
      </c>
      <c r="F226" t="str">
        <f t="shared" si="3"/>
        <v>Saturday</v>
      </c>
      <c r="G226" t="str">
        <f>VLOOKUP(B226,cabang!A:C,2,FALSE)</f>
        <v>Warung Selera Nusantara - Sudirman</v>
      </c>
    </row>
    <row r="227" spans="1:7" x14ac:dyDescent="0.35">
      <c r="A227" s="7" t="s">
        <v>260</v>
      </c>
      <c r="B227" s="4" t="s">
        <v>22</v>
      </c>
      <c r="C227" s="5">
        <v>45745.554166666669</v>
      </c>
      <c r="D227" s="4" t="s">
        <v>44</v>
      </c>
      <c r="E227" s="8" t="s">
        <v>38</v>
      </c>
      <c r="F227" t="str">
        <f t="shared" si="3"/>
        <v>Saturday</v>
      </c>
      <c r="G227" t="str">
        <f>VLOOKUP(B227,cabang!A:C,2,FALSE)</f>
        <v>Warung Selera Nusantara - Margonda</v>
      </c>
    </row>
    <row r="228" spans="1:7" x14ac:dyDescent="0.35">
      <c r="A228" s="7" t="s">
        <v>261</v>
      </c>
      <c r="B228" s="4" t="s">
        <v>43</v>
      </c>
      <c r="C228" s="5">
        <v>45746.872916666667</v>
      </c>
      <c r="D228" s="4" t="s">
        <v>23</v>
      </c>
      <c r="E228" s="8" t="s">
        <v>33</v>
      </c>
      <c r="F228" t="str">
        <f t="shared" si="3"/>
        <v>Sunday</v>
      </c>
      <c r="G228" t="str">
        <f>VLOOKUP(B228,cabang!A:C,2,FALSE)</f>
        <v>Warung Selera Nusantara - Dago</v>
      </c>
    </row>
    <row r="229" spans="1:7" x14ac:dyDescent="0.35">
      <c r="A229" s="7" t="s">
        <v>262</v>
      </c>
      <c r="B229" s="4" t="s">
        <v>31</v>
      </c>
      <c r="C229" s="5">
        <v>45747.669444444437</v>
      </c>
      <c r="D229" s="4" t="s">
        <v>23</v>
      </c>
      <c r="E229" s="8" t="s">
        <v>24</v>
      </c>
      <c r="F229" t="str">
        <f t="shared" si="3"/>
        <v>Monday</v>
      </c>
      <c r="G229" t="str">
        <f>VLOOKUP(B229,cabang!A:C,2,FALSE)</f>
        <v>Warung Selera Nusantara - Sudirman</v>
      </c>
    </row>
    <row r="230" spans="1:7" x14ac:dyDescent="0.35">
      <c r="A230" s="7" t="s">
        <v>263</v>
      </c>
      <c r="B230" s="4" t="s">
        <v>31</v>
      </c>
      <c r="C230" s="5">
        <v>45748.738194444442</v>
      </c>
      <c r="D230" s="4" t="s">
        <v>23</v>
      </c>
      <c r="E230" s="8" t="s">
        <v>29</v>
      </c>
      <c r="F230" t="str">
        <f t="shared" si="3"/>
        <v>Tuesday</v>
      </c>
      <c r="G230" t="str">
        <f>VLOOKUP(B230,cabang!A:C,2,FALSE)</f>
        <v>Warung Selera Nusantara - Sudirman</v>
      </c>
    </row>
    <row r="231" spans="1:7" x14ac:dyDescent="0.35">
      <c r="A231" s="7" t="s">
        <v>264</v>
      </c>
      <c r="B231" s="4" t="s">
        <v>43</v>
      </c>
      <c r="C231" s="5">
        <v>45749.754861111112</v>
      </c>
      <c r="D231" s="4" t="s">
        <v>44</v>
      </c>
      <c r="E231" s="8" t="s">
        <v>29</v>
      </c>
      <c r="F231" t="str">
        <f t="shared" si="3"/>
        <v>Wednesday</v>
      </c>
      <c r="G231" t="str">
        <f>VLOOKUP(B231,cabang!A:C,2,FALSE)</f>
        <v>Warung Selera Nusantara - Dago</v>
      </c>
    </row>
    <row r="232" spans="1:7" x14ac:dyDescent="0.35">
      <c r="A232" s="7" t="s">
        <v>265</v>
      </c>
      <c r="B232" s="4" t="s">
        <v>27</v>
      </c>
      <c r="C232" s="5">
        <v>45750.505555555559</v>
      </c>
      <c r="D232" s="4" t="s">
        <v>28</v>
      </c>
      <c r="E232" s="8" t="s">
        <v>29</v>
      </c>
      <c r="F232" t="str">
        <f t="shared" si="3"/>
        <v>Thursday</v>
      </c>
      <c r="G232" t="str">
        <f>VLOOKUP(B232,cabang!A:C,2,FALSE)</f>
        <v>Warung Selera Nusantara - Tunjungan</v>
      </c>
    </row>
    <row r="233" spans="1:7" x14ac:dyDescent="0.35">
      <c r="A233" s="7" t="s">
        <v>266</v>
      </c>
      <c r="B233" s="4" t="s">
        <v>22</v>
      </c>
      <c r="C233" s="5">
        <v>45751.375</v>
      </c>
      <c r="D233" s="4" t="s">
        <v>23</v>
      </c>
      <c r="E233" s="8" t="s">
        <v>29</v>
      </c>
      <c r="F233" t="str">
        <f t="shared" si="3"/>
        <v>Friday</v>
      </c>
      <c r="G233" t="str">
        <f>VLOOKUP(B233,cabang!A:C,2,FALSE)</f>
        <v>Warung Selera Nusantara - Margonda</v>
      </c>
    </row>
    <row r="234" spans="1:7" x14ac:dyDescent="0.35">
      <c r="A234" s="7" t="s">
        <v>267</v>
      </c>
      <c r="B234" s="4" t="s">
        <v>22</v>
      </c>
      <c r="C234" s="5">
        <v>45752.368750000001</v>
      </c>
      <c r="D234" s="4" t="s">
        <v>23</v>
      </c>
      <c r="E234" s="8" t="s">
        <v>24</v>
      </c>
      <c r="F234" t="str">
        <f t="shared" si="3"/>
        <v>Saturday</v>
      </c>
      <c r="G234" t="str">
        <f>VLOOKUP(B234,cabang!A:C,2,FALSE)</f>
        <v>Warung Selera Nusantara - Margonda</v>
      </c>
    </row>
    <row r="235" spans="1:7" x14ac:dyDescent="0.35">
      <c r="A235" s="7" t="s">
        <v>268</v>
      </c>
      <c r="B235" s="4" t="s">
        <v>27</v>
      </c>
      <c r="C235" s="5">
        <v>45752.525694444441</v>
      </c>
      <c r="D235" s="4" t="s">
        <v>28</v>
      </c>
      <c r="E235" s="8" t="s">
        <v>24</v>
      </c>
      <c r="F235" t="str">
        <f t="shared" si="3"/>
        <v>Saturday</v>
      </c>
      <c r="G235" t="str">
        <f>VLOOKUP(B235,cabang!A:C,2,FALSE)</f>
        <v>Warung Selera Nusantara - Tunjungan</v>
      </c>
    </row>
    <row r="236" spans="1:7" x14ac:dyDescent="0.35">
      <c r="A236" s="7" t="s">
        <v>269</v>
      </c>
      <c r="B236" s="4" t="s">
        <v>43</v>
      </c>
      <c r="C236" s="5">
        <v>45752.669444444437</v>
      </c>
      <c r="D236" s="4" t="s">
        <v>23</v>
      </c>
      <c r="E236" s="8" t="s">
        <v>24</v>
      </c>
      <c r="F236" t="str">
        <f t="shared" si="3"/>
        <v>Saturday</v>
      </c>
      <c r="G236" t="str">
        <f>VLOOKUP(B236,cabang!A:C,2,FALSE)</f>
        <v>Warung Selera Nusantara - Dago</v>
      </c>
    </row>
    <row r="237" spans="1:7" x14ac:dyDescent="0.35">
      <c r="A237" s="7" t="s">
        <v>270</v>
      </c>
      <c r="B237" s="4" t="s">
        <v>27</v>
      </c>
      <c r="C237" s="5">
        <v>45752.908333333333</v>
      </c>
      <c r="D237" s="4" t="s">
        <v>28</v>
      </c>
      <c r="E237" s="8" t="s">
        <v>33</v>
      </c>
      <c r="F237" t="str">
        <f t="shared" si="3"/>
        <v>Saturday</v>
      </c>
      <c r="G237" t="str">
        <f>VLOOKUP(B237,cabang!A:C,2,FALSE)</f>
        <v>Warung Selera Nusantara - Tunjungan</v>
      </c>
    </row>
    <row r="238" spans="1:7" x14ac:dyDescent="0.35">
      <c r="A238" s="7" t="s">
        <v>271</v>
      </c>
      <c r="B238" s="4" t="s">
        <v>31</v>
      </c>
      <c r="C238" s="5">
        <v>45753.765972222223</v>
      </c>
      <c r="D238" s="4" t="s">
        <v>23</v>
      </c>
      <c r="E238" s="8" t="s">
        <v>24</v>
      </c>
      <c r="F238" t="str">
        <f t="shared" si="3"/>
        <v>Sunday</v>
      </c>
      <c r="G238" t="str">
        <f>VLOOKUP(B238,cabang!A:C,2,FALSE)</f>
        <v>Warung Selera Nusantara - Sudirman</v>
      </c>
    </row>
    <row r="239" spans="1:7" x14ac:dyDescent="0.35">
      <c r="A239" s="7" t="s">
        <v>272</v>
      </c>
      <c r="B239" s="4" t="s">
        <v>43</v>
      </c>
      <c r="C239" s="5">
        <v>45753.881249999999</v>
      </c>
      <c r="D239" s="4" t="s">
        <v>28</v>
      </c>
      <c r="E239" s="8" t="s">
        <v>24</v>
      </c>
      <c r="F239" t="str">
        <f t="shared" si="3"/>
        <v>Sunday</v>
      </c>
      <c r="G239" t="str">
        <f>VLOOKUP(B239,cabang!A:C,2,FALSE)</f>
        <v>Warung Selera Nusantara - Dago</v>
      </c>
    </row>
    <row r="240" spans="1:7" x14ac:dyDescent="0.35">
      <c r="A240" s="7" t="s">
        <v>273</v>
      </c>
      <c r="B240" s="4" t="s">
        <v>22</v>
      </c>
      <c r="C240" s="5">
        <v>45754.642361111109</v>
      </c>
      <c r="D240" s="4" t="s">
        <v>23</v>
      </c>
      <c r="E240" s="8" t="s">
        <v>33</v>
      </c>
      <c r="F240" t="str">
        <f t="shared" si="3"/>
        <v>Monday</v>
      </c>
      <c r="G240" t="str">
        <f>VLOOKUP(B240,cabang!A:C,2,FALSE)</f>
        <v>Warung Selera Nusantara - Margonda</v>
      </c>
    </row>
    <row r="241" spans="1:7" x14ac:dyDescent="0.35">
      <c r="A241" s="7" t="s">
        <v>274</v>
      </c>
      <c r="B241" s="4" t="s">
        <v>31</v>
      </c>
      <c r="C241" s="5">
        <v>45754.808333333327</v>
      </c>
      <c r="D241" s="4" t="s">
        <v>28</v>
      </c>
      <c r="E241" s="8" t="s">
        <v>24</v>
      </c>
      <c r="F241" t="str">
        <f t="shared" si="3"/>
        <v>Monday</v>
      </c>
      <c r="G241" t="str">
        <f>VLOOKUP(B241,cabang!A:C,2,FALSE)</f>
        <v>Warung Selera Nusantara - Sudirman</v>
      </c>
    </row>
    <row r="242" spans="1:7" x14ac:dyDescent="0.35">
      <c r="A242" s="7" t="s">
        <v>275</v>
      </c>
      <c r="B242" s="4" t="s">
        <v>31</v>
      </c>
      <c r="C242" s="5">
        <v>45755.848611111112</v>
      </c>
      <c r="D242" s="4" t="s">
        <v>23</v>
      </c>
      <c r="E242" s="8" t="s">
        <v>38</v>
      </c>
      <c r="F242" t="str">
        <f t="shared" si="3"/>
        <v>Tuesday</v>
      </c>
      <c r="G242" t="str">
        <f>VLOOKUP(B242,cabang!A:C,2,FALSE)</f>
        <v>Warung Selera Nusantara - Sudirman</v>
      </c>
    </row>
    <row r="243" spans="1:7" x14ac:dyDescent="0.35">
      <c r="A243" s="7" t="s">
        <v>276</v>
      </c>
      <c r="B243" s="4" t="s">
        <v>31</v>
      </c>
      <c r="C243" s="5">
        <v>45756.368750000001</v>
      </c>
      <c r="D243" s="4" t="s">
        <v>28</v>
      </c>
      <c r="E243" s="8" t="s">
        <v>33</v>
      </c>
      <c r="F243" t="str">
        <f t="shared" si="3"/>
        <v>Wednesday</v>
      </c>
      <c r="G243" t="str">
        <f>VLOOKUP(B243,cabang!A:C,2,FALSE)</f>
        <v>Warung Selera Nusantara - Sudirman</v>
      </c>
    </row>
    <row r="244" spans="1:7" x14ac:dyDescent="0.35">
      <c r="A244" s="7" t="s">
        <v>277</v>
      </c>
      <c r="B244" s="4" t="s">
        <v>22</v>
      </c>
      <c r="C244" s="5">
        <v>45756.382638888892</v>
      </c>
      <c r="D244" s="4" t="s">
        <v>23</v>
      </c>
      <c r="E244" s="8" t="s">
        <v>24</v>
      </c>
      <c r="F244" t="str">
        <f t="shared" si="3"/>
        <v>Wednesday</v>
      </c>
      <c r="G244" t="str">
        <f>VLOOKUP(B244,cabang!A:C,2,FALSE)</f>
        <v>Warung Selera Nusantara - Margonda</v>
      </c>
    </row>
    <row r="245" spans="1:7" x14ac:dyDescent="0.35">
      <c r="A245" s="7" t="s">
        <v>278</v>
      </c>
      <c r="B245" s="4" t="s">
        <v>31</v>
      </c>
      <c r="C245" s="5">
        <v>45756.551388888889</v>
      </c>
      <c r="D245" s="4" t="s">
        <v>44</v>
      </c>
      <c r="E245" s="8" t="s">
        <v>33</v>
      </c>
      <c r="F245" t="str">
        <f t="shared" si="3"/>
        <v>Wednesday</v>
      </c>
      <c r="G245" t="str">
        <f>VLOOKUP(B245,cabang!A:C,2,FALSE)</f>
        <v>Warung Selera Nusantara - Sudirman</v>
      </c>
    </row>
    <row r="246" spans="1:7" x14ac:dyDescent="0.35">
      <c r="A246" s="7" t="s">
        <v>279</v>
      </c>
      <c r="B246" s="4" t="s">
        <v>27</v>
      </c>
      <c r="C246" s="5">
        <v>45756.690972222219</v>
      </c>
      <c r="D246" s="4" t="s">
        <v>23</v>
      </c>
      <c r="E246" s="8" t="s">
        <v>38</v>
      </c>
      <c r="F246" t="str">
        <f t="shared" si="3"/>
        <v>Wednesday</v>
      </c>
      <c r="G246" t="str">
        <f>VLOOKUP(B246,cabang!A:C,2,FALSE)</f>
        <v>Warung Selera Nusantara - Tunjungan</v>
      </c>
    </row>
    <row r="247" spans="1:7" x14ac:dyDescent="0.35">
      <c r="A247" s="7" t="s">
        <v>280</v>
      </c>
      <c r="B247" s="4" t="s">
        <v>22</v>
      </c>
      <c r="C247" s="5">
        <v>45757.676388888889</v>
      </c>
      <c r="D247" s="4" t="s">
        <v>44</v>
      </c>
      <c r="E247" s="8" t="s">
        <v>24</v>
      </c>
      <c r="F247" t="str">
        <f t="shared" si="3"/>
        <v>Thursday</v>
      </c>
      <c r="G247" t="str">
        <f>VLOOKUP(B247,cabang!A:C,2,FALSE)</f>
        <v>Warung Selera Nusantara - Margonda</v>
      </c>
    </row>
    <row r="248" spans="1:7" x14ac:dyDescent="0.35">
      <c r="A248" s="7" t="s">
        <v>281</v>
      </c>
      <c r="B248" s="4" t="s">
        <v>31</v>
      </c>
      <c r="C248" s="5">
        <v>45758.367361111108</v>
      </c>
      <c r="D248" s="4" t="s">
        <v>28</v>
      </c>
      <c r="E248" s="8" t="s">
        <v>24</v>
      </c>
      <c r="F248" t="str">
        <f t="shared" si="3"/>
        <v>Friday</v>
      </c>
      <c r="G248" t="str">
        <f>VLOOKUP(B248,cabang!A:C,2,FALSE)</f>
        <v>Warung Selera Nusantara - Sudirman</v>
      </c>
    </row>
    <row r="249" spans="1:7" x14ac:dyDescent="0.35">
      <c r="A249" s="7" t="s">
        <v>282</v>
      </c>
      <c r="B249" s="4" t="s">
        <v>31</v>
      </c>
      <c r="C249" s="5">
        <v>45758.415277777778</v>
      </c>
      <c r="D249" s="4" t="s">
        <v>44</v>
      </c>
      <c r="E249" s="8" t="s">
        <v>38</v>
      </c>
      <c r="F249" t="str">
        <f t="shared" si="3"/>
        <v>Friday</v>
      </c>
      <c r="G249" t="str">
        <f>VLOOKUP(B249,cabang!A:C,2,FALSE)</f>
        <v>Warung Selera Nusantara - Sudirman</v>
      </c>
    </row>
    <row r="250" spans="1:7" x14ac:dyDescent="0.35">
      <c r="A250" s="7" t="s">
        <v>283</v>
      </c>
      <c r="B250" s="4" t="s">
        <v>27</v>
      </c>
      <c r="C250" s="5">
        <v>45758.420138888891</v>
      </c>
      <c r="D250" s="4" t="s">
        <v>23</v>
      </c>
      <c r="E250" s="8" t="s">
        <v>29</v>
      </c>
      <c r="F250" t="str">
        <f t="shared" si="3"/>
        <v>Friday</v>
      </c>
      <c r="G250" t="str">
        <f>VLOOKUP(B250,cabang!A:C,2,FALSE)</f>
        <v>Warung Selera Nusantara - Tunjungan</v>
      </c>
    </row>
    <row r="251" spans="1:7" x14ac:dyDescent="0.35">
      <c r="A251" s="7" t="s">
        <v>284</v>
      </c>
      <c r="B251" s="4" t="s">
        <v>31</v>
      </c>
      <c r="C251" s="5">
        <v>45758.914583333331</v>
      </c>
      <c r="D251" s="4" t="s">
        <v>23</v>
      </c>
      <c r="E251" s="8" t="s">
        <v>29</v>
      </c>
      <c r="F251" t="str">
        <f t="shared" si="3"/>
        <v>Friday</v>
      </c>
      <c r="G251" t="str">
        <f>VLOOKUP(B251,cabang!A:C,2,FALSE)</f>
        <v>Warung Selera Nusantara - Sudirman</v>
      </c>
    </row>
    <row r="252" spans="1:7" x14ac:dyDescent="0.35">
      <c r="A252" s="7" t="s">
        <v>285</v>
      </c>
      <c r="B252" s="4" t="s">
        <v>27</v>
      </c>
      <c r="C252" s="5">
        <v>45759.59652777778</v>
      </c>
      <c r="D252" s="4" t="s">
        <v>44</v>
      </c>
      <c r="E252" s="8" t="s">
        <v>24</v>
      </c>
      <c r="F252" t="str">
        <f t="shared" si="3"/>
        <v>Saturday</v>
      </c>
      <c r="G252" t="str">
        <f>VLOOKUP(B252,cabang!A:C,2,FALSE)</f>
        <v>Warung Selera Nusantara - Tunjungan</v>
      </c>
    </row>
    <row r="253" spans="1:7" x14ac:dyDescent="0.35">
      <c r="A253" s="7" t="s">
        <v>286</v>
      </c>
      <c r="B253" s="4" t="s">
        <v>31</v>
      </c>
      <c r="C253" s="5">
        <v>45759.786805555559</v>
      </c>
      <c r="D253" s="4" t="s">
        <v>44</v>
      </c>
      <c r="E253" s="8" t="s">
        <v>29</v>
      </c>
      <c r="F253" t="str">
        <f t="shared" si="3"/>
        <v>Saturday</v>
      </c>
      <c r="G253" t="str">
        <f>VLOOKUP(B253,cabang!A:C,2,FALSE)</f>
        <v>Warung Selera Nusantara - Sudirman</v>
      </c>
    </row>
    <row r="254" spans="1:7" x14ac:dyDescent="0.35">
      <c r="A254" s="7" t="s">
        <v>287</v>
      </c>
      <c r="B254" s="4" t="s">
        <v>43</v>
      </c>
      <c r="C254" s="5">
        <v>45759.839583333327</v>
      </c>
      <c r="D254" s="4" t="s">
        <v>23</v>
      </c>
      <c r="E254" s="8" t="s">
        <v>38</v>
      </c>
      <c r="F254" t="str">
        <f t="shared" si="3"/>
        <v>Saturday</v>
      </c>
      <c r="G254" t="str">
        <f>VLOOKUP(B254,cabang!A:C,2,FALSE)</f>
        <v>Warung Selera Nusantara - Dago</v>
      </c>
    </row>
    <row r="255" spans="1:7" x14ac:dyDescent="0.35">
      <c r="A255" s="7" t="s">
        <v>288</v>
      </c>
      <c r="B255" s="4" t="s">
        <v>27</v>
      </c>
      <c r="C255" s="5">
        <v>45760.369444444441</v>
      </c>
      <c r="D255" s="4" t="s">
        <v>23</v>
      </c>
      <c r="E255" s="8" t="s">
        <v>33</v>
      </c>
      <c r="F255" t="str">
        <f t="shared" si="3"/>
        <v>Sunday</v>
      </c>
      <c r="G255" t="str">
        <f>VLOOKUP(B255,cabang!A:C,2,FALSE)</f>
        <v>Warung Selera Nusantara - Tunjungan</v>
      </c>
    </row>
    <row r="256" spans="1:7" x14ac:dyDescent="0.35">
      <c r="A256" s="7" t="s">
        <v>289</v>
      </c>
      <c r="B256" s="4" t="s">
        <v>27</v>
      </c>
      <c r="C256" s="5">
        <v>45760.450694444437</v>
      </c>
      <c r="D256" s="4" t="s">
        <v>28</v>
      </c>
      <c r="E256" s="8" t="s">
        <v>29</v>
      </c>
      <c r="F256" t="str">
        <f t="shared" si="3"/>
        <v>Sunday</v>
      </c>
      <c r="G256" t="str">
        <f>VLOOKUP(B256,cabang!A:C,2,FALSE)</f>
        <v>Warung Selera Nusantara - Tunjungan</v>
      </c>
    </row>
    <row r="257" spans="1:7" x14ac:dyDescent="0.35">
      <c r="A257" s="7" t="s">
        <v>290</v>
      </c>
      <c r="B257" s="4" t="s">
        <v>22</v>
      </c>
      <c r="C257" s="5">
        <v>45760.54583333333</v>
      </c>
      <c r="D257" s="4" t="s">
        <v>28</v>
      </c>
      <c r="E257" s="8" t="s">
        <v>29</v>
      </c>
      <c r="F257" t="str">
        <f t="shared" si="3"/>
        <v>Sunday</v>
      </c>
      <c r="G257" t="str">
        <f>VLOOKUP(B257,cabang!A:C,2,FALSE)</f>
        <v>Warung Selera Nusantara - Margonda</v>
      </c>
    </row>
    <row r="258" spans="1:7" x14ac:dyDescent="0.35">
      <c r="A258" s="7" t="s">
        <v>291</v>
      </c>
      <c r="B258" s="4" t="s">
        <v>27</v>
      </c>
      <c r="C258" s="5">
        <v>45760.640277777777</v>
      </c>
      <c r="D258" s="4" t="s">
        <v>23</v>
      </c>
      <c r="E258" s="8" t="s">
        <v>29</v>
      </c>
      <c r="F258" t="str">
        <f t="shared" ref="F258:F321" si="4">TEXT(C258,"dddd")</f>
        <v>Sunday</v>
      </c>
      <c r="G258" t="str">
        <f>VLOOKUP(B258,cabang!A:C,2,FALSE)</f>
        <v>Warung Selera Nusantara - Tunjungan</v>
      </c>
    </row>
    <row r="259" spans="1:7" x14ac:dyDescent="0.35">
      <c r="A259" s="7" t="s">
        <v>292</v>
      </c>
      <c r="B259" s="4" t="s">
        <v>22</v>
      </c>
      <c r="C259" s="5">
        <v>45760.727777777778</v>
      </c>
      <c r="D259" s="4" t="s">
        <v>23</v>
      </c>
      <c r="E259" s="8" t="s">
        <v>24</v>
      </c>
      <c r="F259" t="str">
        <f t="shared" si="4"/>
        <v>Sunday</v>
      </c>
      <c r="G259" t="str">
        <f>VLOOKUP(B259,cabang!A:C,2,FALSE)</f>
        <v>Warung Selera Nusantara - Margonda</v>
      </c>
    </row>
    <row r="260" spans="1:7" x14ac:dyDescent="0.35">
      <c r="A260" s="7" t="s">
        <v>293</v>
      </c>
      <c r="B260" s="4" t="s">
        <v>31</v>
      </c>
      <c r="C260" s="5">
        <v>45761.824999999997</v>
      </c>
      <c r="D260" s="4" t="s">
        <v>23</v>
      </c>
      <c r="E260" s="8" t="s">
        <v>38</v>
      </c>
      <c r="F260" t="str">
        <f t="shared" si="4"/>
        <v>Monday</v>
      </c>
      <c r="G260" t="str">
        <f>VLOOKUP(B260,cabang!A:C,2,FALSE)</f>
        <v>Warung Selera Nusantara - Sudirman</v>
      </c>
    </row>
    <row r="261" spans="1:7" x14ac:dyDescent="0.35">
      <c r="A261" s="7" t="s">
        <v>294</v>
      </c>
      <c r="B261" s="4" t="s">
        <v>43</v>
      </c>
      <c r="C261" s="5">
        <v>45762.438194444447</v>
      </c>
      <c r="D261" s="4" t="s">
        <v>44</v>
      </c>
      <c r="E261" s="8" t="s">
        <v>33</v>
      </c>
      <c r="F261" t="str">
        <f t="shared" si="4"/>
        <v>Tuesday</v>
      </c>
      <c r="G261" t="str">
        <f>VLOOKUP(B261,cabang!A:C,2,FALSE)</f>
        <v>Warung Selera Nusantara - Dago</v>
      </c>
    </row>
    <row r="262" spans="1:7" x14ac:dyDescent="0.35">
      <c r="A262" s="7" t="s">
        <v>295</v>
      </c>
      <c r="B262" s="4" t="s">
        <v>22</v>
      </c>
      <c r="C262" s="5">
        <v>45762.828472222223</v>
      </c>
      <c r="D262" s="4" t="s">
        <v>44</v>
      </c>
      <c r="E262" s="8" t="s">
        <v>33</v>
      </c>
      <c r="F262" t="str">
        <f t="shared" si="4"/>
        <v>Tuesday</v>
      </c>
      <c r="G262" t="str">
        <f>VLOOKUP(B262,cabang!A:C,2,FALSE)</f>
        <v>Warung Selera Nusantara - Margonda</v>
      </c>
    </row>
    <row r="263" spans="1:7" x14ac:dyDescent="0.35">
      <c r="A263" s="7" t="s">
        <v>296</v>
      </c>
      <c r="B263" s="4" t="s">
        <v>22</v>
      </c>
      <c r="C263" s="5">
        <v>45763.480555555558</v>
      </c>
      <c r="D263" s="4" t="s">
        <v>44</v>
      </c>
      <c r="E263" s="8" t="s">
        <v>29</v>
      </c>
      <c r="F263" t="str">
        <f t="shared" si="4"/>
        <v>Wednesday</v>
      </c>
      <c r="G263" t="str">
        <f>VLOOKUP(B263,cabang!A:C,2,FALSE)</f>
        <v>Warung Selera Nusantara - Margonda</v>
      </c>
    </row>
    <row r="264" spans="1:7" x14ac:dyDescent="0.35">
      <c r="A264" s="7" t="s">
        <v>297</v>
      </c>
      <c r="B264" s="4" t="s">
        <v>43</v>
      </c>
      <c r="C264" s="5">
        <v>45763.52847222222</v>
      </c>
      <c r="D264" s="4" t="s">
        <v>23</v>
      </c>
      <c r="E264" s="8" t="s">
        <v>24</v>
      </c>
      <c r="F264" t="str">
        <f t="shared" si="4"/>
        <v>Wednesday</v>
      </c>
      <c r="G264" t="str">
        <f>VLOOKUP(B264,cabang!A:C,2,FALSE)</f>
        <v>Warung Selera Nusantara - Dago</v>
      </c>
    </row>
    <row r="265" spans="1:7" x14ac:dyDescent="0.35">
      <c r="A265" s="7" t="s">
        <v>298</v>
      </c>
      <c r="B265" s="4" t="s">
        <v>43</v>
      </c>
      <c r="C265" s="5">
        <v>45763.56527777778</v>
      </c>
      <c r="D265" s="4" t="s">
        <v>23</v>
      </c>
      <c r="E265" s="8" t="s">
        <v>24</v>
      </c>
      <c r="F265" t="str">
        <f t="shared" si="4"/>
        <v>Wednesday</v>
      </c>
      <c r="G265" t="str">
        <f>VLOOKUP(B265,cabang!A:C,2,FALSE)</f>
        <v>Warung Selera Nusantara - Dago</v>
      </c>
    </row>
    <row r="266" spans="1:7" x14ac:dyDescent="0.35">
      <c r="A266" s="7" t="s">
        <v>299</v>
      </c>
      <c r="B266" s="4" t="s">
        <v>43</v>
      </c>
      <c r="C266" s="5">
        <v>45763.688888888893</v>
      </c>
      <c r="D266" s="4" t="s">
        <v>23</v>
      </c>
      <c r="E266" s="8" t="s">
        <v>38</v>
      </c>
      <c r="F266" t="str">
        <f t="shared" si="4"/>
        <v>Wednesday</v>
      </c>
      <c r="G266" t="str">
        <f>VLOOKUP(B266,cabang!A:C,2,FALSE)</f>
        <v>Warung Selera Nusantara - Dago</v>
      </c>
    </row>
    <row r="267" spans="1:7" x14ac:dyDescent="0.35">
      <c r="A267" s="7" t="s">
        <v>300</v>
      </c>
      <c r="B267" s="4" t="s">
        <v>27</v>
      </c>
      <c r="C267" s="5">
        <v>45764.53402777778</v>
      </c>
      <c r="D267" s="4" t="s">
        <v>28</v>
      </c>
      <c r="E267" s="8" t="s">
        <v>38</v>
      </c>
      <c r="F267" t="str">
        <f t="shared" si="4"/>
        <v>Thursday</v>
      </c>
      <c r="G267" t="str">
        <f>VLOOKUP(B267,cabang!A:C,2,FALSE)</f>
        <v>Warung Selera Nusantara - Tunjungan</v>
      </c>
    </row>
    <row r="268" spans="1:7" x14ac:dyDescent="0.35">
      <c r="A268" s="7" t="s">
        <v>301</v>
      </c>
      <c r="B268" s="4" t="s">
        <v>27</v>
      </c>
      <c r="C268" s="5">
        <v>45764.591666666667</v>
      </c>
      <c r="D268" s="4" t="s">
        <v>23</v>
      </c>
      <c r="E268" s="8" t="s">
        <v>38</v>
      </c>
      <c r="F268" t="str">
        <f t="shared" si="4"/>
        <v>Thursday</v>
      </c>
      <c r="G268" t="str">
        <f>VLOOKUP(B268,cabang!A:C,2,FALSE)</f>
        <v>Warung Selera Nusantara - Tunjungan</v>
      </c>
    </row>
    <row r="269" spans="1:7" x14ac:dyDescent="0.35">
      <c r="A269" s="7" t="s">
        <v>302</v>
      </c>
      <c r="B269" s="4" t="s">
        <v>31</v>
      </c>
      <c r="C269" s="5">
        <v>45764.729166666657</v>
      </c>
      <c r="D269" s="4" t="s">
        <v>23</v>
      </c>
      <c r="E269" s="8" t="s">
        <v>33</v>
      </c>
      <c r="F269" t="str">
        <f t="shared" si="4"/>
        <v>Thursday</v>
      </c>
      <c r="G269" t="str">
        <f>VLOOKUP(B269,cabang!A:C,2,FALSE)</f>
        <v>Warung Selera Nusantara - Sudirman</v>
      </c>
    </row>
    <row r="270" spans="1:7" x14ac:dyDescent="0.35">
      <c r="A270" s="7" t="s">
        <v>303</v>
      </c>
      <c r="B270" s="4" t="s">
        <v>22</v>
      </c>
      <c r="C270" s="5">
        <v>45765.431250000001</v>
      </c>
      <c r="D270" s="4" t="s">
        <v>44</v>
      </c>
      <c r="E270" s="8" t="s">
        <v>24</v>
      </c>
      <c r="F270" t="str">
        <f t="shared" si="4"/>
        <v>Friday</v>
      </c>
      <c r="G270" t="str">
        <f>VLOOKUP(B270,cabang!A:C,2,FALSE)</f>
        <v>Warung Selera Nusantara - Margonda</v>
      </c>
    </row>
    <row r="271" spans="1:7" x14ac:dyDescent="0.35">
      <c r="A271" s="7" t="s">
        <v>304</v>
      </c>
      <c r="B271" s="4" t="s">
        <v>31</v>
      </c>
      <c r="C271" s="5">
        <v>45765.503472222219</v>
      </c>
      <c r="D271" s="4" t="s">
        <v>28</v>
      </c>
      <c r="E271" s="8" t="s">
        <v>33</v>
      </c>
      <c r="F271" t="str">
        <f t="shared" si="4"/>
        <v>Friday</v>
      </c>
      <c r="G271" t="str">
        <f>VLOOKUP(B271,cabang!A:C,2,FALSE)</f>
        <v>Warung Selera Nusantara - Sudirman</v>
      </c>
    </row>
    <row r="272" spans="1:7" x14ac:dyDescent="0.35">
      <c r="A272" s="7" t="s">
        <v>305</v>
      </c>
      <c r="B272" s="4" t="s">
        <v>31</v>
      </c>
      <c r="C272" s="5">
        <v>45766.800694444442</v>
      </c>
      <c r="D272" s="4" t="s">
        <v>23</v>
      </c>
      <c r="E272" s="8" t="s">
        <v>33</v>
      </c>
      <c r="F272" t="str">
        <f t="shared" si="4"/>
        <v>Saturday</v>
      </c>
      <c r="G272" t="str">
        <f>VLOOKUP(B272,cabang!A:C,2,FALSE)</f>
        <v>Warung Selera Nusantara - Sudirman</v>
      </c>
    </row>
    <row r="273" spans="1:7" x14ac:dyDescent="0.35">
      <c r="A273" s="7" t="s">
        <v>306</v>
      </c>
      <c r="B273" s="4" t="s">
        <v>43</v>
      </c>
      <c r="C273" s="5">
        <v>45767.568055555559</v>
      </c>
      <c r="D273" s="4" t="s">
        <v>23</v>
      </c>
      <c r="E273" s="8" t="s">
        <v>33</v>
      </c>
      <c r="F273" t="str">
        <f t="shared" si="4"/>
        <v>Sunday</v>
      </c>
      <c r="G273" t="str">
        <f>VLOOKUP(B273,cabang!A:C,2,FALSE)</f>
        <v>Warung Selera Nusantara - Dago</v>
      </c>
    </row>
    <row r="274" spans="1:7" x14ac:dyDescent="0.35">
      <c r="A274" s="7" t="s">
        <v>307</v>
      </c>
      <c r="B274" s="4" t="s">
        <v>31</v>
      </c>
      <c r="C274" s="5">
        <v>45767.617361111108</v>
      </c>
      <c r="D274" s="4" t="s">
        <v>23</v>
      </c>
      <c r="E274" s="8" t="s">
        <v>29</v>
      </c>
      <c r="F274" t="str">
        <f t="shared" si="4"/>
        <v>Sunday</v>
      </c>
      <c r="G274" t="str">
        <f>VLOOKUP(B274,cabang!A:C,2,FALSE)</f>
        <v>Warung Selera Nusantara - Sudirman</v>
      </c>
    </row>
    <row r="275" spans="1:7" x14ac:dyDescent="0.35">
      <c r="A275" s="7" t="s">
        <v>308</v>
      </c>
      <c r="B275" s="4" t="s">
        <v>22</v>
      </c>
      <c r="C275" s="5">
        <v>45767.907638888893</v>
      </c>
      <c r="D275" s="4" t="s">
        <v>23</v>
      </c>
      <c r="E275" s="8" t="s">
        <v>24</v>
      </c>
      <c r="F275" t="str">
        <f t="shared" si="4"/>
        <v>Sunday</v>
      </c>
      <c r="G275" t="str">
        <f>VLOOKUP(B275,cabang!A:C,2,FALSE)</f>
        <v>Warung Selera Nusantara - Margonda</v>
      </c>
    </row>
    <row r="276" spans="1:7" x14ac:dyDescent="0.35">
      <c r="A276" s="7" t="s">
        <v>309</v>
      </c>
      <c r="B276" s="4" t="s">
        <v>31</v>
      </c>
      <c r="C276" s="5">
        <v>45768.789583333331</v>
      </c>
      <c r="D276" s="4" t="s">
        <v>23</v>
      </c>
      <c r="E276" s="8" t="s">
        <v>29</v>
      </c>
      <c r="F276" t="str">
        <f t="shared" si="4"/>
        <v>Monday</v>
      </c>
      <c r="G276" t="str">
        <f>VLOOKUP(B276,cabang!A:C,2,FALSE)</f>
        <v>Warung Selera Nusantara - Sudirman</v>
      </c>
    </row>
    <row r="277" spans="1:7" x14ac:dyDescent="0.35">
      <c r="A277" s="7" t="s">
        <v>310</v>
      </c>
      <c r="B277" s="4" t="s">
        <v>31</v>
      </c>
      <c r="C277" s="5">
        <v>45769.493055555547</v>
      </c>
      <c r="D277" s="4" t="s">
        <v>23</v>
      </c>
      <c r="E277" s="8" t="s">
        <v>29</v>
      </c>
      <c r="F277" t="str">
        <f t="shared" si="4"/>
        <v>Tuesday</v>
      </c>
      <c r="G277" t="str">
        <f>VLOOKUP(B277,cabang!A:C,2,FALSE)</f>
        <v>Warung Selera Nusantara - Sudirman</v>
      </c>
    </row>
    <row r="278" spans="1:7" x14ac:dyDescent="0.35">
      <c r="A278" s="7" t="s">
        <v>311</v>
      </c>
      <c r="B278" s="4" t="s">
        <v>27</v>
      </c>
      <c r="C278" s="5">
        <v>45769.59097222222</v>
      </c>
      <c r="D278" s="4" t="s">
        <v>23</v>
      </c>
      <c r="E278" s="8" t="s">
        <v>24</v>
      </c>
      <c r="F278" t="str">
        <f t="shared" si="4"/>
        <v>Tuesday</v>
      </c>
      <c r="G278" t="str">
        <f>VLOOKUP(B278,cabang!A:C,2,FALSE)</f>
        <v>Warung Selera Nusantara - Tunjungan</v>
      </c>
    </row>
    <row r="279" spans="1:7" x14ac:dyDescent="0.35">
      <c r="A279" s="7" t="s">
        <v>312</v>
      </c>
      <c r="B279" s="4" t="s">
        <v>27</v>
      </c>
      <c r="C279" s="5">
        <v>45769.813888888893</v>
      </c>
      <c r="D279" s="4" t="s">
        <v>23</v>
      </c>
      <c r="E279" s="8" t="s">
        <v>24</v>
      </c>
      <c r="F279" t="str">
        <f t="shared" si="4"/>
        <v>Tuesday</v>
      </c>
      <c r="G279" t="str">
        <f>VLOOKUP(B279,cabang!A:C,2,FALSE)</f>
        <v>Warung Selera Nusantara - Tunjungan</v>
      </c>
    </row>
    <row r="280" spans="1:7" x14ac:dyDescent="0.35">
      <c r="A280" s="7" t="s">
        <v>313</v>
      </c>
      <c r="B280" s="4" t="s">
        <v>27</v>
      </c>
      <c r="C280" s="5">
        <v>45771.496527777781</v>
      </c>
      <c r="D280" s="4" t="s">
        <v>23</v>
      </c>
      <c r="E280" s="8" t="s">
        <v>24</v>
      </c>
      <c r="F280" t="str">
        <f t="shared" si="4"/>
        <v>Thursday</v>
      </c>
      <c r="G280" t="str">
        <f>VLOOKUP(B280,cabang!A:C,2,FALSE)</f>
        <v>Warung Selera Nusantara - Tunjungan</v>
      </c>
    </row>
    <row r="281" spans="1:7" x14ac:dyDescent="0.35">
      <c r="A281" s="7" t="s">
        <v>314</v>
      </c>
      <c r="B281" s="4" t="s">
        <v>43</v>
      </c>
      <c r="C281" s="5">
        <v>45771.640277777777</v>
      </c>
      <c r="D281" s="4" t="s">
        <v>28</v>
      </c>
      <c r="E281" s="8" t="s">
        <v>29</v>
      </c>
      <c r="F281" t="str">
        <f t="shared" si="4"/>
        <v>Thursday</v>
      </c>
      <c r="G281" t="str">
        <f>VLOOKUP(B281,cabang!A:C,2,FALSE)</f>
        <v>Warung Selera Nusantara - Dago</v>
      </c>
    </row>
    <row r="282" spans="1:7" x14ac:dyDescent="0.35">
      <c r="A282" s="7" t="s">
        <v>315</v>
      </c>
      <c r="B282" s="4" t="s">
        <v>31</v>
      </c>
      <c r="C282" s="5">
        <v>45771.761111111111</v>
      </c>
      <c r="D282" s="4" t="s">
        <v>23</v>
      </c>
      <c r="E282" s="8" t="s">
        <v>33</v>
      </c>
      <c r="F282" t="str">
        <f t="shared" si="4"/>
        <v>Thursday</v>
      </c>
      <c r="G282" t="str">
        <f>VLOOKUP(B282,cabang!A:C,2,FALSE)</f>
        <v>Warung Selera Nusantara - Sudirman</v>
      </c>
    </row>
    <row r="283" spans="1:7" x14ac:dyDescent="0.35">
      <c r="A283" s="7" t="s">
        <v>316</v>
      </c>
      <c r="B283" s="4" t="s">
        <v>31</v>
      </c>
      <c r="C283" s="5">
        <v>45772.356249999997</v>
      </c>
      <c r="D283" s="4" t="s">
        <v>44</v>
      </c>
      <c r="E283" s="8" t="s">
        <v>33</v>
      </c>
      <c r="F283" t="str">
        <f t="shared" si="4"/>
        <v>Friday</v>
      </c>
      <c r="G283" t="str">
        <f>VLOOKUP(B283,cabang!A:C,2,FALSE)</f>
        <v>Warung Selera Nusantara - Sudirman</v>
      </c>
    </row>
    <row r="284" spans="1:7" x14ac:dyDescent="0.35">
      <c r="A284" s="7" t="s">
        <v>317</v>
      </c>
      <c r="B284" s="4" t="s">
        <v>31</v>
      </c>
      <c r="C284" s="5">
        <v>45772.506944444453</v>
      </c>
      <c r="D284" s="4" t="s">
        <v>23</v>
      </c>
      <c r="E284" s="8" t="s">
        <v>38</v>
      </c>
      <c r="F284" t="str">
        <f t="shared" si="4"/>
        <v>Friday</v>
      </c>
      <c r="G284" t="str">
        <f>VLOOKUP(B284,cabang!A:C,2,FALSE)</f>
        <v>Warung Selera Nusantara - Sudirman</v>
      </c>
    </row>
    <row r="285" spans="1:7" x14ac:dyDescent="0.35">
      <c r="A285" s="7" t="s">
        <v>318</v>
      </c>
      <c r="B285" s="4" t="s">
        <v>22</v>
      </c>
      <c r="C285" s="5">
        <v>45772.560416666667</v>
      </c>
      <c r="D285" s="4" t="s">
        <v>28</v>
      </c>
      <c r="E285" s="8" t="s">
        <v>38</v>
      </c>
      <c r="F285" t="str">
        <f t="shared" si="4"/>
        <v>Friday</v>
      </c>
      <c r="G285" t="str">
        <f>VLOOKUP(B285,cabang!A:C,2,FALSE)</f>
        <v>Warung Selera Nusantara - Margonda</v>
      </c>
    </row>
    <row r="286" spans="1:7" x14ac:dyDescent="0.35">
      <c r="A286" s="7" t="s">
        <v>319</v>
      </c>
      <c r="B286" s="4" t="s">
        <v>22</v>
      </c>
      <c r="C286" s="5">
        <v>45772.790277777778</v>
      </c>
      <c r="D286" s="4" t="s">
        <v>44</v>
      </c>
      <c r="E286" s="8" t="s">
        <v>24</v>
      </c>
      <c r="F286" t="str">
        <f t="shared" si="4"/>
        <v>Friday</v>
      </c>
      <c r="G286" t="str">
        <f>VLOOKUP(B286,cabang!A:C,2,FALSE)</f>
        <v>Warung Selera Nusantara - Margonda</v>
      </c>
    </row>
    <row r="287" spans="1:7" x14ac:dyDescent="0.35">
      <c r="A287" s="7" t="s">
        <v>320</v>
      </c>
      <c r="B287" s="4" t="s">
        <v>31</v>
      </c>
      <c r="C287" s="5">
        <v>45775.808333333327</v>
      </c>
      <c r="D287" s="4" t="s">
        <v>28</v>
      </c>
      <c r="E287" s="8" t="s">
        <v>29</v>
      </c>
      <c r="F287" t="str">
        <f t="shared" si="4"/>
        <v>Monday</v>
      </c>
      <c r="G287" t="str">
        <f>VLOOKUP(B287,cabang!A:C,2,FALSE)</f>
        <v>Warung Selera Nusantara - Sudirman</v>
      </c>
    </row>
    <row r="288" spans="1:7" x14ac:dyDescent="0.35">
      <c r="A288" s="7" t="s">
        <v>321</v>
      </c>
      <c r="B288" s="4" t="s">
        <v>31</v>
      </c>
      <c r="C288" s="5">
        <v>45776.737500000003</v>
      </c>
      <c r="D288" s="4" t="s">
        <v>28</v>
      </c>
      <c r="E288" s="8" t="s">
        <v>38</v>
      </c>
      <c r="F288" t="str">
        <f t="shared" si="4"/>
        <v>Tuesday</v>
      </c>
      <c r="G288" t="str">
        <f>VLOOKUP(B288,cabang!A:C,2,FALSE)</f>
        <v>Warung Selera Nusantara - Sudirman</v>
      </c>
    </row>
    <row r="289" spans="1:7" x14ac:dyDescent="0.35">
      <c r="A289" s="7" t="s">
        <v>322</v>
      </c>
      <c r="B289" s="4" t="s">
        <v>31</v>
      </c>
      <c r="C289" s="5">
        <v>45777.466666666667</v>
      </c>
      <c r="D289" s="4" t="s">
        <v>23</v>
      </c>
      <c r="E289" s="8" t="s">
        <v>33</v>
      </c>
      <c r="F289" t="str">
        <f t="shared" si="4"/>
        <v>Wednesday</v>
      </c>
      <c r="G289" t="str">
        <f>VLOOKUP(B289,cabang!A:C,2,FALSE)</f>
        <v>Warung Selera Nusantara - Sudirman</v>
      </c>
    </row>
    <row r="290" spans="1:7" x14ac:dyDescent="0.35">
      <c r="A290" s="7" t="s">
        <v>323</v>
      </c>
      <c r="B290" s="4" t="s">
        <v>31</v>
      </c>
      <c r="C290" s="5">
        <v>45777.585416666669</v>
      </c>
      <c r="D290" s="4" t="s">
        <v>23</v>
      </c>
      <c r="E290" s="8" t="s">
        <v>24</v>
      </c>
      <c r="F290" t="str">
        <f t="shared" si="4"/>
        <v>Wednesday</v>
      </c>
      <c r="G290" t="str">
        <f>VLOOKUP(B290,cabang!A:C,2,FALSE)</f>
        <v>Warung Selera Nusantara - Sudirman</v>
      </c>
    </row>
    <row r="291" spans="1:7" x14ac:dyDescent="0.35">
      <c r="A291" s="7" t="s">
        <v>324</v>
      </c>
      <c r="B291" s="4" t="s">
        <v>27</v>
      </c>
      <c r="C291" s="5">
        <v>45777.811111111107</v>
      </c>
      <c r="D291" s="4" t="s">
        <v>23</v>
      </c>
      <c r="E291" s="8" t="s">
        <v>38</v>
      </c>
      <c r="F291" t="str">
        <f t="shared" si="4"/>
        <v>Wednesday</v>
      </c>
      <c r="G291" t="str">
        <f>VLOOKUP(B291,cabang!A:C,2,FALSE)</f>
        <v>Warung Selera Nusantara - Tunjungan</v>
      </c>
    </row>
    <row r="292" spans="1:7" x14ac:dyDescent="0.35">
      <c r="A292" s="7" t="s">
        <v>325</v>
      </c>
      <c r="B292" s="4" t="s">
        <v>43</v>
      </c>
      <c r="C292" s="5">
        <v>45778.341666666667</v>
      </c>
      <c r="D292" s="4" t="s">
        <v>28</v>
      </c>
      <c r="E292" s="8" t="s">
        <v>33</v>
      </c>
      <c r="F292" t="str">
        <f t="shared" si="4"/>
        <v>Thursday</v>
      </c>
      <c r="G292" t="str">
        <f>VLOOKUP(B292,cabang!A:C,2,FALSE)</f>
        <v>Warung Selera Nusantara - Dago</v>
      </c>
    </row>
    <row r="293" spans="1:7" x14ac:dyDescent="0.35">
      <c r="A293" s="7" t="s">
        <v>326</v>
      </c>
      <c r="B293" s="4" t="s">
        <v>27</v>
      </c>
      <c r="C293" s="5">
        <v>45779.506944444453</v>
      </c>
      <c r="D293" s="4" t="s">
        <v>23</v>
      </c>
      <c r="E293" s="8" t="s">
        <v>24</v>
      </c>
      <c r="F293" t="str">
        <f t="shared" si="4"/>
        <v>Friday</v>
      </c>
      <c r="G293" t="str">
        <f>VLOOKUP(B293,cabang!A:C,2,FALSE)</f>
        <v>Warung Selera Nusantara - Tunjungan</v>
      </c>
    </row>
    <row r="294" spans="1:7" x14ac:dyDescent="0.35">
      <c r="A294" s="7" t="s">
        <v>327</v>
      </c>
      <c r="B294" s="4" t="s">
        <v>31</v>
      </c>
      <c r="C294" s="5">
        <v>45779.553472222222</v>
      </c>
      <c r="D294" s="4" t="s">
        <v>23</v>
      </c>
      <c r="E294" s="8" t="s">
        <v>29</v>
      </c>
      <c r="F294" t="str">
        <f t="shared" si="4"/>
        <v>Friday</v>
      </c>
      <c r="G294" t="str">
        <f>VLOOKUP(B294,cabang!A:C,2,FALSE)</f>
        <v>Warung Selera Nusantara - Sudirman</v>
      </c>
    </row>
    <row r="295" spans="1:7" x14ac:dyDescent="0.35">
      <c r="A295" s="7" t="s">
        <v>328</v>
      </c>
      <c r="B295" s="4" t="s">
        <v>31</v>
      </c>
      <c r="C295" s="5">
        <v>45780.410416666673</v>
      </c>
      <c r="D295" s="4" t="s">
        <v>28</v>
      </c>
      <c r="E295" s="8" t="s">
        <v>29</v>
      </c>
      <c r="F295" t="str">
        <f t="shared" si="4"/>
        <v>Saturday</v>
      </c>
      <c r="G295" t="str">
        <f>VLOOKUP(B295,cabang!A:C,2,FALSE)</f>
        <v>Warung Selera Nusantara - Sudirman</v>
      </c>
    </row>
    <row r="296" spans="1:7" x14ac:dyDescent="0.35">
      <c r="A296" s="7" t="s">
        <v>329</v>
      </c>
      <c r="B296" s="4" t="s">
        <v>43</v>
      </c>
      <c r="C296" s="5">
        <v>45780.42083333333</v>
      </c>
      <c r="D296" s="4" t="s">
        <v>44</v>
      </c>
      <c r="E296" s="8" t="s">
        <v>24</v>
      </c>
      <c r="F296" t="str">
        <f t="shared" si="4"/>
        <v>Saturday</v>
      </c>
      <c r="G296" t="str">
        <f>VLOOKUP(B296,cabang!A:C,2,FALSE)</f>
        <v>Warung Selera Nusantara - Dago</v>
      </c>
    </row>
    <row r="297" spans="1:7" x14ac:dyDescent="0.35">
      <c r="A297" s="7" t="s">
        <v>330</v>
      </c>
      <c r="B297" s="4" t="s">
        <v>31</v>
      </c>
      <c r="C297" s="5">
        <v>45780.584722222222</v>
      </c>
      <c r="D297" s="4" t="s">
        <v>44</v>
      </c>
      <c r="E297" s="8" t="s">
        <v>24</v>
      </c>
      <c r="F297" t="str">
        <f t="shared" si="4"/>
        <v>Saturday</v>
      </c>
      <c r="G297" t="str">
        <f>VLOOKUP(B297,cabang!A:C,2,FALSE)</f>
        <v>Warung Selera Nusantara - Sudirman</v>
      </c>
    </row>
    <row r="298" spans="1:7" x14ac:dyDescent="0.35">
      <c r="A298" s="7" t="s">
        <v>331</v>
      </c>
      <c r="B298" s="4" t="s">
        <v>31</v>
      </c>
      <c r="C298" s="5">
        <v>45780.681944444441</v>
      </c>
      <c r="D298" s="4" t="s">
        <v>23</v>
      </c>
      <c r="E298" s="8" t="s">
        <v>38</v>
      </c>
      <c r="F298" t="str">
        <f t="shared" si="4"/>
        <v>Saturday</v>
      </c>
      <c r="G298" t="str">
        <f>VLOOKUP(B298,cabang!A:C,2,FALSE)</f>
        <v>Warung Selera Nusantara - Sudirman</v>
      </c>
    </row>
    <row r="299" spans="1:7" x14ac:dyDescent="0.35">
      <c r="A299" s="7" t="s">
        <v>332</v>
      </c>
      <c r="B299" s="4" t="s">
        <v>27</v>
      </c>
      <c r="C299" s="5">
        <v>45780.754166666673</v>
      </c>
      <c r="D299" s="4" t="s">
        <v>23</v>
      </c>
      <c r="E299" s="8" t="s">
        <v>24</v>
      </c>
      <c r="F299" t="str">
        <f t="shared" si="4"/>
        <v>Saturday</v>
      </c>
      <c r="G299" t="str">
        <f>VLOOKUP(B299,cabang!A:C,2,FALSE)</f>
        <v>Warung Selera Nusantara - Tunjungan</v>
      </c>
    </row>
    <row r="300" spans="1:7" x14ac:dyDescent="0.35">
      <c r="A300" s="7" t="s">
        <v>333</v>
      </c>
      <c r="B300" s="4" t="s">
        <v>22</v>
      </c>
      <c r="C300" s="5">
        <v>45781.509027777778</v>
      </c>
      <c r="D300" s="4" t="s">
        <v>23</v>
      </c>
      <c r="E300" s="8" t="s">
        <v>29</v>
      </c>
      <c r="F300" t="str">
        <f t="shared" si="4"/>
        <v>Sunday</v>
      </c>
      <c r="G300" t="str">
        <f>VLOOKUP(B300,cabang!A:C,2,FALSE)</f>
        <v>Warung Selera Nusantara - Margonda</v>
      </c>
    </row>
    <row r="301" spans="1:7" x14ac:dyDescent="0.35">
      <c r="A301" s="7" t="s">
        <v>334</v>
      </c>
      <c r="B301" s="4" t="s">
        <v>31</v>
      </c>
      <c r="C301" s="5">
        <v>45782.552083333343</v>
      </c>
      <c r="D301" s="4" t="s">
        <v>23</v>
      </c>
      <c r="E301" s="8" t="s">
        <v>24</v>
      </c>
      <c r="F301" t="str">
        <f t="shared" si="4"/>
        <v>Monday</v>
      </c>
      <c r="G301" t="str">
        <f>VLOOKUP(B301,cabang!A:C,2,FALSE)</f>
        <v>Warung Selera Nusantara - Sudirman</v>
      </c>
    </row>
    <row r="302" spans="1:7" x14ac:dyDescent="0.35">
      <c r="A302" s="7" t="s">
        <v>335</v>
      </c>
      <c r="B302" s="4" t="s">
        <v>31</v>
      </c>
      <c r="C302" s="5">
        <v>45782.554861111108</v>
      </c>
      <c r="D302" s="4" t="s">
        <v>23</v>
      </c>
      <c r="E302" s="8" t="s">
        <v>33</v>
      </c>
      <c r="F302" t="str">
        <f t="shared" si="4"/>
        <v>Monday</v>
      </c>
      <c r="G302" t="str">
        <f>VLOOKUP(B302,cabang!A:C,2,FALSE)</f>
        <v>Warung Selera Nusantara - Sudirman</v>
      </c>
    </row>
    <row r="303" spans="1:7" x14ac:dyDescent="0.35">
      <c r="A303" s="7" t="s">
        <v>336</v>
      </c>
      <c r="B303" s="4" t="s">
        <v>31</v>
      </c>
      <c r="C303" s="5">
        <v>45782.798611111109</v>
      </c>
      <c r="D303" s="4" t="s">
        <v>44</v>
      </c>
      <c r="E303" s="8" t="s">
        <v>29</v>
      </c>
      <c r="F303" t="str">
        <f t="shared" si="4"/>
        <v>Monday</v>
      </c>
      <c r="G303" t="str">
        <f>VLOOKUP(B303,cabang!A:C,2,FALSE)</f>
        <v>Warung Selera Nusantara - Sudirman</v>
      </c>
    </row>
    <row r="304" spans="1:7" x14ac:dyDescent="0.35">
      <c r="A304" s="7" t="s">
        <v>337</v>
      </c>
      <c r="B304" s="4" t="s">
        <v>22</v>
      </c>
      <c r="C304" s="5">
        <v>45784.303472222222</v>
      </c>
      <c r="D304" s="4" t="s">
        <v>23</v>
      </c>
      <c r="E304" s="8" t="s">
        <v>24</v>
      </c>
      <c r="F304" t="str">
        <f t="shared" si="4"/>
        <v>Wednesday</v>
      </c>
      <c r="G304" t="str">
        <f>VLOOKUP(B304,cabang!A:C,2,FALSE)</f>
        <v>Warung Selera Nusantara - Margonda</v>
      </c>
    </row>
    <row r="305" spans="1:7" x14ac:dyDescent="0.35">
      <c r="A305" s="7" t="s">
        <v>338</v>
      </c>
      <c r="B305" s="4" t="s">
        <v>22</v>
      </c>
      <c r="C305" s="5">
        <v>45784.396527777782</v>
      </c>
      <c r="D305" s="4" t="s">
        <v>23</v>
      </c>
      <c r="E305" s="8" t="s">
        <v>24</v>
      </c>
      <c r="F305" t="str">
        <f t="shared" si="4"/>
        <v>Wednesday</v>
      </c>
      <c r="G305" t="str">
        <f>VLOOKUP(B305,cabang!A:C,2,FALSE)</f>
        <v>Warung Selera Nusantara - Margonda</v>
      </c>
    </row>
    <row r="306" spans="1:7" x14ac:dyDescent="0.35">
      <c r="A306" s="7" t="s">
        <v>339</v>
      </c>
      <c r="B306" s="4" t="s">
        <v>22</v>
      </c>
      <c r="C306" s="5">
        <v>45784.738194444442</v>
      </c>
      <c r="D306" s="4" t="s">
        <v>23</v>
      </c>
      <c r="E306" s="8" t="s">
        <v>38</v>
      </c>
      <c r="F306" t="str">
        <f t="shared" si="4"/>
        <v>Wednesday</v>
      </c>
      <c r="G306" t="str">
        <f>VLOOKUP(B306,cabang!A:C,2,FALSE)</f>
        <v>Warung Selera Nusantara - Margonda</v>
      </c>
    </row>
    <row r="307" spans="1:7" x14ac:dyDescent="0.35">
      <c r="A307" s="7" t="s">
        <v>340</v>
      </c>
      <c r="B307" s="4" t="s">
        <v>22</v>
      </c>
      <c r="C307" s="5">
        <v>45785.736805555563</v>
      </c>
      <c r="D307" s="4" t="s">
        <v>44</v>
      </c>
      <c r="E307" s="8" t="s">
        <v>29</v>
      </c>
      <c r="F307" t="str">
        <f t="shared" si="4"/>
        <v>Thursday</v>
      </c>
      <c r="G307" t="str">
        <f>VLOOKUP(B307,cabang!A:C,2,FALSE)</f>
        <v>Warung Selera Nusantara - Margonda</v>
      </c>
    </row>
    <row r="308" spans="1:7" x14ac:dyDescent="0.35">
      <c r="A308" s="7" t="s">
        <v>341</v>
      </c>
      <c r="B308" s="4" t="s">
        <v>31</v>
      </c>
      <c r="C308" s="5">
        <v>45786.479166666657</v>
      </c>
      <c r="D308" s="4" t="s">
        <v>23</v>
      </c>
      <c r="E308" s="8" t="s">
        <v>33</v>
      </c>
      <c r="F308" t="str">
        <f t="shared" si="4"/>
        <v>Friday</v>
      </c>
      <c r="G308" t="str">
        <f>VLOOKUP(B308,cabang!A:C,2,FALSE)</f>
        <v>Warung Selera Nusantara - Sudirman</v>
      </c>
    </row>
    <row r="309" spans="1:7" x14ac:dyDescent="0.35">
      <c r="A309" s="7" t="s">
        <v>342</v>
      </c>
      <c r="B309" s="4" t="s">
        <v>27</v>
      </c>
      <c r="C309" s="5">
        <v>45787.45416666667</v>
      </c>
      <c r="D309" s="4" t="s">
        <v>44</v>
      </c>
      <c r="E309" s="8" t="s">
        <v>24</v>
      </c>
      <c r="F309" t="str">
        <f t="shared" si="4"/>
        <v>Saturday</v>
      </c>
      <c r="G309" t="str">
        <f>VLOOKUP(B309,cabang!A:C,2,FALSE)</f>
        <v>Warung Selera Nusantara - Tunjungan</v>
      </c>
    </row>
    <row r="310" spans="1:7" x14ac:dyDescent="0.35">
      <c r="A310" s="7" t="s">
        <v>343</v>
      </c>
      <c r="B310" s="4" t="s">
        <v>27</v>
      </c>
      <c r="C310" s="5">
        <v>45787.521527777782</v>
      </c>
      <c r="D310" s="4" t="s">
        <v>23</v>
      </c>
      <c r="E310" s="8" t="s">
        <v>33</v>
      </c>
      <c r="F310" t="str">
        <f t="shared" si="4"/>
        <v>Saturday</v>
      </c>
      <c r="G310" t="str">
        <f>VLOOKUP(B310,cabang!A:C,2,FALSE)</f>
        <v>Warung Selera Nusantara - Tunjungan</v>
      </c>
    </row>
    <row r="311" spans="1:7" x14ac:dyDescent="0.35">
      <c r="A311" s="7" t="s">
        <v>344</v>
      </c>
      <c r="B311" s="4" t="s">
        <v>22</v>
      </c>
      <c r="C311" s="5">
        <v>45787.809027777781</v>
      </c>
      <c r="D311" s="4" t="s">
        <v>23</v>
      </c>
      <c r="E311" s="8" t="s">
        <v>38</v>
      </c>
      <c r="F311" t="str">
        <f t="shared" si="4"/>
        <v>Saturday</v>
      </c>
      <c r="G311" t="str">
        <f>VLOOKUP(B311,cabang!A:C,2,FALSE)</f>
        <v>Warung Selera Nusantara - Margonda</v>
      </c>
    </row>
    <row r="312" spans="1:7" x14ac:dyDescent="0.35">
      <c r="A312" s="7" t="s">
        <v>345</v>
      </c>
      <c r="B312" s="4" t="s">
        <v>27</v>
      </c>
      <c r="C312" s="5">
        <v>45787.913194444453</v>
      </c>
      <c r="D312" s="4" t="s">
        <v>23</v>
      </c>
      <c r="E312" s="8" t="s">
        <v>24</v>
      </c>
      <c r="F312" t="str">
        <f t="shared" si="4"/>
        <v>Saturday</v>
      </c>
      <c r="G312" t="str">
        <f>VLOOKUP(B312,cabang!A:C,2,FALSE)</f>
        <v>Warung Selera Nusantara - Tunjungan</v>
      </c>
    </row>
    <row r="313" spans="1:7" x14ac:dyDescent="0.35">
      <c r="A313" s="7" t="s">
        <v>346</v>
      </c>
      <c r="B313" s="4" t="s">
        <v>43</v>
      </c>
      <c r="C313" s="5">
        <v>45788.502083333333</v>
      </c>
      <c r="D313" s="4" t="s">
        <v>44</v>
      </c>
      <c r="E313" s="8" t="s">
        <v>24</v>
      </c>
      <c r="F313" t="str">
        <f t="shared" si="4"/>
        <v>Sunday</v>
      </c>
      <c r="G313" t="str">
        <f>VLOOKUP(B313,cabang!A:C,2,FALSE)</f>
        <v>Warung Selera Nusantara - Dago</v>
      </c>
    </row>
    <row r="314" spans="1:7" x14ac:dyDescent="0.35">
      <c r="A314" s="7" t="s">
        <v>347</v>
      </c>
      <c r="B314" s="4" t="s">
        <v>22</v>
      </c>
      <c r="C314" s="5">
        <v>45788.543749999997</v>
      </c>
      <c r="D314" s="4" t="s">
        <v>23</v>
      </c>
      <c r="E314" s="8" t="s">
        <v>24</v>
      </c>
      <c r="F314" t="str">
        <f t="shared" si="4"/>
        <v>Sunday</v>
      </c>
      <c r="G314" t="str">
        <f>VLOOKUP(B314,cabang!A:C,2,FALSE)</f>
        <v>Warung Selera Nusantara - Margonda</v>
      </c>
    </row>
    <row r="315" spans="1:7" x14ac:dyDescent="0.35">
      <c r="A315" s="7" t="s">
        <v>348</v>
      </c>
      <c r="B315" s="4" t="s">
        <v>31</v>
      </c>
      <c r="C315" s="5">
        <v>45788.737500000003</v>
      </c>
      <c r="D315" s="4" t="s">
        <v>23</v>
      </c>
      <c r="E315" s="8" t="s">
        <v>38</v>
      </c>
      <c r="F315" t="str">
        <f t="shared" si="4"/>
        <v>Sunday</v>
      </c>
      <c r="G315" t="str">
        <f>VLOOKUP(B315,cabang!A:C,2,FALSE)</f>
        <v>Warung Selera Nusantara - Sudirman</v>
      </c>
    </row>
    <row r="316" spans="1:7" x14ac:dyDescent="0.35">
      <c r="A316" s="7" t="s">
        <v>349</v>
      </c>
      <c r="B316" s="4" t="s">
        <v>22</v>
      </c>
      <c r="C316" s="5">
        <v>45788.820138888892</v>
      </c>
      <c r="D316" s="4" t="s">
        <v>28</v>
      </c>
      <c r="E316" s="8" t="s">
        <v>29</v>
      </c>
      <c r="F316" t="str">
        <f t="shared" si="4"/>
        <v>Sunday</v>
      </c>
      <c r="G316" t="str">
        <f>VLOOKUP(B316,cabang!A:C,2,FALSE)</f>
        <v>Warung Selera Nusantara - Margonda</v>
      </c>
    </row>
    <row r="317" spans="1:7" x14ac:dyDescent="0.35">
      <c r="A317" s="7" t="s">
        <v>350</v>
      </c>
      <c r="B317" s="4" t="s">
        <v>27</v>
      </c>
      <c r="C317" s="5">
        <v>45789.426388888889</v>
      </c>
      <c r="D317" s="4" t="s">
        <v>23</v>
      </c>
      <c r="E317" s="8" t="s">
        <v>33</v>
      </c>
      <c r="F317" t="str">
        <f t="shared" si="4"/>
        <v>Monday</v>
      </c>
      <c r="G317" t="str">
        <f>VLOOKUP(B317,cabang!A:C,2,FALSE)</f>
        <v>Warung Selera Nusantara - Tunjungan</v>
      </c>
    </row>
    <row r="318" spans="1:7" x14ac:dyDescent="0.35">
      <c r="A318" s="7" t="s">
        <v>351</v>
      </c>
      <c r="B318" s="4" t="s">
        <v>43</v>
      </c>
      <c r="C318" s="5">
        <v>45789.560416666667</v>
      </c>
      <c r="D318" s="4" t="s">
        <v>44</v>
      </c>
      <c r="E318" s="8" t="s">
        <v>29</v>
      </c>
      <c r="F318" t="str">
        <f t="shared" si="4"/>
        <v>Monday</v>
      </c>
      <c r="G318" t="str">
        <f>VLOOKUP(B318,cabang!A:C,2,FALSE)</f>
        <v>Warung Selera Nusantara - Dago</v>
      </c>
    </row>
    <row r="319" spans="1:7" x14ac:dyDescent="0.35">
      <c r="A319" s="7" t="s">
        <v>352</v>
      </c>
      <c r="B319" s="4" t="s">
        <v>43</v>
      </c>
      <c r="C319" s="5">
        <v>45791.34375</v>
      </c>
      <c r="D319" s="4" t="s">
        <v>44</v>
      </c>
      <c r="E319" s="8" t="s">
        <v>24</v>
      </c>
      <c r="F319" t="str">
        <f t="shared" si="4"/>
        <v>Wednesday</v>
      </c>
      <c r="G319" t="str">
        <f>VLOOKUP(B319,cabang!A:C,2,FALSE)</f>
        <v>Warung Selera Nusantara - Dago</v>
      </c>
    </row>
    <row r="320" spans="1:7" x14ac:dyDescent="0.35">
      <c r="A320" s="7" t="s">
        <v>353</v>
      </c>
      <c r="B320" s="4" t="s">
        <v>31</v>
      </c>
      <c r="C320" s="5">
        <v>45791.501388888893</v>
      </c>
      <c r="D320" s="4" t="s">
        <v>23</v>
      </c>
      <c r="E320" s="8" t="s">
        <v>33</v>
      </c>
      <c r="F320" t="str">
        <f t="shared" si="4"/>
        <v>Wednesday</v>
      </c>
      <c r="G320" t="str">
        <f>VLOOKUP(B320,cabang!A:C,2,FALSE)</f>
        <v>Warung Selera Nusantara - Sudirman</v>
      </c>
    </row>
    <row r="321" spans="1:7" x14ac:dyDescent="0.35">
      <c r="A321" s="7" t="s">
        <v>354</v>
      </c>
      <c r="B321" s="4" t="s">
        <v>31</v>
      </c>
      <c r="C321" s="5">
        <v>45791.526388888888</v>
      </c>
      <c r="D321" s="4" t="s">
        <v>44</v>
      </c>
      <c r="E321" s="8" t="s">
        <v>29</v>
      </c>
      <c r="F321" t="str">
        <f t="shared" si="4"/>
        <v>Wednesday</v>
      </c>
      <c r="G321" t="str">
        <f>VLOOKUP(B321,cabang!A:C,2,FALSE)</f>
        <v>Warung Selera Nusantara - Sudirman</v>
      </c>
    </row>
    <row r="322" spans="1:7" x14ac:dyDescent="0.35">
      <c r="A322" s="7" t="s">
        <v>355</v>
      </c>
      <c r="B322" s="4" t="s">
        <v>27</v>
      </c>
      <c r="C322" s="5">
        <v>45791.760416666657</v>
      </c>
      <c r="D322" s="4" t="s">
        <v>23</v>
      </c>
      <c r="E322" s="8" t="s">
        <v>24</v>
      </c>
      <c r="F322" t="str">
        <f t="shared" ref="F322:F385" si="5">TEXT(C322,"dddd")</f>
        <v>Wednesday</v>
      </c>
      <c r="G322" t="str">
        <f>VLOOKUP(B322,cabang!A:C,2,FALSE)</f>
        <v>Warung Selera Nusantara - Tunjungan</v>
      </c>
    </row>
    <row r="323" spans="1:7" x14ac:dyDescent="0.35">
      <c r="A323" s="7" t="s">
        <v>356</v>
      </c>
      <c r="B323" s="4" t="s">
        <v>22</v>
      </c>
      <c r="C323" s="5">
        <v>45792.81527777778</v>
      </c>
      <c r="D323" s="4" t="s">
        <v>23</v>
      </c>
      <c r="E323" s="8" t="s">
        <v>29</v>
      </c>
      <c r="F323" t="str">
        <f t="shared" si="5"/>
        <v>Thursday</v>
      </c>
      <c r="G323" t="str">
        <f>VLOOKUP(B323,cabang!A:C,2,FALSE)</f>
        <v>Warung Selera Nusantara - Margonda</v>
      </c>
    </row>
    <row r="324" spans="1:7" x14ac:dyDescent="0.35">
      <c r="A324" s="7" t="s">
        <v>357</v>
      </c>
      <c r="B324" s="4" t="s">
        <v>43</v>
      </c>
      <c r="C324" s="5">
        <v>45793.481249999997</v>
      </c>
      <c r="D324" s="4" t="s">
        <v>23</v>
      </c>
      <c r="E324" s="8" t="s">
        <v>24</v>
      </c>
      <c r="F324" t="str">
        <f t="shared" si="5"/>
        <v>Friday</v>
      </c>
      <c r="G324" t="str">
        <f>VLOOKUP(B324,cabang!A:C,2,FALSE)</f>
        <v>Warung Selera Nusantara - Dago</v>
      </c>
    </row>
    <row r="325" spans="1:7" x14ac:dyDescent="0.35">
      <c r="A325" s="7" t="s">
        <v>358</v>
      </c>
      <c r="B325" s="4" t="s">
        <v>31</v>
      </c>
      <c r="C325" s="5">
        <v>45793.550694444442</v>
      </c>
      <c r="D325" s="4" t="s">
        <v>28</v>
      </c>
      <c r="E325" s="8" t="s">
        <v>29</v>
      </c>
      <c r="F325" t="str">
        <f t="shared" si="5"/>
        <v>Friday</v>
      </c>
      <c r="G325" t="str">
        <f>VLOOKUP(B325,cabang!A:C,2,FALSE)</f>
        <v>Warung Selera Nusantara - Sudirman</v>
      </c>
    </row>
    <row r="326" spans="1:7" x14ac:dyDescent="0.35">
      <c r="A326" s="7" t="s">
        <v>359</v>
      </c>
      <c r="B326" s="4" t="s">
        <v>31</v>
      </c>
      <c r="C326" s="5">
        <v>45793.783333333333</v>
      </c>
      <c r="D326" s="4" t="s">
        <v>23</v>
      </c>
      <c r="E326" s="8" t="s">
        <v>24</v>
      </c>
      <c r="F326" t="str">
        <f t="shared" si="5"/>
        <v>Friday</v>
      </c>
      <c r="G326" t="str">
        <f>VLOOKUP(B326,cabang!A:C,2,FALSE)</f>
        <v>Warung Selera Nusantara - Sudirman</v>
      </c>
    </row>
    <row r="327" spans="1:7" x14ac:dyDescent="0.35">
      <c r="A327" s="7" t="s">
        <v>360</v>
      </c>
      <c r="B327" s="4" t="s">
        <v>27</v>
      </c>
      <c r="C327" s="5">
        <v>45794.566666666673</v>
      </c>
      <c r="D327" s="4" t="s">
        <v>44</v>
      </c>
      <c r="E327" s="8" t="s">
        <v>33</v>
      </c>
      <c r="F327" t="str">
        <f t="shared" si="5"/>
        <v>Saturday</v>
      </c>
      <c r="G327" t="str">
        <f>VLOOKUP(B327,cabang!A:C,2,FALSE)</f>
        <v>Warung Selera Nusantara - Tunjungan</v>
      </c>
    </row>
    <row r="328" spans="1:7" x14ac:dyDescent="0.35">
      <c r="A328" s="7" t="s">
        <v>361</v>
      </c>
      <c r="B328" s="4" t="s">
        <v>31</v>
      </c>
      <c r="C328" s="5">
        <v>45794.572916666657</v>
      </c>
      <c r="D328" s="4" t="s">
        <v>23</v>
      </c>
      <c r="E328" s="8" t="s">
        <v>24</v>
      </c>
      <c r="F328" t="str">
        <f t="shared" si="5"/>
        <v>Saturday</v>
      </c>
      <c r="G328" t="str">
        <f>VLOOKUP(B328,cabang!A:C,2,FALSE)</f>
        <v>Warung Selera Nusantara - Sudirman</v>
      </c>
    </row>
    <row r="329" spans="1:7" x14ac:dyDescent="0.35">
      <c r="A329" s="7" t="s">
        <v>362</v>
      </c>
      <c r="B329" s="4" t="s">
        <v>43</v>
      </c>
      <c r="C329" s="5">
        <v>45794.821527777778</v>
      </c>
      <c r="D329" s="4" t="s">
        <v>23</v>
      </c>
      <c r="E329" s="8" t="s">
        <v>24</v>
      </c>
      <c r="F329" t="str">
        <f t="shared" si="5"/>
        <v>Saturday</v>
      </c>
      <c r="G329" t="str">
        <f>VLOOKUP(B329,cabang!A:C,2,FALSE)</f>
        <v>Warung Selera Nusantara - Dago</v>
      </c>
    </row>
    <row r="330" spans="1:7" x14ac:dyDescent="0.35">
      <c r="A330" s="7" t="s">
        <v>363</v>
      </c>
      <c r="B330" s="4" t="s">
        <v>27</v>
      </c>
      <c r="C330" s="5">
        <v>45795.501388888893</v>
      </c>
      <c r="D330" s="4" t="s">
        <v>23</v>
      </c>
      <c r="E330" s="8" t="s">
        <v>33</v>
      </c>
      <c r="F330" t="str">
        <f t="shared" si="5"/>
        <v>Sunday</v>
      </c>
      <c r="G330" t="str">
        <f>VLOOKUP(B330,cabang!A:C,2,FALSE)</f>
        <v>Warung Selera Nusantara - Tunjungan</v>
      </c>
    </row>
    <row r="331" spans="1:7" x14ac:dyDescent="0.35">
      <c r="A331" s="7" t="s">
        <v>364</v>
      </c>
      <c r="B331" s="4" t="s">
        <v>31</v>
      </c>
      <c r="C331" s="5">
        <v>45795.677777777782</v>
      </c>
      <c r="D331" s="4" t="s">
        <v>44</v>
      </c>
      <c r="E331" s="8" t="s">
        <v>24</v>
      </c>
      <c r="F331" t="str">
        <f t="shared" si="5"/>
        <v>Sunday</v>
      </c>
      <c r="G331" t="str">
        <f>VLOOKUP(B331,cabang!A:C,2,FALSE)</f>
        <v>Warung Selera Nusantara - Sudirman</v>
      </c>
    </row>
    <row r="332" spans="1:7" x14ac:dyDescent="0.35">
      <c r="A332" s="7" t="s">
        <v>365</v>
      </c>
      <c r="B332" s="4" t="s">
        <v>22</v>
      </c>
      <c r="C332" s="5">
        <v>45795.865972222222</v>
      </c>
      <c r="D332" s="4" t="s">
        <v>23</v>
      </c>
      <c r="E332" s="8" t="s">
        <v>24</v>
      </c>
      <c r="F332" t="str">
        <f t="shared" si="5"/>
        <v>Sunday</v>
      </c>
      <c r="G332" t="str">
        <f>VLOOKUP(B332,cabang!A:C,2,FALSE)</f>
        <v>Warung Selera Nusantara - Margonda</v>
      </c>
    </row>
    <row r="333" spans="1:7" x14ac:dyDescent="0.35">
      <c r="A333" s="7" t="s">
        <v>366</v>
      </c>
      <c r="B333" s="4" t="s">
        <v>31</v>
      </c>
      <c r="C333" s="5">
        <v>45795.915277777778</v>
      </c>
      <c r="D333" s="4" t="s">
        <v>23</v>
      </c>
      <c r="E333" s="8" t="s">
        <v>24</v>
      </c>
      <c r="F333" t="str">
        <f t="shared" si="5"/>
        <v>Sunday</v>
      </c>
      <c r="G333" t="str">
        <f>VLOOKUP(B333,cabang!A:C,2,FALSE)</f>
        <v>Warung Selera Nusantara - Sudirman</v>
      </c>
    </row>
    <row r="334" spans="1:7" x14ac:dyDescent="0.35">
      <c r="A334" s="7" t="s">
        <v>367</v>
      </c>
      <c r="B334" s="4" t="s">
        <v>27</v>
      </c>
      <c r="C334" s="5">
        <v>45796.511111111111</v>
      </c>
      <c r="D334" s="4" t="s">
        <v>23</v>
      </c>
      <c r="E334" s="8" t="s">
        <v>24</v>
      </c>
      <c r="F334" t="str">
        <f t="shared" si="5"/>
        <v>Monday</v>
      </c>
      <c r="G334" t="str">
        <f>VLOOKUP(B334,cabang!A:C,2,FALSE)</f>
        <v>Warung Selera Nusantara - Tunjungan</v>
      </c>
    </row>
    <row r="335" spans="1:7" x14ac:dyDescent="0.35">
      <c r="A335" s="7" t="s">
        <v>368</v>
      </c>
      <c r="B335" s="4" t="s">
        <v>27</v>
      </c>
      <c r="C335" s="5">
        <v>45796.529166666667</v>
      </c>
      <c r="D335" s="4" t="s">
        <v>23</v>
      </c>
      <c r="E335" s="8" t="s">
        <v>33</v>
      </c>
      <c r="F335" t="str">
        <f t="shared" si="5"/>
        <v>Monday</v>
      </c>
      <c r="G335" t="str">
        <f>VLOOKUP(B335,cabang!A:C,2,FALSE)</f>
        <v>Warung Selera Nusantara - Tunjungan</v>
      </c>
    </row>
    <row r="336" spans="1:7" x14ac:dyDescent="0.35">
      <c r="A336" s="7" t="s">
        <v>369</v>
      </c>
      <c r="B336" s="4" t="s">
        <v>43</v>
      </c>
      <c r="C336" s="5">
        <v>45796.842361111107</v>
      </c>
      <c r="D336" s="4" t="s">
        <v>28</v>
      </c>
      <c r="E336" s="8" t="s">
        <v>38</v>
      </c>
      <c r="F336" t="str">
        <f t="shared" si="5"/>
        <v>Monday</v>
      </c>
      <c r="G336" t="str">
        <f>VLOOKUP(B336,cabang!A:C,2,FALSE)</f>
        <v>Warung Selera Nusantara - Dago</v>
      </c>
    </row>
    <row r="337" spans="1:7" x14ac:dyDescent="0.35">
      <c r="A337" s="7" t="s">
        <v>370</v>
      </c>
      <c r="B337" s="4" t="s">
        <v>31</v>
      </c>
      <c r="C337" s="5">
        <v>45798.545138888891</v>
      </c>
      <c r="D337" s="4" t="s">
        <v>28</v>
      </c>
      <c r="E337" s="8" t="s">
        <v>24</v>
      </c>
      <c r="F337" t="str">
        <f t="shared" si="5"/>
        <v>Wednesday</v>
      </c>
      <c r="G337" t="str">
        <f>VLOOKUP(B337,cabang!A:C,2,FALSE)</f>
        <v>Warung Selera Nusantara - Sudirman</v>
      </c>
    </row>
    <row r="338" spans="1:7" x14ac:dyDescent="0.35">
      <c r="A338" s="7" t="s">
        <v>371</v>
      </c>
      <c r="B338" s="4" t="s">
        <v>31</v>
      </c>
      <c r="C338" s="5">
        <v>45798.547222222223</v>
      </c>
      <c r="D338" s="4" t="s">
        <v>28</v>
      </c>
      <c r="E338" s="8" t="s">
        <v>24</v>
      </c>
      <c r="F338" t="str">
        <f t="shared" si="5"/>
        <v>Wednesday</v>
      </c>
      <c r="G338" t="str">
        <f>VLOOKUP(B338,cabang!A:C,2,FALSE)</f>
        <v>Warung Selera Nusantara - Sudirman</v>
      </c>
    </row>
    <row r="339" spans="1:7" x14ac:dyDescent="0.35">
      <c r="A339" s="7" t="s">
        <v>372</v>
      </c>
      <c r="B339" s="4" t="s">
        <v>22</v>
      </c>
      <c r="C339" s="5">
        <v>45800.539583333331</v>
      </c>
      <c r="D339" s="4" t="s">
        <v>28</v>
      </c>
      <c r="E339" s="8" t="s">
        <v>29</v>
      </c>
      <c r="F339" t="str">
        <f t="shared" si="5"/>
        <v>Friday</v>
      </c>
      <c r="G339" t="str">
        <f>VLOOKUP(B339,cabang!A:C,2,FALSE)</f>
        <v>Warung Selera Nusantara - Margonda</v>
      </c>
    </row>
    <row r="340" spans="1:7" x14ac:dyDescent="0.35">
      <c r="A340" s="7" t="s">
        <v>373</v>
      </c>
      <c r="B340" s="4" t="s">
        <v>31</v>
      </c>
      <c r="C340" s="5">
        <v>45801.348611111112</v>
      </c>
      <c r="D340" s="4" t="s">
        <v>23</v>
      </c>
      <c r="E340" s="8" t="s">
        <v>24</v>
      </c>
      <c r="F340" t="str">
        <f t="shared" si="5"/>
        <v>Saturday</v>
      </c>
      <c r="G340" t="str">
        <f>VLOOKUP(B340,cabang!A:C,2,FALSE)</f>
        <v>Warung Selera Nusantara - Sudirman</v>
      </c>
    </row>
    <row r="341" spans="1:7" x14ac:dyDescent="0.35">
      <c r="A341" s="7" t="s">
        <v>374</v>
      </c>
      <c r="B341" s="4" t="s">
        <v>27</v>
      </c>
      <c r="C341" s="5">
        <v>45801.504861111112</v>
      </c>
      <c r="D341" s="4" t="s">
        <v>28</v>
      </c>
      <c r="E341" s="8" t="s">
        <v>38</v>
      </c>
      <c r="F341" t="str">
        <f t="shared" si="5"/>
        <v>Saturday</v>
      </c>
      <c r="G341" t="str">
        <f>VLOOKUP(B341,cabang!A:C,2,FALSE)</f>
        <v>Warung Selera Nusantara - Tunjungan</v>
      </c>
    </row>
    <row r="342" spans="1:7" x14ac:dyDescent="0.35">
      <c r="A342" s="7" t="s">
        <v>375</v>
      </c>
      <c r="B342" s="4" t="s">
        <v>31</v>
      </c>
      <c r="C342" s="5">
        <v>45801.519444444442</v>
      </c>
      <c r="D342" s="4" t="s">
        <v>28</v>
      </c>
      <c r="E342" s="8" t="s">
        <v>24</v>
      </c>
      <c r="F342" t="str">
        <f t="shared" si="5"/>
        <v>Saturday</v>
      </c>
      <c r="G342" t="str">
        <f>VLOOKUP(B342,cabang!A:C,2,FALSE)</f>
        <v>Warung Selera Nusantara - Sudirman</v>
      </c>
    </row>
    <row r="343" spans="1:7" x14ac:dyDescent="0.35">
      <c r="A343" s="7" t="s">
        <v>376</v>
      </c>
      <c r="B343" s="4" t="s">
        <v>31</v>
      </c>
      <c r="C343" s="5">
        <v>45801.52847222222</v>
      </c>
      <c r="D343" s="4" t="s">
        <v>23</v>
      </c>
      <c r="E343" s="8" t="s">
        <v>24</v>
      </c>
      <c r="F343" t="str">
        <f t="shared" si="5"/>
        <v>Saturday</v>
      </c>
      <c r="G343" t="str">
        <f>VLOOKUP(B343,cabang!A:C,2,FALSE)</f>
        <v>Warung Selera Nusantara - Sudirman</v>
      </c>
    </row>
    <row r="344" spans="1:7" x14ac:dyDescent="0.35">
      <c r="A344" s="7" t="s">
        <v>377</v>
      </c>
      <c r="B344" s="4" t="s">
        <v>27</v>
      </c>
      <c r="C344" s="5">
        <v>45801.629861111112</v>
      </c>
      <c r="D344" s="4" t="s">
        <v>23</v>
      </c>
      <c r="E344" s="8" t="s">
        <v>24</v>
      </c>
      <c r="F344" t="str">
        <f t="shared" si="5"/>
        <v>Saturday</v>
      </c>
      <c r="G344" t="str">
        <f>VLOOKUP(B344,cabang!A:C,2,FALSE)</f>
        <v>Warung Selera Nusantara - Tunjungan</v>
      </c>
    </row>
    <row r="345" spans="1:7" x14ac:dyDescent="0.35">
      <c r="A345" s="7" t="s">
        <v>378</v>
      </c>
      <c r="B345" s="4" t="s">
        <v>43</v>
      </c>
      <c r="C345" s="5">
        <v>45801.675000000003</v>
      </c>
      <c r="D345" s="4" t="s">
        <v>44</v>
      </c>
      <c r="E345" s="8" t="s">
        <v>29</v>
      </c>
      <c r="F345" t="str">
        <f t="shared" si="5"/>
        <v>Saturday</v>
      </c>
      <c r="G345" t="str">
        <f>VLOOKUP(B345,cabang!A:C,2,FALSE)</f>
        <v>Warung Selera Nusantara - Dago</v>
      </c>
    </row>
    <row r="346" spans="1:7" x14ac:dyDescent="0.35">
      <c r="A346" s="7" t="s">
        <v>379</v>
      </c>
      <c r="B346" s="4" t="s">
        <v>31</v>
      </c>
      <c r="C346" s="5">
        <v>45801.734722222223</v>
      </c>
      <c r="D346" s="4" t="s">
        <v>28</v>
      </c>
      <c r="E346" s="8" t="s">
        <v>29</v>
      </c>
      <c r="F346" t="str">
        <f t="shared" si="5"/>
        <v>Saturday</v>
      </c>
      <c r="G346" t="str">
        <f>VLOOKUP(B346,cabang!A:C,2,FALSE)</f>
        <v>Warung Selera Nusantara - Sudirman</v>
      </c>
    </row>
    <row r="347" spans="1:7" x14ac:dyDescent="0.35">
      <c r="A347" s="7" t="s">
        <v>380</v>
      </c>
      <c r="B347" s="4" t="s">
        <v>31</v>
      </c>
      <c r="C347" s="5">
        <v>45802.775694444441</v>
      </c>
      <c r="D347" s="4" t="s">
        <v>23</v>
      </c>
      <c r="E347" s="8" t="s">
        <v>33</v>
      </c>
      <c r="F347" t="str">
        <f t="shared" si="5"/>
        <v>Sunday</v>
      </c>
      <c r="G347" t="str">
        <f>VLOOKUP(B347,cabang!A:C,2,FALSE)</f>
        <v>Warung Selera Nusantara - Sudirman</v>
      </c>
    </row>
    <row r="348" spans="1:7" x14ac:dyDescent="0.35">
      <c r="A348" s="7" t="s">
        <v>381</v>
      </c>
      <c r="B348" s="4" t="s">
        <v>31</v>
      </c>
      <c r="C348" s="5">
        <v>45804.623611111107</v>
      </c>
      <c r="D348" s="4" t="s">
        <v>23</v>
      </c>
      <c r="E348" s="8" t="s">
        <v>24</v>
      </c>
      <c r="F348" t="str">
        <f t="shared" si="5"/>
        <v>Tuesday</v>
      </c>
      <c r="G348" t="str">
        <f>VLOOKUP(B348,cabang!A:C,2,FALSE)</f>
        <v>Warung Selera Nusantara - Sudirman</v>
      </c>
    </row>
    <row r="349" spans="1:7" x14ac:dyDescent="0.35">
      <c r="A349" s="7" t="s">
        <v>382</v>
      </c>
      <c r="B349" s="4" t="s">
        <v>43</v>
      </c>
      <c r="C349" s="5">
        <v>45805.59375</v>
      </c>
      <c r="D349" s="4" t="s">
        <v>23</v>
      </c>
      <c r="E349" s="8" t="s">
        <v>33</v>
      </c>
      <c r="F349" t="str">
        <f t="shared" si="5"/>
        <v>Wednesday</v>
      </c>
      <c r="G349" t="str">
        <f>VLOOKUP(B349,cabang!A:C,2,FALSE)</f>
        <v>Warung Selera Nusantara - Dago</v>
      </c>
    </row>
    <row r="350" spans="1:7" x14ac:dyDescent="0.35">
      <c r="A350" s="7" t="s">
        <v>383</v>
      </c>
      <c r="B350" s="4" t="s">
        <v>27</v>
      </c>
      <c r="C350" s="5">
        <v>45805.806944444441</v>
      </c>
      <c r="D350" s="4" t="s">
        <v>28</v>
      </c>
      <c r="E350" s="8" t="s">
        <v>33</v>
      </c>
      <c r="F350" t="str">
        <f t="shared" si="5"/>
        <v>Wednesday</v>
      </c>
      <c r="G350" t="str">
        <f>VLOOKUP(B350,cabang!A:C,2,FALSE)</f>
        <v>Warung Selera Nusantara - Tunjungan</v>
      </c>
    </row>
    <row r="351" spans="1:7" x14ac:dyDescent="0.35">
      <c r="A351" s="7" t="s">
        <v>384</v>
      </c>
      <c r="B351" s="4" t="s">
        <v>27</v>
      </c>
      <c r="C351" s="5">
        <v>45806.794444444437</v>
      </c>
      <c r="D351" s="4" t="s">
        <v>28</v>
      </c>
      <c r="E351" s="8" t="s">
        <v>29</v>
      </c>
      <c r="F351" t="str">
        <f t="shared" si="5"/>
        <v>Thursday</v>
      </c>
      <c r="G351" t="str">
        <f>VLOOKUP(B351,cabang!A:C,2,FALSE)</f>
        <v>Warung Selera Nusantara - Tunjungan</v>
      </c>
    </row>
    <row r="352" spans="1:7" x14ac:dyDescent="0.35">
      <c r="A352" s="7" t="s">
        <v>385</v>
      </c>
      <c r="B352" s="4" t="s">
        <v>22</v>
      </c>
      <c r="C352" s="5">
        <v>45806.81527777778</v>
      </c>
      <c r="D352" s="4" t="s">
        <v>28</v>
      </c>
      <c r="E352" s="8" t="s">
        <v>33</v>
      </c>
      <c r="F352" t="str">
        <f t="shared" si="5"/>
        <v>Thursday</v>
      </c>
      <c r="G352" t="str">
        <f>VLOOKUP(B352,cabang!A:C,2,FALSE)</f>
        <v>Warung Selera Nusantara - Margonda</v>
      </c>
    </row>
    <row r="353" spans="1:7" x14ac:dyDescent="0.35">
      <c r="A353" s="7" t="s">
        <v>386</v>
      </c>
      <c r="B353" s="4" t="s">
        <v>27</v>
      </c>
      <c r="C353" s="5">
        <v>45806.827777777777</v>
      </c>
      <c r="D353" s="4" t="s">
        <v>23</v>
      </c>
      <c r="E353" s="8" t="s">
        <v>29</v>
      </c>
      <c r="F353" t="str">
        <f t="shared" si="5"/>
        <v>Thursday</v>
      </c>
      <c r="G353" t="str">
        <f>VLOOKUP(B353,cabang!A:C,2,FALSE)</f>
        <v>Warung Selera Nusantara - Tunjungan</v>
      </c>
    </row>
    <row r="354" spans="1:7" x14ac:dyDescent="0.35">
      <c r="A354" s="7" t="s">
        <v>387</v>
      </c>
      <c r="B354" s="4" t="s">
        <v>31</v>
      </c>
      <c r="C354" s="5">
        <v>45806.849305555559</v>
      </c>
      <c r="D354" s="4" t="s">
        <v>23</v>
      </c>
      <c r="E354" s="8" t="s">
        <v>38</v>
      </c>
      <c r="F354" t="str">
        <f t="shared" si="5"/>
        <v>Thursday</v>
      </c>
      <c r="G354" t="str">
        <f>VLOOKUP(B354,cabang!A:C,2,FALSE)</f>
        <v>Warung Selera Nusantara - Sudirman</v>
      </c>
    </row>
    <row r="355" spans="1:7" x14ac:dyDescent="0.35">
      <c r="A355" s="7" t="s">
        <v>388</v>
      </c>
      <c r="B355" s="4" t="s">
        <v>27</v>
      </c>
      <c r="C355" s="5">
        <v>45807.783333333333</v>
      </c>
      <c r="D355" s="4" t="s">
        <v>23</v>
      </c>
      <c r="E355" s="8" t="s">
        <v>29</v>
      </c>
      <c r="F355" t="str">
        <f t="shared" si="5"/>
        <v>Friday</v>
      </c>
      <c r="G355" t="str">
        <f>VLOOKUP(B355,cabang!A:C,2,FALSE)</f>
        <v>Warung Selera Nusantara - Tunjungan</v>
      </c>
    </row>
    <row r="356" spans="1:7" x14ac:dyDescent="0.35">
      <c r="A356" s="7" t="s">
        <v>389</v>
      </c>
      <c r="B356" s="4" t="s">
        <v>27</v>
      </c>
      <c r="C356" s="5">
        <v>45808.525000000001</v>
      </c>
      <c r="D356" s="4" t="s">
        <v>28</v>
      </c>
      <c r="E356" s="8" t="s">
        <v>24</v>
      </c>
      <c r="F356" t="str">
        <f t="shared" si="5"/>
        <v>Saturday</v>
      </c>
      <c r="G356" t="str">
        <f>VLOOKUP(B356,cabang!A:C,2,FALSE)</f>
        <v>Warung Selera Nusantara - Tunjungan</v>
      </c>
    </row>
    <row r="357" spans="1:7" x14ac:dyDescent="0.35">
      <c r="A357" s="7" t="s">
        <v>390</v>
      </c>
      <c r="B357" s="4" t="s">
        <v>43</v>
      </c>
      <c r="C357" s="5">
        <v>45808.527777777781</v>
      </c>
      <c r="D357" s="4" t="s">
        <v>23</v>
      </c>
      <c r="E357" s="8" t="s">
        <v>33</v>
      </c>
      <c r="F357" t="str">
        <f t="shared" si="5"/>
        <v>Saturday</v>
      </c>
      <c r="G357" t="str">
        <f>VLOOKUP(B357,cabang!A:C,2,FALSE)</f>
        <v>Warung Selera Nusantara - Dago</v>
      </c>
    </row>
    <row r="358" spans="1:7" x14ac:dyDescent="0.35">
      <c r="A358" s="7" t="s">
        <v>391</v>
      </c>
      <c r="B358" s="4" t="s">
        <v>27</v>
      </c>
      <c r="C358" s="5">
        <v>45809.443749999999</v>
      </c>
      <c r="D358" s="4" t="s">
        <v>23</v>
      </c>
      <c r="E358" s="8" t="s">
        <v>38</v>
      </c>
      <c r="F358" t="str">
        <f t="shared" si="5"/>
        <v>Sunday</v>
      </c>
      <c r="G358" t="str">
        <f>VLOOKUP(B358,cabang!A:C,2,FALSE)</f>
        <v>Warung Selera Nusantara - Tunjungan</v>
      </c>
    </row>
    <row r="359" spans="1:7" x14ac:dyDescent="0.35">
      <c r="A359" s="7" t="s">
        <v>392</v>
      </c>
      <c r="B359" s="4" t="s">
        <v>27</v>
      </c>
      <c r="C359" s="5">
        <v>45809.506249999999</v>
      </c>
      <c r="D359" s="4" t="s">
        <v>44</v>
      </c>
      <c r="E359" s="8" t="s">
        <v>29</v>
      </c>
      <c r="F359" t="str">
        <f t="shared" si="5"/>
        <v>Sunday</v>
      </c>
      <c r="G359" t="str">
        <f>VLOOKUP(B359,cabang!A:C,2,FALSE)</f>
        <v>Warung Selera Nusantara - Tunjungan</v>
      </c>
    </row>
    <row r="360" spans="1:7" x14ac:dyDescent="0.35">
      <c r="A360" s="7" t="s">
        <v>393</v>
      </c>
      <c r="B360" s="4" t="s">
        <v>31</v>
      </c>
      <c r="C360" s="5">
        <v>45809.834027777782</v>
      </c>
      <c r="D360" s="4" t="s">
        <v>28</v>
      </c>
      <c r="E360" s="8" t="s">
        <v>29</v>
      </c>
      <c r="F360" t="str">
        <f t="shared" si="5"/>
        <v>Sunday</v>
      </c>
      <c r="G360" t="str">
        <f>VLOOKUP(B360,cabang!A:C,2,FALSE)</f>
        <v>Warung Selera Nusantara - Sudirman</v>
      </c>
    </row>
    <row r="361" spans="1:7" x14ac:dyDescent="0.35">
      <c r="A361" s="7" t="s">
        <v>394</v>
      </c>
      <c r="B361" s="4" t="s">
        <v>31</v>
      </c>
      <c r="C361" s="5">
        <v>45809.872916666667</v>
      </c>
      <c r="D361" s="4" t="s">
        <v>28</v>
      </c>
      <c r="E361" s="8" t="s">
        <v>24</v>
      </c>
      <c r="F361" t="str">
        <f t="shared" si="5"/>
        <v>Sunday</v>
      </c>
      <c r="G361" t="str">
        <f>VLOOKUP(B361,cabang!A:C,2,FALSE)</f>
        <v>Warung Selera Nusantara - Sudirman</v>
      </c>
    </row>
    <row r="362" spans="1:7" x14ac:dyDescent="0.35">
      <c r="A362" s="7" t="s">
        <v>395</v>
      </c>
      <c r="B362" s="4" t="s">
        <v>43</v>
      </c>
      <c r="C362" s="5">
        <v>45809.87777777778</v>
      </c>
      <c r="D362" s="4" t="s">
        <v>23</v>
      </c>
      <c r="E362" s="8" t="s">
        <v>38</v>
      </c>
      <c r="F362" t="str">
        <f t="shared" si="5"/>
        <v>Sunday</v>
      </c>
      <c r="G362" t="str">
        <f>VLOOKUP(B362,cabang!A:C,2,FALSE)</f>
        <v>Warung Selera Nusantara - Dago</v>
      </c>
    </row>
    <row r="363" spans="1:7" x14ac:dyDescent="0.35">
      <c r="A363" s="7" t="s">
        <v>396</v>
      </c>
      <c r="B363" s="4" t="s">
        <v>31</v>
      </c>
      <c r="C363" s="5">
        <v>45810.491666666669</v>
      </c>
      <c r="D363" s="4" t="s">
        <v>23</v>
      </c>
      <c r="E363" s="8" t="s">
        <v>33</v>
      </c>
      <c r="F363" t="str">
        <f t="shared" si="5"/>
        <v>Monday</v>
      </c>
      <c r="G363" t="str">
        <f>VLOOKUP(B363,cabang!A:C,2,FALSE)</f>
        <v>Warung Selera Nusantara - Sudirman</v>
      </c>
    </row>
    <row r="364" spans="1:7" x14ac:dyDescent="0.35">
      <c r="A364" s="7" t="s">
        <v>397</v>
      </c>
      <c r="B364" s="4" t="s">
        <v>27</v>
      </c>
      <c r="C364" s="5">
        <v>45810.780555555553</v>
      </c>
      <c r="D364" s="4" t="s">
        <v>23</v>
      </c>
      <c r="E364" s="8" t="s">
        <v>38</v>
      </c>
      <c r="F364" t="str">
        <f t="shared" si="5"/>
        <v>Monday</v>
      </c>
      <c r="G364" t="str">
        <f>VLOOKUP(B364,cabang!A:C,2,FALSE)</f>
        <v>Warung Selera Nusantara - Tunjungan</v>
      </c>
    </row>
    <row r="365" spans="1:7" x14ac:dyDescent="0.35">
      <c r="A365" s="7" t="s">
        <v>398</v>
      </c>
      <c r="B365" s="4" t="s">
        <v>31</v>
      </c>
      <c r="C365" s="5">
        <v>45810.8</v>
      </c>
      <c r="D365" s="4" t="s">
        <v>23</v>
      </c>
      <c r="E365" s="8" t="s">
        <v>38</v>
      </c>
      <c r="F365" t="str">
        <f t="shared" si="5"/>
        <v>Monday</v>
      </c>
      <c r="G365" t="str">
        <f>VLOOKUP(B365,cabang!A:C,2,FALSE)</f>
        <v>Warung Selera Nusantara - Sudirman</v>
      </c>
    </row>
    <row r="366" spans="1:7" x14ac:dyDescent="0.35">
      <c r="A366" s="7" t="s">
        <v>399</v>
      </c>
      <c r="B366" s="4" t="s">
        <v>22</v>
      </c>
      <c r="C366" s="5">
        <v>45810.864583333343</v>
      </c>
      <c r="D366" s="4" t="s">
        <v>28</v>
      </c>
      <c r="E366" s="8" t="s">
        <v>29</v>
      </c>
      <c r="F366" t="str">
        <f t="shared" si="5"/>
        <v>Monday</v>
      </c>
      <c r="G366" t="str">
        <f>VLOOKUP(B366,cabang!A:C,2,FALSE)</f>
        <v>Warung Selera Nusantara - Margonda</v>
      </c>
    </row>
    <row r="367" spans="1:7" x14ac:dyDescent="0.35">
      <c r="A367" s="7" t="s">
        <v>400</v>
      </c>
      <c r="B367" s="4" t="s">
        <v>31</v>
      </c>
      <c r="C367" s="5">
        <v>45811.902777777781</v>
      </c>
      <c r="D367" s="4" t="s">
        <v>44</v>
      </c>
      <c r="E367" s="8" t="s">
        <v>24</v>
      </c>
      <c r="F367" t="str">
        <f t="shared" si="5"/>
        <v>Tuesday</v>
      </c>
      <c r="G367" t="str">
        <f>VLOOKUP(B367,cabang!A:C,2,FALSE)</f>
        <v>Warung Selera Nusantara - Sudirman</v>
      </c>
    </row>
    <row r="368" spans="1:7" x14ac:dyDescent="0.35">
      <c r="A368" s="7" t="s">
        <v>401</v>
      </c>
      <c r="B368" s="4" t="s">
        <v>22</v>
      </c>
      <c r="C368" s="5">
        <v>45812.418055555558</v>
      </c>
      <c r="D368" s="4" t="s">
        <v>23</v>
      </c>
      <c r="E368" s="8" t="s">
        <v>24</v>
      </c>
      <c r="F368" t="str">
        <f t="shared" si="5"/>
        <v>Wednesday</v>
      </c>
      <c r="G368" t="str">
        <f>VLOOKUP(B368,cabang!A:C,2,FALSE)</f>
        <v>Warung Selera Nusantara - Margonda</v>
      </c>
    </row>
    <row r="369" spans="1:7" x14ac:dyDescent="0.35">
      <c r="A369" s="7" t="s">
        <v>402</v>
      </c>
      <c r="B369" s="4" t="s">
        <v>31</v>
      </c>
      <c r="C369" s="5">
        <v>45812.445833333331</v>
      </c>
      <c r="D369" s="4" t="s">
        <v>23</v>
      </c>
      <c r="E369" s="8" t="s">
        <v>24</v>
      </c>
      <c r="F369" t="str">
        <f t="shared" si="5"/>
        <v>Wednesday</v>
      </c>
      <c r="G369" t="str">
        <f>VLOOKUP(B369,cabang!A:C,2,FALSE)</f>
        <v>Warung Selera Nusantara - Sudirman</v>
      </c>
    </row>
    <row r="370" spans="1:7" x14ac:dyDescent="0.35">
      <c r="A370" s="7" t="s">
        <v>403</v>
      </c>
      <c r="B370" s="4" t="s">
        <v>22</v>
      </c>
      <c r="C370" s="5">
        <v>45812.854861111111</v>
      </c>
      <c r="D370" s="4" t="s">
        <v>28</v>
      </c>
      <c r="E370" s="8" t="s">
        <v>33</v>
      </c>
      <c r="F370" t="str">
        <f t="shared" si="5"/>
        <v>Wednesday</v>
      </c>
      <c r="G370" t="str">
        <f>VLOOKUP(B370,cabang!A:C,2,FALSE)</f>
        <v>Warung Selera Nusantara - Margonda</v>
      </c>
    </row>
    <row r="371" spans="1:7" x14ac:dyDescent="0.35">
      <c r="A371" s="7" t="s">
        <v>404</v>
      </c>
      <c r="B371" s="4" t="s">
        <v>27</v>
      </c>
      <c r="C371" s="5">
        <v>45813.532638888893</v>
      </c>
      <c r="D371" s="4" t="s">
        <v>23</v>
      </c>
      <c r="E371" s="8" t="s">
        <v>38</v>
      </c>
      <c r="F371" t="str">
        <f t="shared" si="5"/>
        <v>Thursday</v>
      </c>
      <c r="G371" t="str">
        <f>VLOOKUP(B371,cabang!A:C,2,FALSE)</f>
        <v>Warung Selera Nusantara - Tunjungan</v>
      </c>
    </row>
    <row r="372" spans="1:7" x14ac:dyDescent="0.35">
      <c r="A372" s="7" t="s">
        <v>405</v>
      </c>
      <c r="B372" s="4" t="s">
        <v>27</v>
      </c>
      <c r="C372" s="5">
        <v>45814.84652777778</v>
      </c>
      <c r="D372" s="4" t="s">
        <v>28</v>
      </c>
      <c r="E372" s="8" t="s">
        <v>24</v>
      </c>
      <c r="F372" t="str">
        <f t="shared" si="5"/>
        <v>Friday</v>
      </c>
      <c r="G372" t="str">
        <f>VLOOKUP(B372,cabang!A:C,2,FALSE)</f>
        <v>Warung Selera Nusantara - Tunjungan</v>
      </c>
    </row>
    <row r="373" spans="1:7" x14ac:dyDescent="0.35">
      <c r="A373" s="7" t="s">
        <v>406</v>
      </c>
      <c r="B373" s="4" t="s">
        <v>27</v>
      </c>
      <c r="C373" s="5">
        <v>45815.482638888891</v>
      </c>
      <c r="D373" s="4" t="s">
        <v>23</v>
      </c>
      <c r="E373" s="8" t="s">
        <v>33</v>
      </c>
      <c r="F373" t="str">
        <f t="shared" si="5"/>
        <v>Saturday</v>
      </c>
      <c r="G373" t="str">
        <f>VLOOKUP(B373,cabang!A:C,2,FALSE)</f>
        <v>Warung Selera Nusantara - Tunjungan</v>
      </c>
    </row>
    <row r="374" spans="1:7" x14ac:dyDescent="0.35">
      <c r="A374" s="7" t="s">
        <v>407</v>
      </c>
      <c r="B374" s="4" t="s">
        <v>31</v>
      </c>
      <c r="C374" s="5">
        <v>45815.517361111109</v>
      </c>
      <c r="D374" s="4" t="s">
        <v>23</v>
      </c>
      <c r="E374" s="8" t="s">
        <v>24</v>
      </c>
      <c r="F374" t="str">
        <f t="shared" si="5"/>
        <v>Saturday</v>
      </c>
      <c r="G374" t="str">
        <f>VLOOKUP(B374,cabang!A:C,2,FALSE)</f>
        <v>Warung Selera Nusantara - Sudirman</v>
      </c>
    </row>
    <row r="375" spans="1:7" x14ac:dyDescent="0.35">
      <c r="A375" s="7" t="s">
        <v>408</v>
      </c>
      <c r="B375" s="4" t="s">
        <v>27</v>
      </c>
      <c r="C375" s="5">
        <v>45815.634722222218</v>
      </c>
      <c r="D375" s="4" t="s">
        <v>23</v>
      </c>
      <c r="E375" s="8" t="s">
        <v>38</v>
      </c>
      <c r="F375" t="str">
        <f t="shared" si="5"/>
        <v>Saturday</v>
      </c>
      <c r="G375" t="str">
        <f>VLOOKUP(B375,cabang!A:C,2,FALSE)</f>
        <v>Warung Selera Nusantara - Tunjungan</v>
      </c>
    </row>
    <row r="376" spans="1:7" x14ac:dyDescent="0.35">
      <c r="A376" s="7" t="s">
        <v>409</v>
      </c>
      <c r="B376" s="4" t="s">
        <v>31</v>
      </c>
      <c r="C376" s="5">
        <v>45816.363194444442</v>
      </c>
      <c r="D376" s="4" t="s">
        <v>28</v>
      </c>
      <c r="E376" s="8" t="s">
        <v>38</v>
      </c>
      <c r="F376" t="str">
        <f t="shared" si="5"/>
        <v>Sunday</v>
      </c>
      <c r="G376" t="str">
        <f>VLOOKUP(B376,cabang!A:C,2,FALSE)</f>
        <v>Warung Selera Nusantara - Sudirman</v>
      </c>
    </row>
    <row r="377" spans="1:7" x14ac:dyDescent="0.35">
      <c r="A377" s="7" t="s">
        <v>410</v>
      </c>
      <c r="B377" s="4" t="s">
        <v>27</v>
      </c>
      <c r="C377" s="5">
        <v>45816.602083333331</v>
      </c>
      <c r="D377" s="4" t="s">
        <v>28</v>
      </c>
      <c r="E377" s="8" t="s">
        <v>33</v>
      </c>
      <c r="F377" t="str">
        <f t="shared" si="5"/>
        <v>Sunday</v>
      </c>
      <c r="G377" t="str">
        <f>VLOOKUP(B377,cabang!A:C,2,FALSE)</f>
        <v>Warung Selera Nusantara - Tunjungan</v>
      </c>
    </row>
    <row r="378" spans="1:7" x14ac:dyDescent="0.35">
      <c r="A378" s="7" t="s">
        <v>411</v>
      </c>
      <c r="B378" s="4" t="s">
        <v>31</v>
      </c>
      <c r="C378" s="5">
        <v>45816.632638888892</v>
      </c>
      <c r="D378" s="4" t="s">
        <v>23</v>
      </c>
      <c r="E378" s="8" t="s">
        <v>29</v>
      </c>
      <c r="F378" t="str">
        <f t="shared" si="5"/>
        <v>Sunday</v>
      </c>
      <c r="G378" t="str">
        <f>VLOOKUP(B378,cabang!A:C,2,FALSE)</f>
        <v>Warung Selera Nusantara - Sudirman</v>
      </c>
    </row>
    <row r="379" spans="1:7" x14ac:dyDescent="0.35">
      <c r="A379" s="7" t="s">
        <v>412</v>
      </c>
      <c r="B379" s="4" t="s">
        <v>43</v>
      </c>
      <c r="C379" s="5">
        <v>45817.296527777777</v>
      </c>
      <c r="D379" s="4" t="s">
        <v>44</v>
      </c>
      <c r="E379" s="8" t="s">
        <v>29</v>
      </c>
      <c r="F379" t="str">
        <f t="shared" si="5"/>
        <v>Monday</v>
      </c>
      <c r="G379" t="str">
        <f>VLOOKUP(B379,cabang!A:C,2,FALSE)</f>
        <v>Warung Selera Nusantara - Dago</v>
      </c>
    </row>
    <row r="380" spans="1:7" x14ac:dyDescent="0.35">
      <c r="A380" s="7" t="s">
        <v>413</v>
      </c>
      <c r="B380" s="4" t="s">
        <v>43</v>
      </c>
      <c r="C380" s="5">
        <v>45817.560416666667</v>
      </c>
      <c r="D380" s="4" t="s">
        <v>28</v>
      </c>
      <c r="E380" s="8" t="s">
        <v>29</v>
      </c>
      <c r="F380" t="str">
        <f t="shared" si="5"/>
        <v>Monday</v>
      </c>
      <c r="G380" t="str">
        <f>VLOOKUP(B380,cabang!A:C,2,FALSE)</f>
        <v>Warung Selera Nusantara - Dago</v>
      </c>
    </row>
    <row r="381" spans="1:7" x14ac:dyDescent="0.35">
      <c r="A381" s="7" t="s">
        <v>414</v>
      </c>
      <c r="B381" s="4" t="s">
        <v>43</v>
      </c>
      <c r="C381" s="5">
        <v>45817.762499999997</v>
      </c>
      <c r="D381" s="4" t="s">
        <v>23</v>
      </c>
      <c r="E381" s="8" t="s">
        <v>29</v>
      </c>
      <c r="F381" t="str">
        <f t="shared" si="5"/>
        <v>Monday</v>
      </c>
      <c r="G381" t="str">
        <f>VLOOKUP(B381,cabang!A:C,2,FALSE)</f>
        <v>Warung Selera Nusantara - Dago</v>
      </c>
    </row>
    <row r="382" spans="1:7" x14ac:dyDescent="0.35">
      <c r="A382" s="7" t="s">
        <v>415</v>
      </c>
      <c r="B382" s="4" t="s">
        <v>22</v>
      </c>
      <c r="C382" s="5">
        <v>45818.473611111112</v>
      </c>
      <c r="D382" s="4" t="s">
        <v>23</v>
      </c>
      <c r="E382" s="8" t="s">
        <v>29</v>
      </c>
      <c r="F382" t="str">
        <f t="shared" si="5"/>
        <v>Tuesday</v>
      </c>
      <c r="G382" t="str">
        <f>VLOOKUP(B382,cabang!A:C,2,FALSE)</f>
        <v>Warung Selera Nusantara - Margonda</v>
      </c>
    </row>
    <row r="383" spans="1:7" x14ac:dyDescent="0.35">
      <c r="A383" s="7" t="s">
        <v>416</v>
      </c>
      <c r="B383" s="4" t="s">
        <v>22</v>
      </c>
      <c r="C383" s="5">
        <v>45818.488888888889</v>
      </c>
      <c r="D383" s="4" t="s">
        <v>23</v>
      </c>
      <c r="E383" s="8" t="s">
        <v>29</v>
      </c>
      <c r="F383" t="str">
        <f t="shared" si="5"/>
        <v>Tuesday</v>
      </c>
      <c r="G383" t="str">
        <f>VLOOKUP(B383,cabang!A:C,2,FALSE)</f>
        <v>Warung Selera Nusantara - Margonda</v>
      </c>
    </row>
    <row r="384" spans="1:7" x14ac:dyDescent="0.35">
      <c r="A384" s="7" t="s">
        <v>417</v>
      </c>
      <c r="B384" s="4" t="s">
        <v>22</v>
      </c>
      <c r="C384" s="5">
        <v>45819.556250000001</v>
      </c>
      <c r="D384" s="4" t="s">
        <v>23</v>
      </c>
      <c r="E384" s="8" t="s">
        <v>24</v>
      </c>
      <c r="F384" t="str">
        <f t="shared" si="5"/>
        <v>Wednesday</v>
      </c>
      <c r="G384" t="str">
        <f>VLOOKUP(B384,cabang!A:C,2,FALSE)</f>
        <v>Warung Selera Nusantara - Margonda</v>
      </c>
    </row>
    <row r="385" spans="1:7" x14ac:dyDescent="0.35">
      <c r="A385" s="7" t="s">
        <v>418</v>
      </c>
      <c r="B385" s="4" t="s">
        <v>22</v>
      </c>
      <c r="C385" s="5">
        <v>45821.9</v>
      </c>
      <c r="D385" s="4" t="s">
        <v>23</v>
      </c>
      <c r="E385" s="8" t="s">
        <v>24</v>
      </c>
      <c r="F385" t="str">
        <f t="shared" si="5"/>
        <v>Friday</v>
      </c>
      <c r="G385" t="str">
        <f>VLOOKUP(B385,cabang!A:C,2,FALSE)</f>
        <v>Warung Selera Nusantara - Margonda</v>
      </c>
    </row>
    <row r="386" spans="1:7" x14ac:dyDescent="0.35">
      <c r="A386" s="7" t="s">
        <v>419</v>
      </c>
      <c r="B386" s="4" t="s">
        <v>31</v>
      </c>
      <c r="C386" s="5">
        <v>45822.568055555559</v>
      </c>
      <c r="D386" s="4" t="s">
        <v>28</v>
      </c>
      <c r="E386" s="8" t="s">
        <v>29</v>
      </c>
      <c r="F386" t="str">
        <f t="shared" ref="F386:F449" si="6">TEXT(C386,"dddd")</f>
        <v>Saturday</v>
      </c>
      <c r="G386" t="str">
        <f>VLOOKUP(B386,cabang!A:C,2,FALSE)</f>
        <v>Warung Selera Nusantara - Sudirman</v>
      </c>
    </row>
    <row r="387" spans="1:7" x14ac:dyDescent="0.35">
      <c r="A387" s="7" t="s">
        <v>420</v>
      </c>
      <c r="B387" s="4" t="s">
        <v>43</v>
      </c>
      <c r="C387" s="5">
        <v>45822.579861111109</v>
      </c>
      <c r="D387" s="4" t="s">
        <v>23</v>
      </c>
      <c r="E387" s="8" t="s">
        <v>29</v>
      </c>
      <c r="F387" t="str">
        <f t="shared" si="6"/>
        <v>Saturday</v>
      </c>
      <c r="G387" t="str">
        <f>VLOOKUP(B387,cabang!A:C,2,FALSE)</f>
        <v>Warung Selera Nusantara - Dago</v>
      </c>
    </row>
    <row r="388" spans="1:7" x14ac:dyDescent="0.35">
      <c r="A388" s="7" t="s">
        <v>421</v>
      </c>
      <c r="B388" s="4" t="s">
        <v>43</v>
      </c>
      <c r="C388" s="5">
        <v>45822.745833333327</v>
      </c>
      <c r="D388" s="4" t="s">
        <v>28</v>
      </c>
      <c r="E388" s="8" t="s">
        <v>38</v>
      </c>
      <c r="F388" t="str">
        <f t="shared" si="6"/>
        <v>Saturday</v>
      </c>
      <c r="G388" t="str">
        <f>VLOOKUP(B388,cabang!A:C,2,FALSE)</f>
        <v>Warung Selera Nusantara - Dago</v>
      </c>
    </row>
    <row r="389" spans="1:7" x14ac:dyDescent="0.35">
      <c r="A389" s="7" t="s">
        <v>422</v>
      </c>
      <c r="B389" s="4" t="s">
        <v>22</v>
      </c>
      <c r="C389" s="5">
        <v>45822.768750000003</v>
      </c>
      <c r="D389" s="4" t="s">
        <v>44</v>
      </c>
      <c r="E389" s="8" t="s">
        <v>33</v>
      </c>
      <c r="F389" t="str">
        <f t="shared" si="6"/>
        <v>Saturday</v>
      </c>
      <c r="G389" t="str">
        <f>VLOOKUP(B389,cabang!A:C,2,FALSE)</f>
        <v>Warung Selera Nusantara - Margonda</v>
      </c>
    </row>
    <row r="390" spans="1:7" x14ac:dyDescent="0.35">
      <c r="A390" s="7" t="s">
        <v>423</v>
      </c>
      <c r="B390" s="4" t="s">
        <v>43</v>
      </c>
      <c r="C390" s="5">
        <v>45822.873611111107</v>
      </c>
      <c r="D390" s="4" t="s">
        <v>28</v>
      </c>
      <c r="E390" s="8" t="s">
        <v>24</v>
      </c>
      <c r="F390" t="str">
        <f t="shared" si="6"/>
        <v>Saturday</v>
      </c>
      <c r="G390" t="str">
        <f>VLOOKUP(B390,cabang!A:C,2,FALSE)</f>
        <v>Warung Selera Nusantara - Dago</v>
      </c>
    </row>
    <row r="391" spans="1:7" x14ac:dyDescent="0.35">
      <c r="A391" s="7" t="s">
        <v>424</v>
      </c>
      <c r="B391" s="4" t="s">
        <v>31</v>
      </c>
      <c r="C391" s="5">
        <v>45823.354861111111</v>
      </c>
      <c r="D391" s="4" t="s">
        <v>23</v>
      </c>
      <c r="E391" s="8" t="s">
        <v>33</v>
      </c>
      <c r="F391" t="str">
        <f t="shared" si="6"/>
        <v>Sunday</v>
      </c>
      <c r="G391" t="str">
        <f>VLOOKUP(B391,cabang!A:C,2,FALSE)</f>
        <v>Warung Selera Nusantara - Sudirman</v>
      </c>
    </row>
    <row r="392" spans="1:7" x14ac:dyDescent="0.35">
      <c r="A392" s="7" t="s">
        <v>425</v>
      </c>
      <c r="B392" s="4" t="s">
        <v>27</v>
      </c>
      <c r="C392" s="5">
        <v>45823.359722222223</v>
      </c>
      <c r="D392" s="4" t="s">
        <v>44</v>
      </c>
      <c r="E392" s="8" t="s">
        <v>38</v>
      </c>
      <c r="F392" t="str">
        <f t="shared" si="6"/>
        <v>Sunday</v>
      </c>
      <c r="G392" t="str">
        <f>VLOOKUP(B392,cabang!A:C,2,FALSE)</f>
        <v>Warung Selera Nusantara - Tunjungan</v>
      </c>
    </row>
    <row r="393" spans="1:7" x14ac:dyDescent="0.35">
      <c r="A393" s="7" t="s">
        <v>426</v>
      </c>
      <c r="B393" s="4" t="s">
        <v>27</v>
      </c>
      <c r="C393" s="5">
        <v>45823.511805555558</v>
      </c>
      <c r="D393" s="4" t="s">
        <v>44</v>
      </c>
      <c r="E393" s="8" t="s">
        <v>33</v>
      </c>
      <c r="F393" t="str">
        <f t="shared" si="6"/>
        <v>Sunday</v>
      </c>
      <c r="G393" t="str">
        <f>VLOOKUP(B393,cabang!A:C,2,FALSE)</f>
        <v>Warung Selera Nusantara - Tunjungan</v>
      </c>
    </row>
    <row r="394" spans="1:7" x14ac:dyDescent="0.35">
      <c r="A394" s="7" t="s">
        <v>427</v>
      </c>
      <c r="B394" s="4" t="s">
        <v>27</v>
      </c>
      <c r="C394" s="5">
        <v>45823.561111111107</v>
      </c>
      <c r="D394" s="4" t="s">
        <v>23</v>
      </c>
      <c r="E394" s="8" t="s">
        <v>29</v>
      </c>
      <c r="F394" t="str">
        <f t="shared" si="6"/>
        <v>Sunday</v>
      </c>
      <c r="G394" t="str">
        <f>VLOOKUP(B394,cabang!A:C,2,FALSE)</f>
        <v>Warung Selera Nusantara - Tunjungan</v>
      </c>
    </row>
    <row r="395" spans="1:7" x14ac:dyDescent="0.35">
      <c r="A395" s="7" t="s">
        <v>428</v>
      </c>
      <c r="B395" s="4" t="s">
        <v>27</v>
      </c>
      <c r="C395" s="5">
        <v>45824.813888888893</v>
      </c>
      <c r="D395" s="4" t="s">
        <v>28</v>
      </c>
      <c r="E395" s="8" t="s">
        <v>24</v>
      </c>
      <c r="F395" t="str">
        <f t="shared" si="6"/>
        <v>Monday</v>
      </c>
      <c r="G395" t="str">
        <f>VLOOKUP(B395,cabang!A:C,2,FALSE)</f>
        <v>Warung Selera Nusantara - Tunjungan</v>
      </c>
    </row>
    <row r="396" spans="1:7" x14ac:dyDescent="0.35">
      <c r="A396" s="7" t="s">
        <v>429</v>
      </c>
      <c r="B396" s="4" t="s">
        <v>43</v>
      </c>
      <c r="C396" s="5">
        <v>45825.454861111109</v>
      </c>
      <c r="D396" s="4" t="s">
        <v>44</v>
      </c>
      <c r="E396" s="8" t="s">
        <v>24</v>
      </c>
      <c r="F396" t="str">
        <f t="shared" si="6"/>
        <v>Tuesday</v>
      </c>
      <c r="G396" t="str">
        <f>VLOOKUP(B396,cabang!A:C,2,FALSE)</f>
        <v>Warung Selera Nusantara - Dago</v>
      </c>
    </row>
    <row r="397" spans="1:7" x14ac:dyDescent="0.35">
      <c r="A397" s="7" t="s">
        <v>430</v>
      </c>
      <c r="B397" s="4" t="s">
        <v>31</v>
      </c>
      <c r="C397" s="5">
        <v>45825.51666666667</v>
      </c>
      <c r="D397" s="4" t="s">
        <v>28</v>
      </c>
      <c r="E397" s="8" t="s">
        <v>33</v>
      </c>
      <c r="F397" t="str">
        <f t="shared" si="6"/>
        <v>Tuesday</v>
      </c>
      <c r="G397" t="str">
        <f>VLOOKUP(B397,cabang!A:C,2,FALSE)</f>
        <v>Warung Selera Nusantara - Sudirman</v>
      </c>
    </row>
    <row r="398" spans="1:7" x14ac:dyDescent="0.35">
      <c r="A398" s="7" t="s">
        <v>431</v>
      </c>
      <c r="B398" s="4" t="s">
        <v>22</v>
      </c>
      <c r="C398" s="5">
        <v>45825.793749999997</v>
      </c>
      <c r="D398" s="4" t="s">
        <v>28</v>
      </c>
      <c r="E398" s="8" t="s">
        <v>24</v>
      </c>
      <c r="F398" t="str">
        <f t="shared" si="6"/>
        <v>Tuesday</v>
      </c>
      <c r="G398" t="str">
        <f>VLOOKUP(B398,cabang!A:C,2,FALSE)</f>
        <v>Warung Selera Nusantara - Margonda</v>
      </c>
    </row>
    <row r="399" spans="1:7" x14ac:dyDescent="0.35">
      <c r="A399" s="7" t="s">
        <v>432</v>
      </c>
      <c r="B399" s="4" t="s">
        <v>27</v>
      </c>
      <c r="C399" s="5">
        <v>45827.536805555559</v>
      </c>
      <c r="D399" s="4" t="s">
        <v>23</v>
      </c>
      <c r="E399" s="8" t="s">
        <v>29</v>
      </c>
      <c r="F399" t="str">
        <f t="shared" si="6"/>
        <v>Thursday</v>
      </c>
      <c r="G399" t="str">
        <f>VLOOKUP(B399,cabang!A:C,2,FALSE)</f>
        <v>Warung Selera Nusantara - Tunjungan</v>
      </c>
    </row>
    <row r="400" spans="1:7" x14ac:dyDescent="0.35">
      <c r="A400" s="7" t="s">
        <v>433</v>
      </c>
      <c r="B400" s="4" t="s">
        <v>31</v>
      </c>
      <c r="C400" s="5">
        <v>45827.739583333343</v>
      </c>
      <c r="D400" s="4" t="s">
        <v>44</v>
      </c>
      <c r="E400" s="8" t="s">
        <v>38</v>
      </c>
      <c r="F400" t="str">
        <f t="shared" si="6"/>
        <v>Thursday</v>
      </c>
      <c r="G400" t="str">
        <f>VLOOKUP(B400,cabang!A:C,2,FALSE)</f>
        <v>Warung Selera Nusantara - Sudirman</v>
      </c>
    </row>
    <row r="401" spans="1:7" x14ac:dyDescent="0.35">
      <c r="A401" s="7" t="s">
        <v>434</v>
      </c>
      <c r="B401" s="4" t="s">
        <v>43</v>
      </c>
      <c r="C401" s="5">
        <v>45827.824305555558</v>
      </c>
      <c r="D401" s="4" t="s">
        <v>28</v>
      </c>
      <c r="E401" s="8" t="s">
        <v>29</v>
      </c>
      <c r="F401" t="str">
        <f t="shared" si="6"/>
        <v>Thursday</v>
      </c>
      <c r="G401" t="str">
        <f>VLOOKUP(B401,cabang!A:C,2,FALSE)</f>
        <v>Warung Selera Nusantara - Dago</v>
      </c>
    </row>
    <row r="402" spans="1:7" x14ac:dyDescent="0.35">
      <c r="A402" s="7" t="s">
        <v>435</v>
      </c>
      <c r="B402" s="4" t="s">
        <v>31</v>
      </c>
      <c r="C402" s="5">
        <v>45828.796527777777</v>
      </c>
      <c r="D402" s="4" t="s">
        <v>44</v>
      </c>
      <c r="E402" s="8" t="s">
        <v>29</v>
      </c>
      <c r="F402" t="str">
        <f t="shared" si="6"/>
        <v>Friday</v>
      </c>
      <c r="G402" t="str">
        <f>VLOOKUP(B402,cabang!A:C,2,FALSE)</f>
        <v>Warung Selera Nusantara - Sudirman</v>
      </c>
    </row>
    <row r="403" spans="1:7" x14ac:dyDescent="0.35">
      <c r="A403" s="7" t="s">
        <v>436</v>
      </c>
      <c r="B403" s="4" t="s">
        <v>22</v>
      </c>
      <c r="C403" s="5">
        <v>45829.511111111111</v>
      </c>
      <c r="D403" s="4" t="s">
        <v>23</v>
      </c>
      <c r="E403" s="8" t="s">
        <v>29</v>
      </c>
      <c r="F403" t="str">
        <f t="shared" si="6"/>
        <v>Saturday</v>
      </c>
      <c r="G403" t="str">
        <f>VLOOKUP(B403,cabang!A:C,2,FALSE)</f>
        <v>Warung Selera Nusantara - Margonda</v>
      </c>
    </row>
    <row r="404" spans="1:7" x14ac:dyDescent="0.35">
      <c r="A404" s="7" t="s">
        <v>437</v>
      </c>
      <c r="B404" s="4" t="s">
        <v>22</v>
      </c>
      <c r="C404" s="5">
        <v>45829.828472222223</v>
      </c>
      <c r="D404" s="4" t="s">
        <v>23</v>
      </c>
      <c r="E404" s="8" t="s">
        <v>33</v>
      </c>
      <c r="F404" t="str">
        <f t="shared" si="6"/>
        <v>Saturday</v>
      </c>
      <c r="G404" t="str">
        <f>VLOOKUP(B404,cabang!A:C,2,FALSE)</f>
        <v>Warung Selera Nusantara - Margonda</v>
      </c>
    </row>
    <row r="405" spans="1:7" x14ac:dyDescent="0.35">
      <c r="A405" s="7" t="s">
        <v>438</v>
      </c>
      <c r="B405" s="4" t="s">
        <v>43</v>
      </c>
      <c r="C405" s="5">
        <v>45829.902777777781</v>
      </c>
      <c r="D405" s="4" t="s">
        <v>23</v>
      </c>
      <c r="E405" s="8" t="s">
        <v>29</v>
      </c>
      <c r="F405" t="str">
        <f t="shared" si="6"/>
        <v>Saturday</v>
      </c>
      <c r="G405" t="str">
        <f>VLOOKUP(B405,cabang!A:C,2,FALSE)</f>
        <v>Warung Selera Nusantara - Dago</v>
      </c>
    </row>
    <row r="406" spans="1:7" x14ac:dyDescent="0.35">
      <c r="A406" s="7" t="s">
        <v>439</v>
      </c>
      <c r="B406" s="4" t="s">
        <v>43</v>
      </c>
      <c r="C406" s="5">
        <v>45830.459027777782</v>
      </c>
      <c r="D406" s="4" t="s">
        <v>23</v>
      </c>
      <c r="E406" s="8" t="s">
        <v>24</v>
      </c>
      <c r="F406" t="str">
        <f t="shared" si="6"/>
        <v>Sunday</v>
      </c>
      <c r="G406" t="str">
        <f>VLOOKUP(B406,cabang!A:C,2,FALSE)</f>
        <v>Warung Selera Nusantara - Dago</v>
      </c>
    </row>
    <row r="407" spans="1:7" x14ac:dyDescent="0.35">
      <c r="A407" s="7" t="s">
        <v>440</v>
      </c>
      <c r="B407" s="4" t="s">
        <v>27</v>
      </c>
      <c r="C407" s="5">
        <v>45831.71597222222</v>
      </c>
      <c r="D407" s="4" t="s">
        <v>23</v>
      </c>
      <c r="E407" s="8" t="s">
        <v>33</v>
      </c>
      <c r="F407" t="str">
        <f t="shared" si="6"/>
        <v>Monday</v>
      </c>
      <c r="G407" t="str">
        <f>VLOOKUP(B407,cabang!A:C,2,FALSE)</f>
        <v>Warung Selera Nusantara - Tunjungan</v>
      </c>
    </row>
    <row r="408" spans="1:7" x14ac:dyDescent="0.35">
      <c r="A408" s="7" t="s">
        <v>441</v>
      </c>
      <c r="B408" s="4" t="s">
        <v>27</v>
      </c>
      <c r="C408" s="5">
        <v>45831.786805555559</v>
      </c>
      <c r="D408" s="4" t="s">
        <v>23</v>
      </c>
      <c r="E408" s="8" t="s">
        <v>33</v>
      </c>
      <c r="F408" t="str">
        <f t="shared" si="6"/>
        <v>Monday</v>
      </c>
      <c r="G408" t="str">
        <f>VLOOKUP(B408,cabang!A:C,2,FALSE)</f>
        <v>Warung Selera Nusantara - Tunjungan</v>
      </c>
    </row>
    <row r="409" spans="1:7" x14ac:dyDescent="0.35">
      <c r="A409" s="7" t="s">
        <v>442</v>
      </c>
      <c r="B409" s="4" t="s">
        <v>31</v>
      </c>
      <c r="C409" s="5">
        <v>45831.884722222218</v>
      </c>
      <c r="D409" s="4" t="s">
        <v>23</v>
      </c>
      <c r="E409" s="8" t="s">
        <v>29</v>
      </c>
      <c r="F409" t="str">
        <f t="shared" si="6"/>
        <v>Monday</v>
      </c>
      <c r="G409" t="str">
        <f>VLOOKUP(B409,cabang!A:C,2,FALSE)</f>
        <v>Warung Selera Nusantara - Sudirman</v>
      </c>
    </row>
    <row r="410" spans="1:7" x14ac:dyDescent="0.35">
      <c r="A410" s="7" t="s">
        <v>443</v>
      </c>
      <c r="B410" s="4" t="s">
        <v>27</v>
      </c>
      <c r="C410" s="5">
        <v>45832.811111111107</v>
      </c>
      <c r="D410" s="4" t="s">
        <v>23</v>
      </c>
      <c r="E410" s="8" t="s">
        <v>29</v>
      </c>
      <c r="F410" t="str">
        <f t="shared" si="6"/>
        <v>Tuesday</v>
      </c>
      <c r="G410" t="str">
        <f>VLOOKUP(B410,cabang!A:C,2,FALSE)</f>
        <v>Warung Selera Nusantara - Tunjungan</v>
      </c>
    </row>
    <row r="411" spans="1:7" x14ac:dyDescent="0.35">
      <c r="A411" s="7" t="s">
        <v>444</v>
      </c>
      <c r="B411" s="4" t="s">
        <v>27</v>
      </c>
      <c r="C411" s="5">
        <v>45833.330555555563</v>
      </c>
      <c r="D411" s="4" t="s">
        <v>23</v>
      </c>
      <c r="E411" s="8" t="s">
        <v>33</v>
      </c>
      <c r="F411" t="str">
        <f t="shared" si="6"/>
        <v>Wednesday</v>
      </c>
      <c r="G411" t="str">
        <f>VLOOKUP(B411,cabang!A:C,2,FALSE)</f>
        <v>Warung Selera Nusantara - Tunjungan</v>
      </c>
    </row>
    <row r="412" spans="1:7" x14ac:dyDescent="0.35">
      <c r="A412" s="7" t="s">
        <v>445</v>
      </c>
      <c r="B412" s="4" t="s">
        <v>43</v>
      </c>
      <c r="C412" s="5">
        <v>45833.771527777782</v>
      </c>
      <c r="D412" s="4" t="s">
        <v>23</v>
      </c>
      <c r="E412" s="8" t="s">
        <v>33</v>
      </c>
      <c r="F412" t="str">
        <f t="shared" si="6"/>
        <v>Wednesday</v>
      </c>
      <c r="G412" t="str">
        <f>VLOOKUP(B412,cabang!A:C,2,FALSE)</f>
        <v>Warung Selera Nusantara - Dago</v>
      </c>
    </row>
    <row r="413" spans="1:7" x14ac:dyDescent="0.35">
      <c r="A413" s="7" t="s">
        <v>446</v>
      </c>
      <c r="B413" s="4" t="s">
        <v>22</v>
      </c>
      <c r="C413" s="5">
        <v>45833.888888888891</v>
      </c>
      <c r="D413" s="4" t="s">
        <v>23</v>
      </c>
      <c r="E413" s="8" t="s">
        <v>29</v>
      </c>
      <c r="F413" t="str">
        <f t="shared" si="6"/>
        <v>Wednesday</v>
      </c>
      <c r="G413" t="str">
        <f>VLOOKUP(B413,cabang!A:C,2,FALSE)</f>
        <v>Warung Selera Nusantara - Margonda</v>
      </c>
    </row>
    <row r="414" spans="1:7" x14ac:dyDescent="0.35">
      <c r="A414" s="7" t="s">
        <v>447</v>
      </c>
      <c r="B414" s="4" t="s">
        <v>27</v>
      </c>
      <c r="C414" s="5">
        <v>45835.5625</v>
      </c>
      <c r="D414" s="4" t="s">
        <v>23</v>
      </c>
      <c r="E414" s="8" t="s">
        <v>24</v>
      </c>
      <c r="F414" t="str">
        <f t="shared" si="6"/>
        <v>Friday</v>
      </c>
      <c r="G414" t="str">
        <f>VLOOKUP(B414,cabang!A:C,2,FALSE)</f>
        <v>Warung Selera Nusantara - Tunjungan</v>
      </c>
    </row>
    <row r="415" spans="1:7" x14ac:dyDescent="0.35">
      <c r="A415" s="7" t="s">
        <v>448</v>
      </c>
      <c r="B415" s="4" t="s">
        <v>31</v>
      </c>
      <c r="C415" s="5">
        <v>45836.460416666669</v>
      </c>
      <c r="D415" s="4" t="s">
        <v>44</v>
      </c>
      <c r="E415" s="8" t="s">
        <v>38</v>
      </c>
      <c r="F415" t="str">
        <f t="shared" si="6"/>
        <v>Saturday</v>
      </c>
      <c r="G415" t="str">
        <f>VLOOKUP(B415,cabang!A:C,2,FALSE)</f>
        <v>Warung Selera Nusantara - Sudirman</v>
      </c>
    </row>
    <row r="416" spans="1:7" x14ac:dyDescent="0.35">
      <c r="A416" s="7" t="s">
        <v>449</v>
      </c>
      <c r="B416" s="4" t="s">
        <v>22</v>
      </c>
      <c r="C416" s="5">
        <v>45836.515972222223</v>
      </c>
      <c r="D416" s="4" t="s">
        <v>28</v>
      </c>
      <c r="E416" s="8" t="s">
        <v>24</v>
      </c>
      <c r="F416" t="str">
        <f t="shared" si="6"/>
        <v>Saturday</v>
      </c>
      <c r="G416" t="str">
        <f>VLOOKUP(B416,cabang!A:C,2,FALSE)</f>
        <v>Warung Selera Nusantara - Margonda</v>
      </c>
    </row>
    <row r="417" spans="1:7" x14ac:dyDescent="0.35">
      <c r="A417" s="7" t="s">
        <v>450</v>
      </c>
      <c r="B417" s="4" t="s">
        <v>43</v>
      </c>
      <c r="C417" s="5">
        <v>45837.599999999999</v>
      </c>
      <c r="D417" s="4" t="s">
        <v>44</v>
      </c>
      <c r="E417" s="8" t="s">
        <v>29</v>
      </c>
      <c r="F417" t="str">
        <f t="shared" si="6"/>
        <v>Sunday</v>
      </c>
      <c r="G417" t="str">
        <f>VLOOKUP(B417,cabang!A:C,2,FALSE)</f>
        <v>Warung Selera Nusantara - Dago</v>
      </c>
    </row>
    <row r="418" spans="1:7" x14ac:dyDescent="0.35">
      <c r="A418" s="7" t="s">
        <v>451</v>
      </c>
      <c r="B418" s="4" t="s">
        <v>43</v>
      </c>
      <c r="C418" s="5">
        <v>45837.75</v>
      </c>
      <c r="D418" s="4" t="s">
        <v>23</v>
      </c>
      <c r="E418" s="8" t="s">
        <v>38</v>
      </c>
      <c r="F418" t="str">
        <f t="shared" si="6"/>
        <v>Sunday</v>
      </c>
      <c r="G418" t="str">
        <f>VLOOKUP(B418,cabang!A:C,2,FALSE)</f>
        <v>Warung Selera Nusantara - Dago</v>
      </c>
    </row>
    <row r="419" spans="1:7" x14ac:dyDescent="0.35">
      <c r="A419" s="7" t="s">
        <v>452</v>
      </c>
      <c r="B419" s="4" t="s">
        <v>31</v>
      </c>
      <c r="C419" s="5">
        <v>45837.822916666657</v>
      </c>
      <c r="D419" s="4" t="s">
        <v>28</v>
      </c>
      <c r="E419" s="8" t="s">
        <v>33</v>
      </c>
      <c r="F419" t="str">
        <f t="shared" si="6"/>
        <v>Sunday</v>
      </c>
      <c r="G419" t="str">
        <f>VLOOKUP(B419,cabang!A:C,2,FALSE)</f>
        <v>Warung Selera Nusantara - Sudirman</v>
      </c>
    </row>
    <row r="420" spans="1:7" x14ac:dyDescent="0.35">
      <c r="A420" s="7" t="s">
        <v>453</v>
      </c>
      <c r="B420" s="4" t="s">
        <v>31</v>
      </c>
      <c r="C420" s="5">
        <v>45837.845833333333</v>
      </c>
      <c r="D420" s="4" t="s">
        <v>44</v>
      </c>
      <c r="E420" s="8" t="s">
        <v>24</v>
      </c>
      <c r="F420" t="str">
        <f t="shared" si="6"/>
        <v>Sunday</v>
      </c>
      <c r="G420" t="str">
        <f>VLOOKUP(B420,cabang!A:C,2,FALSE)</f>
        <v>Warung Selera Nusantara - Sudirman</v>
      </c>
    </row>
    <row r="421" spans="1:7" x14ac:dyDescent="0.35">
      <c r="A421" s="7" t="s">
        <v>454</v>
      </c>
      <c r="B421" s="4" t="s">
        <v>22</v>
      </c>
      <c r="C421" s="5">
        <v>45838.55</v>
      </c>
      <c r="D421" s="4" t="s">
        <v>23</v>
      </c>
      <c r="E421" s="8" t="s">
        <v>29</v>
      </c>
      <c r="F421" t="str">
        <f t="shared" si="6"/>
        <v>Monday</v>
      </c>
      <c r="G421" t="str">
        <f>VLOOKUP(B421,cabang!A:C,2,FALSE)</f>
        <v>Warung Selera Nusantara - Margonda</v>
      </c>
    </row>
    <row r="422" spans="1:7" x14ac:dyDescent="0.35">
      <c r="A422" s="7" t="s">
        <v>455</v>
      </c>
      <c r="B422" s="4" t="s">
        <v>31</v>
      </c>
      <c r="C422" s="5">
        <v>45838.552083333343</v>
      </c>
      <c r="D422" s="4" t="s">
        <v>23</v>
      </c>
      <c r="E422" s="8" t="s">
        <v>29</v>
      </c>
      <c r="F422" t="str">
        <f t="shared" si="6"/>
        <v>Monday</v>
      </c>
      <c r="G422" t="str">
        <f>VLOOKUP(B422,cabang!A:C,2,FALSE)</f>
        <v>Warung Selera Nusantara - Sudirman</v>
      </c>
    </row>
    <row r="423" spans="1:7" x14ac:dyDescent="0.35">
      <c r="A423" s="7" t="s">
        <v>456</v>
      </c>
      <c r="B423" s="4" t="s">
        <v>31</v>
      </c>
      <c r="C423" s="5">
        <v>45838.565972222219</v>
      </c>
      <c r="D423" s="4" t="s">
        <v>23</v>
      </c>
      <c r="E423" s="8" t="s">
        <v>24</v>
      </c>
      <c r="F423" t="str">
        <f t="shared" si="6"/>
        <v>Monday</v>
      </c>
      <c r="G423" t="str">
        <f>VLOOKUP(B423,cabang!A:C,2,FALSE)</f>
        <v>Warung Selera Nusantara - Sudirman</v>
      </c>
    </row>
    <row r="424" spans="1:7" x14ac:dyDescent="0.35">
      <c r="A424" s="7" t="s">
        <v>457</v>
      </c>
      <c r="B424" s="4" t="s">
        <v>31</v>
      </c>
      <c r="C424" s="5">
        <v>45838.809027777781</v>
      </c>
      <c r="D424" s="4" t="s">
        <v>23</v>
      </c>
      <c r="E424" s="8" t="s">
        <v>38</v>
      </c>
      <c r="F424" t="str">
        <f t="shared" si="6"/>
        <v>Monday</v>
      </c>
      <c r="G424" t="str">
        <f>VLOOKUP(B424,cabang!A:C,2,FALSE)</f>
        <v>Warung Selera Nusantara - Sudirman</v>
      </c>
    </row>
    <row r="425" spans="1:7" x14ac:dyDescent="0.35">
      <c r="A425" s="7" t="s">
        <v>458</v>
      </c>
      <c r="B425" s="4" t="s">
        <v>31</v>
      </c>
      <c r="C425" s="5">
        <v>45838.810416666667</v>
      </c>
      <c r="D425" s="4" t="s">
        <v>44</v>
      </c>
      <c r="E425" s="8" t="s">
        <v>33</v>
      </c>
      <c r="F425" t="str">
        <f t="shared" si="6"/>
        <v>Monday</v>
      </c>
      <c r="G425" t="str">
        <f>VLOOKUP(B425,cabang!A:C,2,FALSE)</f>
        <v>Warung Selera Nusantara - Sudirman</v>
      </c>
    </row>
    <row r="426" spans="1:7" x14ac:dyDescent="0.35">
      <c r="A426" s="7" t="s">
        <v>459</v>
      </c>
      <c r="B426" s="4" t="s">
        <v>31</v>
      </c>
      <c r="C426" s="5">
        <v>45839.504861111112</v>
      </c>
      <c r="D426" s="4" t="s">
        <v>44</v>
      </c>
      <c r="E426" s="8" t="s">
        <v>24</v>
      </c>
      <c r="F426" t="str">
        <f t="shared" si="6"/>
        <v>Tuesday</v>
      </c>
      <c r="G426" t="str">
        <f>VLOOKUP(B426,cabang!A:C,2,FALSE)</f>
        <v>Warung Selera Nusantara - Sudirman</v>
      </c>
    </row>
    <row r="427" spans="1:7" x14ac:dyDescent="0.35">
      <c r="A427" s="7" t="s">
        <v>460</v>
      </c>
      <c r="B427" s="4" t="s">
        <v>22</v>
      </c>
      <c r="C427" s="5">
        <v>45839.897916666669</v>
      </c>
      <c r="D427" s="4" t="s">
        <v>23</v>
      </c>
      <c r="E427" s="8" t="s">
        <v>29</v>
      </c>
      <c r="F427" t="str">
        <f t="shared" si="6"/>
        <v>Tuesday</v>
      </c>
      <c r="G427" t="str">
        <f>VLOOKUP(B427,cabang!A:C,2,FALSE)</f>
        <v>Warung Selera Nusantara - Margonda</v>
      </c>
    </row>
    <row r="428" spans="1:7" x14ac:dyDescent="0.35">
      <c r="A428" s="7" t="s">
        <v>461</v>
      </c>
      <c r="B428" s="4" t="s">
        <v>27</v>
      </c>
      <c r="C428" s="5">
        <v>45840.875694444447</v>
      </c>
      <c r="D428" s="4" t="s">
        <v>28</v>
      </c>
      <c r="E428" s="8" t="s">
        <v>24</v>
      </c>
      <c r="F428" t="str">
        <f t="shared" si="6"/>
        <v>Wednesday</v>
      </c>
      <c r="G428" t="str">
        <f>VLOOKUP(B428,cabang!A:C,2,FALSE)</f>
        <v>Warung Selera Nusantara - Tunjungan</v>
      </c>
    </row>
    <row r="429" spans="1:7" x14ac:dyDescent="0.35">
      <c r="A429" s="7" t="s">
        <v>462</v>
      </c>
      <c r="B429" s="4" t="s">
        <v>27</v>
      </c>
      <c r="C429" s="5">
        <v>45840.893055555563</v>
      </c>
      <c r="D429" s="4" t="s">
        <v>23</v>
      </c>
      <c r="E429" s="8" t="s">
        <v>24</v>
      </c>
      <c r="F429" t="str">
        <f t="shared" si="6"/>
        <v>Wednesday</v>
      </c>
      <c r="G429" t="str">
        <f>VLOOKUP(B429,cabang!A:C,2,FALSE)</f>
        <v>Warung Selera Nusantara - Tunjungan</v>
      </c>
    </row>
    <row r="430" spans="1:7" x14ac:dyDescent="0.35">
      <c r="A430" s="7" t="s">
        <v>463</v>
      </c>
      <c r="B430" s="4" t="s">
        <v>27</v>
      </c>
      <c r="C430" s="5">
        <v>45841.654861111107</v>
      </c>
      <c r="D430" s="4" t="s">
        <v>23</v>
      </c>
      <c r="E430" s="8" t="s">
        <v>38</v>
      </c>
      <c r="F430" t="str">
        <f t="shared" si="6"/>
        <v>Thursday</v>
      </c>
      <c r="G430" t="str">
        <f>VLOOKUP(B430,cabang!A:C,2,FALSE)</f>
        <v>Warung Selera Nusantara - Tunjungan</v>
      </c>
    </row>
    <row r="431" spans="1:7" x14ac:dyDescent="0.35">
      <c r="A431" s="7" t="s">
        <v>464</v>
      </c>
      <c r="B431" s="4" t="s">
        <v>31</v>
      </c>
      <c r="C431" s="5">
        <v>45841.75</v>
      </c>
      <c r="D431" s="4" t="s">
        <v>23</v>
      </c>
      <c r="E431" s="8" t="s">
        <v>29</v>
      </c>
      <c r="F431" t="str">
        <f t="shared" si="6"/>
        <v>Thursday</v>
      </c>
      <c r="G431" t="str">
        <f>VLOOKUP(B431,cabang!A:C,2,FALSE)</f>
        <v>Warung Selera Nusantara - Sudirman</v>
      </c>
    </row>
    <row r="432" spans="1:7" x14ac:dyDescent="0.35">
      <c r="A432" s="7" t="s">
        <v>465</v>
      </c>
      <c r="B432" s="4" t="s">
        <v>31</v>
      </c>
      <c r="C432" s="5">
        <v>45842.750694444447</v>
      </c>
      <c r="D432" s="4" t="s">
        <v>23</v>
      </c>
      <c r="E432" s="8" t="s">
        <v>24</v>
      </c>
      <c r="F432" t="str">
        <f t="shared" si="6"/>
        <v>Friday</v>
      </c>
      <c r="G432" t="str">
        <f>VLOOKUP(B432,cabang!A:C,2,FALSE)</f>
        <v>Warung Selera Nusantara - Sudirman</v>
      </c>
    </row>
    <row r="433" spans="1:7" x14ac:dyDescent="0.35">
      <c r="A433" s="7" t="s">
        <v>466</v>
      </c>
      <c r="B433" s="4" t="s">
        <v>27</v>
      </c>
      <c r="C433" s="5">
        <v>45843.508333333331</v>
      </c>
      <c r="D433" s="4" t="s">
        <v>23</v>
      </c>
      <c r="E433" s="8" t="s">
        <v>33</v>
      </c>
      <c r="F433" t="str">
        <f t="shared" si="6"/>
        <v>Saturday</v>
      </c>
      <c r="G433" t="str">
        <f>VLOOKUP(B433,cabang!A:C,2,FALSE)</f>
        <v>Warung Selera Nusantara - Tunjungan</v>
      </c>
    </row>
    <row r="434" spans="1:7" x14ac:dyDescent="0.35">
      <c r="A434" s="7" t="s">
        <v>467</v>
      </c>
      <c r="B434" s="4" t="s">
        <v>27</v>
      </c>
      <c r="C434" s="5">
        <v>45843.818749999999</v>
      </c>
      <c r="D434" s="4" t="s">
        <v>23</v>
      </c>
      <c r="E434" s="8" t="s">
        <v>29</v>
      </c>
      <c r="F434" t="str">
        <f t="shared" si="6"/>
        <v>Saturday</v>
      </c>
      <c r="G434" t="str">
        <f>VLOOKUP(B434,cabang!A:C,2,FALSE)</f>
        <v>Warung Selera Nusantara - Tunjungan</v>
      </c>
    </row>
    <row r="435" spans="1:7" x14ac:dyDescent="0.35">
      <c r="A435" s="7" t="s">
        <v>468</v>
      </c>
      <c r="B435" s="4" t="s">
        <v>22</v>
      </c>
      <c r="C435" s="5">
        <v>45843.908333333333</v>
      </c>
      <c r="D435" s="4" t="s">
        <v>44</v>
      </c>
      <c r="E435" s="8" t="s">
        <v>29</v>
      </c>
      <c r="F435" t="str">
        <f t="shared" si="6"/>
        <v>Saturday</v>
      </c>
      <c r="G435" t="str">
        <f>VLOOKUP(B435,cabang!A:C,2,FALSE)</f>
        <v>Warung Selera Nusantara - Margonda</v>
      </c>
    </row>
    <row r="436" spans="1:7" x14ac:dyDescent="0.35">
      <c r="A436" s="7" t="s">
        <v>469</v>
      </c>
      <c r="B436" s="4" t="s">
        <v>43</v>
      </c>
      <c r="C436" s="5">
        <v>45844.577777777777</v>
      </c>
      <c r="D436" s="4" t="s">
        <v>44</v>
      </c>
      <c r="E436" s="8" t="s">
        <v>33</v>
      </c>
      <c r="F436" t="str">
        <f t="shared" si="6"/>
        <v>Sunday</v>
      </c>
      <c r="G436" t="str">
        <f>VLOOKUP(B436,cabang!A:C,2,FALSE)</f>
        <v>Warung Selera Nusantara - Dago</v>
      </c>
    </row>
    <row r="437" spans="1:7" x14ac:dyDescent="0.35">
      <c r="A437" s="7" t="s">
        <v>470</v>
      </c>
      <c r="B437" s="4" t="s">
        <v>43</v>
      </c>
      <c r="C437" s="5">
        <v>45844.711111111108</v>
      </c>
      <c r="D437" s="4" t="s">
        <v>44</v>
      </c>
      <c r="E437" s="8" t="s">
        <v>38</v>
      </c>
      <c r="F437" t="str">
        <f t="shared" si="6"/>
        <v>Sunday</v>
      </c>
      <c r="G437" t="str">
        <f>VLOOKUP(B437,cabang!A:C,2,FALSE)</f>
        <v>Warung Selera Nusantara - Dago</v>
      </c>
    </row>
    <row r="438" spans="1:7" x14ac:dyDescent="0.35">
      <c r="A438" s="7" t="s">
        <v>471</v>
      </c>
      <c r="B438" s="4" t="s">
        <v>27</v>
      </c>
      <c r="C438" s="5">
        <v>45844.761111111111</v>
      </c>
      <c r="D438" s="4" t="s">
        <v>44</v>
      </c>
      <c r="E438" s="8" t="s">
        <v>24</v>
      </c>
      <c r="F438" t="str">
        <f t="shared" si="6"/>
        <v>Sunday</v>
      </c>
      <c r="G438" t="str">
        <f>VLOOKUP(B438,cabang!A:C,2,FALSE)</f>
        <v>Warung Selera Nusantara - Tunjungan</v>
      </c>
    </row>
    <row r="439" spans="1:7" x14ac:dyDescent="0.35">
      <c r="A439" s="7" t="s">
        <v>472</v>
      </c>
      <c r="B439" s="4" t="s">
        <v>27</v>
      </c>
      <c r="C439" s="5">
        <v>45844.850694444453</v>
      </c>
      <c r="D439" s="4" t="s">
        <v>28</v>
      </c>
      <c r="E439" s="8" t="s">
        <v>33</v>
      </c>
      <c r="F439" t="str">
        <f t="shared" si="6"/>
        <v>Sunday</v>
      </c>
      <c r="G439" t="str">
        <f>VLOOKUP(B439,cabang!A:C,2,FALSE)</f>
        <v>Warung Selera Nusantara - Tunjungan</v>
      </c>
    </row>
    <row r="440" spans="1:7" x14ac:dyDescent="0.35">
      <c r="A440" s="7" t="s">
        <v>473</v>
      </c>
      <c r="B440" s="4" t="s">
        <v>31</v>
      </c>
      <c r="C440" s="5">
        <v>45845.440972222219</v>
      </c>
      <c r="D440" s="4" t="s">
        <v>44</v>
      </c>
      <c r="E440" s="8" t="s">
        <v>33</v>
      </c>
      <c r="F440" t="str">
        <f t="shared" si="6"/>
        <v>Monday</v>
      </c>
      <c r="G440" t="str">
        <f>VLOOKUP(B440,cabang!A:C,2,FALSE)</f>
        <v>Warung Selera Nusantara - Sudirman</v>
      </c>
    </row>
    <row r="441" spans="1:7" x14ac:dyDescent="0.35">
      <c r="A441" s="7" t="s">
        <v>474</v>
      </c>
      <c r="B441" s="4" t="s">
        <v>31</v>
      </c>
      <c r="C441" s="5">
        <v>45845.822222222218</v>
      </c>
      <c r="D441" s="4" t="s">
        <v>44</v>
      </c>
      <c r="E441" s="8" t="s">
        <v>38</v>
      </c>
      <c r="F441" t="str">
        <f t="shared" si="6"/>
        <v>Monday</v>
      </c>
      <c r="G441" t="str">
        <f>VLOOKUP(B441,cabang!A:C,2,FALSE)</f>
        <v>Warung Selera Nusantara - Sudirman</v>
      </c>
    </row>
    <row r="442" spans="1:7" x14ac:dyDescent="0.35">
      <c r="A442" s="7" t="s">
        <v>475</v>
      </c>
      <c r="B442" s="4" t="s">
        <v>43</v>
      </c>
      <c r="C442" s="5">
        <v>45845.867361111108</v>
      </c>
      <c r="D442" s="4" t="s">
        <v>23</v>
      </c>
      <c r="E442" s="8" t="s">
        <v>29</v>
      </c>
      <c r="F442" t="str">
        <f t="shared" si="6"/>
        <v>Monday</v>
      </c>
      <c r="G442" t="str">
        <f>VLOOKUP(B442,cabang!A:C,2,FALSE)</f>
        <v>Warung Selera Nusantara - Dago</v>
      </c>
    </row>
    <row r="443" spans="1:7" x14ac:dyDescent="0.35">
      <c r="A443" s="7" t="s">
        <v>476</v>
      </c>
      <c r="B443" s="4" t="s">
        <v>22</v>
      </c>
      <c r="C443" s="5">
        <v>45846.892361111109</v>
      </c>
      <c r="D443" s="4" t="s">
        <v>28</v>
      </c>
      <c r="E443" s="8" t="s">
        <v>24</v>
      </c>
      <c r="F443" t="str">
        <f t="shared" si="6"/>
        <v>Tuesday</v>
      </c>
      <c r="G443" t="str">
        <f>VLOOKUP(B443,cabang!A:C,2,FALSE)</f>
        <v>Warung Selera Nusantara - Margonda</v>
      </c>
    </row>
    <row r="444" spans="1:7" x14ac:dyDescent="0.35">
      <c r="A444" s="7" t="s">
        <v>477</v>
      </c>
      <c r="B444" s="4" t="s">
        <v>31</v>
      </c>
      <c r="C444" s="5">
        <v>45847.459722222222</v>
      </c>
      <c r="D444" s="4" t="s">
        <v>28</v>
      </c>
      <c r="E444" s="8" t="s">
        <v>33</v>
      </c>
      <c r="F444" t="str">
        <f t="shared" si="6"/>
        <v>Wednesday</v>
      </c>
      <c r="G444" t="str">
        <f>VLOOKUP(B444,cabang!A:C,2,FALSE)</f>
        <v>Warung Selera Nusantara - Sudirman</v>
      </c>
    </row>
    <row r="445" spans="1:7" x14ac:dyDescent="0.35">
      <c r="A445" s="7" t="s">
        <v>478</v>
      </c>
      <c r="B445" s="4" t="s">
        <v>27</v>
      </c>
      <c r="C445" s="5">
        <v>45847.851388888892</v>
      </c>
      <c r="D445" s="4" t="s">
        <v>23</v>
      </c>
      <c r="E445" s="8" t="s">
        <v>24</v>
      </c>
      <c r="F445" t="str">
        <f t="shared" si="6"/>
        <v>Wednesday</v>
      </c>
      <c r="G445" t="str">
        <f>VLOOKUP(B445,cabang!A:C,2,FALSE)</f>
        <v>Warung Selera Nusantara - Tunjungan</v>
      </c>
    </row>
    <row r="446" spans="1:7" x14ac:dyDescent="0.35">
      <c r="A446" s="7" t="s">
        <v>479</v>
      </c>
      <c r="B446" s="4" t="s">
        <v>27</v>
      </c>
      <c r="C446" s="5">
        <v>45848.296527777777</v>
      </c>
      <c r="D446" s="4" t="s">
        <v>23</v>
      </c>
      <c r="E446" s="8" t="s">
        <v>29</v>
      </c>
      <c r="F446" t="str">
        <f t="shared" si="6"/>
        <v>Thursday</v>
      </c>
      <c r="G446" t="str">
        <f>VLOOKUP(B446,cabang!A:C,2,FALSE)</f>
        <v>Warung Selera Nusantara - Tunjungan</v>
      </c>
    </row>
    <row r="447" spans="1:7" x14ac:dyDescent="0.35">
      <c r="A447" s="7" t="s">
        <v>480</v>
      </c>
      <c r="B447" s="4" t="s">
        <v>43</v>
      </c>
      <c r="C447" s="5">
        <v>45848.322916666657</v>
      </c>
      <c r="D447" s="4" t="s">
        <v>23</v>
      </c>
      <c r="E447" s="8" t="s">
        <v>29</v>
      </c>
      <c r="F447" t="str">
        <f t="shared" si="6"/>
        <v>Thursday</v>
      </c>
      <c r="G447" t="str">
        <f>VLOOKUP(B447,cabang!A:C,2,FALSE)</f>
        <v>Warung Selera Nusantara - Dago</v>
      </c>
    </row>
    <row r="448" spans="1:7" x14ac:dyDescent="0.35">
      <c r="A448" s="7" t="s">
        <v>481</v>
      </c>
      <c r="B448" s="4" t="s">
        <v>31</v>
      </c>
      <c r="C448" s="5">
        <v>45848.515972222223</v>
      </c>
      <c r="D448" s="4" t="s">
        <v>23</v>
      </c>
      <c r="E448" s="8" t="s">
        <v>24</v>
      </c>
      <c r="F448" t="str">
        <f t="shared" si="6"/>
        <v>Thursday</v>
      </c>
      <c r="G448" t="str">
        <f>VLOOKUP(B448,cabang!A:C,2,FALSE)</f>
        <v>Warung Selera Nusantara - Sudirman</v>
      </c>
    </row>
    <row r="449" spans="1:7" x14ac:dyDescent="0.35">
      <c r="A449" s="7" t="s">
        <v>482</v>
      </c>
      <c r="B449" s="4" t="s">
        <v>31</v>
      </c>
      <c r="C449" s="5">
        <v>45848.549305555563</v>
      </c>
      <c r="D449" s="4" t="s">
        <v>28</v>
      </c>
      <c r="E449" s="8" t="s">
        <v>38</v>
      </c>
      <c r="F449" t="str">
        <f t="shared" si="6"/>
        <v>Thursday</v>
      </c>
      <c r="G449" t="str">
        <f>VLOOKUP(B449,cabang!A:C,2,FALSE)</f>
        <v>Warung Selera Nusantara - Sudirman</v>
      </c>
    </row>
    <row r="450" spans="1:7" x14ac:dyDescent="0.35">
      <c r="A450" s="7" t="s">
        <v>483</v>
      </c>
      <c r="B450" s="4" t="s">
        <v>27</v>
      </c>
      <c r="C450" s="5">
        <v>45848.84097222222</v>
      </c>
      <c r="D450" s="4" t="s">
        <v>23</v>
      </c>
      <c r="E450" s="8" t="s">
        <v>24</v>
      </c>
      <c r="F450" t="str">
        <f t="shared" ref="F450:F513" si="7">TEXT(C450,"dddd")</f>
        <v>Thursday</v>
      </c>
      <c r="G450" t="str">
        <f>VLOOKUP(B450,cabang!A:C,2,FALSE)</f>
        <v>Warung Selera Nusantara - Tunjungan</v>
      </c>
    </row>
    <row r="451" spans="1:7" x14ac:dyDescent="0.35">
      <c r="A451" s="7" t="s">
        <v>484</v>
      </c>
      <c r="B451" s="4" t="s">
        <v>43</v>
      </c>
      <c r="C451" s="5">
        <v>45848.870833333327</v>
      </c>
      <c r="D451" s="4" t="s">
        <v>23</v>
      </c>
      <c r="E451" s="8" t="s">
        <v>33</v>
      </c>
      <c r="F451" t="str">
        <f t="shared" si="7"/>
        <v>Thursday</v>
      </c>
      <c r="G451" t="str">
        <f>VLOOKUP(B451,cabang!A:C,2,FALSE)</f>
        <v>Warung Selera Nusantara - Dago</v>
      </c>
    </row>
    <row r="452" spans="1:7" x14ac:dyDescent="0.35">
      <c r="A452" s="7" t="s">
        <v>485</v>
      </c>
      <c r="B452" s="4" t="s">
        <v>31</v>
      </c>
      <c r="C452" s="5">
        <v>45849.798611111109</v>
      </c>
      <c r="D452" s="4" t="s">
        <v>23</v>
      </c>
      <c r="E452" s="8" t="s">
        <v>24</v>
      </c>
      <c r="F452" t="str">
        <f t="shared" si="7"/>
        <v>Friday</v>
      </c>
      <c r="G452" t="str">
        <f>VLOOKUP(B452,cabang!A:C,2,FALSE)</f>
        <v>Warung Selera Nusantara - Sudirman</v>
      </c>
    </row>
    <row r="453" spans="1:7" x14ac:dyDescent="0.35">
      <c r="A453" s="7" t="s">
        <v>486</v>
      </c>
      <c r="B453" s="4" t="s">
        <v>22</v>
      </c>
      <c r="C453" s="5">
        <v>45849.804166666669</v>
      </c>
      <c r="D453" s="4" t="s">
        <v>44</v>
      </c>
      <c r="E453" s="8" t="s">
        <v>29</v>
      </c>
      <c r="F453" t="str">
        <f t="shared" si="7"/>
        <v>Friday</v>
      </c>
      <c r="G453" t="str">
        <f>VLOOKUP(B453,cabang!A:C,2,FALSE)</f>
        <v>Warung Selera Nusantara - Margonda</v>
      </c>
    </row>
    <row r="454" spans="1:7" x14ac:dyDescent="0.35">
      <c r="A454" s="7" t="s">
        <v>487</v>
      </c>
      <c r="B454" s="4" t="s">
        <v>43</v>
      </c>
      <c r="C454" s="5">
        <v>45850.534722222219</v>
      </c>
      <c r="D454" s="4" t="s">
        <v>23</v>
      </c>
      <c r="E454" s="8" t="s">
        <v>38</v>
      </c>
      <c r="F454" t="str">
        <f t="shared" si="7"/>
        <v>Saturday</v>
      </c>
      <c r="G454" t="str">
        <f>VLOOKUP(B454,cabang!A:C,2,FALSE)</f>
        <v>Warung Selera Nusantara - Dago</v>
      </c>
    </row>
    <row r="455" spans="1:7" x14ac:dyDescent="0.35">
      <c r="A455" s="7" t="s">
        <v>488</v>
      </c>
      <c r="B455" s="4" t="s">
        <v>27</v>
      </c>
      <c r="C455" s="5">
        <v>45850.607638888891</v>
      </c>
      <c r="D455" s="4" t="s">
        <v>23</v>
      </c>
      <c r="E455" s="8" t="s">
        <v>33</v>
      </c>
      <c r="F455" t="str">
        <f t="shared" si="7"/>
        <v>Saturday</v>
      </c>
      <c r="G455" t="str">
        <f>VLOOKUP(B455,cabang!A:C,2,FALSE)</f>
        <v>Warung Selera Nusantara - Tunjungan</v>
      </c>
    </row>
    <row r="456" spans="1:7" x14ac:dyDescent="0.35">
      <c r="A456" s="7" t="s">
        <v>489</v>
      </c>
      <c r="B456" s="4" t="s">
        <v>22</v>
      </c>
      <c r="C456" s="5">
        <v>45850.817361111112</v>
      </c>
      <c r="D456" s="4" t="s">
        <v>23</v>
      </c>
      <c r="E456" s="8" t="s">
        <v>33</v>
      </c>
      <c r="F456" t="str">
        <f t="shared" si="7"/>
        <v>Saturday</v>
      </c>
      <c r="G456" t="str">
        <f>VLOOKUP(B456,cabang!A:C,2,FALSE)</f>
        <v>Warung Selera Nusantara - Margonda</v>
      </c>
    </row>
    <row r="457" spans="1:7" x14ac:dyDescent="0.35">
      <c r="A457" s="7" t="s">
        <v>490</v>
      </c>
      <c r="B457" s="4" t="s">
        <v>27</v>
      </c>
      <c r="C457" s="5">
        <v>45850.872916666667</v>
      </c>
      <c r="D457" s="4" t="s">
        <v>28</v>
      </c>
      <c r="E457" s="8" t="s">
        <v>29</v>
      </c>
      <c r="F457" t="str">
        <f t="shared" si="7"/>
        <v>Saturday</v>
      </c>
      <c r="G457" t="str">
        <f>VLOOKUP(B457,cabang!A:C,2,FALSE)</f>
        <v>Warung Selera Nusantara - Tunjungan</v>
      </c>
    </row>
    <row r="458" spans="1:7" x14ac:dyDescent="0.35">
      <c r="A458" s="7" t="s">
        <v>491</v>
      </c>
      <c r="B458" s="4" t="s">
        <v>31</v>
      </c>
      <c r="C458" s="5">
        <v>45851.597916666673</v>
      </c>
      <c r="D458" s="4" t="s">
        <v>23</v>
      </c>
      <c r="E458" s="8" t="s">
        <v>24</v>
      </c>
      <c r="F458" t="str">
        <f t="shared" si="7"/>
        <v>Sunday</v>
      </c>
      <c r="G458" t="str">
        <f>VLOOKUP(B458,cabang!A:C,2,FALSE)</f>
        <v>Warung Selera Nusantara - Sudirman</v>
      </c>
    </row>
    <row r="459" spans="1:7" x14ac:dyDescent="0.35">
      <c r="A459" s="7" t="s">
        <v>492</v>
      </c>
      <c r="B459" s="4" t="s">
        <v>43</v>
      </c>
      <c r="C459" s="5">
        <v>45851.627083333333</v>
      </c>
      <c r="D459" s="4" t="s">
        <v>44</v>
      </c>
      <c r="E459" s="8" t="s">
        <v>24</v>
      </c>
      <c r="F459" t="str">
        <f t="shared" si="7"/>
        <v>Sunday</v>
      </c>
      <c r="G459" t="str">
        <f>VLOOKUP(B459,cabang!A:C,2,FALSE)</f>
        <v>Warung Selera Nusantara - Dago</v>
      </c>
    </row>
    <row r="460" spans="1:7" x14ac:dyDescent="0.35">
      <c r="A460" s="7" t="s">
        <v>493</v>
      </c>
      <c r="B460" s="4" t="s">
        <v>27</v>
      </c>
      <c r="C460" s="5">
        <v>45853.574999999997</v>
      </c>
      <c r="D460" s="4" t="s">
        <v>141</v>
      </c>
      <c r="E460" s="8" t="s">
        <v>24</v>
      </c>
      <c r="F460" t="str">
        <f t="shared" si="7"/>
        <v>Tuesday</v>
      </c>
      <c r="G460" t="str">
        <f>VLOOKUP(B460,cabang!A:C,2,FALSE)</f>
        <v>Warung Selera Nusantara - Tunjungan</v>
      </c>
    </row>
    <row r="461" spans="1:7" x14ac:dyDescent="0.35">
      <c r="A461" s="7" t="s">
        <v>494</v>
      </c>
      <c r="B461" s="4" t="s">
        <v>31</v>
      </c>
      <c r="C461" s="5">
        <v>45854.36041666667</v>
      </c>
      <c r="D461" s="4" t="s">
        <v>28</v>
      </c>
      <c r="E461" s="8" t="s">
        <v>38</v>
      </c>
      <c r="F461" t="str">
        <f t="shared" si="7"/>
        <v>Wednesday</v>
      </c>
      <c r="G461" t="str">
        <f>VLOOKUP(B461,cabang!A:C,2,FALSE)</f>
        <v>Warung Selera Nusantara - Sudirman</v>
      </c>
    </row>
    <row r="462" spans="1:7" x14ac:dyDescent="0.35">
      <c r="A462" s="7" t="s">
        <v>495</v>
      </c>
      <c r="B462" s="4" t="s">
        <v>31</v>
      </c>
      <c r="C462" s="5">
        <v>45855.40625</v>
      </c>
      <c r="D462" s="4" t="s">
        <v>23</v>
      </c>
      <c r="E462" s="8" t="s">
        <v>38</v>
      </c>
      <c r="F462" t="str">
        <f t="shared" si="7"/>
        <v>Thursday</v>
      </c>
      <c r="G462" t="str">
        <f>VLOOKUP(B462,cabang!A:C,2,FALSE)</f>
        <v>Warung Selera Nusantara - Sudirman</v>
      </c>
    </row>
    <row r="463" spans="1:7" x14ac:dyDescent="0.35">
      <c r="A463" s="7" t="s">
        <v>496</v>
      </c>
      <c r="B463" s="4" t="s">
        <v>22</v>
      </c>
      <c r="C463" s="5">
        <v>45855.52847222222</v>
      </c>
      <c r="D463" s="4" t="s">
        <v>44</v>
      </c>
      <c r="E463" s="8" t="s">
        <v>24</v>
      </c>
      <c r="F463" t="str">
        <f t="shared" si="7"/>
        <v>Thursday</v>
      </c>
      <c r="G463" t="str">
        <f>VLOOKUP(B463,cabang!A:C,2,FALSE)</f>
        <v>Warung Selera Nusantara - Margonda</v>
      </c>
    </row>
    <row r="464" spans="1:7" x14ac:dyDescent="0.35">
      <c r="A464" s="7" t="s">
        <v>497</v>
      </c>
      <c r="B464" s="4" t="s">
        <v>22</v>
      </c>
      <c r="C464" s="5">
        <v>45855.786111111112</v>
      </c>
      <c r="D464" s="4" t="s">
        <v>23</v>
      </c>
      <c r="E464" s="8" t="s">
        <v>29</v>
      </c>
      <c r="F464" t="str">
        <f t="shared" si="7"/>
        <v>Thursday</v>
      </c>
      <c r="G464" t="str">
        <f>VLOOKUP(B464,cabang!A:C,2,FALSE)</f>
        <v>Warung Selera Nusantara - Margonda</v>
      </c>
    </row>
    <row r="465" spans="1:7" x14ac:dyDescent="0.35">
      <c r="A465" s="7" t="s">
        <v>498</v>
      </c>
      <c r="B465" s="4" t="s">
        <v>27</v>
      </c>
      <c r="C465" s="5">
        <v>45855.795138888891</v>
      </c>
      <c r="D465" s="4" t="s">
        <v>44</v>
      </c>
      <c r="E465" s="8" t="s">
        <v>33</v>
      </c>
      <c r="F465" t="str">
        <f t="shared" si="7"/>
        <v>Thursday</v>
      </c>
      <c r="G465" t="str">
        <f>VLOOKUP(B465,cabang!A:C,2,FALSE)</f>
        <v>Warung Selera Nusantara - Tunjungan</v>
      </c>
    </row>
    <row r="466" spans="1:7" x14ac:dyDescent="0.35">
      <c r="A466" s="7" t="s">
        <v>499</v>
      </c>
      <c r="B466" s="4" t="s">
        <v>31</v>
      </c>
      <c r="C466" s="5">
        <v>45856.708333333343</v>
      </c>
      <c r="D466" s="4" t="s">
        <v>23</v>
      </c>
      <c r="E466" s="8" t="s">
        <v>24</v>
      </c>
      <c r="F466" t="str">
        <f t="shared" si="7"/>
        <v>Friday</v>
      </c>
      <c r="G466" t="str">
        <f>VLOOKUP(B466,cabang!A:C,2,FALSE)</f>
        <v>Warung Selera Nusantara - Sudirman</v>
      </c>
    </row>
    <row r="467" spans="1:7" x14ac:dyDescent="0.35">
      <c r="A467" s="7" t="s">
        <v>500</v>
      </c>
      <c r="B467" s="4" t="s">
        <v>22</v>
      </c>
      <c r="C467" s="5">
        <v>45857.530555555553</v>
      </c>
      <c r="D467" s="4" t="s">
        <v>28</v>
      </c>
      <c r="E467" s="8" t="s">
        <v>38</v>
      </c>
      <c r="F467" t="str">
        <f t="shared" si="7"/>
        <v>Saturday</v>
      </c>
      <c r="G467" t="str">
        <f>VLOOKUP(B467,cabang!A:C,2,FALSE)</f>
        <v>Warung Selera Nusantara - Margonda</v>
      </c>
    </row>
    <row r="468" spans="1:7" x14ac:dyDescent="0.35">
      <c r="A468" s="7" t="s">
        <v>501</v>
      </c>
      <c r="B468" s="4" t="s">
        <v>27</v>
      </c>
      <c r="C468" s="5">
        <v>45857.706250000003</v>
      </c>
      <c r="D468" s="4" t="s">
        <v>44</v>
      </c>
      <c r="E468" s="8" t="s">
        <v>24</v>
      </c>
      <c r="F468" t="str">
        <f t="shared" si="7"/>
        <v>Saturday</v>
      </c>
      <c r="G468" t="str">
        <f>VLOOKUP(B468,cabang!A:C,2,FALSE)</f>
        <v>Warung Selera Nusantara - Tunjungan</v>
      </c>
    </row>
    <row r="469" spans="1:7" x14ac:dyDescent="0.35">
      <c r="A469" s="7" t="s">
        <v>502</v>
      </c>
      <c r="B469" s="4" t="s">
        <v>22</v>
      </c>
      <c r="C469" s="5">
        <v>45857.915277777778</v>
      </c>
      <c r="D469" s="4" t="s">
        <v>23</v>
      </c>
      <c r="E469" s="8" t="s">
        <v>29</v>
      </c>
      <c r="F469" t="str">
        <f t="shared" si="7"/>
        <v>Saturday</v>
      </c>
      <c r="G469" t="str">
        <f>VLOOKUP(B469,cabang!A:C,2,FALSE)</f>
        <v>Warung Selera Nusantara - Margonda</v>
      </c>
    </row>
    <row r="470" spans="1:7" x14ac:dyDescent="0.35">
      <c r="A470" s="7" t="s">
        <v>503</v>
      </c>
      <c r="B470" s="4" t="s">
        <v>43</v>
      </c>
      <c r="C470" s="5">
        <v>45858.465277777781</v>
      </c>
      <c r="D470" s="4" t="s">
        <v>44</v>
      </c>
      <c r="E470" s="8" t="s">
        <v>24</v>
      </c>
      <c r="F470" t="str">
        <f t="shared" si="7"/>
        <v>Sunday</v>
      </c>
      <c r="G470" t="str">
        <f>VLOOKUP(B470,cabang!A:C,2,FALSE)</f>
        <v>Warung Selera Nusantara - Dago</v>
      </c>
    </row>
    <row r="471" spans="1:7" x14ac:dyDescent="0.35">
      <c r="A471" s="7" t="s">
        <v>504</v>
      </c>
      <c r="B471" s="4" t="s">
        <v>27</v>
      </c>
      <c r="C471" s="5">
        <v>45858.677083333343</v>
      </c>
      <c r="D471" s="4" t="s">
        <v>23</v>
      </c>
      <c r="E471" s="8" t="s">
        <v>24</v>
      </c>
      <c r="F471" t="str">
        <f t="shared" si="7"/>
        <v>Sunday</v>
      </c>
      <c r="G471" t="str">
        <f>VLOOKUP(B471,cabang!A:C,2,FALSE)</f>
        <v>Warung Selera Nusantara - Tunjungan</v>
      </c>
    </row>
    <row r="472" spans="1:7" x14ac:dyDescent="0.35">
      <c r="A472" s="7" t="s">
        <v>505</v>
      </c>
      <c r="B472" s="4" t="s">
        <v>27</v>
      </c>
      <c r="C472" s="5">
        <v>45858.767361111109</v>
      </c>
      <c r="D472" s="4" t="s">
        <v>23</v>
      </c>
      <c r="E472" s="8" t="s">
        <v>24</v>
      </c>
      <c r="F472" t="str">
        <f t="shared" si="7"/>
        <v>Sunday</v>
      </c>
      <c r="G472" t="str">
        <f>VLOOKUP(B472,cabang!A:C,2,FALSE)</f>
        <v>Warung Selera Nusantara - Tunjungan</v>
      </c>
    </row>
    <row r="473" spans="1:7" x14ac:dyDescent="0.35">
      <c r="A473" s="7" t="s">
        <v>506</v>
      </c>
      <c r="B473" s="4" t="s">
        <v>31</v>
      </c>
      <c r="C473" s="5">
        <v>45859.486805555563</v>
      </c>
      <c r="D473" s="4" t="s">
        <v>23</v>
      </c>
      <c r="E473" s="8" t="s">
        <v>38</v>
      </c>
      <c r="F473" t="str">
        <f t="shared" si="7"/>
        <v>Monday</v>
      </c>
      <c r="G473" t="str">
        <f>VLOOKUP(B473,cabang!A:C,2,FALSE)</f>
        <v>Warung Selera Nusantara - Sudirman</v>
      </c>
    </row>
    <row r="474" spans="1:7" x14ac:dyDescent="0.35">
      <c r="A474" s="7" t="s">
        <v>507</v>
      </c>
      <c r="B474" s="4" t="s">
        <v>31</v>
      </c>
      <c r="C474" s="5">
        <v>45859.663194444453</v>
      </c>
      <c r="D474" s="4" t="s">
        <v>23</v>
      </c>
      <c r="E474" s="8" t="s">
        <v>29</v>
      </c>
      <c r="F474" t="str">
        <f t="shared" si="7"/>
        <v>Monday</v>
      </c>
      <c r="G474" t="str">
        <f>VLOOKUP(B474,cabang!A:C,2,FALSE)</f>
        <v>Warung Selera Nusantara - Sudirman</v>
      </c>
    </row>
    <row r="475" spans="1:7" x14ac:dyDescent="0.35">
      <c r="A475" s="7" t="s">
        <v>508</v>
      </c>
      <c r="B475" s="4" t="s">
        <v>31</v>
      </c>
      <c r="C475" s="5">
        <v>45860.865972222222</v>
      </c>
      <c r="D475" s="4" t="s">
        <v>23</v>
      </c>
      <c r="E475" s="8" t="s">
        <v>24</v>
      </c>
      <c r="F475" t="str">
        <f t="shared" si="7"/>
        <v>Tuesday</v>
      </c>
      <c r="G475" t="str">
        <f>VLOOKUP(B475,cabang!A:C,2,FALSE)</f>
        <v>Warung Selera Nusantara - Sudirman</v>
      </c>
    </row>
    <row r="476" spans="1:7" x14ac:dyDescent="0.35">
      <c r="A476" s="7" t="s">
        <v>509</v>
      </c>
      <c r="B476" s="4" t="s">
        <v>31</v>
      </c>
      <c r="C476" s="5">
        <v>45861.443749999999</v>
      </c>
      <c r="D476" s="4" t="s">
        <v>23</v>
      </c>
      <c r="E476" s="8" t="s">
        <v>33</v>
      </c>
      <c r="F476" t="str">
        <f t="shared" si="7"/>
        <v>Wednesday</v>
      </c>
      <c r="G476" t="str">
        <f>VLOOKUP(B476,cabang!A:C,2,FALSE)</f>
        <v>Warung Selera Nusantara - Sudirman</v>
      </c>
    </row>
    <row r="477" spans="1:7" x14ac:dyDescent="0.35">
      <c r="A477" s="7" t="s">
        <v>510</v>
      </c>
      <c r="B477" s="4" t="s">
        <v>43</v>
      </c>
      <c r="C477" s="5">
        <v>45861.538194444453</v>
      </c>
      <c r="D477" s="4" t="s">
        <v>28</v>
      </c>
      <c r="E477" s="8" t="s">
        <v>33</v>
      </c>
      <c r="F477" t="str">
        <f t="shared" si="7"/>
        <v>Wednesday</v>
      </c>
      <c r="G477" t="str">
        <f>VLOOKUP(B477,cabang!A:C,2,FALSE)</f>
        <v>Warung Selera Nusantara - Dago</v>
      </c>
    </row>
    <row r="478" spans="1:7" x14ac:dyDescent="0.35">
      <c r="A478" s="7" t="s">
        <v>511</v>
      </c>
      <c r="B478" s="4" t="s">
        <v>31</v>
      </c>
      <c r="C478" s="5">
        <v>45861.624305555553</v>
      </c>
      <c r="D478" s="4" t="s">
        <v>23</v>
      </c>
      <c r="E478" s="8" t="s">
        <v>38</v>
      </c>
      <c r="F478" t="str">
        <f t="shared" si="7"/>
        <v>Wednesday</v>
      </c>
      <c r="G478" t="str">
        <f>VLOOKUP(B478,cabang!A:C,2,FALSE)</f>
        <v>Warung Selera Nusantara - Sudirman</v>
      </c>
    </row>
    <row r="479" spans="1:7" x14ac:dyDescent="0.35">
      <c r="A479" s="7" t="s">
        <v>512</v>
      </c>
      <c r="B479" s="4" t="s">
        <v>22</v>
      </c>
      <c r="C479" s="5">
        <v>45862.517361111109</v>
      </c>
      <c r="D479" s="4" t="s">
        <v>28</v>
      </c>
      <c r="E479" s="8" t="s">
        <v>33</v>
      </c>
      <c r="F479" t="str">
        <f t="shared" si="7"/>
        <v>Thursday</v>
      </c>
      <c r="G479" t="str">
        <f>VLOOKUP(B479,cabang!A:C,2,FALSE)</f>
        <v>Warung Selera Nusantara - Margonda</v>
      </c>
    </row>
    <row r="480" spans="1:7" x14ac:dyDescent="0.35">
      <c r="A480" s="7" t="s">
        <v>513</v>
      </c>
      <c r="B480" s="4" t="s">
        <v>43</v>
      </c>
      <c r="C480" s="5">
        <v>45862.833333333343</v>
      </c>
      <c r="D480" s="4" t="s">
        <v>44</v>
      </c>
      <c r="E480" s="8" t="s">
        <v>24</v>
      </c>
      <c r="F480" t="str">
        <f t="shared" si="7"/>
        <v>Thursday</v>
      </c>
      <c r="G480" t="str">
        <f>VLOOKUP(B480,cabang!A:C,2,FALSE)</f>
        <v>Warung Selera Nusantara - Dago</v>
      </c>
    </row>
    <row r="481" spans="1:7" x14ac:dyDescent="0.35">
      <c r="A481" s="7" t="s">
        <v>514</v>
      </c>
      <c r="B481" s="4" t="s">
        <v>31</v>
      </c>
      <c r="C481" s="5">
        <v>45863.415972222218</v>
      </c>
      <c r="D481" s="4" t="s">
        <v>28</v>
      </c>
      <c r="E481" s="8" t="s">
        <v>29</v>
      </c>
      <c r="F481" t="str">
        <f t="shared" si="7"/>
        <v>Friday</v>
      </c>
      <c r="G481" t="str">
        <f>VLOOKUP(B481,cabang!A:C,2,FALSE)</f>
        <v>Warung Selera Nusantara - Sudirman</v>
      </c>
    </row>
    <row r="482" spans="1:7" x14ac:dyDescent="0.35">
      <c r="A482" s="7" t="s">
        <v>515</v>
      </c>
      <c r="B482" s="4" t="s">
        <v>43</v>
      </c>
      <c r="C482" s="5">
        <v>45863.580555555563</v>
      </c>
      <c r="D482" s="4" t="s">
        <v>44</v>
      </c>
      <c r="E482" s="8" t="s">
        <v>33</v>
      </c>
      <c r="F482" t="str">
        <f t="shared" si="7"/>
        <v>Friday</v>
      </c>
      <c r="G482" t="str">
        <f>VLOOKUP(B482,cabang!A:C,2,FALSE)</f>
        <v>Warung Selera Nusantara - Dago</v>
      </c>
    </row>
    <row r="483" spans="1:7" x14ac:dyDescent="0.35">
      <c r="A483" s="7" t="s">
        <v>516</v>
      </c>
      <c r="B483" s="4" t="s">
        <v>22</v>
      </c>
      <c r="C483" s="5">
        <v>45863.777777777781</v>
      </c>
      <c r="D483" s="4" t="s">
        <v>23</v>
      </c>
      <c r="E483" s="8" t="s">
        <v>24</v>
      </c>
      <c r="F483" t="str">
        <f t="shared" si="7"/>
        <v>Friday</v>
      </c>
      <c r="G483" t="str">
        <f>VLOOKUP(B483,cabang!A:C,2,FALSE)</f>
        <v>Warung Selera Nusantara - Margonda</v>
      </c>
    </row>
    <row r="484" spans="1:7" x14ac:dyDescent="0.35">
      <c r="A484" s="7" t="s">
        <v>517</v>
      </c>
      <c r="B484" s="4" t="s">
        <v>27</v>
      </c>
      <c r="C484" s="5">
        <v>45863.801388888889</v>
      </c>
      <c r="D484" s="4" t="s">
        <v>28</v>
      </c>
      <c r="E484" s="8" t="s">
        <v>33</v>
      </c>
      <c r="F484" t="str">
        <f t="shared" si="7"/>
        <v>Friday</v>
      </c>
      <c r="G484" t="str">
        <f>VLOOKUP(B484,cabang!A:C,2,FALSE)</f>
        <v>Warung Selera Nusantara - Tunjungan</v>
      </c>
    </row>
    <row r="485" spans="1:7" x14ac:dyDescent="0.35">
      <c r="A485" s="7" t="s">
        <v>518</v>
      </c>
      <c r="B485" s="4" t="s">
        <v>22</v>
      </c>
      <c r="C485" s="5">
        <v>45864.915972222218</v>
      </c>
      <c r="D485" s="4" t="s">
        <v>23</v>
      </c>
      <c r="E485" s="8" t="s">
        <v>24</v>
      </c>
      <c r="F485" t="str">
        <f t="shared" si="7"/>
        <v>Saturday</v>
      </c>
      <c r="G485" t="str">
        <f>VLOOKUP(B485,cabang!A:C,2,FALSE)</f>
        <v>Warung Selera Nusantara - Margonda</v>
      </c>
    </row>
    <row r="486" spans="1:7" x14ac:dyDescent="0.35">
      <c r="A486" s="7" t="s">
        <v>519</v>
      </c>
      <c r="B486" s="4" t="s">
        <v>31</v>
      </c>
      <c r="C486" s="5">
        <v>45865.291666666657</v>
      </c>
      <c r="D486" s="4" t="s">
        <v>28</v>
      </c>
      <c r="E486" s="8" t="s">
        <v>38</v>
      </c>
      <c r="F486" t="str">
        <f t="shared" si="7"/>
        <v>Sunday</v>
      </c>
      <c r="G486" t="str">
        <f>VLOOKUP(B486,cabang!A:C,2,FALSE)</f>
        <v>Warung Selera Nusantara - Sudirman</v>
      </c>
    </row>
    <row r="487" spans="1:7" x14ac:dyDescent="0.35">
      <c r="A487" s="7" t="s">
        <v>520</v>
      </c>
      <c r="B487" s="4" t="s">
        <v>22</v>
      </c>
      <c r="C487" s="5">
        <v>45865.706944444442</v>
      </c>
      <c r="D487" s="4" t="s">
        <v>44</v>
      </c>
      <c r="E487" s="8" t="s">
        <v>24</v>
      </c>
      <c r="F487" t="str">
        <f t="shared" si="7"/>
        <v>Sunday</v>
      </c>
      <c r="G487" t="str">
        <f>VLOOKUP(B487,cabang!A:C,2,FALSE)</f>
        <v>Warung Selera Nusantara - Margonda</v>
      </c>
    </row>
    <row r="488" spans="1:7" x14ac:dyDescent="0.35">
      <c r="A488" s="7" t="s">
        <v>521</v>
      </c>
      <c r="B488" s="4" t="s">
        <v>43</v>
      </c>
      <c r="C488" s="5">
        <v>45865.752083333333</v>
      </c>
      <c r="D488" s="4" t="s">
        <v>23</v>
      </c>
      <c r="E488" s="8" t="s">
        <v>33</v>
      </c>
      <c r="F488" t="str">
        <f t="shared" si="7"/>
        <v>Sunday</v>
      </c>
      <c r="G488" t="str">
        <f>VLOOKUP(B488,cabang!A:C,2,FALSE)</f>
        <v>Warung Selera Nusantara - Dago</v>
      </c>
    </row>
    <row r="489" spans="1:7" x14ac:dyDescent="0.35">
      <c r="A489" s="7" t="s">
        <v>522</v>
      </c>
      <c r="B489" s="4" t="s">
        <v>31</v>
      </c>
      <c r="C489" s="5">
        <v>45865.793055555558</v>
      </c>
      <c r="D489" s="4" t="s">
        <v>23</v>
      </c>
      <c r="E489" s="8" t="s">
        <v>24</v>
      </c>
      <c r="F489" t="str">
        <f t="shared" si="7"/>
        <v>Sunday</v>
      </c>
      <c r="G489" t="str">
        <f>VLOOKUP(B489,cabang!A:C,2,FALSE)</f>
        <v>Warung Selera Nusantara - Sudirman</v>
      </c>
    </row>
    <row r="490" spans="1:7" x14ac:dyDescent="0.35">
      <c r="A490" s="7" t="s">
        <v>523</v>
      </c>
      <c r="B490" s="4" t="s">
        <v>31</v>
      </c>
      <c r="C490" s="5">
        <v>45865.802083333343</v>
      </c>
      <c r="D490" s="4" t="s">
        <v>28</v>
      </c>
      <c r="E490" s="8" t="s">
        <v>33</v>
      </c>
      <c r="F490" t="str">
        <f t="shared" si="7"/>
        <v>Sunday</v>
      </c>
      <c r="G490" t="str">
        <f>VLOOKUP(B490,cabang!A:C,2,FALSE)</f>
        <v>Warung Selera Nusantara - Sudirman</v>
      </c>
    </row>
    <row r="491" spans="1:7" x14ac:dyDescent="0.35">
      <c r="A491" s="7" t="s">
        <v>524</v>
      </c>
      <c r="B491" s="4" t="s">
        <v>22</v>
      </c>
      <c r="C491" s="5">
        <v>45865.807638888888</v>
      </c>
      <c r="D491" s="4" t="s">
        <v>44</v>
      </c>
      <c r="E491" s="8" t="s">
        <v>38</v>
      </c>
      <c r="F491" t="str">
        <f t="shared" si="7"/>
        <v>Sunday</v>
      </c>
      <c r="G491" t="str">
        <f>VLOOKUP(B491,cabang!A:C,2,FALSE)</f>
        <v>Warung Selera Nusantara - Margonda</v>
      </c>
    </row>
    <row r="492" spans="1:7" x14ac:dyDescent="0.35">
      <c r="A492" s="7" t="s">
        <v>525</v>
      </c>
      <c r="B492" s="4" t="s">
        <v>43</v>
      </c>
      <c r="C492" s="5">
        <v>45865.81527777778</v>
      </c>
      <c r="D492" s="4" t="s">
        <v>28</v>
      </c>
      <c r="E492" s="8" t="s">
        <v>38</v>
      </c>
      <c r="F492" t="str">
        <f t="shared" si="7"/>
        <v>Sunday</v>
      </c>
      <c r="G492" t="str">
        <f>VLOOKUP(B492,cabang!A:C,2,FALSE)</f>
        <v>Warung Selera Nusantara - Dago</v>
      </c>
    </row>
    <row r="493" spans="1:7" x14ac:dyDescent="0.35">
      <c r="A493" s="7" t="s">
        <v>526</v>
      </c>
      <c r="B493" s="4" t="s">
        <v>31</v>
      </c>
      <c r="C493" s="5">
        <v>45865.875</v>
      </c>
      <c r="D493" s="4" t="s">
        <v>23</v>
      </c>
      <c r="E493" s="8" t="s">
        <v>24</v>
      </c>
      <c r="F493" t="str">
        <f t="shared" si="7"/>
        <v>Sunday</v>
      </c>
      <c r="G493" t="str">
        <f>VLOOKUP(B493,cabang!A:C,2,FALSE)</f>
        <v>Warung Selera Nusantara - Sudirman</v>
      </c>
    </row>
    <row r="494" spans="1:7" x14ac:dyDescent="0.35">
      <c r="A494" s="7" t="s">
        <v>527</v>
      </c>
      <c r="B494" s="4" t="s">
        <v>22</v>
      </c>
      <c r="C494" s="5">
        <v>45865.879861111112</v>
      </c>
      <c r="D494" s="4" t="s">
        <v>23</v>
      </c>
      <c r="E494" s="8" t="s">
        <v>24</v>
      </c>
      <c r="F494" t="str">
        <f t="shared" si="7"/>
        <v>Sunday</v>
      </c>
      <c r="G494" t="str">
        <f>VLOOKUP(B494,cabang!A:C,2,FALSE)</f>
        <v>Warung Selera Nusantara - Margonda</v>
      </c>
    </row>
    <row r="495" spans="1:7" x14ac:dyDescent="0.35">
      <c r="A495" s="7" t="s">
        <v>528</v>
      </c>
      <c r="B495" s="4" t="s">
        <v>27</v>
      </c>
      <c r="C495" s="5">
        <v>45866.751388888893</v>
      </c>
      <c r="D495" s="4" t="s">
        <v>23</v>
      </c>
      <c r="E495" s="8" t="s">
        <v>38</v>
      </c>
      <c r="F495" t="str">
        <f t="shared" si="7"/>
        <v>Monday</v>
      </c>
      <c r="G495" t="str">
        <f>VLOOKUP(B495,cabang!A:C,2,FALSE)</f>
        <v>Warung Selera Nusantara - Tunjungan</v>
      </c>
    </row>
    <row r="496" spans="1:7" x14ac:dyDescent="0.35">
      <c r="A496" s="7" t="s">
        <v>529</v>
      </c>
      <c r="B496" s="4" t="s">
        <v>31</v>
      </c>
      <c r="C496" s="5">
        <v>45867.779166666667</v>
      </c>
      <c r="D496" s="4" t="s">
        <v>44</v>
      </c>
      <c r="E496" s="8" t="s">
        <v>24</v>
      </c>
      <c r="F496" t="str">
        <f t="shared" si="7"/>
        <v>Tuesday</v>
      </c>
      <c r="G496" t="str">
        <f>VLOOKUP(B496,cabang!A:C,2,FALSE)</f>
        <v>Warung Selera Nusantara - Sudirman</v>
      </c>
    </row>
    <row r="497" spans="1:7" x14ac:dyDescent="0.35">
      <c r="A497" s="7" t="s">
        <v>530</v>
      </c>
      <c r="B497" s="4" t="s">
        <v>31</v>
      </c>
      <c r="C497" s="5">
        <v>45868.541666666657</v>
      </c>
      <c r="D497" s="4" t="s">
        <v>44</v>
      </c>
      <c r="E497" s="8" t="s">
        <v>29</v>
      </c>
      <c r="F497" t="str">
        <f t="shared" si="7"/>
        <v>Wednesday</v>
      </c>
      <c r="G497" t="str">
        <f>VLOOKUP(B497,cabang!A:C,2,FALSE)</f>
        <v>Warung Selera Nusantara - Sudirman</v>
      </c>
    </row>
    <row r="498" spans="1:7" x14ac:dyDescent="0.35">
      <c r="A498" s="7" t="s">
        <v>531</v>
      </c>
      <c r="B498" s="4" t="s">
        <v>43</v>
      </c>
      <c r="C498" s="5">
        <v>45868.574999999997</v>
      </c>
      <c r="D498" s="4" t="s">
        <v>28</v>
      </c>
      <c r="E498" s="8" t="s">
        <v>29</v>
      </c>
      <c r="F498" t="str">
        <f t="shared" si="7"/>
        <v>Wednesday</v>
      </c>
      <c r="G498" t="str">
        <f>VLOOKUP(B498,cabang!A:C,2,FALSE)</f>
        <v>Warung Selera Nusantara - Dago</v>
      </c>
    </row>
    <row r="499" spans="1:7" x14ac:dyDescent="0.35">
      <c r="A499" s="7" t="s">
        <v>532</v>
      </c>
      <c r="B499" s="4" t="s">
        <v>22</v>
      </c>
      <c r="C499" s="5">
        <v>45869.490972222222</v>
      </c>
      <c r="D499" s="4" t="s">
        <v>23</v>
      </c>
      <c r="E499" s="8" t="s">
        <v>29</v>
      </c>
      <c r="F499" t="str">
        <f t="shared" si="7"/>
        <v>Thursday</v>
      </c>
      <c r="G499" t="str">
        <f>VLOOKUP(B499,cabang!A:C,2,FALSE)</f>
        <v>Warung Selera Nusantara - Margonda</v>
      </c>
    </row>
    <row r="500" spans="1:7" x14ac:dyDescent="0.35">
      <c r="A500" s="7" t="s">
        <v>533</v>
      </c>
      <c r="B500" s="4" t="s">
        <v>22</v>
      </c>
      <c r="C500" s="5">
        <v>45869.538888888892</v>
      </c>
      <c r="D500" s="4" t="s">
        <v>44</v>
      </c>
      <c r="E500" s="8" t="s">
        <v>24</v>
      </c>
      <c r="F500" t="str">
        <f t="shared" si="7"/>
        <v>Thursday</v>
      </c>
      <c r="G500" t="str">
        <f>VLOOKUP(B500,cabang!A:C,2,FALSE)</f>
        <v>Warung Selera Nusantara - Margonda</v>
      </c>
    </row>
    <row r="501" spans="1:7" x14ac:dyDescent="0.35">
      <c r="A501" s="7" t="s">
        <v>534</v>
      </c>
      <c r="B501" s="4" t="s">
        <v>22</v>
      </c>
      <c r="C501" s="5">
        <v>45869.595833333333</v>
      </c>
      <c r="D501" s="4" t="s">
        <v>28</v>
      </c>
      <c r="E501" s="8" t="s">
        <v>24</v>
      </c>
      <c r="F501" t="str">
        <f t="shared" si="7"/>
        <v>Thursday</v>
      </c>
      <c r="G501" t="str">
        <f>VLOOKUP(B501,cabang!A:C,2,FALSE)</f>
        <v>Warung Selera Nusantara - Margonda</v>
      </c>
    </row>
    <row r="502" spans="1:7" x14ac:dyDescent="0.35">
      <c r="A502" s="7" t="s">
        <v>535</v>
      </c>
      <c r="B502" s="4" t="s">
        <v>27</v>
      </c>
      <c r="C502" s="5">
        <v>45869.739583333343</v>
      </c>
      <c r="D502" s="4" t="s">
        <v>23</v>
      </c>
      <c r="E502" s="8" t="s">
        <v>33</v>
      </c>
      <c r="F502" t="str">
        <f t="shared" si="7"/>
        <v>Thursday</v>
      </c>
      <c r="G502" t="str">
        <f>VLOOKUP(B502,cabang!A:C,2,FALSE)</f>
        <v>Warung Selera Nusantara - Tunjungan</v>
      </c>
    </row>
    <row r="503" spans="1:7" x14ac:dyDescent="0.35">
      <c r="A503" s="7" t="s">
        <v>536</v>
      </c>
      <c r="B503" s="4" t="s">
        <v>31</v>
      </c>
      <c r="C503" s="5">
        <v>45869.819444444453</v>
      </c>
      <c r="D503" s="4" t="s">
        <v>28</v>
      </c>
      <c r="E503" s="8" t="s">
        <v>29</v>
      </c>
      <c r="F503" t="str">
        <f t="shared" si="7"/>
        <v>Thursday</v>
      </c>
      <c r="G503" t="str">
        <f>VLOOKUP(B503,cabang!A:C,2,FALSE)</f>
        <v>Warung Selera Nusantara - Sudirman</v>
      </c>
    </row>
    <row r="504" spans="1:7" x14ac:dyDescent="0.35">
      <c r="A504" s="7" t="s">
        <v>537</v>
      </c>
      <c r="B504" s="4" t="s">
        <v>31</v>
      </c>
      <c r="C504" s="5">
        <v>45869.856249999997</v>
      </c>
      <c r="D504" s="4" t="s">
        <v>23</v>
      </c>
      <c r="E504" s="8" t="s">
        <v>38</v>
      </c>
      <c r="F504" t="str">
        <f t="shared" si="7"/>
        <v>Thursday</v>
      </c>
      <c r="G504" t="str">
        <f>VLOOKUP(B504,cabang!A:C,2,FALSE)</f>
        <v>Warung Selera Nusantara - Sudirman</v>
      </c>
    </row>
    <row r="505" spans="1:7" x14ac:dyDescent="0.35">
      <c r="A505" s="7" t="s">
        <v>538</v>
      </c>
      <c r="B505" s="4" t="s">
        <v>31</v>
      </c>
      <c r="C505" s="5">
        <v>45870.47152777778</v>
      </c>
      <c r="D505" s="4" t="s">
        <v>28</v>
      </c>
      <c r="E505" s="8" t="s">
        <v>38</v>
      </c>
      <c r="F505" t="str">
        <f t="shared" si="7"/>
        <v>Friday</v>
      </c>
      <c r="G505" t="str">
        <f>VLOOKUP(B505,cabang!A:C,2,FALSE)</f>
        <v>Warung Selera Nusantara - Sudirman</v>
      </c>
    </row>
    <row r="506" spans="1:7" x14ac:dyDescent="0.35">
      <c r="A506" s="7" t="s">
        <v>539</v>
      </c>
      <c r="B506" s="4" t="s">
        <v>31</v>
      </c>
      <c r="C506" s="5">
        <v>45870.63958333333</v>
      </c>
      <c r="D506" s="4" t="s">
        <v>23</v>
      </c>
      <c r="E506" s="8" t="s">
        <v>24</v>
      </c>
      <c r="F506" t="str">
        <f t="shared" si="7"/>
        <v>Friday</v>
      </c>
      <c r="G506" t="str">
        <f>VLOOKUP(B506,cabang!A:C,2,FALSE)</f>
        <v>Warung Selera Nusantara - Sudirman</v>
      </c>
    </row>
    <row r="507" spans="1:7" x14ac:dyDescent="0.35">
      <c r="A507" s="7" t="s">
        <v>540</v>
      </c>
      <c r="B507" s="4" t="s">
        <v>43</v>
      </c>
      <c r="C507" s="5">
        <v>45871.331250000003</v>
      </c>
      <c r="D507" s="4" t="s">
        <v>44</v>
      </c>
      <c r="E507" s="8" t="s">
        <v>38</v>
      </c>
      <c r="F507" t="str">
        <f t="shared" si="7"/>
        <v>Saturday</v>
      </c>
      <c r="G507" t="str">
        <f>VLOOKUP(B507,cabang!A:C,2,FALSE)</f>
        <v>Warung Selera Nusantara - Dago</v>
      </c>
    </row>
    <row r="508" spans="1:7" x14ac:dyDescent="0.35">
      <c r="A508" s="7" t="s">
        <v>541</v>
      </c>
      <c r="B508" s="4" t="s">
        <v>27</v>
      </c>
      <c r="C508" s="5">
        <v>45871.581250000003</v>
      </c>
      <c r="D508" s="4" t="s">
        <v>23</v>
      </c>
      <c r="E508" s="8" t="s">
        <v>29</v>
      </c>
      <c r="F508" t="str">
        <f t="shared" si="7"/>
        <v>Saturday</v>
      </c>
      <c r="G508" t="str">
        <f>VLOOKUP(B508,cabang!A:C,2,FALSE)</f>
        <v>Warung Selera Nusantara - Tunjungan</v>
      </c>
    </row>
    <row r="509" spans="1:7" x14ac:dyDescent="0.35">
      <c r="A509" s="7" t="s">
        <v>542</v>
      </c>
      <c r="B509" s="4" t="s">
        <v>27</v>
      </c>
      <c r="C509" s="5">
        <v>45871.78402777778</v>
      </c>
      <c r="D509" s="4" t="s">
        <v>28</v>
      </c>
      <c r="E509" s="8" t="s">
        <v>33</v>
      </c>
      <c r="F509" t="str">
        <f t="shared" si="7"/>
        <v>Saturday</v>
      </c>
      <c r="G509" t="str">
        <f>VLOOKUP(B509,cabang!A:C,2,FALSE)</f>
        <v>Warung Selera Nusantara - Tunjungan</v>
      </c>
    </row>
    <row r="510" spans="1:7" x14ac:dyDescent="0.35">
      <c r="A510" s="7" t="s">
        <v>543</v>
      </c>
      <c r="B510" s="4" t="s">
        <v>31</v>
      </c>
      <c r="C510" s="5">
        <v>45872.502083333333</v>
      </c>
      <c r="D510" s="4" t="s">
        <v>23</v>
      </c>
      <c r="E510" s="8" t="s">
        <v>38</v>
      </c>
      <c r="F510" t="str">
        <f t="shared" si="7"/>
        <v>Sunday</v>
      </c>
      <c r="G510" t="str">
        <f>VLOOKUP(B510,cabang!A:C,2,FALSE)</f>
        <v>Warung Selera Nusantara - Sudirman</v>
      </c>
    </row>
    <row r="511" spans="1:7" x14ac:dyDescent="0.35">
      <c r="A511" s="7" t="s">
        <v>544</v>
      </c>
      <c r="B511" s="4" t="s">
        <v>31</v>
      </c>
      <c r="C511" s="5">
        <v>45872.505555555559</v>
      </c>
      <c r="D511" s="4" t="s">
        <v>23</v>
      </c>
      <c r="E511" s="8" t="s">
        <v>33</v>
      </c>
      <c r="F511" t="str">
        <f t="shared" si="7"/>
        <v>Sunday</v>
      </c>
      <c r="G511" t="str">
        <f>VLOOKUP(B511,cabang!A:C,2,FALSE)</f>
        <v>Warung Selera Nusantara - Sudirman</v>
      </c>
    </row>
    <row r="512" spans="1:7" x14ac:dyDescent="0.35">
      <c r="A512" s="7" t="s">
        <v>545</v>
      </c>
      <c r="B512" s="4" t="s">
        <v>31</v>
      </c>
      <c r="C512" s="5">
        <v>45873.477777777778</v>
      </c>
      <c r="D512" s="4" t="s">
        <v>28</v>
      </c>
      <c r="E512" s="8" t="s">
        <v>38</v>
      </c>
      <c r="F512" t="str">
        <f t="shared" si="7"/>
        <v>Monday</v>
      </c>
      <c r="G512" t="str">
        <f>VLOOKUP(B512,cabang!A:C,2,FALSE)</f>
        <v>Warung Selera Nusantara - Sudirman</v>
      </c>
    </row>
    <row r="513" spans="1:7" x14ac:dyDescent="0.35">
      <c r="A513" s="7" t="s">
        <v>546</v>
      </c>
      <c r="B513" s="4" t="s">
        <v>27</v>
      </c>
      <c r="C513" s="5">
        <v>45873.529166666667</v>
      </c>
      <c r="D513" s="4" t="s">
        <v>23</v>
      </c>
      <c r="E513" s="8" t="s">
        <v>29</v>
      </c>
      <c r="F513" t="str">
        <f t="shared" si="7"/>
        <v>Monday</v>
      </c>
      <c r="G513" t="str">
        <f>VLOOKUP(B513,cabang!A:C,2,FALSE)</f>
        <v>Warung Selera Nusantara - Tunjungan</v>
      </c>
    </row>
    <row r="514" spans="1:7" x14ac:dyDescent="0.35">
      <c r="A514" s="7" t="s">
        <v>547</v>
      </c>
      <c r="B514" s="4" t="s">
        <v>22</v>
      </c>
      <c r="C514" s="5">
        <v>45874.503472222219</v>
      </c>
      <c r="D514" s="4" t="s">
        <v>23</v>
      </c>
      <c r="E514" s="8" t="s">
        <v>24</v>
      </c>
      <c r="F514" t="str">
        <f t="shared" ref="F514:F577" si="8">TEXT(C514,"dddd")</f>
        <v>Tuesday</v>
      </c>
      <c r="G514" t="str">
        <f>VLOOKUP(B514,cabang!A:C,2,FALSE)</f>
        <v>Warung Selera Nusantara - Margonda</v>
      </c>
    </row>
    <row r="515" spans="1:7" x14ac:dyDescent="0.35">
      <c r="A515" s="7" t="s">
        <v>548</v>
      </c>
      <c r="B515" s="4" t="s">
        <v>27</v>
      </c>
      <c r="C515" s="5">
        <v>45874.543749999997</v>
      </c>
      <c r="D515" s="4" t="s">
        <v>28</v>
      </c>
      <c r="E515" s="8" t="s">
        <v>29</v>
      </c>
      <c r="F515" t="str">
        <f t="shared" si="8"/>
        <v>Tuesday</v>
      </c>
      <c r="G515" t="str">
        <f>VLOOKUP(B515,cabang!A:C,2,FALSE)</f>
        <v>Warung Selera Nusantara - Tunjungan</v>
      </c>
    </row>
    <row r="516" spans="1:7" x14ac:dyDescent="0.35">
      <c r="A516" s="7" t="s">
        <v>549</v>
      </c>
      <c r="B516" s="4" t="s">
        <v>43</v>
      </c>
      <c r="C516" s="5">
        <v>45875.51458333333</v>
      </c>
      <c r="D516" s="4" t="s">
        <v>23</v>
      </c>
      <c r="E516" s="8" t="s">
        <v>38</v>
      </c>
      <c r="F516" t="str">
        <f t="shared" si="8"/>
        <v>Wednesday</v>
      </c>
      <c r="G516" t="str">
        <f>VLOOKUP(B516,cabang!A:C,2,FALSE)</f>
        <v>Warung Selera Nusantara - Dago</v>
      </c>
    </row>
    <row r="517" spans="1:7" x14ac:dyDescent="0.35">
      <c r="A517" s="7" t="s">
        <v>550</v>
      </c>
      <c r="B517" s="4" t="s">
        <v>43</v>
      </c>
      <c r="C517" s="5">
        <v>45877.836805555547</v>
      </c>
      <c r="D517" s="4" t="s">
        <v>28</v>
      </c>
      <c r="E517" s="8" t="s">
        <v>38</v>
      </c>
      <c r="F517" t="str">
        <f t="shared" si="8"/>
        <v>Friday</v>
      </c>
      <c r="G517" t="str">
        <f>VLOOKUP(B517,cabang!A:C,2,FALSE)</f>
        <v>Warung Selera Nusantara - Dago</v>
      </c>
    </row>
    <row r="518" spans="1:7" x14ac:dyDescent="0.35">
      <c r="A518" s="7" t="s">
        <v>551</v>
      </c>
      <c r="B518" s="4" t="s">
        <v>43</v>
      </c>
      <c r="C518" s="5">
        <v>45878.525694444441</v>
      </c>
      <c r="D518" s="4" t="s">
        <v>28</v>
      </c>
      <c r="E518" s="8" t="s">
        <v>33</v>
      </c>
      <c r="F518" t="str">
        <f t="shared" si="8"/>
        <v>Saturday</v>
      </c>
      <c r="G518" t="str">
        <f>VLOOKUP(B518,cabang!A:C,2,FALSE)</f>
        <v>Warung Selera Nusantara - Dago</v>
      </c>
    </row>
    <row r="519" spans="1:7" x14ac:dyDescent="0.35">
      <c r="A519" s="7" t="s">
        <v>552</v>
      </c>
      <c r="B519" s="4" t="s">
        <v>27</v>
      </c>
      <c r="C519" s="5">
        <v>45878.755555555559</v>
      </c>
      <c r="D519" s="4" t="s">
        <v>28</v>
      </c>
      <c r="E519" s="8" t="s">
        <v>24</v>
      </c>
      <c r="F519" t="str">
        <f t="shared" si="8"/>
        <v>Saturday</v>
      </c>
      <c r="G519" t="str">
        <f>VLOOKUP(B519,cabang!A:C,2,FALSE)</f>
        <v>Warung Selera Nusantara - Tunjungan</v>
      </c>
    </row>
    <row r="520" spans="1:7" x14ac:dyDescent="0.35">
      <c r="A520" s="7" t="s">
        <v>553</v>
      </c>
      <c r="B520" s="4" t="s">
        <v>43</v>
      </c>
      <c r="C520" s="5">
        <v>45880.46875</v>
      </c>
      <c r="D520" s="4" t="s">
        <v>23</v>
      </c>
      <c r="E520" s="8" t="s">
        <v>38</v>
      </c>
      <c r="F520" t="str">
        <f t="shared" si="8"/>
        <v>Monday</v>
      </c>
      <c r="G520" t="str">
        <f>VLOOKUP(B520,cabang!A:C,2,FALSE)</f>
        <v>Warung Selera Nusantara - Dago</v>
      </c>
    </row>
    <row r="521" spans="1:7" x14ac:dyDescent="0.35">
      <c r="A521" s="7" t="s">
        <v>554</v>
      </c>
      <c r="B521" s="4" t="s">
        <v>22</v>
      </c>
      <c r="C521" s="5">
        <v>45880.518055555563</v>
      </c>
      <c r="D521" s="4" t="s">
        <v>44</v>
      </c>
      <c r="E521" s="8" t="s">
        <v>29</v>
      </c>
      <c r="F521" t="str">
        <f t="shared" si="8"/>
        <v>Monday</v>
      </c>
      <c r="G521" t="str">
        <f>VLOOKUP(B521,cabang!A:C,2,FALSE)</f>
        <v>Warung Selera Nusantara - Margonda</v>
      </c>
    </row>
    <row r="522" spans="1:7" x14ac:dyDescent="0.35">
      <c r="A522" s="7" t="s">
        <v>555</v>
      </c>
      <c r="B522" s="4" t="s">
        <v>27</v>
      </c>
      <c r="C522" s="5">
        <v>45881.591666666667</v>
      </c>
      <c r="D522" s="4" t="s">
        <v>23</v>
      </c>
      <c r="E522" s="8" t="s">
        <v>24</v>
      </c>
      <c r="F522" t="str">
        <f t="shared" si="8"/>
        <v>Tuesday</v>
      </c>
      <c r="G522" t="str">
        <f>VLOOKUP(B522,cabang!A:C,2,FALSE)</f>
        <v>Warung Selera Nusantara - Tunjungan</v>
      </c>
    </row>
    <row r="523" spans="1:7" x14ac:dyDescent="0.35">
      <c r="A523" s="7" t="s">
        <v>556</v>
      </c>
      <c r="B523" s="4" t="s">
        <v>22</v>
      </c>
      <c r="C523" s="5">
        <v>45882.340277777781</v>
      </c>
      <c r="D523" s="4" t="s">
        <v>23</v>
      </c>
      <c r="E523" s="8" t="s">
        <v>29</v>
      </c>
      <c r="F523" t="str">
        <f t="shared" si="8"/>
        <v>Wednesday</v>
      </c>
      <c r="G523" t="str">
        <f>VLOOKUP(B523,cabang!A:C,2,FALSE)</f>
        <v>Warung Selera Nusantara - Margonda</v>
      </c>
    </row>
    <row r="524" spans="1:7" x14ac:dyDescent="0.35">
      <c r="A524" s="7" t="s">
        <v>557</v>
      </c>
      <c r="B524" s="4" t="s">
        <v>31</v>
      </c>
      <c r="C524" s="5">
        <v>45882.5</v>
      </c>
      <c r="D524" s="4" t="s">
        <v>28</v>
      </c>
      <c r="E524" s="8" t="s">
        <v>29</v>
      </c>
      <c r="F524" t="str">
        <f t="shared" si="8"/>
        <v>Wednesday</v>
      </c>
      <c r="G524" t="str">
        <f>VLOOKUP(B524,cabang!A:C,2,FALSE)</f>
        <v>Warung Selera Nusantara - Sudirman</v>
      </c>
    </row>
    <row r="525" spans="1:7" x14ac:dyDescent="0.35">
      <c r="A525" s="7" t="s">
        <v>558</v>
      </c>
      <c r="B525" s="4" t="s">
        <v>22</v>
      </c>
      <c r="C525" s="5">
        <v>45883.431250000001</v>
      </c>
      <c r="D525" s="4" t="s">
        <v>23</v>
      </c>
      <c r="E525" s="8" t="s">
        <v>24</v>
      </c>
      <c r="F525" t="str">
        <f t="shared" si="8"/>
        <v>Thursday</v>
      </c>
      <c r="G525" t="str">
        <f>VLOOKUP(B525,cabang!A:C,2,FALSE)</f>
        <v>Warung Selera Nusantara - Margonda</v>
      </c>
    </row>
    <row r="526" spans="1:7" x14ac:dyDescent="0.35">
      <c r="A526" s="7" t="s">
        <v>559</v>
      </c>
      <c r="B526" s="4" t="s">
        <v>22</v>
      </c>
      <c r="C526" s="5">
        <v>45883.79791666667</v>
      </c>
      <c r="D526" s="4" t="s">
        <v>23</v>
      </c>
      <c r="E526" s="8" t="s">
        <v>24</v>
      </c>
      <c r="F526" t="str">
        <f t="shared" si="8"/>
        <v>Thursday</v>
      </c>
      <c r="G526" t="str">
        <f>VLOOKUP(B526,cabang!A:C,2,FALSE)</f>
        <v>Warung Selera Nusantara - Margonda</v>
      </c>
    </row>
    <row r="527" spans="1:7" x14ac:dyDescent="0.35">
      <c r="A527" s="7" t="s">
        <v>560</v>
      </c>
      <c r="B527" s="4" t="s">
        <v>43</v>
      </c>
      <c r="C527" s="5">
        <v>45884.737500000003</v>
      </c>
      <c r="D527" s="4" t="s">
        <v>23</v>
      </c>
      <c r="E527" s="8" t="s">
        <v>33</v>
      </c>
      <c r="F527" t="str">
        <f t="shared" si="8"/>
        <v>Friday</v>
      </c>
      <c r="G527" t="str">
        <f>VLOOKUP(B527,cabang!A:C,2,FALSE)</f>
        <v>Warung Selera Nusantara - Dago</v>
      </c>
    </row>
    <row r="528" spans="1:7" x14ac:dyDescent="0.35">
      <c r="A528" s="7" t="s">
        <v>561</v>
      </c>
      <c r="B528" s="4" t="s">
        <v>22</v>
      </c>
      <c r="C528" s="5">
        <v>45884.791666666657</v>
      </c>
      <c r="D528" s="4" t="s">
        <v>23</v>
      </c>
      <c r="E528" s="8" t="s">
        <v>29</v>
      </c>
      <c r="F528" t="str">
        <f t="shared" si="8"/>
        <v>Friday</v>
      </c>
      <c r="G528" t="str">
        <f>VLOOKUP(B528,cabang!A:C,2,FALSE)</f>
        <v>Warung Selera Nusantara - Margonda</v>
      </c>
    </row>
    <row r="529" spans="1:7" x14ac:dyDescent="0.35">
      <c r="A529" s="7" t="s">
        <v>562</v>
      </c>
      <c r="B529" s="4" t="s">
        <v>31</v>
      </c>
      <c r="C529" s="5">
        <v>45886.490277777782</v>
      </c>
      <c r="D529" s="4" t="s">
        <v>23</v>
      </c>
      <c r="E529" s="8" t="s">
        <v>24</v>
      </c>
      <c r="F529" t="str">
        <f t="shared" si="8"/>
        <v>Sunday</v>
      </c>
      <c r="G529" t="str">
        <f>VLOOKUP(B529,cabang!A:C,2,FALSE)</f>
        <v>Warung Selera Nusantara - Sudirman</v>
      </c>
    </row>
    <row r="530" spans="1:7" x14ac:dyDescent="0.35">
      <c r="A530" s="7" t="s">
        <v>563</v>
      </c>
      <c r="B530" s="4" t="s">
        <v>22</v>
      </c>
      <c r="C530" s="5">
        <v>45886.554861111108</v>
      </c>
      <c r="D530" s="4" t="s">
        <v>44</v>
      </c>
      <c r="E530" s="8" t="s">
        <v>33</v>
      </c>
      <c r="F530" t="str">
        <f t="shared" si="8"/>
        <v>Sunday</v>
      </c>
      <c r="G530" t="str">
        <f>VLOOKUP(B530,cabang!A:C,2,FALSE)</f>
        <v>Warung Selera Nusantara - Margonda</v>
      </c>
    </row>
    <row r="531" spans="1:7" x14ac:dyDescent="0.35">
      <c r="A531" s="7" t="s">
        <v>564</v>
      </c>
      <c r="B531" s="4" t="s">
        <v>22</v>
      </c>
      <c r="C531" s="5">
        <v>45886.640972222223</v>
      </c>
      <c r="D531" s="4" t="s">
        <v>23</v>
      </c>
      <c r="E531" s="8" t="s">
        <v>24</v>
      </c>
      <c r="F531" t="str">
        <f t="shared" si="8"/>
        <v>Sunday</v>
      </c>
      <c r="G531" t="str">
        <f>VLOOKUP(B531,cabang!A:C,2,FALSE)</f>
        <v>Warung Selera Nusantara - Margonda</v>
      </c>
    </row>
    <row r="532" spans="1:7" x14ac:dyDescent="0.35">
      <c r="A532" s="7" t="s">
        <v>565</v>
      </c>
      <c r="B532" s="4" t="s">
        <v>31</v>
      </c>
      <c r="C532" s="5">
        <v>45886.713888888888</v>
      </c>
      <c r="D532" s="4" t="s">
        <v>23</v>
      </c>
      <c r="E532" s="8" t="s">
        <v>24</v>
      </c>
      <c r="F532" t="str">
        <f t="shared" si="8"/>
        <v>Sunday</v>
      </c>
      <c r="G532" t="str">
        <f>VLOOKUP(B532,cabang!A:C,2,FALSE)</f>
        <v>Warung Selera Nusantara - Sudirman</v>
      </c>
    </row>
    <row r="533" spans="1:7" x14ac:dyDescent="0.35">
      <c r="A533" s="7" t="s">
        <v>566</v>
      </c>
      <c r="B533" s="4" t="s">
        <v>31</v>
      </c>
      <c r="C533" s="5">
        <v>45886.808333333327</v>
      </c>
      <c r="D533" s="4" t="s">
        <v>23</v>
      </c>
      <c r="E533" s="8" t="s">
        <v>38</v>
      </c>
      <c r="F533" t="str">
        <f t="shared" si="8"/>
        <v>Sunday</v>
      </c>
      <c r="G533" t="str">
        <f>VLOOKUP(B533,cabang!A:C,2,FALSE)</f>
        <v>Warung Selera Nusantara - Sudirman</v>
      </c>
    </row>
    <row r="534" spans="1:7" x14ac:dyDescent="0.35">
      <c r="A534" s="7" t="s">
        <v>567</v>
      </c>
      <c r="B534" s="4" t="s">
        <v>22</v>
      </c>
      <c r="C534" s="5">
        <v>45886.827777777777</v>
      </c>
      <c r="D534" s="4" t="s">
        <v>23</v>
      </c>
      <c r="E534" s="8" t="s">
        <v>38</v>
      </c>
      <c r="F534" t="str">
        <f t="shared" si="8"/>
        <v>Sunday</v>
      </c>
      <c r="G534" t="str">
        <f>VLOOKUP(B534,cabang!A:C,2,FALSE)</f>
        <v>Warung Selera Nusantara - Margonda</v>
      </c>
    </row>
    <row r="535" spans="1:7" x14ac:dyDescent="0.35">
      <c r="A535" s="7" t="s">
        <v>568</v>
      </c>
      <c r="B535" s="4" t="s">
        <v>43</v>
      </c>
      <c r="C535" s="5">
        <v>45887.75277777778</v>
      </c>
      <c r="D535" s="4" t="s">
        <v>44</v>
      </c>
      <c r="E535" s="8" t="s">
        <v>24</v>
      </c>
      <c r="F535" t="str">
        <f t="shared" si="8"/>
        <v>Monday</v>
      </c>
      <c r="G535" t="str">
        <f>VLOOKUP(B535,cabang!A:C,2,FALSE)</f>
        <v>Warung Selera Nusantara - Dago</v>
      </c>
    </row>
    <row r="536" spans="1:7" x14ac:dyDescent="0.35">
      <c r="A536" s="7" t="s">
        <v>569</v>
      </c>
      <c r="B536" s="4" t="s">
        <v>31</v>
      </c>
      <c r="C536" s="5">
        <v>45888.569444444453</v>
      </c>
      <c r="D536" s="4" t="s">
        <v>23</v>
      </c>
      <c r="E536" s="8" t="s">
        <v>38</v>
      </c>
      <c r="F536" t="str">
        <f t="shared" si="8"/>
        <v>Tuesday</v>
      </c>
      <c r="G536" t="str">
        <f>VLOOKUP(B536,cabang!A:C,2,FALSE)</f>
        <v>Warung Selera Nusantara - Sudirman</v>
      </c>
    </row>
    <row r="537" spans="1:7" x14ac:dyDescent="0.35">
      <c r="A537" s="7" t="s">
        <v>570</v>
      </c>
      <c r="B537" s="4" t="s">
        <v>43</v>
      </c>
      <c r="C537" s="5">
        <v>45888.690972222219</v>
      </c>
      <c r="D537" s="4" t="s">
        <v>44</v>
      </c>
      <c r="E537" s="8" t="s">
        <v>24</v>
      </c>
      <c r="F537" t="str">
        <f t="shared" si="8"/>
        <v>Tuesday</v>
      </c>
      <c r="G537" t="str">
        <f>VLOOKUP(B537,cabang!A:C,2,FALSE)</f>
        <v>Warung Selera Nusantara - Dago</v>
      </c>
    </row>
    <row r="538" spans="1:7" x14ac:dyDescent="0.35">
      <c r="A538" s="7" t="s">
        <v>571</v>
      </c>
      <c r="B538" s="4" t="s">
        <v>31</v>
      </c>
      <c r="C538" s="5">
        <v>45889.317361111112</v>
      </c>
      <c r="D538" s="4" t="s">
        <v>28</v>
      </c>
      <c r="E538" s="8" t="s">
        <v>29</v>
      </c>
      <c r="F538" t="str">
        <f t="shared" si="8"/>
        <v>Wednesday</v>
      </c>
      <c r="G538" t="str">
        <f>VLOOKUP(B538,cabang!A:C,2,FALSE)</f>
        <v>Warung Selera Nusantara - Sudirman</v>
      </c>
    </row>
    <row r="539" spans="1:7" x14ac:dyDescent="0.35">
      <c r="A539" s="7" t="s">
        <v>572</v>
      </c>
      <c r="B539" s="4" t="s">
        <v>27</v>
      </c>
      <c r="C539" s="5">
        <v>45889.879166666673</v>
      </c>
      <c r="D539" s="4" t="s">
        <v>23</v>
      </c>
      <c r="E539" s="8" t="s">
        <v>38</v>
      </c>
      <c r="F539" t="str">
        <f t="shared" si="8"/>
        <v>Wednesday</v>
      </c>
      <c r="G539" t="str">
        <f>VLOOKUP(B539,cabang!A:C,2,FALSE)</f>
        <v>Warung Selera Nusantara - Tunjungan</v>
      </c>
    </row>
    <row r="540" spans="1:7" x14ac:dyDescent="0.35">
      <c r="A540" s="7" t="s">
        <v>573</v>
      </c>
      <c r="B540" s="4" t="s">
        <v>22</v>
      </c>
      <c r="C540" s="5">
        <v>45890.802083333343</v>
      </c>
      <c r="D540" s="4" t="s">
        <v>28</v>
      </c>
      <c r="E540" s="8" t="s">
        <v>33</v>
      </c>
      <c r="F540" t="str">
        <f t="shared" si="8"/>
        <v>Thursday</v>
      </c>
      <c r="G540" t="str">
        <f>VLOOKUP(B540,cabang!A:C,2,FALSE)</f>
        <v>Warung Selera Nusantara - Margonda</v>
      </c>
    </row>
    <row r="541" spans="1:7" x14ac:dyDescent="0.35">
      <c r="A541" s="7" t="s">
        <v>574</v>
      </c>
      <c r="B541" s="4" t="s">
        <v>31</v>
      </c>
      <c r="C541" s="5">
        <v>45891.488194444442</v>
      </c>
      <c r="D541" s="4" t="s">
        <v>28</v>
      </c>
      <c r="E541" s="8" t="s">
        <v>38</v>
      </c>
      <c r="F541" t="str">
        <f t="shared" si="8"/>
        <v>Friday</v>
      </c>
      <c r="G541" t="str">
        <f>VLOOKUP(B541,cabang!A:C,2,FALSE)</f>
        <v>Warung Selera Nusantara - Sudirman</v>
      </c>
    </row>
    <row r="542" spans="1:7" x14ac:dyDescent="0.35">
      <c r="A542" s="7" t="s">
        <v>575</v>
      </c>
      <c r="B542" s="4" t="s">
        <v>31</v>
      </c>
      <c r="C542" s="5">
        <v>45891.503472222219</v>
      </c>
      <c r="D542" s="4" t="s">
        <v>23</v>
      </c>
      <c r="E542" s="8" t="s">
        <v>38</v>
      </c>
      <c r="F542" t="str">
        <f t="shared" si="8"/>
        <v>Friday</v>
      </c>
      <c r="G542" t="str">
        <f>VLOOKUP(B542,cabang!A:C,2,FALSE)</f>
        <v>Warung Selera Nusantara - Sudirman</v>
      </c>
    </row>
    <row r="543" spans="1:7" x14ac:dyDescent="0.35">
      <c r="A543" s="7" t="s">
        <v>576</v>
      </c>
      <c r="B543" s="4" t="s">
        <v>43</v>
      </c>
      <c r="C543" s="5">
        <v>45891.609722222223</v>
      </c>
      <c r="D543" s="4" t="s">
        <v>44</v>
      </c>
      <c r="E543" s="8" t="s">
        <v>33</v>
      </c>
      <c r="F543" t="str">
        <f t="shared" si="8"/>
        <v>Friday</v>
      </c>
      <c r="G543" t="str">
        <f>VLOOKUP(B543,cabang!A:C,2,FALSE)</f>
        <v>Warung Selera Nusantara - Dago</v>
      </c>
    </row>
    <row r="544" spans="1:7" x14ac:dyDescent="0.35">
      <c r="A544" s="7" t="s">
        <v>577</v>
      </c>
      <c r="B544" s="4" t="s">
        <v>31</v>
      </c>
      <c r="C544" s="5">
        <v>45891.688888888893</v>
      </c>
      <c r="D544" s="4" t="s">
        <v>44</v>
      </c>
      <c r="E544" s="8" t="s">
        <v>33</v>
      </c>
      <c r="F544" t="str">
        <f t="shared" si="8"/>
        <v>Friday</v>
      </c>
      <c r="G544" t="str">
        <f>VLOOKUP(B544,cabang!A:C,2,FALSE)</f>
        <v>Warung Selera Nusantara - Sudirman</v>
      </c>
    </row>
    <row r="545" spans="1:7" x14ac:dyDescent="0.35">
      <c r="A545" s="7" t="s">
        <v>578</v>
      </c>
      <c r="B545" s="4" t="s">
        <v>43</v>
      </c>
      <c r="C545" s="5">
        <v>45891.70416666667</v>
      </c>
      <c r="D545" s="4" t="s">
        <v>44</v>
      </c>
      <c r="E545" s="8" t="s">
        <v>38</v>
      </c>
      <c r="F545" t="str">
        <f t="shared" si="8"/>
        <v>Friday</v>
      </c>
      <c r="G545" t="str">
        <f>VLOOKUP(B545,cabang!A:C,2,FALSE)</f>
        <v>Warung Selera Nusantara - Dago</v>
      </c>
    </row>
    <row r="546" spans="1:7" x14ac:dyDescent="0.35">
      <c r="A546" s="7" t="s">
        <v>579</v>
      </c>
      <c r="B546" s="4" t="s">
        <v>43</v>
      </c>
      <c r="C546" s="5">
        <v>45891.861111111109</v>
      </c>
      <c r="D546" s="4" t="s">
        <v>44</v>
      </c>
      <c r="E546" s="8" t="s">
        <v>24</v>
      </c>
      <c r="F546" t="str">
        <f t="shared" si="8"/>
        <v>Friday</v>
      </c>
      <c r="G546" t="str">
        <f>VLOOKUP(B546,cabang!A:C,2,FALSE)</f>
        <v>Warung Selera Nusantara - Dago</v>
      </c>
    </row>
    <row r="547" spans="1:7" x14ac:dyDescent="0.35">
      <c r="A547" s="7" t="s">
        <v>580</v>
      </c>
      <c r="B547" s="4" t="s">
        <v>27</v>
      </c>
      <c r="C547" s="5">
        <v>45892.375694444447</v>
      </c>
      <c r="D547" s="4" t="s">
        <v>23</v>
      </c>
      <c r="E547" s="8" t="s">
        <v>33</v>
      </c>
      <c r="F547" t="str">
        <f t="shared" si="8"/>
        <v>Saturday</v>
      </c>
      <c r="G547" t="str">
        <f>VLOOKUP(B547,cabang!A:C,2,FALSE)</f>
        <v>Warung Selera Nusantara - Tunjungan</v>
      </c>
    </row>
    <row r="548" spans="1:7" x14ac:dyDescent="0.35">
      <c r="A548" s="7" t="s">
        <v>581</v>
      </c>
      <c r="B548" s="4" t="s">
        <v>31</v>
      </c>
      <c r="C548" s="5">
        <v>45892.660416666673</v>
      </c>
      <c r="D548" s="4" t="s">
        <v>23</v>
      </c>
      <c r="E548" s="8" t="s">
        <v>38</v>
      </c>
      <c r="F548" t="str">
        <f t="shared" si="8"/>
        <v>Saturday</v>
      </c>
      <c r="G548" t="str">
        <f>VLOOKUP(B548,cabang!A:C,2,FALSE)</f>
        <v>Warung Selera Nusantara - Sudirman</v>
      </c>
    </row>
    <row r="549" spans="1:7" x14ac:dyDescent="0.35">
      <c r="A549" s="7" t="s">
        <v>582</v>
      </c>
      <c r="B549" s="4" t="s">
        <v>22</v>
      </c>
      <c r="C549" s="5">
        <v>45892.825694444437</v>
      </c>
      <c r="D549" s="4" t="s">
        <v>23</v>
      </c>
      <c r="E549" s="8" t="s">
        <v>24</v>
      </c>
      <c r="F549" t="str">
        <f t="shared" si="8"/>
        <v>Saturday</v>
      </c>
      <c r="G549" t="str">
        <f>VLOOKUP(B549,cabang!A:C,2,FALSE)</f>
        <v>Warung Selera Nusantara - Margonda</v>
      </c>
    </row>
    <row r="550" spans="1:7" x14ac:dyDescent="0.35">
      <c r="A550" s="7" t="s">
        <v>583</v>
      </c>
      <c r="B550" s="4" t="s">
        <v>31</v>
      </c>
      <c r="C550" s="5">
        <v>45893.338888888888</v>
      </c>
      <c r="D550" s="4" t="s">
        <v>28</v>
      </c>
      <c r="E550" s="8" t="s">
        <v>24</v>
      </c>
      <c r="F550" t="str">
        <f t="shared" si="8"/>
        <v>Sunday</v>
      </c>
      <c r="G550" t="str">
        <f>VLOOKUP(B550,cabang!A:C,2,FALSE)</f>
        <v>Warung Selera Nusantara - Sudirman</v>
      </c>
    </row>
    <row r="551" spans="1:7" x14ac:dyDescent="0.35">
      <c r="A551" s="7" t="s">
        <v>584</v>
      </c>
      <c r="B551" s="4" t="s">
        <v>27</v>
      </c>
      <c r="C551" s="5">
        <v>45893.51666666667</v>
      </c>
      <c r="D551" s="4" t="s">
        <v>28</v>
      </c>
      <c r="E551" s="8" t="s">
        <v>29</v>
      </c>
      <c r="F551" t="str">
        <f t="shared" si="8"/>
        <v>Sunday</v>
      </c>
      <c r="G551" t="str">
        <f>VLOOKUP(B551,cabang!A:C,2,FALSE)</f>
        <v>Warung Selera Nusantara - Tunjungan</v>
      </c>
    </row>
    <row r="552" spans="1:7" x14ac:dyDescent="0.35">
      <c r="A552" s="7" t="s">
        <v>585</v>
      </c>
      <c r="B552" s="4" t="s">
        <v>27</v>
      </c>
      <c r="C552" s="5">
        <v>45893.743055555547</v>
      </c>
      <c r="D552" s="4" t="s">
        <v>23</v>
      </c>
      <c r="E552" s="8" t="s">
        <v>29</v>
      </c>
      <c r="F552" t="str">
        <f t="shared" si="8"/>
        <v>Sunday</v>
      </c>
      <c r="G552" t="str">
        <f>VLOOKUP(B552,cabang!A:C,2,FALSE)</f>
        <v>Warung Selera Nusantara - Tunjungan</v>
      </c>
    </row>
    <row r="553" spans="1:7" x14ac:dyDescent="0.35">
      <c r="A553" s="7" t="s">
        <v>586</v>
      </c>
      <c r="B553" s="4" t="s">
        <v>31</v>
      </c>
      <c r="C553" s="5">
        <v>45895.581944444442</v>
      </c>
      <c r="D553" s="4" t="s">
        <v>28</v>
      </c>
      <c r="E553" s="8" t="s">
        <v>38</v>
      </c>
      <c r="F553" t="str">
        <f t="shared" si="8"/>
        <v>Tuesday</v>
      </c>
      <c r="G553" t="str">
        <f>VLOOKUP(B553,cabang!A:C,2,FALSE)</f>
        <v>Warung Selera Nusantara - Sudirman</v>
      </c>
    </row>
    <row r="554" spans="1:7" x14ac:dyDescent="0.35">
      <c r="A554" s="7" t="s">
        <v>587</v>
      </c>
      <c r="B554" s="4" t="s">
        <v>43</v>
      </c>
      <c r="C554" s="5">
        <v>45896.351388888892</v>
      </c>
      <c r="D554" s="4" t="s">
        <v>23</v>
      </c>
      <c r="E554" s="8" t="s">
        <v>24</v>
      </c>
      <c r="F554" t="str">
        <f t="shared" si="8"/>
        <v>Wednesday</v>
      </c>
      <c r="G554" t="str">
        <f>VLOOKUP(B554,cabang!A:C,2,FALSE)</f>
        <v>Warung Selera Nusantara - Dago</v>
      </c>
    </row>
    <row r="555" spans="1:7" x14ac:dyDescent="0.35">
      <c r="A555" s="7" t="s">
        <v>588</v>
      </c>
      <c r="B555" s="4" t="s">
        <v>31</v>
      </c>
      <c r="C555" s="5">
        <v>45896.563888888893</v>
      </c>
      <c r="D555" s="4" t="s">
        <v>23</v>
      </c>
      <c r="E555" s="8" t="s">
        <v>24</v>
      </c>
      <c r="F555" t="str">
        <f t="shared" si="8"/>
        <v>Wednesday</v>
      </c>
      <c r="G555" t="str">
        <f>VLOOKUP(B555,cabang!A:C,2,FALSE)</f>
        <v>Warung Selera Nusantara - Sudirman</v>
      </c>
    </row>
    <row r="556" spans="1:7" x14ac:dyDescent="0.35">
      <c r="A556" s="7" t="s">
        <v>589</v>
      </c>
      <c r="B556" s="4" t="s">
        <v>31</v>
      </c>
      <c r="C556" s="5">
        <v>45896.570138888892</v>
      </c>
      <c r="D556" s="4" t="s">
        <v>28</v>
      </c>
      <c r="E556" s="8" t="s">
        <v>38</v>
      </c>
      <c r="F556" t="str">
        <f t="shared" si="8"/>
        <v>Wednesday</v>
      </c>
      <c r="G556" t="str">
        <f>VLOOKUP(B556,cabang!A:C,2,FALSE)</f>
        <v>Warung Selera Nusantara - Sudirman</v>
      </c>
    </row>
    <row r="557" spans="1:7" x14ac:dyDescent="0.35">
      <c r="A557" s="7" t="s">
        <v>590</v>
      </c>
      <c r="B557" s="4" t="s">
        <v>22</v>
      </c>
      <c r="C557" s="5">
        <v>45896.824999999997</v>
      </c>
      <c r="D557" s="4" t="s">
        <v>23</v>
      </c>
      <c r="E557" s="8" t="s">
        <v>33</v>
      </c>
      <c r="F557" t="str">
        <f t="shared" si="8"/>
        <v>Wednesday</v>
      </c>
      <c r="G557" t="str">
        <f>VLOOKUP(B557,cabang!A:C,2,FALSE)</f>
        <v>Warung Selera Nusantara - Margonda</v>
      </c>
    </row>
    <row r="558" spans="1:7" x14ac:dyDescent="0.35">
      <c r="A558" s="7" t="s">
        <v>591</v>
      </c>
      <c r="B558" s="4" t="s">
        <v>22</v>
      </c>
      <c r="C558" s="5">
        <v>45896.84652777778</v>
      </c>
      <c r="D558" s="4" t="s">
        <v>44</v>
      </c>
      <c r="E558" s="8" t="s">
        <v>29</v>
      </c>
      <c r="F558" t="str">
        <f t="shared" si="8"/>
        <v>Wednesday</v>
      </c>
      <c r="G558" t="str">
        <f>VLOOKUP(B558,cabang!A:C,2,FALSE)</f>
        <v>Warung Selera Nusantara - Margonda</v>
      </c>
    </row>
    <row r="559" spans="1:7" x14ac:dyDescent="0.35">
      <c r="A559" s="7" t="s">
        <v>592</v>
      </c>
      <c r="B559" s="4" t="s">
        <v>22</v>
      </c>
      <c r="C559" s="5">
        <v>45897.504166666673</v>
      </c>
      <c r="D559" s="4" t="s">
        <v>23</v>
      </c>
      <c r="E559" s="8" t="s">
        <v>24</v>
      </c>
      <c r="F559" t="str">
        <f t="shared" si="8"/>
        <v>Thursday</v>
      </c>
      <c r="G559" t="str">
        <f>VLOOKUP(B559,cabang!A:C,2,FALSE)</f>
        <v>Warung Selera Nusantara - Margonda</v>
      </c>
    </row>
    <row r="560" spans="1:7" x14ac:dyDescent="0.35">
      <c r="A560" s="7" t="s">
        <v>593</v>
      </c>
      <c r="B560" s="4" t="s">
        <v>27</v>
      </c>
      <c r="C560" s="5">
        <v>45897.904166666667</v>
      </c>
      <c r="D560" s="4" t="s">
        <v>44</v>
      </c>
      <c r="E560" s="8" t="s">
        <v>24</v>
      </c>
      <c r="F560" t="str">
        <f t="shared" si="8"/>
        <v>Thursday</v>
      </c>
      <c r="G560" t="str">
        <f>VLOOKUP(B560,cabang!A:C,2,FALSE)</f>
        <v>Warung Selera Nusantara - Tunjungan</v>
      </c>
    </row>
    <row r="561" spans="1:7" x14ac:dyDescent="0.35">
      <c r="A561" s="7" t="s">
        <v>594</v>
      </c>
      <c r="B561" s="4" t="s">
        <v>27</v>
      </c>
      <c r="C561" s="5">
        <v>45898.522916666669</v>
      </c>
      <c r="D561" s="4" t="s">
        <v>23</v>
      </c>
      <c r="E561" s="8" t="s">
        <v>33</v>
      </c>
      <c r="F561" t="str">
        <f t="shared" si="8"/>
        <v>Friday</v>
      </c>
      <c r="G561" t="str">
        <f>VLOOKUP(B561,cabang!A:C,2,FALSE)</f>
        <v>Warung Selera Nusantara - Tunjungan</v>
      </c>
    </row>
    <row r="562" spans="1:7" x14ac:dyDescent="0.35">
      <c r="A562" s="7" t="s">
        <v>595</v>
      </c>
      <c r="B562" s="4" t="s">
        <v>31</v>
      </c>
      <c r="C562" s="5">
        <v>45898.745833333327</v>
      </c>
      <c r="D562" s="4" t="s">
        <v>23</v>
      </c>
      <c r="E562" s="8" t="s">
        <v>29</v>
      </c>
      <c r="F562" t="str">
        <f t="shared" si="8"/>
        <v>Friday</v>
      </c>
      <c r="G562" t="str">
        <f>VLOOKUP(B562,cabang!A:C,2,FALSE)</f>
        <v>Warung Selera Nusantara - Sudirman</v>
      </c>
    </row>
    <row r="563" spans="1:7" x14ac:dyDescent="0.35">
      <c r="A563" s="7" t="s">
        <v>596</v>
      </c>
      <c r="B563" s="4" t="s">
        <v>43</v>
      </c>
      <c r="C563" s="5">
        <v>45898.800694444442</v>
      </c>
      <c r="D563" s="4" t="s">
        <v>28</v>
      </c>
      <c r="E563" s="8" t="s">
        <v>38</v>
      </c>
      <c r="F563" t="str">
        <f t="shared" si="8"/>
        <v>Friday</v>
      </c>
      <c r="G563" t="str">
        <f>VLOOKUP(B563,cabang!A:C,2,FALSE)</f>
        <v>Warung Selera Nusantara - Dago</v>
      </c>
    </row>
    <row r="564" spans="1:7" x14ac:dyDescent="0.35">
      <c r="A564" s="7" t="s">
        <v>597</v>
      </c>
      <c r="B564" s="4" t="s">
        <v>31</v>
      </c>
      <c r="C564" s="5">
        <v>45899.756249999999</v>
      </c>
      <c r="D564" s="4" t="s">
        <v>23</v>
      </c>
      <c r="E564" s="8"/>
      <c r="F564" t="str">
        <f t="shared" si="8"/>
        <v>Saturday</v>
      </c>
      <c r="G564" t="str">
        <f>VLOOKUP(B564,cabang!A:C,2,FALSE)</f>
        <v>Warung Selera Nusantara - Sudirman</v>
      </c>
    </row>
    <row r="565" spans="1:7" x14ac:dyDescent="0.35">
      <c r="A565" s="7" t="s">
        <v>598</v>
      </c>
      <c r="B565" s="4" t="s">
        <v>31</v>
      </c>
      <c r="C565" s="5">
        <v>45900.544444444437</v>
      </c>
      <c r="D565" s="4" t="s">
        <v>23</v>
      </c>
      <c r="E565" s="8" t="s">
        <v>33</v>
      </c>
      <c r="F565" t="str">
        <f t="shared" si="8"/>
        <v>Sunday</v>
      </c>
      <c r="G565" t="str">
        <f>VLOOKUP(B565,cabang!A:C,2,FALSE)</f>
        <v>Warung Selera Nusantara - Sudirman</v>
      </c>
    </row>
    <row r="566" spans="1:7" x14ac:dyDescent="0.35">
      <c r="A566" s="7" t="s">
        <v>599</v>
      </c>
      <c r="B566" s="4" t="s">
        <v>31</v>
      </c>
      <c r="C566" s="5">
        <v>45900.556944444441</v>
      </c>
      <c r="D566" s="4" t="s">
        <v>44</v>
      </c>
      <c r="E566" s="8" t="s">
        <v>24</v>
      </c>
      <c r="F566" t="str">
        <f t="shared" si="8"/>
        <v>Sunday</v>
      </c>
      <c r="G566" t="str">
        <f>VLOOKUP(B566,cabang!A:C,2,FALSE)</f>
        <v>Warung Selera Nusantara - Sudirman</v>
      </c>
    </row>
    <row r="567" spans="1:7" x14ac:dyDescent="0.35">
      <c r="A567" s="7" t="s">
        <v>600</v>
      </c>
      <c r="B567" s="4" t="s">
        <v>31</v>
      </c>
      <c r="C567" s="5">
        <v>45900.717361111107</v>
      </c>
      <c r="D567" s="4" t="s">
        <v>23</v>
      </c>
      <c r="E567" s="8" t="s">
        <v>24</v>
      </c>
      <c r="F567" t="str">
        <f t="shared" si="8"/>
        <v>Sunday</v>
      </c>
      <c r="G567" t="str">
        <f>VLOOKUP(B567,cabang!A:C,2,FALSE)</f>
        <v>Warung Selera Nusantara - Sudirman</v>
      </c>
    </row>
    <row r="568" spans="1:7" x14ac:dyDescent="0.35">
      <c r="A568" s="7" t="s">
        <v>601</v>
      </c>
      <c r="B568" s="4" t="s">
        <v>43</v>
      </c>
      <c r="C568" s="5">
        <v>45900.752083333333</v>
      </c>
      <c r="D568" s="4" t="s">
        <v>23</v>
      </c>
      <c r="E568" s="8" t="s">
        <v>24</v>
      </c>
      <c r="F568" t="str">
        <f t="shared" si="8"/>
        <v>Sunday</v>
      </c>
      <c r="G568" t="str">
        <f>VLOOKUP(B568,cabang!A:C,2,FALSE)</f>
        <v>Warung Selera Nusantara - Dago</v>
      </c>
    </row>
    <row r="569" spans="1:7" x14ac:dyDescent="0.35">
      <c r="A569" s="7" t="s">
        <v>602</v>
      </c>
      <c r="B569" s="4" t="s">
        <v>31</v>
      </c>
      <c r="C569" s="5">
        <v>45900.80972222222</v>
      </c>
      <c r="D569" s="4" t="s">
        <v>23</v>
      </c>
      <c r="E569" s="8" t="s">
        <v>33</v>
      </c>
      <c r="F569" t="str">
        <f t="shared" si="8"/>
        <v>Sunday</v>
      </c>
      <c r="G569" t="str">
        <f>VLOOKUP(B569,cabang!A:C,2,FALSE)</f>
        <v>Warung Selera Nusantara - Sudirman</v>
      </c>
    </row>
    <row r="570" spans="1:7" x14ac:dyDescent="0.35">
      <c r="A570" s="7" t="s">
        <v>603</v>
      </c>
      <c r="B570" s="4" t="s">
        <v>27</v>
      </c>
      <c r="C570" s="5">
        <v>45900.853472222218</v>
      </c>
      <c r="D570" s="4" t="s">
        <v>23</v>
      </c>
      <c r="E570" s="8" t="s">
        <v>24</v>
      </c>
      <c r="F570" t="str">
        <f t="shared" si="8"/>
        <v>Sunday</v>
      </c>
      <c r="G570" t="str">
        <f>VLOOKUP(B570,cabang!A:C,2,FALSE)</f>
        <v>Warung Selera Nusantara - Tunjungan</v>
      </c>
    </row>
    <row r="571" spans="1:7" x14ac:dyDescent="0.35">
      <c r="A571" s="7" t="s">
        <v>604</v>
      </c>
      <c r="B571" s="4" t="s">
        <v>22</v>
      </c>
      <c r="C571" s="5">
        <v>45901.402777777781</v>
      </c>
      <c r="D571" s="4" t="s">
        <v>44</v>
      </c>
      <c r="E571" s="8" t="s">
        <v>24</v>
      </c>
      <c r="F571" t="str">
        <f t="shared" si="8"/>
        <v>Monday</v>
      </c>
      <c r="G571" t="str">
        <f>VLOOKUP(B571,cabang!A:C,2,FALSE)</f>
        <v>Warung Selera Nusantara - Margonda</v>
      </c>
    </row>
    <row r="572" spans="1:7" x14ac:dyDescent="0.35">
      <c r="A572" s="7" t="s">
        <v>605</v>
      </c>
      <c r="B572" s="4" t="s">
        <v>27</v>
      </c>
      <c r="C572" s="5">
        <v>45901.583333333343</v>
      </c>
      <c r="D572" s="4" t="s">
        <v>23</v>
      </c>
      <c r="E572" s="8" t="s">
        <v>38</v>
      </c>
      <c r="F572" t="str">
        <f t="shared" si="8"/>
        <v>Monday</v>
      </c>
      <c r="G572" t="str">
        <f>VLOOKUP(B572,cabang!A:C,2,FALSE)</f>
        <v>Warung Selera Nusantara - Tunjungan</v>
      </c>
    </row>
    <row r="573" spans="1:7" x14ac:dyDescent="0.35">
      <c r="A573" s="7" t="s">
        <v>606</v>
      </c>
      <c r="B573" s="4" t="s">
        <v>31</v>
      </c>
      <c r="C573" s="5">
        <v>45901.820138888892</v>
      </c>
      <c r="D573" s="4" t="s">
        <v>23</v>
      </c>
      <c r="E573" s="8" t="s">
        <v>38</v>
      </c>
      <c r="F573" t="str">
        <f t="shared" si="8"/>
        <v>Monday</v>
      </c>
      <c r="G573" t="str">
        <f>VLOOKUP(B573,cabang!A:C,2,FALSE)</f>
        <v>Warung Selera Nusantara - Sudirman</v>
      </c>
    </row>
    <row r="574" spans="1:7" x14ac:dyDescent="0.35">
      <c r="A574" s="7" t="s">
        <v>607</v>
      </c>
      <c r="B574" s="4" t="s">
        <v>27</v>
      </c>
      <c r="C574" s="5">
        <v>45901.861111111109</v>
      </c>
      <c r="D574" s="4" t="s">
        <v>23</v>
      </c>
      <c r="E574" s="8" t="s">
        <v>29</v>
      </c>
      <c r="F574" t="str">
        <f t="shared" si="8"/>
        <v>Monday</v>
      </c>
      <c r="G574" t="str">
        <f>VLOOKUP(B574,cabang!A:C,2,FALSE)</f>
        <v>Warung Selera Nusantara - Tunjungan</v>
      </c>
    </row>
    <row r="575" spans="1:7" x14ac:dyDescent="0.35">
      <c r="A575" s="7" t="s">
        <v>608</v>
      </c>
      <c r="B575" s="4" t="s">
        <v>43</v>
      </c>
      <c r="C575" s="5">
        <v>45902.504166666673</v>
      </c>
      <c r="D575" s="4" t="s">
        <v>23</v>
      </c>
      <c r="E575" s="8" t="s">
        <v>29</v>
      </c>
      <c r="F575" t="str">
        <f t="shared" si="8"/>
        <v>Tuesday</v>
      </c>
      <c r="G575" t="str">
        <f>VLOOKUP(B575,cabang!A:C,2,FALSE)</f>
        <v>Warung Selera Nusantara - Dago</v>
      </c>
    </row>
    <row r="576" spans="1:7" x14ac:dyDescent="0.35">
      <c r="A576" s="7" t="s">
        <v>609</v>
      </c>
      <c r="B576" s="4" t="s">
        <v>22</v>
      </c>
      <c r="C576" s="5">
        <v>45902.557638888888</v>
      </c>
      <c r="D576" s="4" t="s">
        <v>28</v>
      </c>
      <c r="E576" s="8" t="s">
        <v>38</v>
      </c>
      <c r="F576" t="str">
        <f t="shared" si="8"/>
        <v>Tuesday</v>
      </c>
      <c r="G576" t="str">
        <f>VLOOKUP(B576,cabang!A:C,2,FALSE)</f>
        <v>Warung Selera Nusantara - Margonda</v>
      </c>
    </row>
    <row r="577" spans="1:7" x14ac:dyDescent="0.35">
      <c r="A577" s="7" t="s">
        <v>610</v>
      </c>
      <c r="B577" s="4" t="s">
        <v>27</v>
      </c>
      <c r="C577" s="5">
        <v>45902.570833333331</v>
      </c>
      <c r="D577" s="4" t="s">
        <v>23</v>
      </c>
      <c r="E577" s="8" t="s">
        <v>29</v>
      </c>
      <c r="F577" t="str">
        <f t="shared" si="8"/>
        <v>Tuesday</v>
      </c>
      <c r="G577" t="str">
        <f>VLOOKUP(B577,cabang!A:C,2,FALSE)</f>
        <v>Warung Selera Nusantara - Tunjungan</v>
      </c>
    </row>
    <row r="578" spans="1:7" x14ac:dyDescent="0.35">
      <c r="A578" s="7" t="s">
        <v>611</v>
      </c>
      <c r="B578" s="4" t="s">
        <v>27</v>
      </c>
      <c r="C578" s="5">
        <v>45902.768750000003</v>
      </c>
      <c r="D578" s="4" t="s">
        <v>23</v>
      </c>
      <c r="E578" s="8" t="s">
        <v>33</v>
      </c>
      <c r="F578" t="str">
        <f t="shared" ref="F578:F641" si="9">TEXT(C578,"dddd")</f>
        <v>Tuesday</v>
      </c>
      <c r="G578" t="str">
        <f>VLOOKUP(B578,cabang!A:C,2,FALSE)</f>
        <v>Warung Selera Nusantara - Tunjungan</v>
      </c>
    </row>
    <row r="579" spans="1:7" x14ac:dyDescent="0.35">
      <c r="A579" s="7" t="s">
        <v>612</v>
      </c>
      <c r="B579" s="4" t="s">
        <v>31</v>
      </c>
      <c r="C579" s="5">
        <v>45903.469444444447</v>
      </c>
      <c r="D579" s="4" t="s">
        <v>23</v>
      </c>
      <c r="E579" s="8" t="s">
        <v>24</v>
      </c>
      <c r="F579" t="str">
        <f t="shared" si="9"/>
        <v>Wednesday</v>
      </c>
      <c r="G579" t="str">
        <f>VLOOKUP(B579,cabang!A:C,2,FALSE)</f>
        <v>Warung Selera Nusantara - Sudirman</v>
      </c>
    </row>
    <row r="580" spans="1:7" x14ac:dyDescent="0.35">
      <c r="A580" s="7" t="s">
        <v>613</v>
      </c>
      <c r="B580" s="4" t="s">
        <v>43</v>
      </c>
      <c r="C580" s="5">
        <v>45904.805555555547</v>
      </c>
      <c r="D580" s="4" t="s">
        <v>23</v>
      </c>
      <c r="E580" s="8" t="s">
        <v>38</v>
      </c>
      <c r="F580" t="str">
        <f t="shared" si="9"/>
        <v>Thursday</v>
      </c>
      <c r="G580" t="str">
        <f>VLOOKUP(B580,cabang!A:C,2,FALSE)</f>
        <v>Warung Selera Nusantara - Dago</v>
      </c>
    </row>
    <row r="581" spans="1:7" x14ac:dyDescent="0.35">
      <c r="A581" s="7" t="s">
        <v>614</v>
      </c>
      <c r="B581" s="4" t="s">
        <v>31</v>
      </c>
      <c r="C581" s="5">
        <v>45905.464583333327</v>
      </c>
      <c r="D581" s="4" t="s">
        <v>23</v>
      </c>
      <c r="E581" s="8" t="s">
        <v>29</v>
      </c>
      <c r="F581" t="str">
        <f t="shared" si="9"/>
        <v>Friday</v>
      </c>
      <c r="G581" t="str">
        <f>VLOOKUP(B581,cabang!A:C,2,FALSE)</f>
        <v>Warung Selera Nusantara - Sudirman</v>
      </c>
    </row>
    <row r="582" spans="1:7" x14ac:dyDescent="0.35">
      <c r="A582" s="7" t="s">
        <v>615</v>
      </c>
      <c r="B582" s="4" t="s">
        <v>31</v>
      </c>
      <c r="C582" s="5">
        <v>45905.497916666667</v>
      </c>
      <c r="D582" s="4" t="s">
        <v>23</v>
      </c>
      <c r="E582" s="8" t="s">
        <v>24</v>
      </c>
      <c r="F582" t="str">
        <f t="shared" si="9"/>
        <v>Friday</v>
      </c>
      <c r="G582" t="str">
        <f>VLOOKUP(B582,cabang!A:C,2,FALSE)</f>
        <v>Warung Selera Nusantara - Sudirman</v>
      </c>
    </row>
    <row r="583" spans="1:7" x14ac:dyDescent="0.35">
      <c r="A583" s="7" t="s">
        <v>616</v>
      </c>
      <c r="B583" s="4" t="s">
        <v>27</v>
      </c>
      <c r="C583" s="5">
        <v>45905.688888888893</v>
      </c>
      <c r="D583" s="4" t="s">
        <v>28</v>
      </c>
      <c r="E583" s="8" t="s">
        <v>24</v>
      </c>
      <c r="F583" t="str">
        <f t="shared" si="9"/>
        <v>Friday</v>
      </c>
      <c r="G583" t="str">
        <f>VLOOKUP(B583,cabang!A:C,2,FALSE)</f>
        <v>Warung Selera Nusantara - Tunjungan</v>
      </c>
    </row>
    <row r="584" spans="1:7" x14ac:dyDescent="0.35">
      <c r="A584" s="7" t="s">
        <v>617</v>
      </c>
      <c r="B584" s="4" t="s">
        <v>27</v>
      </c>
      <c r="C584" s="5">
        <v>45905.693055555559</v>
      </c>
      <c r="D584" s="4" t="s">
        <v>23</v>
      </c>
      <c r="E584" s="8" t="s">
        <v>33</v>
      </c>
      <c r="F584" t="str">
        <f t="shared" si="9"/>
        <v>Friday</v>
      </c>
      <c r="G584" t="str">
        <f>VLOOKUP(B584,cabang!A:C,2,FALSE)</f>
        <v>Warung Selera Nusantara - Tunjungan</v>
      </c>
    </row>
    <row r="585" spans="1:7" x14ac:dyDescent="0.35">
      <c r="A585" s="7" t="s">
        <v>618</v>
      </c>
      <c r="B585" s="4" t="s">
        <v>43</v>
      </c>
      <c r="C585" s="5">
        <v>45905.839583333327</v>
      </c>
      <c r="D585" s="4" t="s">
        <v>44</v>
      </c>
      <c r="E585" s="8" t="s">
        <v>24</v>
      </c>
      <c r="F585" t="str">
        <f t="shared" si="9"/>
        <v>Friday</v>
      </c>
      <c r="G585" t="str">
        <f>VLOOKUP(B585,cabang!A:C,2,FALSE)</f>
        <v>Warung Selera Nusantara - Dago</v>
      </c>
    </row>
    <row r="586" spans="1:7" x14ac:dyDescent="0.35">
      <c r="A586" s="7" t="s">
        <v>619</v>
      </c>
      <c r="B586" s="4" t="s">
        <v>27</v>
      </c>
      <c r="C586" s="5">
        <v>45906.321527777778</v>
      </c>
      <c r="D586" s="4" t="s">
        <v>28</v>
      </c>
      <c r="E586" s="8" t="s">
        <v>29</v>
      </c>
      <c r="F586" t="str">
        <f t="shared" si="9"/>
        <v>Saturday</v>
      </c>
      <c r="G586" t="str">
        <f>VLOOKUP(B586,cabang!A:C,2,FALSE)</f>
        <v>Warung Selera Nusantara - Tunjungan</v>
      </c>
    </row>
    <row r="587" spans="1:7" x14ac:dyDescent="0.35">
      <c r="A587" s="7" t="s">
        <v>620</v>
      </c>
      <c r="B587" s="4" t="s">
        <v>22</v>
      </c>
      <c r="C587" s="5">
        <v>45906.548611111109</v>
      </c>
      <c r="D587" s="4" t="s">
        <v>23</v>
      </c>
      <c r="E587" s="8" t="s">
        <v>24</v>
      </c>
      <c r="F587" t="str">
        <f t="shared" si="9"/>
        <v>Saturday</v>
      </c>
      <c r="G587" t="str">
        <f>VLOOKUP(B587,cabang!A:C,2,FALSE)</f>
        <v>Warung Selera Nusantara - Margonda</v>
      </c>
    </row>
    <row r="588" spans="1:7" x14ac:dyDescent="0.35">
      <c r="A588" s="7" t="s">
        <v>621</v>
      </c>
      <c r="B588" s="4" t="s">
        <v>22</v>
      </c>
      <c r="C588" s="5">
        <v>45906.697916666657</v>
      </c>
      <c r="D588" s="4" t="s">
        <v>23</v>
      </c>
      <c r="E588" s="8" t="s">
        <v>33</v>
      </c>
      <c r="F588" t="str">
        <f t="shared" si="9"/>
        <v>Saturday</v>
      </c>
      <c r="G588" t="str">
        <f>VLOOKUP(B588,cabang!A:C,2,FALSE)</f>
        <v>Warung Selera Nusantara - Margonda</v>
      </c>
    </row>
    <row r="589" spans="1:7" x14ac:dyDescent="0.35">
      <c r="A589" s="7" t="s">
        <v>622</v>
      </c>
      <c r="B589" s="4" t="s">
        <v>27</v>
      </c>
      <c r="C589" s="5">
        <v>45907.638888888891</v>
      </c>
      <c r="D589" s="4" t="s">
        <v>44</v>
      </c>
      <c r="E589" s="8" t="s">
        <v>24</v>
      </c>
      <c r="F589" t="str">
        <f t="shared" si="9"/>
        <v>Sunday</v>
      </c>
      <c r="G589" t="str">
        <f>VLOOKUP(B589,cabang!A:C,2,FALSE)</f>
        <v>Warung Selera Nusantara - Tunjungan</v>
      </c>
    </row>
    <row r="590" spans="1:7" x14ac:dyDescent="0.35">
      <c r="A590" s="7" t="s">
        <v>623</v>
      </c>
      <c r="B590" s="4" t="s">
        <v>43</v>
      </c>
      <c r="C590" s="5">
        <v>45907.677083333343</v>
      </c>
      <c r="D590" s="4" t="s">
        <v>44</v>
      </c>
      <c r="E590" s="8" t="s">
        <v>33</v>
      </c>
      <c r="F590" t="str">
        <f t="shared" si="9"/>
        <v>Sunday</v>
      </c>
      <c r="G590" t="str">
        <f>VLOOKUP(B590,cabang!A:C,2,FALSE)</f>
        <v>Warung Selera Nusantara - Dago</v>
      </c>
    </row>
    <row r="591" spans="1:7" x14ac:dyDescent="0.35">
      <c r="A591" s="7" t="s">
        <v>624</v>
      </c>
      <c r="B591" s="4" t="s">
        <v>22</v>
      </c>
      <c r="C591" s="5">
        <v>45907.793749999997</v>
      </c>
      <c r="D591" s="4" t="s">
        <v>23</v>
      </c>
      <c r="E591" s="8" t="s">
        <v>29</v>
      </c>
      <c r="F591" t="str">
        <f t="shared" si="9"/>
        <v>Sunday</v>
      </c>
      <c r="G591" t="str">
        <f>VLOOKUP(B591,cabang!A:C,2,FALSE)</f>
        <v>Warung Selera Nusantara - Margonda</v>
      </c>
    </row>
    <row r="592" spans="1:7" x14ac:dyDescent="0.35">
      <c r="A592" s="7" t="s">
        <v>625</v>
      </c>
      <c r="B592" s="4" t="s">
        <v>43</v>
      </c>
      <c r="C592" s="5">
        <v>45908.356944444437</v>
      </c>
      <c r="D592" s="4" t="s">
        <v>28</v>
      </c>
      <c r="E592" s="8" t="s">
        <v>24</v>
      </c>
      <c r="F592" t="str">
        <f t="shared" si="9"/>
        <v>Monday</v>
      </c>
      <c r="G592" t="str">
        <f>VLOOKUP(B592,cabang!A:C,2,FALSE)</f>
        <v>Warung Selera Nusantara - Dago</v>
      </c>
    </row>
    <row r="593" spans="1:7" x14ac:dyDescent="0.35">
      <c r="A593" s="7" t="s">
        <v>626</v>
      </c>
      <c r="B593" s="4" t="s">
        <v>22</v>
      </c>
      <c r="C593" s="5">
        <v>45908.686805555553</v>
      </c>
      <c r="D593" s="4" t="s">
        <v>23</v>
      </c>
      <c r="E593" s="8" t="s">
        <v>29</v>
      </c>
      <c r="F593" t="str">
        <f t="shared" si="9"/>
        <v>Monday</v>
      </c>
      <c r="G593" t="str">
        <f>VLOOKUP(B593,cabang!A:C,2,FALSE)</f>
        <v>Warung Selera Nusantara - Margonda</v>
      </c>
    </row>
    <row r="594" spans="1:7" x14ac:dyDescent="0.35">
      <c r="A594" s="7" t="s">
        <v>627</v>
      </c>
      <c r="B594" s="4" t="s">
        <v>31</v>
      </c>
      <c r="C594" s="5">
        <v>45908.809027777781</v>
      </c>
      <c r="D594" s="4" t="s">
        <v>23</v>
      </c>
      <c r="E594" s="8" t="s">
        <v>24</v>
      </c>
      <c r="F594" t="str">
        <f t="shared" si="9"/>
        <v>Monday</v>
      </c>
      <c r="G594" t="str">
        <f>VLOOKUP(B594,cabang!A:C,2,FALSE)</f>
        <v>Warung Selera Nusantara - Sudirman</v>
      </c>
    </row>
    <row r="595" spans="1:7" x14ac:dyDescent="0.35">
      <c r="A595" s="7" t="s">
        <v>628</v>
      </c>
      <c r="B595" s="4" t="s">
        <v>43</v>
      </c>
      <c r="C595" s="5">
        <v>45909.311805555553</v>
      </c>
      <c r="D595" s="4" t="s">
        <v>23</v>
      </c>
      <c r="E595" s="8" t="s">
        <v>24</v>
      </c>
      <c r="F595" t="str">
        <f t="shared" si="9"/>
        <v>Tuesday</v>
      </c>
      <c r="G595" t="str">
        <f>VLOOKUP(B595,cabang!A:C,2,FALSE)</f>
        <v>Warung Selera Nusantara - Dago</v>
      </c>
    </row>
    <row r="596" spans="1:7" x14ac:dyDescent="0.35">
      <c r="A596" s="7" t="s">
        <v>629</v>
      </c>
      <c r="B596" s="4" t="s">
        <v>43</v>
      </c>
      <c r="C596" s="5">
        <v>45909.743750000001</v>
      </c>
      <c r="D596" s="4" t="s">
        <v>23</v>
      </c>
      <c r="E596" s="8" t="s">
        <v>24</v>
      </c>
      <c r="F596" t="str">
        <f t="shared" si="9"/>
        <v>Tuesday</v>
      </c>
      <c r="G596" t="str">
        <f>VLOOKUP(B596,cabang!A:C,2,FALSE)</f>
        <v>Warung Selera Nusantara - Dago</v>
      </c>
    </row>
    <row r="597" spans="1:7" x14ac:dyDescent="0.35">
      <c r="A597" s="7" t="s">
        <v>630</v>
      </c>
      <c r="B597" s="4" t="s">
        <v>31</v>
      </c>
      <c r="C597" s="5">
        <v>45910.480555555558</v>
      </c>
      <c r="D597" s="4" t="s">
        <v>23</v>
      </c>
      <c r="E597" s="8" t="s">
        <v>29</v>
      </c>
      <c r="F597" t="str">
        <f t="shared" si="9"/>
        <v>Wednesday</v>
      </c>
      <c r="G597" t="str">
        <f>VLOOKUP(B597,cabang!A:C,2,FALSE)</f>
        <v>Warung Selera Nusantara - Sudirman</v>
      </c>
    </row>
    <row r="598" spans="1:7" x14ac:dyDescent="0.35">
      <c r="A598" s="7" t="s">
        <v>631</v>
      </c>
      <c r="B598" s="4" t="s">
        <v>27</v>
      </c>
      <c r="C598" s="5">
        <v>45910.518055555563</v>
      </c>
      <c r="D598" s="4" t="s">
        <v>23</v>
      </c>
      <c r="E598" s="8" t="s">
        <v>29</v>
      </c>
      <c r="F598" t="str">
        <f t="shared" si="9"/>
        <v>Wednesday</v>
      </c>
      <c r="G598" t="str">
        <f>VLOOKUP(B598,cabang!A:C,2,FALSE)</f>
        <v>Warung Selera Nusantara - Tunjungan</v>
      </c>
    </row>
    <row r="599" spans="1:7" x14ac:dyDescent="0.35">
      <c r="A599" s="7" t="s">
        <v>632</v>
      </c>
      <c r="B599" s="4" t="s">
        <v>31</v>
      </c>
      <c r="C599" s="5">
        <v>45910.575694444437</v>
      </c>
      <c r="D599" s="4" t="s">
        <v>23</v>
      </c>
      <c r="E599" s="8" t="s">
        <v>33</v>
      </c>
      <c r="F599" t="str">
        <f t="shared" si="9"/>
        <v>Wednesday</v>
      </c>
      <c r="G599" t="str">
        <f>VLOOKUP(B599,cabang!A:C,2,FALSE)</f>
        <v>Warung Selera Nusantara - Sudirman</v>
      </c>
    </row>
    <row r="600" spans="1:7" x14ac:dyDescent="0.35">
      <c r="A600" s="7" t="s">
        <v>633</v>
      </c>
      <c r="B600" s="4" t="s">
        <v>31</v>
      </c>
      <c r="C600" s="5">
        <v>45910.789583333331</v>
      </c>
      <c r="D600" s="4" t="s">
        <v>23</v>
      </c>
      <c r="E600" s="8" t="s">
        <v>24</v>
      </c>
      <c r="F600" t="str">
        <f t="shared" si="9"/>
        <v>Wednesday</v>
      </c>
      <c r="G600" t="str">
        <f>VLOOKUP(B600,cabang!A:C,2,FALSE)</f>
        <v>Warung Selera Nusantara - Sudirman</v>
      </c>
    </row>
    <row r="601" spans="1:7" x14ac:dyDescent="0.35">
      <c r="A601" s="7" t="s">
        <v>634</v>
      </c>
      <c r="B601" s="4" t="s">
        <v>43</v>
      </c>
      <c r="C601" s="5">
        <v>45911.292361111111</v>
      </c>
      <c r="D601" s="4" t="s">
        <v>44</v>
      </c>
      <c r="E601" s="8" t="s">
        <v>24</v>
      </c>
      <c r="F601" t="str">
        <f t="shared" si="9"/>
        <v>Thursday</v>
      </c>
      <c r="G601" t="str">
        <f>VLOOKUP(B601,cabang!A:C,2,FALSE)</f>
        <v>Warung Selera Nusantara - Dago</v>
      </c>
    </row>
    <row r="602" spans="1:7" x14ac:dyDescent="0.35">
      <c r="A602" s="7" t="s">
        <v>635</v>
      </c>
      <c r="B602" s="4" t="s">
        <v>43</v>
      </c>
      <c r="C602" s="5">
        <v>45911.323611111111</v>
      </c>
      <c r="D602" s="4" t="s">
        <v>28</v>
      </c>
      <c r="E602" s="8" t="s">
        <v>33</v>
      </c>
      <c r="F602" t="str">
        <f t="shared" si="9"/>
        <v>Thursday</v>
      </c>
      <c r="G602" t="str">
        <f>VLOOKUP(B602,cabang!A:C,2,FALSE)</f>
        <v>Warung Selera Nusantara - Dago</v>
      </c>
    </row>
    <row r="603" spans="1:7" x14ac:dyDescent="0.35">
      <c r="A603" s="7" t="s">
        <v>636</v>
      </c>
      <c r="B603" s="4" t="s">
        <v>43</v>
      </c>
      <c r="C603" s="5">
        <v>45912.45208333333</v>
      </c>
      <c r="D603" s="4" t="s">
        <v>28</v>
      </c>
      <c r="E603" s="8" t="s">
        <v>24</v>
      </c>
      <c r="F603" t="str">
        <f t="shared" si="9"/>
        <v>Friday</v>
      </c>
      <c r="G603" t="str">
        <f>VLOOKUP(B603,cabang!A:C,2,FALSE)</f>
        <v>Warung Selera Nusantara - Dago</v>
      </c>
    </row>
    <row r="604" spans="1:7" x14ac:dyDescent="0.35">
      <c r="A604" s="7" t="s">
        <v>637</v>
      </c>
      <c r="B604" s="4" t="s">
        <v>22</v>
      </c>
      <c r="C604" s="5">
        <v>45912.519444444442</v>
      </c>
      <c r="D604" s="4" t="s">
        <v>28</v>
      </c>
      <c r="E604" s="8" t="s">
        <v>33</v>
      </c>
      <c r="F604" t="str">
        <f t="shared" si="9"/>
        <v>Friday</v>
      </c>
      <c r="G604" t="str">
        <f>VLOOKUP(B604,cabang!A:C,2,FALSE)</f>
        <v>Warung Selera Nusantara - Margonda</v>
      </c>
    </row>
    <row r="605" spans="1:7" x14ac:dyDescent="0.35">
      <c r="A605" s="7" t="s">
        <v>638</v>
      </c>
      <c r="B605" s="4" t="s">
        <v>31</v>
      </c>
      <c r="C605" s="5">
        <v>45912.620138888888</v>
      </c>
      <c r="D605" s="4" t="s">
        <v>23</v>
      </c>
      <c r="E605" s="8" t="s">
        <v>24</v>
      </c>
      <c r="F605" t="str">
        <f t="shared" si="9"/>
        <v>Friday</v>
      </c>
      <c r="G605" t="str">
        <f>VLOOKUP(B605,cabang!A:C,2,FALSE)</f>
        <v>Warung Selera Nusantara - Sudirman</v>
      </c>
    </row>
    <row r="606" spans="1:7" x14ac:dyDescent="0.35">
      <c r="A606" s="7" t="s">
        <v>639</v>
      </c>
      <c r="B606" s="4" t="s">
        <v>27</v>
      </c>
      <c r="C606" s="5">
        <v>45912.852777777778</v>
      </c>
      <c r="D606" s="4" t="s">
        <v>23</v>
      </c>
      <c r="E606" s="8" t="s">
        <v>33</v>
      </c>
      <c r="F606" t="str">
        <f t="shared" si="9"/>
        <v>Friday</v>
      </c>
      <c r="G606" t="str">
        <f>VLOOKUP(B606,cabang!A:C,2,FALSE)</f>
        <v>Warung Selera Nusantara - Tunjungan</v>
      </c>
    </row>
    <row r="607" spans="1:7" x14ac:dyDescent="0.35">
      <c r="A607" s="7" t="s">
        <v>640</v>
      </c>
      <c r="B607" s="4" t="s">
        <v>43</v>
      </c>
      <c r="C607" s="5">
        <v>45913.461805555547</v>
      </c>
      <c r="D607" s="4" t="s">
        <v>23</v>
      </c>
      <c r="E607" s="8" t="s">
        <v>29</v>
      </c>
      <c r="F607" t="str">
        <f t="shared" si="9"/>
        <v>Saturday</v>
      </c>
      <c r="G607" t="str">
        <f>VLOOKUP(B607,cabang!A:C,2,FALSE)</f>
        <v>Warung Selera Nusantara - Dago</v>
      </c>
    </row>
    <row r="608" spans="1:7" x14ac:dyDescent="0.35">
      <c r="A608" s="7" t="s">
        <v>641</v>
      </c>
      <c r="B608" s="4" t="s">
        <v>31</v>
      </c>
      <c r="C608" s="5">
        <v>45913.515972222223</v>
      </c>
      <c r="D608" s="4" t="s">
        <v>23</v>
      </c>
      <c r="E608" s="8" t="s">
        <v>33</v>
      </c>
      <c r="F608" t="str">
        <f t="shared" si="9"/>
        <v>Saturday</v>
      </c>
      <c r="G608" t="str">
        <f>VLOOKUP(B608,cabang!A:C,2,FALSE)</f>
        <v>Warung Selera Nusantara - Sudirman</v>
      </c>
    </row>
    <row r="609" spans="1:7" x14ac:dyDescent="0.35">
      <c r="A609" s="7" t="s">
        <v>642</v>
      </c>
      <c r="B609" s="4" t="s">
        <v>22</v>
      </c>
      <c r="C609" s="5">
        <v>45913.59652777778</v>
      </c>
      <c r="D609" s="4" t="s">
        <v>23</v>
      </c>
      <c r="E609" s="8" t="s">
        <v>29</v>
      </c>
      <c r="F609" t="str">
        <f t="shared" si="9"/>
        <v>Saturday</v>
      </c>
      <c r="G609" t="str">
        <f>VLOOKUP(B609,cabang!A:C,2,FALSE)</f>
        <v>Warung Selera Nusantara - Margonda</v>
      </c>
    </row>
    <row r="610" spans="1:7" x14ac:dyDescent="0.35">
      <c r="A610" s="7" t="s">
        <v>643</v>
      </c>
      <c r="B610" s="4" t="s">
        <v>43</v>
      </c>
      <c r="C610" s="5">
        <v>45914.464583333327</v>
      </c>
      <c r="D610" s="4" t="s">
        <v>23</v>
      </c>
      <c r="E610" s="8" t="s">
        <v>29</v>
      </c>
      <c r="F610" t="str">
        <f t="shared" si="9"/>
        <v>Sunday</v>
      </c>
      <c r="G610" t="str">
        <f>VLOOKUP(B610,cabang!A:C,2,FALSE)</f>
        <v>Warung Selera Nusantara - Dago</v>
      </c>
    </row>
    <row r="611" spans="1:7" x14ac:dyDescent="0.35">
      <c r="A611" s="7" t="s">
        <v>644</v>
      </c>
      <c r="B611" s="4" t="s">
        <v>22</v>
      </c>
      <c r="C611" s="5">
        <v>45914.62222222222</v>
      </c>
      <c r="D611" s="4" t="s">
        <v>44</v>
      </c>
      <c r="E611" s="8" t="s">
        <v>33</v>
      </c>
      <c r="F611" t="str">
        <f t="shared" si="9"/>
        <v>Sunday</v>
      </c>
      <c r="G611" t="str">
        <f>VLOOKUP(B611,cabang!A:C,2,FALSE)</f>
        <v>Warung Selera Nusantara - Margonda</v>
      </c>
    </row>
    <row r="612" spans="1:7" x14ac:dyDescent="0.35">
      <c r="A612" s="7" t="s">
        <v>645</v>
      </c>
      <c r="B612" s="4" t="s">
        <v>22</v>
      </c>
      <c r="C612" s="5">
        <v>45915.845833333333</v>
      </c>
      <c r="D612" s="4" t="s">
        <v>23</v>
      </c>
      <c r="E612" s="8" t="s">
        <v>38</v>
      </c>
      <c r="F612" t="str">
        <f t="shared" si="9"/>
        <v>Monday</v>
      </c>
      <c r="G612" t="str">
        <f>VLOOKUP(B612,cabang!A:C,2,FALSE)</f>
        <v>Warung Selera Nusantara - Margonda</v>
      </c>
    </row>
    <row r="613" spans="1:7" x14ac:dyDescent="0.35">
      <c r="A613" s="7" t="s">
        <v>646</v>
      </c>
      <c r="B613" s="4" t="s">
        <v>31</v>
      </c>
      <c r="C613" s="5">
        <v>45916.383333333331</v>
      </c>
      <c r="D613" s="4" t="s">
        <v>28</v>
      </c>
      <c r="E613" s="8" t="s">
        <v>29</v>
      </c>
      <c r="F613" t="str">
        <f t="shared" si="9"/>
        <v>Tuesday</v>
      </c>
      <c r="G613" t="str">
        <f>VLOOKUP(B613,cabang!A:C,2,FALSE)</f>
        <v>Warung Selera Nusantara - Sudirman</v>
      </c>
    </row>
    <row r="614" spans="1:7" x14ac:dyDescent="0.35">
      <c r="A614" s="7" t="s">
        <v>647</v>
      </c>
      <c r="B614" s="4" t="s">
        <v>22</v>
      </c>
      <c r="C614" s="5">
        <v>45916.854861111111</v>
      </c>
      <c r="D614" s="4" t="s">
        <v>23</v>
      </c>
      <c r="E614" s="8" t="s">
        <v>24</v>
      </c>
      <c r="F614" t="str">
        <f t="shared" si="9"/>
        <v>Tuesday</v>
      </c>
      <c r="G614" t="str">
        <f>VLOOKUP(B614,cabang!A:C,2,FALSE)</f>
        <v>Warung Selera Nusantara - Margonda</v>
      </c>
    </row>
    <row r="615" spans="1:7" x14ac:dyDescent="0.35">
      <c r="A615" s="7" t="s">
        <v>648</v>
      </c>
      <c r="B615" s="4" t="s">
        <v>31</v>
      </c>
      <c r="C615" s="5">
        <v>45916.870833333327</v>
      </c>
      <c r="D615" s="4" t="s">
        <v>23</v>
      </c>
      <c r="E615" s="8" t="s">
        <v>38</v>
      </c>
      <c r="F615" t="str">
        <f t="shared" si="9"/>
        <v>Tuesday</v>
      </c>
      <c r="G615" t="str">
        <f>VLOOKUP(B615,cabang!A:C,2,FALSE)</f>
        <v>Warung Selera Nusantara - Sudirman</v>
      </c>
    </row>
    <row r="616" spans="1:7" x14ac:dyDescent="0.35">
      <c r="A616" s="7" t="s">
        <v>649</v>
      </c>
      <c r="B616" s="4" t="s">
        <v>31</v>
      </c>
      <c r="C616" s="5">
        <v>45917.503472222219</v>
      </c>
      <c r="D616" s="4" t="s">
        <v>23</v>
      </c>
      <c r="E616" s="8" t="s">
        <v>33</v>
      </c>
      <c r="F616" t="str">
        <f t="shared" si="9"/>
        <v>Wednesday</v>
      </c>
      <c r="G616" t="str">
        <f>VLOOKUP(B616,cabang!A:C,2,FALSE)</f>
        <v>Warung Selera Nusantara - Sudirman</v>
      </c>
    </row>
    <row r="617" spans="1:7" x14ac:dyDescent="0.35">
      <c r="A617" s="7" t="s">
        <v>650</v>
      </c>
      <c r="B617" s="4" t="s">
        <v>27</v>
      </c>
      <c r="C617" s="5">
        <v>45917.611805555563</v>
      </c>
      <c r="D617" s="4" t="s">
        <v>23</v>
      </c>
      <c r="E617" s="8" t="s">
        <v>24</v>
      </c>
      <c r="F617" t="str">
        <f t="shared" si="9"/>
        <v>Wednesday</v>
      </c>
      <c r="G617" t="str">
        <f>VLOOKUP(B617,cabang!A:C,2,FALSE)</f>
        <v>Warung Selera Nusantara - Tunjungan</v>
      </c>
    </row>
    <row r="618" spans="1:7" x14ac:dyDescent="0.35">
      <c r="A618" s="7" t="s">
        <v>651</v>
      </c>
      <c r="B618" s="4" t="s">
        <v>31</v>
      </c>
      <c r="C618" s="5">
        <v>45917.792361111111</v>
      </c>
      <c r="D618" s="4" t="s">
        <v>23</v>
      </c>
      <c r="E618" s="8" t="s">
        <v>33</v>
      </c>
      <c r="F618" t="str">
        <f t="shared" si="9"/>
        <v>Wednesday</v>
      </c>
      <c r="G618" t="str">
        <f>VLOOKUP(B618,cabang!A:C,2,FALSE)</f>
        <v>Warung Selera Nusantara - Sudirman</v>
      </c>
    </row>
    <row r="619" spans="1:7" x14ac:dyDescent="0.35">
      <c r="A619" s="7" t="s">
        <v>652</v>
      </c>
      <c r="B619" s="4" t="s">
        <v>22</v>
      </c>
      <c r="C619" s="5">
        <v>45918.447222222218</v>
      </c>
      <c r="D619" s="4" t="s">
        <v>23</v>
      </c>
      <c r="E619" s="8" t="s">
        <v>33</v>
      </c>
      <c r="F619" t="str">
        <f t="shared" si="9"/>
        <v>Thursday</v>
      </c>
      <c r="G619" t="str">
        <f>VLOOKUP(B619,cabang!A:C,2,FALSE)</f>
        <v>Warung Selera Nusantara - Margonda</v>
      </c>
    </row>
    <row r="620" spans="1:7" x14ac:dyDescent="0.35">
      <c r="A620" s="7" t="s">
        <v>653</v>
      </c>
      <c r="B620" s="4" t="s">
        <v>43</v>
      </c>
      <c r="C620" s="5">
        <v>45918.504861111112</v>
      </c>
      <c r="D620" s="4" t="s">
        <v>28</v>
      </c>
      <c r="E620" s="8" t="s">
        <v>29</v>
      </c>
      <c r="F620" t="str">
        <f t="shared" si="9"/>
        <v>Thursday</v>
      </c>
      <c r="G620" t="str">
        <f>VLOOKUP(B620,cabang!A:C,2,FALSE)</f>
        <v>Warung Selera Nusantara - Dago</v>
      </c>
    </row>
    <row r="621" spans="1:7" x14ac:dyDescent="0.35">
      <c r="A621" s="7" t="s">
        <v>654</v>
      </c>
      <c r="B621" s="4" t="s">
        <v>27</v>
      </c>
      <c r="C621" s="5">
        <v>45918.520833333343</v>
      </c>
      <c r="D621" s="4" t="s">
        <v>23</v>
      </c>
      <c r="E621" s="8" t="s">
        <v>38</v>
      </c>
      <c r="F621" t="str">
        <f t="shared" si="9"/>
        <v>Thursday</v>
      </c>
      <c r="G621" t="str">
        <f>VLOOKUP(B621,cabang!A:C,2,FALSE)</f>
        <v>Warung Selera Nusantara - Tunjungan</v>
      </c>
    </row>
    <row r="622" spans="1:7" x14ac:dyDescent="0.35">
      <c r="A622" s="7" t="s">
        <v>655</v>
      </c>
      <c r="B622" s="4" t="s">
        <v>22</v>
      </c>
      <c r="C622" s="5">
        <v>45918.837500000001</v>
      </c>
      <c r="D622" s="4" t="s">
        <v>23</v>
      </c>
      <c r="E622" s="8" t="s">
        <v>29</v>
      </c>
      <c r="F622" t="str">
        <f t="shared" si="9"/>
        <v>Thursday</v>
      </c>
      <c r="G622" t="str">
        <f>VLOOKUP(B622,cabang!A:C,2,FALSE)</f>
        <v>Warung Selera Nusantara - Margonda</v>
      </c>
    </row>
    <row r="623" spans="1:7" x14ac:dyDescent="0.35">
      <c r="A623" s="7" t="s">
        <v>656</v>
      </c>
      <c r="B623" s="4" t="s">
        <v>27</v>
      </c>
      <c r="C623" s="5">
        <v>45919.533333333333</v>
      </c>
      <c r="D623" s="4" t="s">
        <v>44</v>
      </c>
      <c r="E623" s="8" t="s">
        <v>24</v>
      </c>
      <c r="F623" t="str">
        <f t="shared" si="9"/>
        <v>Friday</v>
      </c>
      <c r="G623" t="str">
        <f>VLOOKUP(B623,cabang!A:C,2,FALSE)</f>
        <v>Warung Selera Nusantara - Tunjungan</v>
      </c>
    </row>
    <row r="624" spans="1:7" x14ac:dyDescent="0.35">
      <c r="A624" s="7" t="s">
        <v>657</v>
      </c>
      <c r="B624" s="4" t="s">
        <v>43</v>
      </c>
      <c r="C624" s="5">
        <v>45919.834722222222</v>
      </c>
      <c r="D624" s="4" t="s">
        <v>44</v>
      </c>
      <c r="E624" s="8" t="s">
        <v>38</v>
      </c>
      <c r="F624" t="str">
        <f t="shared" si="9"/>
        <v>Friday</v>
      </c>
      <c r="G624" t="str">
        <f>VLOOKUP(B624,cabang!A:C,2,FALSE)</f>
        <v>Warung Selera Nusantara - Dago</v>
      </c>
    </row>
    <row r="625" spans="1:7" x14ac:dyDescent="0.35">
      <c r="A625" s="7" t="s">
        <v>658</v>
      </c>
      <c r="B625" s="4" t="s">
        <v>27</v>
      </c>
      <c r="C625" s="5">
        <v>45920.406944444447</v>
      </c>
      <c r="D625" s="4" t="s">
        <v>28</v>
      </c>
      <c r="E625" s="8" t="s">
        <v>33</v>
      </c>
      <c r="F625" t="str">
        <f t="shared" si="9"/>
        <v>Saturday</v>
      </c>
      <c r="G625" t="str">
        <f>VLOOKUP(B625,cabang!A:C,2,FALSE)</f>
        <v>Warung Selera Nusantara - Tunjungan</v>
      </c>
    </row>
    <row r="626" spans="1:7" x14ac:dyDescent="0.35">
      <c r="A626" s="7" t="s">
        <v>659</v>
      </c>
      <c r="B626" s="4" t="s">
        <v>43</v>
      </c>
      <c r="C626" s="5">
        <v>45921.548611111109</v>
      </c>
      <c r="D626" s="4" t="s">
        <v>23</v>
      </c>
      <c r="E626" s="8" t="s">
        <v>38</v>
      </c>
      <c r="F626" t="str">
        <f t="shared" si="9"/>
        <v>Sunday</v>
      </c>
      <c r="G626" t="str">
        <f>VLOOKUP(B626,cabang!A:C,2,FALSE)</f>
        <v>Warung Selera Nusantara - Dago</v>
      </c>
    </row>
    <row r="627" spans="1:7" x14ac:dyDescent="0.35">
      <c r="A627" s="7" t="s">
        <v>660</v>
      </c>
      <c r="B627" s="4" t="s">
        <v>22</v>
      </c>
      <c r="C627" s="5">
        <v>45921.697222222218</v>
      </c>
      <c r="D627" s="4" t="s">
        <v>23</v>
      </c>
      <c r="E627" s="8" t="s">
        <v>33</v>
      </c>
      <c r="F627" t="str">
        <f t="shared" si="9"/>
        <v>Sunday</v>
      </c>
      <c r="G627" t="str">
        <f>VLOOKUP(B627,cabang!A:C,2,FALSE)</f>
        <v>Warung Selera Nusantara - Margonda</v>
      </c>
    </row>
    <row r="628" spans="1:7" x14ac:dyDescent="0.35">
      <c r="A628" s="7" t="s">
        <v>661</v>
      </c>
      <c r="B628" s="4" t="s">
        <v>27</v>
      </c>
      <c r="C628" s="5">
        <v>45921.707638888889</v>
      </c>
      <c r="D628" s="4" t="s">
        <v>23</v>
      </c>
      <c r="E628" s="8" t="s">
        <v>38</v>
      </c>
      <c r="F628" t="str">
        <f t="shared" si="9"/>
        <v>Sunday</v>
      </c>
      <c r="G628" t="str">
        <f>VLOOKUP(B628,cabang!A:C,2,FALSE)</f>
        <v>Warung Selera Nusantara - Tunjungan</v>
      </c>
    </row>
    <row r="629" spans="1:7" x14ac:dyDescent="0.35">
      <c r="A629" s="7" t="s">
        <v>662</v>
      </c>
      <c r="B629" s="4" t="s">
        <v>43</v>
      </c>
      <c r="C629" s="5">
        <v>45921.753472222219</v>
      </c>
      <c r="D629" s="4" t="s">
        <v>44</v>
      </c>
      <c r="E629" s="8" t="s">
        <v>33</v>
      </c>
      <c r="F629" t="str">
        <f t="shared" si="9"/>
        <v>Sunday</v>
      </c>
      <c r="G629" t="str">
        <f>VLOOKUP(B629,cabang!A:C,2,FALSE)</f>
        <v>Warung Selera Nusantara - Dago</v>
      </c>
    </row>
    <row r="630" spans="1:7" x14ac:dyDescent="0.35">
      <c r="A630" s="7" t="s">
        <v>663</v>
      </c>
      <c r="B630" s="4" t="s">
        <v>31</v>
      </c>
      <c r="C630" s="5">
        <v>45921.768055555563</v>
      </c>
      <c r="D630" s="4" t="s">
        <v>44</v>
      </c>
      <c r="E630" s="8" t="s">
        <v>33</v>
      </c>
      <c r="F630" t="str">
        <f t="shared" si="9"/>
        <v>Sunday</v>
      </c>
      <c r="G630" t="str">
        <f>VLOOKUP(B630,cabang!A:C,2,FALSE)</f>
        <v>Warung Selera Nusantara - Sudirman</v>
      </c>
    </row>
    <row r="631" spans="1:7" x14ac:dyDescent="0.35">
      <c r="A631" s="7" t="s">
        <v>664</v>
      </c>
      <c r="B631" s="4" t="s">
        <v>27</v>
      </c>
      <c r="C631" s="5">
        <v>45922.728472222218</v>
      </c>
      <c r="D631" s="4" t="s">
        <v>23</v>
      </c>
      <c r="E631" s="8" t="s">
        <v>24</v>
      </c>
      <c r="F631" t="str">
        <f t="shared" si="9"/>
        <v>Monday</v>
      </c>
      <c r="G631" t="str">
        <f>VLOOKUP(B631,cabang!A:C,2,FALSE)</f>
        <v>Warung Selera Nusantara - Tunjungan</v>
      </c>
    </row>
    <row r="632" spans="1:7" x14ac:dyDescent="0.35">
      <c r="A632" s="7" t="s">
        <v>665</v>
      </c>
      <c r="B632" s="4" t="s">
        <v>31</v>
      </c>
      <c r="C632" s="5">
        <v>45922.769444444442</v>
      </c>
      <c r="D632" s="4" t="s">
        <v>23</v>
      </c>
      <c r="E632" s="8" t="s">
        <v>29</v>
      </c>
      <c r="F632" t="str">
        <f t="shared" si="9"/>
        <v>Monday</v>
      </c>
      <c r="G632" t="str">
        <f>VLOOKUP(B632,cabang!A:C,2,FALSE)</f>
        <v>Warung Selera Nusantara - Sudirman</v>
      </c>
    </row>
    <row r="633" spans="1:7" x14ac:dyDescent="0.35">
      <c r="A633" s="7" t="s">
        <v>666</v>
      </c>
      <c r="B633" s="4" t="s">
        <v>43</v>
      </c>
      <c r="C633" s="5">
        <v>45922.790277777778</v>
      </c>
      <c r="D633" s="4" t="s">
        <v>23</v>
      </c>
      <c r="E633" s="8" t="s">
        <v>24</v>
      </c>
      <c r="F633" t="str">
        <f t="shared" si="9"/>
        <v>Monday</v>
      </c>
      <c r="G633" t="str">
        <f>VLOOKUP(B633,cabang!A:C,2,FALSE)</f>
        <v>Warung Selera Nusantara - Dago</v>
      </c>
    </row>
    <row r="634" spans="1:7" x14ac:dyDescent="0.35">
      <c r="A634" s="7" t="s">
        <v>667</v>
      </c>
      <c r="B634" s="4" t="s">
        <v>43</v>
      </c>
      <c r="C634" s="5">
        <v>45923.423611111109</v>
      </c>
      <c r="D634" s="4" t="s">
        <v>23</v>
      </c>
      <c r="E634" s="8" t="s">
        <v>24</v>
      </c>
      <c r="F634" t="str">
        <f t="shared" si="9"/>
        <v>Tuesday</v>
      </c>
      <c r="G634" t="str">
        <f>VLOOKUP(B634,cabang!A:C,2,FALSE)</f>
        <v>Warung Selera Nusantara - Dago</v>
      </c>
    </row>
    <row r="635" spans="1:7" x14ac:dyDescent="0.35">
      <c r="A635" s="7" t="s">
        <v>668</v>
      </c>
      <c r="B635" s="4" t="s">
        <v>43</v>
      </c>
      <c r="C635" s="5">
        <v>45923.4375</v>
      </c>
      <c r="D635" s="4" t="s">
        <v>23</v>
      </c>
      <c r="E635" s="8" t="s">
        <v>33</v>
      </c>
      <c r="F635" t="str">
        <f t="shared" si="9"/>
        <v>Tuesday</v>
      </c>
      <c r="G635" t="str">
        <f>VLOOKUP(B635,cabang!A:C,2,FALSE)</f>
        <v>Warung Selera Nusantara - Dago</v>
      </c>
    </row>
    <row r="636" spans="1:7" x14ac:dyDescent="0.35">
      <c r="A636" s="7" t="s">
        <v>669</v>
      </c>
      <c r="B636" s="4" t="s">
        <v>22</v>
      </c>
      <c r="C636" s="5">
        <v>45923.70416666667</v>
      </c>
      <c r="D636" s="4" t="s">
        <v>28</v>
      </c>
      <c r="E636" s="8" t="s">
        <v>24</v>
      </c>
      <c r="F636" t="str">
        <f t="shared" si="9"/>
        <v>Tuesday</v>
      </c>
      <c r="G636" t="str">
        <f>VLOOKUP(B636,cabang!A:C,2,FALSE)</f>
        <v>Warung Selera Nusantara - Margonda</v>
      </c>
    </row>
    <row r="637" spans="1:7" x14ac:dyDescent="0.35">
      <c r="A637" s="7" t="s">
        <v>670</v>
      </c>
      <c r="B637" s="4" t="s">
        <v>31</v>
      </c>
      <c r="C637" s="5">
        <v>45924.865277777782</v>
      </c>
      <c r="D637" s="4" t="s">
        <v>23</v>
      </c>
      <c r="E637" s="8" t="s">
        <v>24</v>
      </c>
      <c r="F637" t="str">
        <f t="shared" si="9"/>
        <v>Wednesday</v>
      </c>
      <c r="G637" t="str">
        <f>VLOOKUP(B637,cabang!A:C,2,FALSE)</f>
        <v>Warung Selera Nusantara - Sudirman</v>
      </c>
    </row>
    <row r="638" spans="1:7" x14ac:dyDescent="0.35">
      <c r="A638" s="7" t="s">
        <v>671</v>
      </c>
      <c r="B638" s="4" t="s">
        <v>31</v>
      </c>
      <c r="C638" s="5">
        <v>45925.897222222222</v>
      </c>
      <c r="D638" s="4" t="s">
        <v>23</v>
      </c>
      <c r="E638" s="8" t="s">
        <v>29</v>
      </c>
      <c r="F638" t="str">
        <f t="shared" si="9"/>
        <v>Thursday</v>
      </c>
      <c r="G638" t="str">
        <f>VLOOKUP(B638,cabang!A:C,2,FALSE)</f>
        <v>Warung Selera Nusantara - Sudirman</v>
      </c>
    </row>
    <row r="639" spans="1:7" x14ac:dyDescent="0.35">
      <c r="A639" s="7" t="s">
        <v>672</v>
      </c>
      <c r="B639" s="4" t="s">
        <v>31</v>
      </c>
      <c r="C639" s="5">
        <v>45926.454861111109</v>
      </c>
      <c r="D639" s="4" t="s">
        <v>28</v>
      </c>
      <c r="E639" s="8" t="s">
        <v>29</v>
      </c>
      <c r="F639" t="str">
        <f t="shared" si="9"/>
        <v>Friday</v>
      </c>
      <c r="G639" t="str">
        <f>VLOOKUP(B639,cabang!A:C,2,FALSE)</f>
        <v>Warung Selera Nusantara - Sudirman</v>
      </c>
    </row>
    <row r="640" spans="1:7" x14ac:dyDescent="0.35">
      <c r="A640" s="7" t="s">
        <v>673</v>
      </c>
      <c r="B640" s="4" t="s">
        <v>22</v>
      </c>
      <c r="C640" s="5">
        <v>45926.480555555558</v>
      </c>
      <c r="D640" s="4" t="s">
        <v>23</v>
      </c>
      <c r="E640" s="8" t="s">
        <v>33</v>
      </c>
      <c r="F640" t="str">
        <f t="shared" si="9"/>
        <v>Friday</v>
      </c>
      <c r="G640" t="str">
        <f>VLOOKUP(B640,cabang!A:C,2,FALSE)</f>
        <v>Warung Selera Nusantara - Margonda</v>
      </c>
    </row>
    <row r="641" spans="1:7" x14ac:dyDescent="0.35">
      <c r="A641" s="7" t="s">
        <v>674</v>
      </c>
      <c r="B641" s="4" t="s">
        <v>31</v>
      </c>
      <c r="C641" s="5">
        <v>45926.553472222222</v>
      </c>
      <c r="D641" s="4" t="s">
        <v>44</v>
      </c>
      <c r="E641" s="8" t="s">
        <v>38</v>
      </c>
      <c r="F641" t="str">
        <f t="shared" si="9"/>
        <v>Friday</v>
      </c>
      <c r="G641" t="str">
        <f>VLOOKUP(B641,cabang!A:C,2,FALSE)</f>
        <v>Warung Selera Nusantara - Sudirman</v>
      </c>
    </row>
    <row r="642" spans="1:7" x14ac:dyDescent="0.35">
      <c r="A642" s="7" t="s">
        <v>675</v>
      </c>
      <c r="B642" s="4" t="s">
        <v>22</v>
      </c>
      <c r="C642" s="5">
        <v>45926.597916666673</v>
      </c>
      <c r="D642" s="4" t="s">
        <v>28</v>
      </c>
      <c r="E642" s="8" t="s">
        <v>33</v>
      </c>
      <c r="F642" t="str">
        <f t="shared" ref="F642:F705" si="10">TEXT(C642,"dddd")</f>
        <v>Friday</v>
      </c>
      <c r="G642" t="str">
        <f>VLOOKUP(B642,cabang!A:C,2,FALSE)</f>
        <v>Warung Selera Nusantara - Margonda</v>
      </c>
    </row>
    <row r="643" spans="1:7" x14ac:dyDescent="0.35">
      <c r="A643" s="7" t="s">
        <v>676</v>
      </c>
      <c r="B643" s="4" t="s">
        <v>31</v>
      </c>
      <c r="C643" s="5">
        <v>45927.456944444442</v>
      </c>
      <c r="D643" s="4" t="s">
        <v>23</v>
      </c>
      <c r="E643" s="8" t="s">
        <v>29</v>
      </c>
      <c r="F643" t="str">
        <f t="shared" si="10"/>
        <v>Saturday</v>
      </c>
      <c r="G643" t="str">
        <f>VLOOKUP(B643,cabang!A:C,2,FALSE)</f>
        <v>Warung Selera Nusantara - Sudirman</v>
      </c>
    </row>
    <row r="644" spans="1:7" x14ac:dyDescent="0.35">
      <c r="A644" s="7" t="s">
        <v>677</v>
      </c>
      <c r="B644" s="4" t="s">
        <v>43</v>
      </c>
      <c r="C644" s="5">
        <v>45927.474999999999</v>
      </c>
      <c r="D644" s="4" t="s">
        <v>23</v>
      </c>
      <c r="E644" s="8" t="s">
        <v>24</v>
      </c>
      <c r="F644" t="str">
        <f t="shared" si="10"/>
        <v>Saturday</v>
      </c>
      <c r="G644" t="str">
        <f>VLOOKUP(B644,cabang!A:C,2,FALSE)</f>
        <v>Warung Selera Nusantara - Dago</v>
      </c>
    </row>
    <row r="645" spans="1:7" x14ac:dyDescent="0.35">
      <c r="A645" s="7" t="s">
        <v>678</v>
      </c>
      <c r="B645" s="4" t="s">
        <v>43</v>
      </c>
      <c r="C645" s="5">
        <v>45927.754861111112</v>
      </c>
      <c r="D645" s="4" t="s">
        <v>23</v>
      </c>
      <c r="E645" s="8" t="s">
        <v>38</v>
      </c>
      <c r="F645" t="str">
        <f t="shared" si="10"/>
        <v>Saturday</v>
      </c>
      <c r="G645" t="str">
        <f>VLOOKUP(B645,cabang!A:C,2,FALSE)</f>
        <v>Warung Selera Nusantara - Dago</v>
      </c>
    </row>
    <row r="646" spans="1:7" x14ac:dyDescent="0.35">
      <c r="A646" s="7" t="s">
        <v>679</v>
      </c>
      <c r="B646" s="4" t="s">
        <v>31</v>
      </c>
      <c r="C646" s="5">
        <v>45927.82708333333</v>
      </c>
      <c r="D646" s="4" t="s">
        <v>23</v>
      </c>
      <c r="E646" s="8" t="s">
        <v>38</v>
      </c>
      <c r="F646" t="str">
        <f t="shared" si="10"/>
        <v>Saturday</v>
      </c>
      <c r="G646" t="str">
        <f>VLOOKUP(B646,cabang!A:C,2,FALSE)</f>
        <v>Warung Selera Nusantara - Sudirman</v>
      </c>
    </row>
    <row r="647" spans="1:7" x14ac:dyDescent="0.35">
      <c r="A647" s="7" t="s">
        <v>680</v>
      </c>
      <c r="B647" s="4" t="s">
        <v>22</v>
      </c>
      <c r="C647" s="5">
        <v>45927.849305555559</v>
      </c>
      <c r="D647" s="4" t="s">
        <v>23</v>
      </c>
      <c r="E647" s="8" t="s">
        <v>38</v>
      </c>
      <c r="F647" t="str">
        <f t="shared" si="10"/>
        <v>Saturday</v>
      </c>
      <c r="G647" t="str">
        <f>VLOOKUP(B647,cabang!A:C,2,FALSE)</f>
        <v>Warung Selera Nusantara - Margonda</v>
      </c>
    </row>
    <row r="648" spans="1:7" x14ac:dyDescent="0.35">
      <c r="A648" s="7" t="s">
        <v>681</v>
      </c>
      <c r="B648" s="4" t="s">
        <v>27</v>
      </c>
      <c r="C648" s="5">
        <v>45928.363888888889</v>
      </c>
      <c r="D648" s="4" t="s">
        <v>44</v>
      </c>
      <c r="E648" s="8" t="s">
        <v>24</v>
      </c>
      <c r="F648" t="str">
        <f t="shared" si="10"/>
        <v>Sunday</v>
      </c>
      <c r="G648" t="str">
        <f>VLOOKUP(B648,cabang!A:C,2,FALSE)</f>
        <v>Warung Selera Nusantara - Tunjungan</v>
      </c>
    </row>
    <row r="649" spans="1:7" x14ac:dyDescent="0.35">
      <c r="A649" s="7" t="s">
        <v>682</v>
      </c>
      <c r="B649" s="4" t="s">
        <v>22</v>
      </c>
      <c r="C649" s="5">
        <v>45928.811111111107</v>
      </c>
      <c r="D649" s="4" t="s">
        <v>23</v>
      </c>
      <c r="E649" s="8" t="s">
        <v>29</v>
      </c>
      <c r="F649" t="str">
        <f t="shared" si="10"/>
        <v>Sunday</v>
      </c>
      <c r="G649" t="str">
        <f>VLOOKUP(B649,cabang!A:C,2,FALSE)</f>
        <v>Warung Selera Nusantara - Margonda</v>
      </c>
    </row>
    <row r="650" spans="1:7" x14ac:dyDescent="0.35">
      <c r="A650" s="7" t="s">
        <v>683</v>
      </c>
      <c r="B650" s="4" t="s">
        <v>22</v>
      </c>
      <c r="C650" s="5">
        <v>45928.820138888892</v>
      </c>
      <c r="D650" s="4" t="s">
        <v>44</v>
      </c>
      <c r="E650" s="8" t="s">
        <v>24</v>
      </c>
      <c r="F650" t="str">
        <f t="shared" si="10"/>
        <v>Sunday</v>
      </c>
      <c r="G650" t="str">
        <f>VLOOKUP(B650,cabang!A:C,2,FALSE)</f>
        <v>Warung Selera Nusantara - Margonda</v>
      </c>
    </row>
    <row r="651" spans="1:7" x14ac:dyDescent="0.35">
      <c r="A651" s="7" t="s">
        <v>684</v>
      </c>
      <c r="B651" s="4" t="s">
        <v>31</v>
      </c>
      <c r="C651" s="5">
        <v>45928.871527777781</v>
      </c>
      <c r="D651" s="4" t="s">
        <v>44</v>
      </c>
      <c r="E651" s="8" t="s">
        <v>24</v>
      </c>
      <c r="F651" t="str">
        <f t="shared" si="10"/>
        <v>Sunday</v>
      </c>
      <c r="G651" t="str">
        <f>VLOOKUP(B651,cabang!A:C,2,FALSE)</f>
        <v>Warung Selera Nusantara - Sudirman</v>
      </c>
    </row>
    <row r="652" spans="1:7" x14ac:dyDescent="0.35">
      <c r="A652" s="7" t="s">
        <v>685</v>
      </c>
      <c r="B652" s="4" t="s">
        <v>22</v>
      </c>
      <c r="C652" s="5">
        <v>45930.563888888893</v>
      </c>
      <c r="D652" s="4" t="s">
        <v>28</v>
      </c>
      <c r="E652" s="8" t="s">
        <v>24</v>
      </c>
      <c r="F652" t="str">
        <f t="shared" si="10"/>
        <v>Tuesday</v>
      </c>
      <c r="G652" t="str">
        <f>VLOOKUP(B652,cabang!A:C,2,FALSE)</f>
        <v>Warung Selera Nusantara - Margonda</v>
      </c>
    </row>
    <row r="653" spans="1:7" x14ac:dyDescent="0.35">
      <c r="A653" s="7" t="s">
        <v>686</v>
      </c>
      <c r="B653" s="4" t="s">
        <v>22</v>
      </c>
      <c r="C653" s="5">
        <v>45931.340277777781</v>
      </c>
      <c r="D653" s="4" t="s">
        <v>28</v>
      </c>
      <c r="E653" s="8" t="s">
        <v>33</v>
      </c>
      <c r="F653" t="str">
        <f t="shared" si="10"/>
        <v>Wednesday</v>
      </c>
      <c r="G653" t="str">
        <f>VLOOKUP(B653,cabang!A:C,2,FALSE)</f>
        <v>Warung Selera Nusantara - Margonda</v>
      </c>
    </row>
    <row r="654" spans="1:7" x14ac:dyDescent="0.35">
      <c r="A654" s="7" t="s">
        <v>687</v>
      </c>
      <c r="B654" s="4" t="s">
        <v>31</v>
      </c>
      <c r="C654" s="5">
        <v>45931.539583333331</v>
      </c>
      <c r="D654" s="4" t="s">
        <v>44</v>
      </c>
      <c r="E654" s="8" t="s">
        <v>24</v>
      </c>
      <c r="F654" t="str">
        <f t="shared" si="10"/>
        <v>Wednesday</v>
      </c>
      <c r="G654" t="str">
        <f>VLOOKUP(B654,cabang!A:C,2,FALSE)</f>
        <v>Warung Selera Nusantara - Sudirman</v>
      </c>
    </row>
    <row r="655" spans="1:7" x14ac:dyDescent="0.35">
      <c r="A655" s="7" t="s">
        <v>688</v>
      </c>
      <c r="B655" s="4" t="s">
        <v>27</v>
      </c>
      <c r="C655" s="5">
        <v>45934.57708333333</v>
      </c>
      <c r="D655" s="4" t="s">
        <v>23</v>
      </c>
      <c r="E655" s="8" t="s">
        <v>24</v>
      </c>
      <c r="F655" t="str">
        <f t="shared" si="10"/>
        <v>Saturday</v>
      </c>
      <c r="G655" t="str">
        <f>VLOOKUP(B655,cabang!A:C,2,FALSE)</f>
        <v>Warung Selera Nusantara - Tunjungan</v>
      </c>
    </row>
    <row r="656" spans="1:7" x14ac:dyDescent="0.35">
      <c r="A656" s="7" t="s">
        <v>689</v>
      </c>
      <c r="B656" s="4" t="s">
        <v>31</v>
      </c>
      <c r="C656" s="5">
        <v>45937.395138888889</v>
      </c>
      <c r="D656" s="4" t="s">
        <v>23</v>
      </c>
      <c r="E656" s="8" t="s">
        <v>33</v>
      </c>
      <c r="F656" t="str">
        <f t="shared" si="10"/>
        <v>Tuesday</v>
      </c>
      <c r="G656" t="str">
        <f>VLOOKUP(B656,cabang!A:C,2,FALSE)</f>
        <v>Warung Selera Nusantara - Sudirman</v>
      </c>
    </row>
    <row r="657" spans="1:7" x14ac:dyDescent="0.35">
      <c r="A657" s="7" t="s">
        <v>690</v>
      </c>
      <c r="B657" s="4" t="s">
        <v>27</v>
      </c>
      <c r="C657" s="5">
        <v>45938.30972222222</v>
      </c>
      <c r="D657" s="4" t="s">
        <v>23</v>
      </c>
      <c r="E657" s="8" t="s">
        <v>24</v>
      </c>
      <c r="F657" t="str">
        <f t="shared" si="10"/>
        <v>Wednesday</v>
      </c>
      <c r="G657" t="str">
        <f>VLOOKUP(B657,cabang!A:C,2,FALSE)</f>
        <v>Warung Selera Nusantara - Tunjungan</v>
      </c>
    </row>
    <row r="658" spans="1:7" x14ac:dyDescent="0.35">
      <c r="A658" s="7" t="s">
        <v>691</v>
      </c>
      <c r="B658" s="4" t="s">
        <v>43</v>
      </c>
      <c r="C658" s="5">
        <v>45938.43472222222</v>
      </c>
      <c r="D658" s="4" t="s">
        <v>23</v>
      </c>
      <c r="E658" s="8" t="s">
        <v>33</v>
      </c>
      <c r="F658" t="str">
        <f t="shared" si="10"/>
        <v>Wednesday</v>
      </c>
      <c r="G658" t="str">
        <f>VLOOKUP(B658,cabang!A:C,2,FALSE)</f>
        <v>Warung Selera Nusantara - Dago</v>
      </c>
    </row>
    <row r="659" spans="1:7" x14ac:dyDescent="0.35">
      <c r="A659" s="7" t="s">
        <v>692</v>
      </c>
      <c r="B659" s="4" t="s">
        <v>27</v>
      </c>
      <c r="C659" s="5">
        <v>45938.506944444453</v>
      </c>
      <c r="D659" s="4" t="s">
        <v>23</v>
      </c>
      <c r="E659" s="8" t="s">
        <v>38</v>
      </c>
      <c r="F659" t="str">
        <f t="shared" si="10"/>
        <v>Wednesday</v>
      </c>
      <c r="G659" t="str">
        <f>VLOOKUP(B659,cabang!A:C,2,FALSE)</f>
        <v>Warung Selera Nusantara - Tunjungan</v>
      </c>
    </row>
    <row r="660" spans="1:7" x14ac:dyDescent="0.35">
      <c r="A660" s="7" t="s">
        <v>693</v>
      </c>
      <c r="B660" s="4" t="s">
        <v>27</v>
      </c>
      <c r="C660" s="5">
        <v>45938.520833333343</v>
      </c>
      <c r="D660" s="4" t="s">
        <v>23</v>
      </c>
      <c r="E660" s="8" t="s">
        <v>24</v>
      </c>
      <c r="F660" t="str">
        <f t="shared" si="10"/>
        <v>Wednesday</v>
      </c>
      <c r="G660" t="str">
        <f>VLOOKUP(B660,cabang!A:C,2,FALSE)</f>
        <v>Warung Selera Nusantara - Tunjungan</v>
      </c>
    </row>
    <row r="661" spans="1:7" x14ac:dyDescent="0.35">
      <c r="A661" s="7" t="s">
        <v>694</v>
      </c>
      <c r="B661" s="4" t="s">
        <v>43</v>
      </c>
      <c r="C661" s="5">
        <v>45938.668055555558</v>
      </c>
      <c r="D661" s="4" t="s">
        <v>28</v>
      </c>
      <c r="E661" s="8" t="s">
        <v>33</v>
      </c>
      <c r="F661" t="str">
        <f t="shared" si="10"/>
        <v>Wednesday</v>
      </c>
      <c r="G661" t="str">
        <f>VLOOKUP(B661,cabang!A:C,2,FALSE)</f>
        <v>Warung Selera Nusantara - Dago</v>
      </c>
    </row>
    <row r="662" spans="1:7" x14ac:dyDescent="0.35">
      <c r="A662" s="7" t="s">
        <v>695</v>
      </c>
      <c r="B662" s="4" t="s">
        <v>22</v>
      </c>
      <c r="C662" s="5">
        <v>45938.90347222222</v>
      </c>
      <c r="D662" s="4" t="s">
        <v>23</v>
      </c>
      <c r="E662" s="8" t="s">
        <v>38</v>
      </c>
      <c r="F662" t="str">
        <f t="shared" si="10"/>
        <v>Wednesday</v>
      </c>
      <c r="G662" t="str">
        <f>VLOOKUP(B662,cabang!A:C,2,FALSE)</f>
        <v>Warung Selera Nusantara - Margonda</v>
      </c>
    </row>
    <row r="663" spans="1:7" x14ac:dyDescent="0.35">
      <c r="A663" s="7" t="s">
        <v>696</v>
      </c>
      <c r="B663" s="4" t="s">
        <v>31</v>
      </c>
      <c r="C663" s="5">
        <v>45939.518055555563</v>
      </c>
      <c r="D663" s="4" t="s">
        <v>23</v>
      </c>
      <c r="E663" s="8" t="s">
        <v>24</v>
      </c>
      <c r="F663" t="str">
        <f t="shared" si="10"/>
        <v>Thursday</v>
      </c>
      <c r="G663" t="str">
        <f>VLOOKUP(B663,cabang!A:C,2,FALSE)</f>
        <v>Warung Selera Nusantara - Sudirman</v>
      </c>
    </row>
    <row r="664" spans="1:7" x14ac:dyDescent="0.35">
      <c r="A664" s="7" t="s">
        <v>697</v>
      </c>
      <c r="B664" s="4" t="s">
        <v>31</v>
      </c>
      <c r="C664" s="5">
        <v>45939.753472222219</v>
      </c>
      <c r="D664" s="4" t="s">
        <v>23</v>
      </c>
      <c r="E664" s="8" t="s">
        <v>33</v>
      </c>
      <c r="F664" t="str">
        <f t="shared" si="10"/>
        <v>Thursday</v>
      </c>
      <c r="G664" t="str">
        <f>VLOOKUP(B664,cabang!A:C,2,FALSE)</f>
        <v>Warung Selera Nusantara - Sudirman</v>
      </c>
    </row>
    <row r="665" spans="1:7" x14ac:dyDescent="0.35">
      <c r="A665" s="7" t="s">
        <v>698</v>
      </c>
      <c r="B665" s="4" t="s">
        <v>43</v>
      </c>
      <c r="C665" s="5">
        <v>45939.813194444447</v>
      </c>
      <c r="D665" s="4" t="s">
        <v>28</v>
      </c>
      <c r="E665" s="8" t="s">
        <v>24</v>
      </c>
      <c r="F665" t="str">
        <f t="shared" si="10"/>
        <v>Thursday</v>
      </c>
      <c r="G665" t="str">
        <f>VLOOKUP(B665,cabang!A:C,2,FALSE)</f>
        <v>Warung Selera Nusantara - Dago</v>
      </c>
    </row>
    <row r="666" spans="1:7" x14ac:dyDescent="0.35">
      <c r="A666" s="7" t="s">
        <v>699</v>
      </c>
      <c r="B666" s="4" t="s">
        <v>43</v>
      </c>
      <c r="C666" s="5">
        <v>45939.895833333343</v>
      </c>
      <c r="D666" s="4" t="s">
        <v>28</v>
      </c>
      <c r="E666" s="8" t="s">
        <v>33</v>
      </c>
      <c r="F666" t="str">
        <f t="shared" si="10"/>
        <v>Thursday</v>
      </c>
      <c r="G666" t="str">
        <f>VLOOKUP(B666,cabang!A:C,2,FALSE)</f>
        <v>Warung Selera Nusantara - Dago</v>
      </c>
    </row>
    <row r="667" spans="1:7" x14ac:dyDescent="0.35">
      <c r="A667" s="7" t="s">
        <v>700</v>
      </c>
      <c r="B667" s="4" t="s">
        <v>27</v>
      </c>
      <c r="C667" s="5">
        <v>45941.538194444453</v>
      </c>
      <c r="D667" s="4" t="s">
        <v>28</v>
      </c>
      <c r="E667" s="8" t="s">
        <v>29</v>
      </c>
      <c r="F667" t="str">
        <f t="shared" si="10"/>
        <v>Saturday</v>
      </c>
      <c r="G667" t="str">
        <f>VLOOKUP(B667,cabang!A:C,2,FALSE)</f>
        <v>Warung Selera Nusantara - Tunjungan</v>
      </c>
    </row>
    <row r="668" spans="1:7" x14ac:dyDescent="0.35">
      <c r="A668" s="7" t="s">
        <v>701</v>
      </c>
      <c r="B668" s="4" t="s">
        <v>43</v>
      </c>
      <c r="C668" s="5">
        <v>45941.581944444442</v>
      </c>
      <c r="D668" s="4" t="s">
        <v>23</v>
      </c>
      <c r="E668" s="8" t="s">
        <v>24</v>
      </c>
      <c r="F668" t="str">
        <f t="shared" si="10"/>
        <v>Saturday</v>
      </c>
      <c r="G668" t="str">
        <f>VLOOKUP(B668,cabang!A:C,2,FALSE)</f>
        <v>Warung Selera Nusantara - Dago</v>
      </c>
    </row>
    <row r="669" spans="1:7" x14ac:dyDescent="0.35">
      <c r="A669" s="7" t="s">
        <v>702</v>
      </c>
      <c r="B669" s="4" t="s">
        <v>43</v>
      </c>
      <c r="C669" s="5">
        <v>45941.865277777782</v>
      </c>
      <c r="D669" s="4" t="s">
        <v>28</v>
      </c>
      <c r="E669" s="8" t="s">
        <v>24</v>
      </c>
      <c r="F669" t="str">
        <f t="shared" si="10"/>
        <v>Saturday</v>
      </c>
      <c r="G669" t="str">
        <f>VLOOKUP(B669,cabang!A:C,2,FALSE)</f>
        <v>Warung Selera Nusantara - Dago</v>
      </c>
    </row>
    <row r="670" spans="1:7" x14ac:dyDescent="0.35">
      <c r="A670" s="7" t="s">
        <v>703</v>
      </c>
      <c r="B670" s="4" t="s">
        <v>31</v>
      </c>
      <c r="C670" s="5">
        <v>45941.894444444442</v>
      </c>
      <c r="D670" s="4" t="s">
        <v>28</v>
      </c>
      <c r="E670" s="8" t="s">
        <v>29</v>
      </c>
      <c r="F670" t="str">
        <f t="shared" si="10"/>
        <v>Saturday</v>
      </c>
      <c r="G670" t="str">
        <f>VLOOKUP(B670,cabang!A:C,2,FALSE)</f>
        <v>Warung Selera Nusantara - Sudirman</v>
      </c>
    </row>
    <row r="671" spans="1:7" x14ac:dyDescent="0.35">
      <c r="A671" s="7" t="s">
        <v>704</v>
      </c>
      <c r="B671" s="4" t="s">
        <v>27</v>
      </c>
      <c r="C671" s="5">
        <v>45942.529861111107</v>
      </c>
      <c r="D671" s="4" t="s">
        <v>23</v>
      </c>
      <c r="E671" s="8" t="s">
        <v>33</v>
      </c>
      <c r="F671" t="str">
        <f t="shared" si="10"/>
        <v>Sunday</v>
      </c>
      <c r="G671" t="str">
        <f>VLOOKUP(B671,cabang!A:C,2,FALSE)</f>
        <v>Warung Selera Nusantara - Tunjungan</v>
      </c>
    </row>
    <row r="672" spans="1:7" x14ac:dyDescent="0.35">
      <c r="A672" s="7" t="s">
        <v>705</v>
      </c>
      <c r="B672" s="4" t="s">
        <v>31</v>
      </c>
      <c r="C672" s="5">
        <v>45943.75</v>
      </c>
      <c r="D672" s="4" t="s">
        <v>23</v>
      </c>
      <c r="E672" s="8" t="s">
        <v>29</v>
      </c>
      <c r="F672" t="str">
        <f t="shared" si="10"/>
        <v>Monday</v>
      </c>
      <c r="G672" t="str">
        <f>VLOOKUP(B672,cabang!A:C,2,FALSE)</f>
        <v>Warung Selera Nusantara - Sudirman</v>
      </c>
    </row>
    <row r="673" spans="1:7" x14ac:dyDescent="0.35">
      <c r="A673" s="7" t="s">
        <v>706</v>
      </c>
      <c r="B673" s="4" t="s">
        <v>31</v>
      </c>
      <c r="C673" s="5">
        <v>45944.804166666669</v>
      </c>
      <c r="D673" s="4" t="s">
        <v>44</v>
      </c>
      <c r="E673" s="8" t="s">
        <v>24</v>
      </c>
      <c r="F673" t="str">
        <f t="shared" si="10"/>
        <v>Tuesday</v>
      </c>
      <c r="G673" t="str">
        <f>VLOOKUP(B673,cabang!A:C,2,FALSE)</f>
        <v>Warung Selera Nusantara - Sudirman</v>
      </c>
    </row>
    <row r="674" spans="1:7" x14ac:dyDescent="0.35">
      <c r="A674" s="7" t="s">
        <v>707</v>
      </c>
      <c r="B674" s="4" t="s">
        <v>43</v>
      </c>
      <c r="C674" s="5">
        <v>45944.856944444437</v>
      </c>
      <c r="D674" s="4" t="s">
        <v>23</v>
      </c>
      <c r="E674" s="8" t="s">
        <v>24</v>
      </c>
      <c r="F674" t="str">
        <f t="shared" si="10"/>
        <v>Tuesday</v>
      </c>
      <c r="G674" t="str">
        <f>VLOOKUP(B674,cabang!A:C,2,FALSE)</f>
        <v>Warung Selera Nusantara - Dago</v>
      </c>
    </row>
    <row r="675" spans="1:7" x14ac:dyDescent="0.35">
      <c r="A675" s="7" t="s">
        <v>708</v>
      </c>
      <c r="B675" s="4" t="s">
        <v>27</v>
      </c>
      <c r="C675" s="5">
        <v>45945.731249999997</v>
      </c>
      <c r="D675" s="4" t="s">
        <v>44</v>
      </c>
      <c r="E675" s="8" t="s">
        <v>38</v>
      </c>
      <c r="F675" t="str">
        <f t="shared" si="10"/>
        <v>Wednesday</v>
      </c>
      <c r="G675" t="str">
        <f>VLOOKUP(B675,cabang!A:C,2,FALSE)</f>
        <v>Warung Selera Nusantara - Tunjungan</v>
      </c>
    </row>
    <row r="676" spans="1:7" x14ac:dyDescent="0.35">
      <c r="A676" s="7" t="s">
        <v>709</v>
      </c>
      <c r="B676" s="4" t="s">
        <v>31</v>
      </c>
      <c r="C676" s="5">
        <v>45946.861805555563</v>
      </c>
      <c r="D676" s="4" t="s">
        <v>28</v>
      </c>
      <c r="E676" s="8" t="s">
        <v>24</v>
      </c>
      <c r="F676" t="str">
        <f t="shared" si="10"/>
        <v>Thursday</v>
      </c>
      <c r="G676" t="str">
        <f>VLOOKUP(B676,cabang!A:C,2,FALSE)</f>
        <v>Warung Selera Nusantara - Sudirman</v>
      </c>
    </row>
    <row r="677" spans="1:7" x14ac:dyDescent="0.35">
      <c r="A677" s="7" t="s">
        <v>710</v>
      </c>
      <c r="B677" s="4" t="s">
        <v>22</v>
      </c>
      <c r="C677" s="5">
        <v>45946.867361111108</v>
      </c>
      <c r="D677" s="4" t="s">
        <v>23</v>
      </c>
      <c r="E677" s="8" t="s">
        <v>29</v>
      </c>
      <c r="F677" t="str">
        <f t="shared" si="10"/>
        <v>Thursday</v>
      </c>
      <c r="G677" t="str">
        <f>VLOOKUP(B677,cabang!A:C,2,FALSE)</f>
        <v>Warung Selera Nusantara - Margonda</v>
      </c>
    </row>
    <row r="678" spans="1:7" x14ac:dyDescent="0.35">
      <c r="A678" s="7" t="s">
        <v>711</v>
      </c>
      <c r="B678" s="4" t="s">
        <v>43</v>
      </c>
      <c r="C678" s="5">
        <v>45947.384722222218</v>
      </c>
      <c r="D678" s="4" t="s">
        <v>44</v>
      </c>
      <c r="E678" s="8" t="s">
        <v>24</v>
      </c>
      <c r="F678" t="str">
        <f t="shared" si="10"/>
        <v>Friday</v>
      </c>
      <c r="G678" t="str">
        <f>VLOOKUP(B678,cabang!A:C,2,FALSE)</f>
        <v>Warung Selera Nusantara - Dago</v>
      </c>
    </row>
    <row r="679" spans="1:7" x14ac:dyDescent="0.35">
      <c r="A679" s="7" t="s">
        <v>712</v>
      </c>
      <c r="B679" s="4" t="s">
        <v>43</v>
      </c>
      <c r="C679" s="5">
        <v>45947.515277777777</v>
      </c>
      <c r="D679" s="4" t="s">
        <v>23</v>
      </c>
      <c r="E679" s="8" t="s">
        <v>33</v>
      </c>
      <c r="F679" t="str">
        <f t="shared" si="10"/>
        <v>Friday</v>
      </c>
      <c r="G679" t="str">
        <f>VLOOKUP(B679,cabang!A:C,2,FALSE)</f>
        <v>Warung Selera Nusantara - Dago</v>
      </c>
    </row>
    <row r="680" spans="1:7" x14ac:dyDescent="0.35">
      <c r="A680" s="7" t="s">
        <v>713</v>
      </c>
      <c r="B680" s="4" t="s">
        <v>31</v>
      </c>
      <c r="C680" s="5">
        <v>45947.9</v>
      </c>
      <c r="D680" s="4" t="s">
        <v>23</v>
      </c>
      <c r="E680" s="8" t="s">
        <v>24</v>
      </c>
      <c r="F680" t="str">
        <f t="shared" si="10"/>
        <v>Friday</v>
      </c>
      <c r="G680" t="str">
        <f>VLOOKUP(B680,cabang!A:C,2,FALSE)</f>
        <v>Warung Selera Nusantara - Sudirman</v>
      </c>
    </row>
    <row r="681" spans="1:7" x14ac:dyDescent="0.35">
      <c r="A681" s="7" t="s">
        <v>714</v>
      </c>
      <c r="B681" s="4" t="s">
        <v>27</v>
      </c>
      <c r="C681" s="5">
        <v>45948.720138888893</v>
      </c>
      <c r="D681" s="4" t="s">
        <v>28</v>
      </c>
      <c r="E681" s="8" t="s">
        <v>29</v>
      </c>
      <c r="F681" t="str">
        <f t="shared" si="10"/>
        <v>Saturday</v>
      </c>
      <c r="G681" t="str">
        <f>VLOOKUP(B681,cabang!A:C,2,FALSE)</f>
        <v>Warung Selera Nusantara - Tunjungan</v>
      </c>
    </row>
    <row r="682" spans="1:7" x14ac:dyDescent="0.35">
      <c r="A682" s="7" t="s">
        <v>715</v>
      </c>
      <c r="B682" s="4" t="s">
        <v>43</v>
      </c>
      <c r="C682" s="5">
        <v>45948.875</v>
      </c>
      <c r="D682" s="4" t="s">
        <v>23</v>
      </c>
      <c r="E682" s="8" t="s">
        <v>29</v>
      </c>
      <c r="F682" t="str">
        <f t="shared" si="10"/>
        <v>Saturday</v>
      </c>
      <c r="G682" t="str">
        <f>VLOOKUP(B682,cabang!A:C,2,FALSE)</f>
        <v>Warung Selera Nusantara - Dago</v>
      </c>
    </row>
    <row r="683" spans="1:7" x14ac:dyDescent="0.35">
      <c r="A683" s="7" t="s">
        <v>716</v>
      </c>
      <c r="B683" s="4" t="s">
        <v>43</v>
      </c>
      <c r="C683" s="5">
        <v>45948.879166666673</v>
      </c>
      <c r="D683" s="4" t="s">
        <v>23</v>
      </c>
      <c r="E683" s="8" t="s">
        <v>38</v>
      </c>
      <c r="F683" t="str">
        <f t="shared" si="10"/>
        <v>Saturday</v>
      </c>
      <c r="G683" t="str">
        <f>VLOOKUP(B683,cabang!A:C,2,FALSE)</f>
        <v>Warung Selera Nusantara - Dago</v>
      </c>
    </row>
    <row r="684" spans="1:7" x14ac:dyDescent="0.35">
      <c r="A684" s="7" t="s">
        <v>717</v>
      </c>
      <c r="B684" s="4" t="s">
        <v>22</v>
      </c>
      <c r="C684" s="5">
        <v>45949.334027777782</v>
      </c>
      <c r="D684" s="4" t="s">
        <v>23</v>
      </c>
      <c r="E684" s="8" t="s">
        <v>33</v>
      </c>
      <c r="F684" t="str">
        <f t="shared" si="10"/>
        <v>Sunday</v>
      </c>
      <c r="G684" t="str">
        <f>VLOOKUP(B684,cabang!A:C,2,FALSE)</f>
        <v>Warung Selera Nusantara - Margonda</v>
      </c>
    </row>
    <row r="685" spans="1:7" x14ac:dyDescent="0.35">
      <c r="A685" s="7" t="s">
        <v>718</v>
      </c>
      <c r="B685" s="4" t="s">
        <v>31</v>
      </c>
      <c r="C685" s="5">
        <v>45949.590277777781</v>
      </c>
      <c r="D685" s="4" t="s">
        <v>23</v>
      </c>
      <c r="E685" s="8" t="s">
        <v>24</v>
      </c>
      <c r="F685" t="str">
        <f t="shared" si="10"/>
        <v>Sunday</v>
      </c>
      <c r="G685" t="str">
        <f>VLOOKUP(B685,cabang!A:C,2,FALSE)</f>
        <v>Warung Selera Nusantara - Sudirman</v>
      </c>
    </row>
    <row r="686" spans="1:7" x14ac:dyDescent="0.35">
      <c r="A686" s="7" t="s">
        <v>719</v>
      </c>
      <c r="B686" s="4" t="s">
        <v>31</v>
      </c>
      <c r="C686" s="5">
        <v>45949.689583333333</v>
      </c>
      <c r="D686" s="4" t="s">
        <v>28</v>
      </c>
      <c r="E686" s="8" t="s">
        <v>24</v>
      </c>
      <c r="F686" t="str">
        <f t="shared" si="10"/>
        <v>Sunday</v>
      </c>
      <c r="G686" t="str">
        <f>VLOOKUP(B686,cabang!A:C,2,FALSE)</f>
        <v>Warung Selera Nusantara - Sudirman</v>
      </c>
    </row>
    <row r="687" spans="1:7" x14ac:dyDescent="0.35">
      <c r="A687" s="7" t="s">
        <v>720</v>
      </c>
      <c r="B687" s="4" t="s">
        <v>27</v>
      </c>
      <c r="C687" s="5">
        <v>45949.781944444447</v>
      </c>
      <c r="D687" s="4" t="s">
        <v>23</v>
      </c>
      <c r="E687" s="8" t="s">
        <v>24</v>
      </c>
      <c r="F687" t="str">
        <f t="shared" si="10"/>
        <v>Sunday</v>
      </c>
      <c r="G687" t="str">
        <f>VLOOKUP(B687,cabang!A:C,2,FALSE)</f>
        <v>Warung Selera Nusantara - Tunjungan</v>
      </c>
    </row>
    <row r="688" spans="1:7" x14ac:dyDescent="0.35">
      <c r="A688" s="7" t="s">
        <v>721</v>
      </c>
      <c r="B688" s="4" t="s">
        <v>27</v>
      </c>
      <c r="C688" s="5">
        <v>45950.787499999999</v>
      </c>
      <c r="D688" s="4" t="s">
        <v>44</v>
      </c>
      <c r="E688" s="8" t="s">
        <v>29</v>
      </c>
      <c r="F688" t="str">
        <f t="shared" si="10"/>
        <v>Monday</v>
      </c>
      <c r="G688" t="str">
        <f>VLOOKUP(B688,cabang!A:C,2,FALSE)</f>
        <v>Warung Selera Nusantara - Tunjungan</v>
      </c>
    </row>
    <row r="689" spans="1:7" x14ac:dyDescent="0.35">
      <c r="A689" s="7" t="s">
        <v>722</v>
      </c>
      <c r="B689" s="4" t="s">
        <v>31</v>
      </c>
      <c r="C689" s="5">
        <v>45950.82916666667</v>
      </c>
      <c r="D689" s="4" t="s">
        <v>28</v>
      </c>
      <c r="E689" s="8" t="s">
        <v>24</v>
      </c>
      <c r="F689" t="str">
        <f t="shared" si="10"/>
        <v>Monday</v>
      </c>
      <c r="G689" t="str">
        <f>VLOOKUP(B689,cabang!A:C,2,FALSE)</f>
        <v>Warung Selera Nusantara - Sudirman</v>
      </c>
    </row>
    <row r="690" spans="1:7" x14ac:dyDescent="0.35">
      <c r="A690" s="7" t="s">
        <v>723</v>
      </c>
      <c r="B690" s="4" t="s">
        <v>22</v>
      </c>
      <c r="C690" s="5">
        <v>45951.466666666667</v>
      </c>
      <c r="D690" s="4" t="s">
        <v>23</v>
      </c>
      <c r="E690" s="8" t="s">
        <v>38</v>
      </c>
      <c r="F690" t="str">
        <f t="shared" si="10"/>
        <v>Tuesday</v>
      </c>
      <c r="G690" t="str">
        <f>VLOOKUP(B690,cabang!A:C,2,FALSE)</f>
        <v>Warung Selera Nusantara - Margonda</v>
      </c>
    </row>
    <row r="691" spans="1:7" x14ac:dyDescent="0.35">
      <c r="A691" s="7" t="s">
        <v>724</v>
      </c>
      <c r="B691" s="4" t="s">
        <v>27</v>
      </c>
      <c r="C691" s="5">
        <v>45952.401388888888</v>
      </c>
      <c r="D691" s="4" t="s">
        <v>23</v>
      </c>
      <c r="E691" s="8" t="s">
        <v>24</v>
      </c>
      <c r="F691" t="str">
        <f t="shared" si="10"/>
        <v>Wednesday</v>
      </c>
      <c r="G691" t="str">
        <f>VLOOKUP(B691,cabang!A:C,2,FALSE)</f>
        <v>Warung Selera Nusantara - Tunjungan</v>
      </c>
    </row>
    <row r="692" spans="1:7" x14ac:dyDescent="0.35">
      <c r="A692" s="7" t="s">
        <v>725</v>
      </c>
      <c r="B692" s="4" t="s">
        <v>43</v>
      </c>
      <c r="C692" s="5">
        <v>45952.592361111107</v>
      </c>
      <c r="D692" s="4" t="s">
        <v>23</v>
      </c>
      <c r="E692" s="8" t="s">
        <v>24</v>
      </c>
      <c r="F692" t="str">
        <f t="shared" si="10"/>
        <v>Wednesday</v>
      </c>
      <c r="G692" t="str">
        <f>VLOOKUP(B692,cabang!A:C,2,FALSE)</f>
        <v>Warung Selera Nusantara - Dago</v>
      </c>
    </row>
    <row r="693" spans="1:7" x14ac:dyDescent="0.35">
      <c r="A693" s="7" t="s">
        <v>726</v>
      </c>
      <c r="B693" s="4" t="s">
        <v>22</v>
      </c>
      <c r="C693" s="5">
        <v>45953.51458333333</v>
      </c>
      <c r="D693" s="4" t="s">
        <v>23</v>
      </c>
      <c r="E693" s="8" t="s">
        <v>24</v>
      </c>
      <c r="F693" t="str">
        <f t="shared" si="10"/>
        <v>Thursday</v>
      </c>
      <c r="G693" t="str">
        <f>VLOOKUP(B693,cabang!A:C,2,FALSE)</f>
        <v>Warung Selera Nusantara - Margonda</v>
      </c>
    </row>
    <row r="694" spans="1:7" x14ac:dyDescent="0.35">
      <c r="A694" s="7" t="s">
        <v>727</v>
      </c>
      <c r="B694" s="4" t="s">
        <v>31</v>
      </c>
      <c r="C694" s="5">
        <v>45954.63958333333</v>
      </c>
      <c r="D694" s="4" t="s">
        <v>28</v>
      </c>
      <c r="E694" s="8" t="s">
        <v>29</v>
      </c>
      <c r="F694" t="str">
        <f t="shared" si="10"/>
        <v>Friday</v>
      </c>
      <c r="G694" t="str">
        <f>VLOOKUP(B694,cabang!A:C,2,FALSE)</f>
        <v>Warung Selera Nusantara - Sudirman</v>
      </c>
    </row>
    <row r="695" spans="1:7" x14ac:dyDescent="0.35">
      <c r="A695" s="7" t="s">
        <v>728</v>
      </c>
      <c r="B695" s="4" t="s">
        <v>22</v>
      </c>
      <c r="C695" s="5">
        <v>45954.822916666657</v>
      </c>
      <c r="D695" s="4" t="s">
        <v>44</v>
      </c>
      <c r="E695" s="8" t="s">
        <v>24</v>
      </c>
      <c r="F695" t="str">
        <f t="shared" si="10"/>
        <v>Friday</v>
      </c>
      <c r="G695" t="str">
        <f>VLOOKUP(B695,cabang!A:C,2,FALSE)</f>
        <v>Warung Selera Nusantara - Margonda</v>
      </c>
    </row>
    <row r="696" spans="1:7" x14ac:dyDescent="0.35">
      <c r="A696" s="7" t="s">
        <v>729</v>
      </c>
      <c r="B696" s="4" t="s">
        <v>43</v>
      </c>
      <c r="C696" s="5">
        <v>45955.452777777777</v>
      </c>
      <c r="D696" s="4" t="s">
        <v>44</v>
      </c>
      <c r="E696" s="8" t="s">
        <v>29</v>
      </c>
      <c r="F696" t="str">
        <f t="shared" si="10"/>
        <v>Saturday</v>
      </c>
      <c r="G696" t="str">
        <f>VLOOKUP(B696,cabang!A:C,2,FALSE)</f>
        <v>Warung Selera Nusantara - Dago</v>
      </c>
    </row>
    <row r="697" spans="1:7" x14ac:dyDescent="0.35">
      <c r="A697" s="7" t="s">
        <v>730</v>
      </c>
      <c r="B697" s="4" t="s">
        <v>43</v>
      </c>
      <c r="C697" s="5">
        <v>45956.463888888888</v>
      </c>
      <c r="D697" s="4" t="s">
        <v>23</v>
      </c>
      <c r="E697" s="8" t="s">
        <v>33</v>
      </c>
      <c r="F697" t="str">
        <f t="shared" si="10"/>
        <v>Sunday</v>
      </c>
      <c r="G697" t="str">
        <f>VLOOKUP(B697,cabang!A:C,2,FALSE)</f>
        <v>Warung Selera Nusantara - Dago</v>
      </c>
    </row>
    <row r="698" spans="1:7" x14ac:dyDescent="0.35">
      <c r="A698" s="7" t="s">
        <v>731</v>
      </c>
      <c r="B698" s="4" t="s">
        <v>31</v>
      </c>
      <c r="C698" s="5">
        <v>45956.474999999999</v>
      </c>
      <c r="D698" s="4" t="s">
        <v>23</v>
      </c>
      <c r="E698" s="8" t="s">
        <v>38</v>
      </c>
      <c r="F698" t="str">
        <f t="shared" si="10"/>
        <v>Sunday</v>
      </c>
      <c r="G698" t="str">
        <f>VLOOKUP(B698,cabang!A:C,2,FALSE)</f>
        <v>Warung Selera Nusantara - Sudirman</v>
      </c>
    </row>
    <row r="699" spans="1:7" x14ac:dyDescent="0.35">
      <c r="A699" s="7" t="s">
        <v>732</v>
      </c>
      <c r="B699" s="4" t="s">
        <v>43</v>
      </c>
      <c r="C699" s="5">
        <v>45956.5</v>
      </c>
      <c r="D699" s="4" t="s">
        <v>23</v>
      </c>
      <c r="E699" s="8" t="s">
        <v>24</v>
      </c>
      <c r="F699" t="str">
        <f t="shared" si="10"/>
        <v>Sunday</v>
      </c>
      <c r="G699" t="str">
        <f>VLOOKUP(B699,cabang!A:C,2,FALSE)</f>
        <v>Warung Selera Nusantara - Dago</v>
      </c>
    </row>
    <row r="700" spans="1:7" x14ac:dyDescent="0.35">
      <c r="A700" s="7" t="s">
        <v>733</v>
      </c>
      <c r="B700" s="4" t="s">
        <v>27</v>
      </c>
      <c r="C700" s="5">
        <v>45956.758333333331</v>
      </c>
      <c r="D700" s="4" t="s">
        <v>23</v>
      </c>
      <c r="E700" s="8" t="s">
        <v>33</v>
      </c>
      <c r="F700" t="str">
        <f t="shared" si="10"/>
        <v>Sunday</v>
      </c>
      <c r="G700" t="str">
        <f>VLOOKUP(B700,cabang!A:C,2,FALSE)</f>
        <v>Warung Selera Nusantara - Tunjungan</v>
      </c>
    </row>
    <row r="701" spans="1:7" x14ac:dyDescent="0.35">
      <c r="A701" s="7" t="s">
        <v>734</v>
      </c>
      <c r="B701" s="4" t="s">
        <v>27</v>
      </c>
      <c r="C701" s="5">
        <v>45956.794444444437</v>
      </c>
      <c r="D701" s="4" t="s">
        <v>23</v>
      </c>
      <c r="E701" s="8" t="s">
        <v>38</v>
      </c>
      <c r="F701" t="str">
        <f t="shared" si="10"/>
        <v>Sunday</v>
      </c>
      <c r="G701" t="str">
        <f>VLOOKUP(B701,cabang!A:C,2,FALSE)</f>
        <v>Warung Selera Nusantara - Tunjungan</v>
      </c>
    </row>
    <row r="702" spans="1:7" x14ac:dyDescent="0.35">
      <c r="A702" s="7" t="s">
        <v>735</v>
      </c>
      <c r="B702" s="4" t="s">
        <v>31</v>
      </c>
      <c r="C702" s="5">
        <v>45957.538888888892</v>
      </c>
      <c r="D702" s="4" t="s">
        <v>23</v>
      </c>
      <c r="E702" s="8" t="s">
        <v>29</v>
      </c>
      <c r="F702" t="str">
        <f t="shared" si="10"/>
        <v>Monday</v>
      </c>
      <c r="G702" t="str">
        <f>VLOOKUP(B702,cabang!A:C,2,FALSE)</f>
        <v>Warung Selera Nusantara - Sudirman</v>
      </c>
    </row>
    <row r="703" spans="1:7" x14ac:dyDescent="0.35">
      <c r="A703" s="7" t="s">
        <v>736</v>
      </c>
      <c r="B703" s="4" t="s">
        <v>27</v>
      </c>
      <c r="C703" s="5">
        <v>45957.790972222218</v>
      </c>
      <c r="D703" s="4" t="s">
        <v>23</v>
      </c>
      <c r="E703" s="8" t="s">
        <v>24</v>
      </c>
      <c r="F703" t="str">
        <f t="shared" si="10"/>
        <v>Monday</v>
      </c>
      <c r="G703" t="str">
        <f>VLOOKUP(B703,cabang!A:C,2,FALSE)</f>
        <v>Warung Selera Nusantara - Tunjungan</v>
      </c>
    </row>
    <row r="704" spans="1:7" x14ac:dyDescent="0.35">
      <c r="A704" s="7" t="s">
        <v>737</v>
      </c>
      <c r="B704" s="4" t="s">
        <v>31</v>
      </c>
      <c r="C704" s="5">
        <v>45958.356944444437</v>
      </c>
      <c r="D704" s="4" t="s">
        <v>28</v>
      </c>
      <c r="E704" s="8" t="s">
        <v>29</v>
      </c>
      <c r="F704" t="str">
        <f t="shared" si="10"/>
        <v>Tuesday</v>
      </c>
      <c r="G704" t="str">
        <f>VLOOKUP(B704,cabang!A:C,2,FALSE)</f>
        <v>Warung Selera Nusantara - Sudirman</v>
      </c>
    </row>
    <row r="705" spans="1:7" x14ac:dyDescent="0.35">
      <c r="A705" s="7" t="s">
        <v>738</v>
      </c>
      <c r="B705" s="4" t="s">
        <v>27</v>
      </c>
      <c r="C705" s="5">
        <v>45958.750694444447</v>
      </c>
      <c r="D705" s="4" t="s">
        <v>44</v>
      </c>
      <c r="E705" s="8" t="s">
        <v>24</v>
      </c>
      <c r="F705" t="str">
        <f t="shared" si="10"/>
        <v>Tuesday</v>
      </c>
      <c r="G705" t="str">
        <f>VLOOKUP(B705,cabang!A:C,2,FALSE)</f>
        <v>Warung Selera Nusantara - Tunjungan</v>
      </c>
    </row>
    <row r="706" spans="1:7" x14ac:dyDescent="0.35">
      <c r="A706" s="7" t="s">
        <v>739</v>
      </c>
      <c r="B706" s="4" t="s">
        <v>31</v>
      </c>
      <c r="C706" s="5">
        <v>45959.759027777778</v>
      </c>
      <c r="D706" s="4" t="s">
        <v>28</v>
      </c>
      <c r="E706" s="8" t="s">
        <v>29</v>
      </c>
      <c r="F706" t="str">
        <f t="shared" ref="F706:F769" si="11">TEXT(C706,"dddd")</f>
        <v>Wednesday</v>
      </c>
      <c r="G706" t="str">
        <f>VLOOKUP(B706,cabang!A:C,2,FALSE)</f>
        <v>Warung Selera Nusantara - Sudirman</v>
      </c>
    </row>
    <row r="707" spans="1:7" x14ac:dyDescent="0.35">
      <c r="A707" s="7" t="s">
        <v>740</v>
      </c>
      <c r="B707" s="4" t="s">
        <v>27</v>
      </c>
      <c r="C707" s="5">
        <v>45959.832638888889</v>
      </c>
      <c r="D707" s="4" t="s">
        <v>44</v>
      </c>
      <c r="E707" s="8" t="s">
        <v>29</v>
      </c>
      <c r="F707" t="str">
        <f t="shared" si="11"/>
        <v>Wednesday</v>
      </c>
      <c r="G707" t="str">
        <f>VLOOKUP(B707,cabang!A:C,2,FALSE)</f>
        <v>Warung Selera Nusantara - Tunjungan</v>
      </c>
    </row>
    <row r="708" spans="1:7" x14ac:dyDescent="0.35">
      <c r="A708" s="7" t="s">
        <v>741</v>
      </c>
      <c r="B708" s="4" t="s">
        <v>27</v>
      </c>
      <c r="C708" s="5">
        <v>45961.718055555553</v>
      </c>
      <c r="D708" s="4" t="s">
        <v>23</v>
      </c>
      <c r="E708" s="8" t="s">
        <v>38</v>
      </c>
      <c r="F708" t="str">
        <f t="shared" si="11"/>
        <v>Friday</v>
      </c>
      <c r="G708" t="str">
        <f>VLOOKUP(B708,cabang!A:C,2,FALSE)</f>
        <v>Warung Selera Nusantara - Tunjungan</v>
      </c>
    </row>
    <row r="709" spans="1:7" x14ac:dyDescent="0.35">
      <c r="A709" s="7" t="s">
        <v>742</v>
      </c>
      <c r="B709" s="4" t="s">
        <v>31</v>
      </c>
      <c r="C709" s="5">
        <v>45962.561111111107</v>
      </c>
      <c r="D709" s="4" t="s">
        <v>44</v>
      </c>
      <c r="E709" s="8" t="s">
        <v>24</v>
      </c>
      <c r="F709" t="str">
        <f t="shared" si="11"/>
        <v>Saturday</v>
      </c>
      <c r="G709" t="str">
        <f>VLOOKUP(B709,cabang!A:C,2,FALSE)</f>
        <v>Warung Selera Nusantara - Sudirman</v>
      </c>
    </row>
    <row r="710" spans="1:7" x14ac:dyDescent="0.35">
      <c r="A710" s="7" t="s">
        <v>743</v>
      </c>
      <c r="B710" s="4" t="s">
        <v>31</v>
      </c>
      <c r="C710" s="5">
        <v>45962.748611111107</v>
      </c>
      <c r="D710" s="4" t="s">
        <v>44</v>
      </c>
      <c r="E710" s="8" t="s">
        <v>33</v>
      </c>
      <c r="F710" t="str">
        <f t="shared" si="11"/>
        <v>Saturday</v>
      </c>
      <c r="G710" t="str">
        <f>VLOOKUP(B710,cabang!A:C,2,FALSE)</f>
        <v>Warung Selera Nusantara - Sudirman</v>
      </c>
    </row>
    <row r="711" spans="1:7" x14ac:dyDescent="0.35">
      <c r="A711" s="7" t="s">
        <v>744</v>
      </c>
      <c r="B711" s="4" t="s">
        <v>31</v>
      </c>
      <c r="C711" s="5">
        <v>45962.777777777781</v>
      </c>
      <c r="D711" s="4" t="s">
        <v>28</v>
      </c>
      <c r="E711" s="8" t="s">
        <v>38</v>
      </c>
      <c r="F711" t="str">
        <f t="shared" si="11"/>
        <v>Saturday</v>
      </c>
      <c r="G711" t="str">
        <f>VLOOKUP(B711,cabang!A:C,2,FALSE)</f>
        <v>Warung Selera Nusantara - Sudirman</v>
      </c>
    </row>
    <row r="712" spans="1:7" x14ac:dyDescent="0.35">
      <c r="A712" s="7" t="s">
        <v>745</v>
      </c>
      <c r="B712" s="4" t="s">
        <v>27</v>
      </c>
      <c r="C712" s="5">
        <v>45962.868750000001</v>
      </c>
      <c r="D712" s="4" t="s">
        <v>28</v>
      </c>
      <c r="E712" s="8" t="s">
        <v>24</v>
      </c>
      <c r="F712" t="str">
        <f t="shared" si="11"/>
        <v>Saturday</v>
      </c>
      <c r="G712" t="str">
        <f>VLOOKUP(B712,cabang!A:C,2,FALSE)</f>
        <v>Warung Selera Nusantara - Tunjungan</v>
      </c>
    </row>
    <row r="713" spans="1:7" x14ac:dyDescent="0.35">
      <c r="A713" s="7" t="s">
        <v>746</v>
      </c>
      <c r="B713" s="4" t="s">
        <v>43</v>
      </c>
      <c r="C713" s="5">
        <v>45963.466666666667</v>
      </c>
      <c r="D713" s="4" t="s">
        <v>23</v>
      </c>
      <c r="E713" s="8" t="s">
        <v>24</v>
      </c>
      <c r="F713" t="str">
        <f t="shared" si="11"/>
        <v>Sunday</v>
      </c>
      <c r="G713" t="str">
        <f>VLOOKUP(B713,cabang!A:C,2,FALSE)</f>
        <v>Warung Selera Nusantara - Dago</v>
      </c>
    </row>
    <row r="714" spans="1:7" x14ac:dyDescent="0.35">
      <c r="A714" s="7" t="s">
        <v>747</v>
      </c>
      <c r="B714" s="4" t="s">
        <v>43</v>
      </c>
      <c r="C714" s="5">
        <v>45963.805555555547</v>
      </c>
      <c r="D714" s="4" t="s">
        <v>23</v>
      </c>
      <c r="E714" s="8" t="s">
        <v>24</v>
      </c>
      <c r="F714" t="str">
        <f t="shared" si="11"/>
        <v>Sunday</v>
      </c>
      <c r="G714" t="str">
        <f>VLOOKUP(B714,cabang!A:C,2,FALSE)</f>
        <v>Warung Selera Nusantara - Dago</v>
      </c>
    </row>
    <row r="715" spans="1:7" x14ac:dyDescent="0.35">
      <c r="A715" s="7" t="s">
        <v>748</v>
      </c>
      <c r="B715" s="4" t="s">
        <v>27</v>
      </c>
      <c r="C715" s="5">
        <v>45963.817361111112</v>
      </c>
      <c r="D715" s="4" t="s">
        <v>44</v>
      </c>
      <c r="E715" s="8" t="s">
        <v>29</v>
      </c>
      <c r="F715" t="str">
        <f t="shared" si="11"/>
        <v>Sunday</v>
      </c>
      <c r="G715" t="str">
        <f>VLOOKUP(B715,cabang!A:C,2,FALSE)</f>
        <v>Warung Selera Nusantara - Tunjungan</v>
      </c>
    </row>
    <row r="716" spans="1:7" x14ac:dyDescent="0.35">
      <c r="A716" s="7" t="s">
        <v>749</v>
      </c>
      <c r="B716" s="4" t="s">
        <v>27</v>
      </c>
      <c r="C716" s="5">
        <v>45964.845833333333</v>
      </c>
      <c r="D716" s="4" t="s">
        <v>23</v>
      </c>
      <c r="E716" s="8" t="s">
        <v>38</v>
      </c>
      <c r="F716" t="str">
        <f t="shared" si="11"/>
        <v>Monday</v>
      </c>
      <c r="G716" t="str">
        <f>VLOOKUP(B716,cabang!A:C,2,FALSE)</f>
        <v>Warung Selera Nusantara - Tunjungan</v>
      </c>
    </row>
    <row r="717" spans="1:7" x14ac:dyDescent="0.35">
      <c r="A717" s="7" t="s">
        <v>750</v>
      </c>
      <c r="B717" s="4" t="s">
        <v>31</v>
      </c>
      <c r="C717" s="5">
        <v>45965.356944444437</v>
      </c>
      <c r="D717" s="4" t="s">
        <v>28</v>
      </c>
      <c r="E717" s="8" t="s">
        <v>29</v>
      </c>
      <c r="F717" t="str">
        <f t="shared" si="11"/>
        <v>Tuesday</v>
      </c>
      <c r="G717" t="str">
        <f>VLOOKUP(B717,cabang!A:C,2,FALSE)</f>
        <v>Warung Selera Nusantara - Sudirman</v>
      </c>
    </row>
    <row r="718" spans="1:7" x14ac:dyDescent="0.35">
      <c r="A718" s="7" t="s">
        <v>751</v>
      </c>
      <c r="B718" s="4" t="s">
        <v>31</v>
      </c>
      <c r="C718" s="5">
        <v>45965.416666666657</v>
      </c>
      <c r="D718" s="4" t="s">
        <v>23</v>
      </c>
      <c r="E718" s="8" t="s">
        <v>29</v>
      </c>
      <c r="F718" t="str">
        <f t="shared" si="11"/>
        <v>Tuesday</v>
      </c>
      <c r="G718" t="str">
        <f>VLOOKUP(B718,cabang!A:C,2,FALSE)</f>
        <v>Warung Selera Nusantara - Sudirman</v>
      </c>
    </row>
    <row r="719" spans="1:7" x14ac:dyDescent="0.35">
      <c r="A719" s="7" t="s">
        <v>752</v>
      </c>
      <c r="B719" s="4" t="s">
        <v>27</v>
      </c>
      <c r="C719" s="5">
        <v>45965.746527777781</v>
      </c>
      <c r="D719" s="4" t="s">
        <v>44</v>
      </c>
      <c r="E719" s="8" t="s">
        <v>29</v>
      </c>
      <c r="F719" t="str">
        <f t="shared" si="11"/>
        <v>Tuesday</v>
      </c>
      <c r="G719" t="str">
        <f>VLOOKUP(B719,cabang!A:C,2,FALSE)</f>
        <v>Warung Selera Nusantara - Tunjungan</v>
      </c>
    </row>
    <row r="720" spans="1:7" x14ac:dyDescent="0.35">
      <c r="A720" s="7" t="s">
        <v>753</v>
      </c>
      <c r="B720" s="4" t="s">
        <v>43</v>
      </c>
      <c r="C720" s="5">
        <v>45966.340277777781</v>
      </c>
      <c r="D720" s="4" t="s">
        <v>28</v>
      </c>
      <c r="E720" s="8" t="s">
        <v>24</v>
      </c>
      <c r="F720" t="str">
        <f t="shared" si="11"/>
        <v>Wednesday</v>
      </c>
      <c r="G720" t="str">
        <f>VLOOKUP(B720,cabang!A:C,2,FALSE)</f>
        <v>Warung Selera Nusantara - Dago</v>
      </c>
    </row>
    <row r="721" spans="1:7" x14ac:dyDescent="0.35">
      <c r="A721" s="7" t="s">
        <v>754</v>
      </c>
      <c r="B721" s="4" t="s">
        <v>22</v>
      </c>
      <c r="C721" s="5">
        <v>45966.809027777781</v>
      </c>
      <c r="D721" s="4" t="s">
        <v>28</v>
      </c>
      <c r="E721" s="8" t="s">
        <v>24</v>
      </c>
      <c r="F721" t="str">
        <f t="shared" si="11"/>
        <v>Wednesday</v>
      </c>
      <c r="G721" t="str">
        <f>VLOOKUP(B721,cabang!A:C,2,FALSE)</f>
        <v>Warung Selera Nusantara - Margonda</v>
      </c>
    </row>
    <row r="722" spans="1:7" x14ac:dyDescent="0.35">
      <c r="A722" s="7" t="s">
        <v>755</v>
      </c>
      <c r="B722" s="4" t="s">
        <v>27</v>
      </c>
      <c r="C722" s="5">
        <v>45968.584722222222</v>
      </c>
      <c r="D722" s="4" t="s">
        <v>28</v>
      </c>
      <c r="E722" s="8" t="s">
        <v>29</v>
      </c>
      <c r="F722" t="str">
        <f t="shared" si="11"/>
        <v>Friday</v>
      </c>
      <c r="G722" t="str">
        <f>VLOOKUP(B722,cabang!A:C,2,FALSE)</f>
        <v>Warung Selera Nusantara - Tunjungan</v>
      </c>
    </row>
    <row r="723" spans="1:7" x14ac:dyDescent="0.35">
      <c r="A723" s="7" t="s">
        <v>756</v>
      </c>
      <c r="B723" s="4" t="s">
        <v>27</v>
      </c>
      <c r="C723" s="5">
        <v>45969.32708333333</v>
      </c>
      <c r="D723" s="4" t="s">
        <v>28</v>
      </c>
      <c r="E723" s="8" t="s">
        <v>24</v>
      </c>
      <c r="F723" t="str">
        <f t="shared" si="11"/>
        <v>Saturday</v>
      </c>
      <c r="G723" t="str">
        <f>VLOOKUP(B723,cabang!A:C,2,FALSE)</f>
        <v>Warung Selera Nusantara - Tunjungan</v>
      </c>
    </row>
    <row r="724" spans="1:7" x14ac:dyDescent="0.35">
      <c r="A724" s="7" t="s">
        <v>757</v>
      </c>
      <c r="B724" s="4" t="s">
        <v>31</v>
      </c>
      <c r="C724" s="5">
        <v>45969.388888888891</v>
      </c>
      <c r="D724" s="4" t="s">
        <v>28</v>
      </c>
      <c r="E724" s="8" t="s">
        <v>38</v>
      </c>
      <c r="F724" t="str">
        <f t="shared" si="11"/>
        <v>Saturday</v>
      </c>
      <c r="G724" t="str">
        <f>VLOOKUP(B724,cabang!A:C,2,FALSE)</f>
        <v>Warung Selera Nusantara - Sudirman</v>
      </c>
    </row>
    <row r="725" spans="1:7" x14ac:dyDescent="0.35">
      <c r="A725" s="7" t="s">
        <v>758</v>
      </c>
      <c r="B725" s="4" t="s">
        <v>27</v>
      </c>
      <c r="C725" s="5">
        <v>45969.463888888888</v>
      </c>
      <c r="D725" s="4" t="s">
        <v>23</v>
      </c>
      <c r="E725" s="8" t="s">
        <v>24</v>
      </c>
      <c r="F725" t="str">
        <f t="shared" si="11"/>
        <v>Saturday</v>
      </c>
      <c r="G725" t="str">
        <f>VLOOKUP(B725,cabang!A:C,2,FALSE)</f>
        <v>Warung Selera Nusantara - Tunjungan</v>
      </c>
    </row>
    <row r="726" spans="1:7" x14ac:dyDescent="0.35">
      <c r="A726" s="7" t="s">
        <v>759</v>
      </c>
      <c r="B726" s="4" t="s">
        <v>22</v>
      </c>
      <c r="C726" s="5">
        <v>45969.695138888892</v>
      </c>
      <c r="D726" s="4" t="s">
        <v>23</v>
      </c>
      <c r="E726" s="8" t="s">
        <v>24</v>
      </c>
      <c r="F726" t="str">
        <f t="shared" si="11"/>
        <v>Saturday</v>
      </c>
      <c r="G726" t="str">
        <f>VLOOKUP(B726,cabang!A:C,2,FALSE)</f>
        <v>Warung Selera Nusantara - Margonda</v>
      </c>
    </row>
    <row r="727" spans="1:7" x14ac:dyDescent="0.35">
      <c r="A727" s="7" t="s">
        <v>760</v>
      </c>
      <c r="B727" s="4" t="s">
        <v>22</v>
      </c>
      <c r="C727" s="5">
        <v>45969.783333333333</v>
      </c>
      <c r="D727" s="4" t="s">
        <v>23</v>
      </c>
      <c r="E727" s="8" t="s">
        <v>33</v>
      </c>
      <c r="F727" t="str">
        <f t="shared" si="11"/>
        <v>Saturday</v>
      </c>
      <c r="G727" t="str">
        <f>VLOOKUP(B727,cabang!A:C,2,FALSE)</f>
        <v>Warung Selera Nusantara - Margonda</v>
      </c>
    </row>
    <row r="728" spans="1:7" x14ac:dyDescent="0.35">
      <c r="A728" s="7" t="s">
        <v>761</v>
      </c>
      <c r="B728" s="4" t="s">
        <v>27</v>
      </c>
      <c r="C728" s="5">
        <v>45970.630555555559</v>
      </c>
      <c r="D728" s="4" t="s">
        <v>23</v>
      </c>
      <c r="E728" s="8" t="s">
        <v>24</v>
      </c>
      <c r="F728" t="str">
        <f t="shared" si="11"/>
        <v>Sunday</v>
      </c>
      <c r="G728" t="str">
        <f>VLOOKUP(B728,cabang!A:C,2,FALSE)</f>
        <v>Warung Selera Nusantara - Tunjungan</v>
      </c>
    </row>
    <row r="729" spans="1:7" x14ac:dyDescent="0.35">
      <c r="A729" s="7" t="s">
        <v>762</v>
      </c>
      <c r="B729" s="4" t="s">
        <v>22</v>
      </c>
      <c r="C729" s="5">
        <v>45970.756944444453</v>
      </c>
      <c r="D729" s="4" t="s">
        <v>44</v>
      </c>
      <c r="E729" s="8" t="s">
        <v>38</v>
      </c>
      <c r="F729" t="str">
        <f t="shared" si="11"/>
        <v>Sunday</v>
      </c>
      <c r="G729" t="str">
        <f>VLOOKUP(B729,cabang!A:C,2,FALSE)</f>
        <v>Warung Selera Nusantara - Margonda</v>
      </c>
    </row>
    <row r="730" spans="1:7" x14ac:dyDescent="0.35">
      <c r="A730" s="7" t="s">
        <v>763</v>
      </c>
      <c r="B730" s="4" t="s">
        <v>31</v>
      </c>
      <c r="C730" s="5">
        <v>45970.770833333343</v>
      </c>
      <c r="D730" s="4" t="s">
        <v>23</v>
      </c>
      <c r="E730" s="8" t="s">
        <v>33</v>
      </c>
      <c r="F730" t="str">
        <f t="shared" si="11"/>
        <v>Sunday</v>
      </c>
      <c r="G730" t="str">
        <f>VLOOKUP(B730,cabang!A:C,2,FALSE)</f>
        <v>Warung Selera Nusantara - Sudirman</v>
      </c>
    </row>
    <row r="731" spans="1:7" x14ac:dyDescent="0.35">
      <c r="A731" s="7" t="s">
        <v>764</v>
      </c>
      <c r="B731" s="4" t="s">
        <v>43</v>
      </c>
      <c r="C731" s="5">
        <v>45970.801388888889</v>
      </c>
      <c r="D731" s="4" t="s">
        <v>23</v>
      </c>
      <c r="E731" s="8" t="s">
        <v>24</v>
      </c>
      <c r="F731" t="str">
        <f t="shared" si="11"/>
        <v>Sunday</v>
      </c>
      <c r="G731" t="str">
        <f>VLOOKUP(B731,cabang!A:C,2,FALSE)</f>
        <v>Warung Selera Nusantara - Dago</v>
      </c>
    </row>
    <row r="732" spans="1:7" x14ac:dyDescent="0.35">
      <c r="A732" s="7" t="s">
        <v>765</v>
      </c>
      <c r="B732" s="4" t="s">
        <v>31</v>
      </c>
      <c r="C732" s="5">
        <v>45971.82708333333</v>
      </c>
      <c r="D732" s="4" t="s">
        <v>44</v>
      </c>
      <c r="E732" s="8" t="s">
        <v>38</v>
      </c>
      <c r="F732" t="str">
        <f t="shared" si="11"/>
        <v>Monday</v>
      </c>
      <c r="G732" t="str">
        <f>VLOOKUP(B732,cabang!A:C,2,FALSE)</f>
        <v>Warung Selera Nusantara - Sudirman</v>
      </c>
    </row>
    <row r="733" spans="1:7" x14ac:dyDescent="0.35">
      <c r="A733" s="7" t="s">
        <v>766</v>
      </c>
      <c r="B733" s="4" t="s">
        <v>22</v>
      </c>
      <c r="C733" s="5">
        <v>45972.543749999997</v>
      </c>
      <c r="D733" s="4" t="s">
        <v>23</v>
      </c>
      <c r="E733" s="8" t="s">
        <v>33</v>
      </c>
      <c r="F733" t="str">
        <f t="shared" si="11"/>
        <v>Tuesday</v>
      </c>
      <c r="G733" t="str">
        <f>VLOOKUP(B733,cabang!A:C,2,FALSE)</f>
        <v>Warung Selera Nusantara - Margonda</v>
      </c>
    </row>
    <row r="734" spans="1:7" x14ac:dyDescent="0.35">
      <c r="A734" s="7" t="s">
        <v>767</v>
      </c>
      <c r="B734" s="4" t="s">
        <v>31</v>
      </c>
      <c r="C734" s="5">
        <v>45972.828472222223</v>
      </c>
      <c r="D734" s="4" t="s">
        <v>44</v>
      </c>
      <c r="E734" s="8" t="s">
        <v>29</v>
      </c>
      <c r="F734" t="str">
        <f t="shared" si="11"/>
        <v>Tuesday</v>
      </c>
      <c r="G734" t="str">
        <f>VLOOKUP(B734,cabang!A:C,2,FALSE)</f>
        <v>Warung Selera Nusantara - Sudirman</v>
      </c>
    </row>
    <row r="735" spans="1:7" x14ac:dyDescent="0.35">
      <c r="A735" s="7" t="s">
        <v>768</v>
      </c>
      <c r="B735" s="4" t="s">
        <v>22</v>
      </c>
      <c r="C735" s="5">
        <v>45973.404861111107</v>
      </c>
      <c r="D735" s="4" t="s">
        <v>23</v>
      </c>
      <c r="E735" s="8" t="s">
        <v>29</v>
      </c>
      <c r="F735" t="str">
        <f t="shared" si="11"/>
        <v>Wednesday</v>
      </c>
      <c r="G735" t="str">
        <f>VLOOKUP(B735,cabang!A:C,2,FALSE)</f>
        <v>Warung Selera Nusantara - Margonda</v>
      </c>
    </row>
    <row r="736" spans="1:7" x14ac:dyDescent="0.35">
      <c r="A736" s="7" t="s">
        <v>769</v>
      </c>
      <c r="B736" s="4" t="s">
        <v>22</v>
      </c>
      <c r="C736" s="5">
        <v>45973.805555555547</v>
      </c>
      <c r="D736" s="4" t="s">
        <v>28</v>
      </c>
      <c r="E736" s="8" t="s">
        <v>24</v>
      </c>
      <c r="F736" t="str">
        <f t="shared" si="11"/>
        <v>Wednesday</v>
      </c>
      <c r="G736" t="str">
        <f>VLOOKUP(B736,cabang!A:C,2,FALSE)</f>
        <v>Warung Selera Nusantara - Margonda</v>
      </c>
    </row>
    <row r="737" spans="1:7" x14ac:dyDescent="0.35">
      <c r="A737" s="7" t="s">
        <v>770</v>
      </c>
      <c r="B737" s="4" t="s">
        <v>22</v>
      </c>
      <c r="C737" s="5">
        <v>45974.506249999999</v>
      </c>
      <c r="D737" s="4" t="s">
        <v>23</v>
      </c>
      <c r="E737" s="8" t="s">
        <v>33</v>
      </c>
      <c r="F737" t="str">
        <f t="shared" si="11"/>
        <v>Thursday</v>
      </c>
      <c r="G737" t="str">
        <f>VLOOKUP(B737,cabang!A:C,2,FALSE)</f>
        <v>Warung Selera Nusantara - Margonda</v>
      </c>
    </row>
    <row r="738" spans="1:7" x14ac:dyDescent="0.35">
      <c r="A738" s="7" t="s">
        <v>771</v>
      </c>
      <c r="B738" s="4" t="s">
        <v>31</v>
      </c>
      <c r="C738" s="5">
        <v>45975.529861111107</v>
      </c>
      <c r="D738" s="4" t="s">
        <v>23</v>
      </c>
      <c r="E738" s="8" t="s">
        <v>24</v>
      </c>
      <c r="F738" t="str">
        <f t="shared" si="11"/>
        <v>Friday</v>
      </c>
      <c r="G738" t="str">
        <f>VLOOKUP(B738,cabang!A:C,2,FALSE)</f>
        <v>Warung Selera Nusantara - Sudirman</v>
      </c>
    </row>
    <row r="739" spans="1:7" x14ac:dyDescent="0.35">
      <c r="A739" s="7" t="s">
        <v>772</v>
      </c>
      <c r="B739" s="4" t="s">
        <v>27</v>
      </c>
      <c r="C739" s="5">
        <v>45976.525000000001</v>
      </c>
      <c r="D739" s="4" t="s">
        <v>23</v>
      </c>
      <c r="E739" s="8" t="s">
        <v>38</v>
      </c>
      <c r="F739" t="str">
        <f t="shared" si="11"/>
        <v>Saturday</v>
      </c>
      <c r="G739" t="str">
        <f>VLOOKUP(B739,cabang!A:C,2,FALSE)</f>
        <v>Warung Selera Nusantara - Tunjungan</v>
      </c>
    </row>
    <row r="740" spans="1:7" x14ac:dyDescent="0.35">
      <c r="A740" s="7" t="s">
        <v>773</v>
      </c>
      <c r="B740" s="4" t="s">
        <v>31</v>
      </c>
      <c r="C740" s="5">
        <v>45977.525694444441</v>
      </c>
      <c r="D740" s="4" t="s">
        <v>23</v>
      </c>
      <c r="E740" s="8" t="s">
        <v>33</v>
      </c>
      <c r="F740" t="str">
        <f t="shared" si="11"/>
        <v>Sunday</v>
      </c>
      <c r="G740" t="str">
        <f>VLOOKUP(B740,cabang!A:C,2,FALSE)</f>
        <v>Warung Selera Nusantara - Sudirman</v>
      </c>
    </row>
    <row r="741" spans="1:7" x14ac:dyDescent="0.35">
      <c r="A741" s="7" t="s">
        <v>774</v>
      </c>
      <c r="B741" s="4" t="s">
        <v>27</v>
      </c>
      <c r="C741" s="5">
        <v>45977.773611111108</v>
      </c>
      <c r="D741" s="4" t="s">
        <v>23</v>
      </c>
      <c r="E741" s="8" t="s">
        <v>29</v>
      </c>
      <c r="F741" t="str">
        <f t="shared" si="11"/>
        <v>Sunday</v>
      </c>
      <c r="G741" t="str">
        <f>VLOOKUP(B741,cabang!A:C,2,FALSE)</f>
        <v>Warung Selera Nusantara - Tunjungan</v>
      </c>
    </row>
    <row r="742" spans="1:7" x14ac:dyDescent="0.35">
      <c r="A742" s="7" t="s">
        <v>775</v>
      </c>
      <c r="B742" s="4" t="s">
        <v>27</v>
      </c>
      <c r="C742" s="5">
        <v>45978.75</v>
      </c>
      <c r="D742" s="4" t="s">
        <v>23</v>
      </c>
      <c r="E742" s="8" t="s">
        <v>38</v>
      </c>
      <c r="F742" t="str">
        <f t="shared" si="11"/>
        <v>Monday</v>
      </c>
      <c r="G742" t="str">
        <f>VLOOKUP(B742,cabang!A:C,2,FALSE)</f>
        <v>Warung Selera Nusantara - Tunjungan</v>
      </c>
    </row>
    <row r="743" spans="1:7" x14ac:dyDescent="0.35">
      <c r="A743" s="7" t="s">
        <v>776</v>
      </c>
      <c r="B743" s="4" t="s">
        <v>22</v>
      </c>
      <c r="C743" s="5">
        <v>45978.902777777781</v>
      </c>
      <c r="D743" s="4" t="s">
        <v>28</v>
      </c>
      <c r="E743" s="8" t="s">
        <v>29</v>
      </c>
      <c r="F743" t="str">
        <f t="shared" si="11"/>
        <v>Monday</v>
      </c>
      <c r="G743" t="str">
        <f>VLOOKUP(B743,cabang!A:C,2,FALSE)</f>
        <v>Warung Selera Nusantara - Margonda</v>
      </c>
    </row>
    <row r="744" spans="1:7" x14ac:dyDescent="0.35">
      <c r="A744" s="7" t="s">
        <v>777</v>
      </c>
      <c r="B744" s="4" t="s">
        <v>31</v>
      </c>
      <c r="C744" s="5">
        <v>45979.824999999997</v>
      </c>
      <c r="D744" s="4" t="s">
        <v>28</v>
      </c>
      <c r="E744" s="8" t="s">
        <v>24</v>
      </c>
      <c r="F744" t="str">
        <f t="shared" si="11"/>
        <v>Tuesday</v>
      </c>
      <c r="G744" t="str">
        <f>VLOOKUP(B744,cabang!A:C,2,FALSE)</f>
        <v>Warung Selera Nusantara - Sudirman</v>
      </c>
    </row>
    <row r="745" spans="1:7" x14ac:dyDescent="0.35">
      <c r="A745" s="7" t="s">
        <v>778</v>
      </c>
      <c r="B745" s="4" t="s">
        <v>31</v>
      </c>
      <c r="C745" s="5">
        <v>45979.837500000001</v>
      </c>
      <c r="D745" s="4" t="s">
        <v>44</v>
      </c>
      <c r="E745" s="8" t="s">
        <v>29</v>
      </c>
      <c r="F745" t="str">
        <f t="shared" si="11"/>
        <v>Tuesday</v>
      </c>
      <c r="G745" t="str">
        <f>VLOOKUP(B745,cabang!A:C,2,FALSE)</f>
        <v>Warung Selera Nusantara - Sudirman</v>
      </c>
    </row>
    <row r="746" spans="1:7" x14ac:dyDescent="0.35">
      <c r="A746" s="7" t="s">
        <v>779</v>
      </c>
      <c r="B746" s="4" t="s">
        <v>43</v>
      </c>
      <c r="C746" s="5">
        <v>45980.770138888889</v>
      </c>
      <c r="D746" s="4" t="s">
        <v>44</v>
      </c>
      <c r="E746" s="8" t="s">
        <v>24</v>
      </c>
      <c r="F746" t="str">
        <f t="shared" si="11"/>
        <v>Wednesday</v>
      </c>
      <c r="G746" t="str">
        <f>VLOOKUP(B746,cabang!A:C,2,FALSE)</f>
        <v>Warung Selera Nusantara - Dago</v>
      </c>
    </row>
    <row r="747" spans="1:7" x14ac:dyDescent="0.35">
      <c r="A747" s="7" t="s">
        <v>780</v>
      </c>
      <c r="B747" s="4" t="s">
        <v>31</v>
      </c>
      <c r="C747" s="5">
        <v>45981.913888888892</v>
      </c>
      <c r="D747" s="4" t="s">
        <v>44</v>
      </c>
      <c r="E747" s="8" t="s">
        <v>33</v>
      </c>
      <c r="F747" t="str">
        <f t="shared" si="11"/>
        <v>Thursday</v>
      </c>
      <c r="G747" t="str">
        <f>VLOOKUP(B747,cabang!A:C,2,FALSE)</f>
        <v>Warung Selera Nusantara - Sudirman</v>
      </c>
    </row>
    <row r="748" spans="1:7" x14ac:dyDescent="0.35">
      <c r="A748" s="7" t="s">
        <v>781</v>
      </c>
      <c r="B748" s="4" t="s">
        <v>31</v>
      </c>
      <c r="C748" s="5">
        <v>45982.445833333331</v>
      </c>
      <c r="D748" s="4" t="s">
        <v>44</v>
      </c>
      <c r="E748" s="8" t="s">
        <v>33</v>
      </c>
      <c r="F748" t="str">
        <f t="shared" si="11"/>
        <v>Friday</v>
      </c>
      <c r="G748" t="str">
        <f>VLOOKUP(B748,cabang!A:C,2,FALSE)</f>
        <v>Warung Selera Nusantara - Sudirman</v>
      </c>
    </row>
    <row r="749" spans="1:7" x14ac:dyDescent="0.35">
      <c r="A749" s="7" t="s">
        <v>782</v>
      </c>
      <c r="B749" s="4" t="s">
        <v>22</v>
      </c>
      <c r="C749" s="5">
        <v>45982.486805555563</v>
      </c>
      <c r="D749" s="4" t="s">
        <v>23</v>
      </c>
      <c r="E749" s="8" t="s">
        <v>29</v>
      </c>
      <c r="F749" t="str">
        <f t="shared" si="11"/>
        <v>Friday</v>
      </c>
      <c r="G749" t="str">
        <f>VLOOKUP(B749,cabang!A:C,2,FALSE)</f>
        <v>Warung Selera Nusantara - Margonda</v>
      </c>
    </row>
    <row r="750" spans="1:7" x14ac:dyDescent="0.35">
      <c r="A750" s="7" t="s">
        <v>783</v>
      </c>
      <c r="B750" s="4" t="s">
        <v>43</v>
      </c>
      <c r="C750" s="5">
        <v>45982.783333333333</v>
      </c>
      <c r="D750" s="4" t="s">
        <v>23</v>
      </c>
      <c r="E750" s="8" t="s">
        <v>24</v>
      </c>
      <c r="F750" t="str">
        <f t="shared" si="11"/>
        <v>Friday</v>
      </c>
      <c r="G750" t="str">
        <f>VLOOKUP(B750,cabang!A:C,2,FALSE)</f>
        <v>Warung Selera Nusantara - Dago</v>
      </c>
    </row>
    <row r="751" spans="1:7" x14ac:dyDescent="0.35">
      <c r="A751" s="7" t="s">
        <v>784</v>
      </c>
      <c r="B751" s="4" t="s">
        <v>27</v>
      </c>
      <c r="C751" s="5">
        <v>45982.836111111108</v>
      </c>
      <c r="D751" s="4" t="s">
        <v>23</v>
      </c>
      <c r="E751" s="8" t="s">
        <v>29</v>
      </c>
      <c r="F751" t="str">
        <f t="shared" si="11"/>
        <v>Friday</v>
      </c>
      <c r="G751" t="str">
        <f>VLOOKUP(B751,cabang!A:C,2,FALSE)</f>
        <v>Warung Selera Nusantara - Tunjungan</v>
      </c>
    </row>
    <row r="752" spans="1:7" x14ac:dyDescent="0.35">
      <c r="A752" s="7" t="s">
        <v>785</v>
      </c>
      <c r="B752" s="4" t="s">
        <v>22</v>
      </c>
      <c r="C752" s="5">
        <v>45982.886111111111</v>
      </c>
      <c r="D752" s="4" t="s">
        <v>44</v>
      </c>
      <c r="E752" s="8" t="s">
        <v>33</v>
      </c>
      <c r="F752" t="str">
        <f t="shared" si="11"/>
        <v>Friday</v>
      </c>
      <c r="G752" t="str">
        <f>VLOOKUP(B752,cabang!A:C,2,FALSE)</f>
        <v>Warung Selera Nusantara - Margonda</v>
      </c>
    </row>
    <row r="753" spans="1:7" x14ac:dyDescent="0.35">
      <c r="A753" s="7" t="s">
        <v>786</v>
      </c>
      <c r="B753" s="4" t="s">
        <v>27</v>
      </c>
      <c r="C753" s="5">
        <v>45983.368750000001</v>
      </c>
      <c r="D753" s="4" t="s">
        <v>44</v>
      </c>
      <c r="E753" s="8" t="s">
        <v>33</v>
      </c>
      <c r="F753" t="str">
        <f t="shared" si="11"/>
        <v>Saturday</v>
      </c>
      <c r="G753" t="str">
        <f>VLOOKUP(B753,cabang!A:C,2,FALSE)</f>
        <v>Warung Selera Nusantara - Tunjungan</v>
      </c>
    </row>
    <row r="754" spans="1:7" x14ac:dyDescent="0.35">
      <c r="A754" s="7" t="s">
        <v>787</v>
      </c>
      <c r="B754" s="4" t="s">
        <v>22</v>
      </c>
      <c r="C754" s="5">
        <v>45983.572222222218</v>
      </c>
      <c r="D754" s="4" t="s">
        <v>23</v>
      </c>
      <c r="E754" s="8" t="s">
        <v>24</v>
      </c>
      <c r="F754" t="str">
        <f t="shared" si="11"/>
        <v>Saturday</v>
      </c>
      <c r="G754" t="str">
        <f>VLOOKUP(B754,cabang!A:C,2,FALSE)</f>
        <v>Warung Selera Nusantara - Margonda</v>
      </c>
    </row>
    <row r="755" spans="1:7" x14ac:dyDescent="0.35">
      <c r="A755" s="7" t="s">
        <v>788</v>
      </c>
      <c r="B755" s="4" t="s">
        <v>27</v>
      </c>
      <c r="C755" s="5">
        <v>45983.789583333331</v>
      </c>
      <c r="D755" s="4" t="s">
        <v>23</v>
      </c>
      <c r="E755" s="8" t="s">
        <v>24</v>
      </c>
      <c r="F755" t="str">
        <f t="shared" si="11"/>
        <v>Saturday</v>
      </c>
      <c r="G755" t="str">
        <f>VLOOKUP(B755,cabang!A:C,2,FALSE)</f>
        <v>Warung Selera Nusantara - Tunjungan</v>
      </c>
    </row>
    <row r="756" spans="1:7" x14ac:dyDescent="0.35">
      <c r="A756" s="7" t="s">
        <v>789</v>
      </c>
      <c r="B756" s="4" t="s">
        <v>31</v>
      </c>
      <c r="C756" s="5">
        <v>45983.915972222218</v>
      </c>
      <c r="D756" s="4" t="s">
        <v>23</v>
      </c>
      <c r="E756" s="8" t="s">
        <v>29</v>
      </c>
      <c r="F756" t="str">
        <f t="shared" si="11"/>
        <v>Saturday</v>
      </c>
      <c r="G756" t="str">
        <f>VLOOKUP(B756,cabang!A:C,2,FALSE)</f>
        <v>Warung Selera Nusantara - Sudirman</v>
      </c>
    </row>
    <row r="757" spans="1:7" x14ac:dyDescent="0.35">
      <c r="A757" s="7" t="s">
        <v>790</v>
      </c>
      <c r="B757" s="4" t="s">
        <v>31</v>
      </c>
      <c r="C757" s="5">
        <v>45984.522916666669</v>
      </c>
      <c r="D757" s="4" t="s">
        <v>23</v>
      </c>
      <c r="E757" s="8" t="s">
        <v>33</v>
      </c>
      <c r="F757" t="str">
        <f t="shared" si="11"/>
        <v>Sunday</v>
      </c>
      <c r="G757" t="str">
        <f>VLOOKUP(B757,cabang!A:C,2,FALSE)</f>
        <v>Warung Selera Nusantara - Sudirman</v>
      </c>
    </row>
    <row r="758" spans="1:7" x14ac:dyDescent="0.35">
      <c r="A758" s="7" t="s">
        <v>791</v>
      </c>
      <c r="B758" s="4" t="s">
        <v>22</v>
      </c>
      <c r="C758" s="5">
        <v>45984.886111111111</v>
      </c>
      <c r="D758" s="4" t="s">
        <v>23</v>
      </c>
      <c r="E758" s="8" t="s">
        <v>24</v>
      </c>
      <c r="F758" t="str">
        <f t="shared" si="11"/>
        <v>Sunday</v>
      </c>
      <c r="G758" t="str">
        <f>VLOOKUP(B758,cabang!A:C,2,FALSE)</f>
        <v>Warung Selera Nusantara - Margonda</v>
      </c>
    </row>
    <row r="759" spans="1:7" x14ac:dyDescent="0.35">
      <c r="A759" s="7" t="s">
        <v>792</v>
      </c>
      <c r="B759" s="4" t="s">
        <v>31</v>
      </c>
      <c r="C759" s="5">
        <v>45986.415277777778</v>
      </c>
      <c r="D759" s="4" t="s">
        <v>23</v>
      </c>
      <c r="E759" s="8" t="s">
        <v>38</v>
      </c>
      <c r="F759" t="str">
        <f t="shared" si="11"/>
        <v>Tuesday</v>
      </c>
      <c r="G759" t="str">
        <f>VLOOKUP(B759,cabang!A:C,2,FALSE)</f>
        <v>Warung Selera Nusantara - Sudirman</v>
      </c>
    </row>
    <row r="760" spans="1:7" x14ac:dyDescent="0.35">
      <c r="A760" s="7" t="s">
        <v>793</v>
      </c>
      <c r="B760" s="4" t="s">
        <v>31</v>
      </c>
      <c r="C760" s="5">
        <v>45986.435416666667</v>
      </c>
      <c r="D760" s="4" t="s">
        <v>28</v>
      </c>
      <c r="E760" s="8" t="s">
        <v>29</v>
      </c>
      <c r="F760" t="str">
        <f t="shared" si="11"/>
        <v>Tuesday</v>
      </c>
      <c r="G760" t="str">
        <f>VLOOKUP(B760,cabang!A:C,2,FALSE)</f>
        <v>Warung Selera Nusantara - Sudirman</v>
      </c>
    </row>
    <row r="761" spans="1:7" x14ac:dyDescent="0.35">
      <c r="A761" s="7" t="s">
        <v>794</v>
      </c>
      <c r="B761" s="4" t="s">
        <v>31</v>
      </c>
      <c r="C761" s="5">
        <v>45986.47152777778</v>
      </c>
      <c r="D761" s="4" t="s">
        <v>23</v>
      </c>
      <c r="E761" s="8" t="s">
        <v>24</v>
      </c>
      <c r="F761" t="str">
        <f t="shared" si="11"/>
        <v>Tuesday</v>
      </c>
      <c r="G761" t="str">
        <f>VLOOKUP(B761,cabang!A:C,2,FALSE)</f>
        <v>Warung Selera Nusantara - Sudirman</v>
      </c>
    </row>
    <row r="762" spans="1:7" x14ac:dyDescent="0.35">
      <c r="A762" s="7" t="s">
        <v>795</v>
      </c>
      <c r="B762" s="4" t="s">
        <v>31</v>
      </c>
      <c r="C762" s="5">
        <v>45986.568749999999</v>
      </c>
      <c r="D762" s="4" t="s">
        <v>23</v>
      </c>
      <c r="E762" s="8" t="s">
        <v>33</v>
      </c>
      <c r="F762" t="str">
        <f t="shared" si="11"/>
        <v>Tuesday</v>
      </c>
      <c r="G762" t="str">
        <f>VLOOKUP(B762,cabang!A:C,2,FALSE)</f>
        <v>Warung Selera Nusantara - Sudirman</v>
      </c>
    </row>
    <row r="763" spans="1:7" x14ac:dyDescent="0.35">
      <c r="A763" s="7" t="s">
        <v>796</v>
      </c>
      <c r="B763" s="4" t="s">
        <v>31</v>
      </c>
      <c r="C763" s="5">
        <v>45988.305555555547</v>
      </c>
      <c r="D763" s="4" t="s">
        <v>23</v>
      </c>
      <c r="E763" s="8" t="s">
        <v>24</v>
      </c>
      <c r="F763" t="str">
        <f t="shared" si="11"/>
        <v>Thursday</v>
      </c>
      <c r="G763" t="str">
        <f>VLOOKUP(B763,cabang!A:C,2,FALSE)</f>
        <v>Warung Selera Nusantara - Sudirman</v>
      </c>
    </row>
    <row r="764" spans="1:7" x14ac:dyDescent="0.35">
      <c r="A764" s="7" t="s">
        <v>797</v>
      </c>
      <c r="B764" s="4" t="s">
        <v>27</v>
      </c>
      <c r="C764" s="5">
        <v>45988.775694444441</v>
      </c>
      <c r="D764" s="4" t="s">
        <v>44</v>
      </c>
      <c r="E764" s="8" t="s">
        <v>29</v>
      </c>
      <c r="F764" t="str">
        <f t="shared" si="11"/>
        <v>Thursday</v>
      </c>
      <c r="G764" t="str">
        <f>VLOOKUP(B764,cabang!A:C,2,FALSE)</f>
        <v>Warung Selera Nusantara - Tunjungan</v>
      </c>
    </row>
    <row r="765" spans="1:7" x14ac:dyDescent="0.35">
      <c r="A765" s="7" t="s">
        <v>798</v>
      </c>
      <c r="B765" s="4" t="s">
        <v>31</v>
      </c>
      <c r="C765" s="5">
        <v>45989.343055555553</v>
      </c>
      <c r="D765" s="4" t="s">
        <v>23</v>
      </c>
      <c r="E765" s="8" t="s">
        <v>29</v>
      </c>
      <c r="F765" t="str">
        <f t="shared" si="11"/>
        <v>Friday</v>
      </c>
      <c r="G765" t="str">
        <f>VLOOKUP(B765,cabang!A:C,2,FALSE)</f>
        <v>Warung Selera Nusantara - Sudirman</v>
      </c>
    </row>
    <row r="766" spans="1:7" x14ac:dyDescent="0.35">
      <c r="A766" s="7" t="s">
        <v>799</v>
      </c>
      <c r="B766" s="4" t="s">
        <v>27</v>
      </c>
      <c r="C766" s="5">
        <v>45989.534722222219</v>
      </c>
      <c r="D766" s="4" t="s">
        <v>44</v>
      </c>
      <c r="E766" s="8" t="s">
        <v>24</v>
      </c>
      <c r="F766" t="str">
        <f t="shared" si="11"/>
        <v>Friday</v>
      </c>
      <c r="G766" t="str">
        <f>VLOOKUP(B766,cabang!A:C,2,FALSE)</f>
        <v>Warung Selera Nusantara - Tunjungan</v>
      </c>
    </row>
    <row r="767" spans="1:7" x14ac:dyDescent="0.35">
      <c r="A767" s="7" t="s">
        <v>800</v>
      </c>
      <c r="B767" s="4" t="s">
        <v>31</v>
      </c>
      <c r="C767" s="5">
        <v>45989.710416666669</v>
      </c>
      <c r="D767" s="4" t="s">
        <v>23</v>
      </c>
      <c r="E767" s="8" t="s">
        <v>29</v>
      </c>
      <c r="F767" t="str">
        <f t="shared" si="11"/>
        <v>Friday</v>
      </c>
      <c r="G767" t="str">
        <f>VLOOKUP(B767,cabang!A:C,2,FALSE)</f>
        <v>Warung Selera Nusantara - Sudirman</v>
      </c>
    </row>
    <row r="768" spans="1:7" x14ac:dyDescent="0.35">
      <c r="A768" s="7" t="s">
        <v>801</v>
      </c>
      <c r="B768" s="4" t="s">
        <v>43</v>
      </c>
      <c r="C768" s="5">
        <v>45990.354861111111</v>
      </c>
      <c r="D768" s="4" t="s">
        <v>28</v>
      </c>
      <c r="E768" s="8" t="s">
        <v>29</v>
      </c>
      <c r="F768" t="str">
        <f t="shared" si="11"/>
        <v>Saturday</v>
      </c>
      <c r="G768" t="str">
        <f>VLOOKUP(B768,cabang!A:C,2,FALSE)</f>
        <v>Warung Selera Nusantara - Dago</v>
      </c>
    </row>
    <row r="769" spans="1:7" x14ac:dyDescent="0.35">
      <c r="A769" s="7" t="s">
        <v>802</v>
      </c>
      <c r="B769" s="4" t="s">
        <v>22</v>
      </c>
      <c r="C769" s="5">
        <v>45990.699305555558</v>
      </c>
      <c r="D769" s="4" t="s">
        <v>28</v>
      </c>
      <c r="E769" s="8" t="s">
        <v>33</v>
      </c>
      <c r="F769" t="str">
        <f t="shared" si="11"/>
        <v>Saturday</v>
      </c>
      <c r="G769" t="str">
        <f>VLOOKUP(B769,cabang!A:C,2,FALSE)</f>
        <v>Warung Selera Nusantara - Margonda</v>
      </c>
    </row>
    <row r="770" spans="1:7" x14ac:dyDescent="0.35">
      <c r="A770" s="7" t="s">
        <v>803</v>
      </c>
      <c r="B770" s="4" t="s">
        <v>22</v>
      </c>
      <c r="C770" s="5">
        <v>45990.815972222219</v>
      </c>
      <c r="D770" s="4" t="s">
        <v>44</v>
      </c>
      <c r="E770" s="8" t="s">
        <v>33</v>
      </c>
      <c r="F770" t="str">
        <f t="shared" ref="F770:F833" si="12">TEXT(C770,"dddd")</f>
        <v>Saturday</v>
      </c>
      <c r="G770" t="str">
        <f>VLOOKUP(B770,cabang!A:C,2,FALSE)</f>
        <v>Warung Selera Nusantara - Margonda</v>
      </c>
    </row>
    <row r="771" spans="1:7" x14ac:dyDescent="0.35">
      <c r="A771" s="7" t="s">
        <v>804</v>
      </c>
      <c r="B771" s="4" t="s">
        <v>43</v>
      </c>
      <c r="C771" s="5">
        <v>45991.744444444441</v>
      </c>
      <c r="D771" s="4" t="s">
        <v>23</v>
      </c>
      <c r="E771" s="8" t="s">
        <v>29</v>
      </c>
      <c r="F771" t="str">
        <f t="shared" si="12"/>
        <v>Sunday</v>
      </c>
      <c r="G771" t="str">
        <f>VLOOKUP(B771,cabang!A:C,2,FALSE)</f>
        <v>Warung Selera Nusantara - Dago</v>
      </c>
    </row>
    <row r="772" spans="1:7" x14ac:dyDescent="0.35">
      <c r="A772" s="7" t="s">
        <v>805</v>
      </c>
      <c r="B772" s="4" t="s">
        <v>31</v>
      </c>
      <c r="C772" s="5">
        <v>45991.777083333327</v>
      </c>
      <c r="D772" s="4" t="s">
        <v>23</v>
      </c>
      <c r="E772" s="8" t="s">
        <v>24</v>
      </c>
      <c r="F772" t="str">
        <f t="shared" si="12"/>
        <v>Sunday</v>
      </c>
      <c r="G772" t="str">
        <f>VLOOKUP(B772,cabang!A:C,2,FALSE)</f>
        <v>Warung Selera Nusantara - Sudirman</v>
      </c>
    </row>
    <row r="773" spans="1:7" x14ac:dyDescent="0.35">
      <c r="A773" s="7" t="s">
        <v>806</v>
      </c>
      <c r="B773" s="4" t="s">
        <v>22</v>
      </c>
      <c r="C773" s="5">
        <v>45992.570138888892</v>
      </c>
      <c r="D773" s="4" t="s">
        <v>28</v>
      </c>
      <c r="E773" s="8" t="s">
        <v>33</v>
      </c>
      <c r="F773" t="str">
        <f t="shared" si="12"/>
        <v>Monday</v>
      </c>
      <c r="G773" t="str">
        <f>VLOOKUP(B773,cabang!A:C,2,FALSE)</f>
        <v>Warung Selera Nusantara - Margonda</v>
      </c>
    </row>
    <row r="774" spans="1:7" x14ac:dyDescent="0.35">
      <c r="A774" s="7" t="s">
        <v>807</v>
      </c>
      <c r="B774" s="4" t="s">
        <v>22</v>
      </c>
      <c r="C774" s="5">
        <v>45992.713888888888</v>
      </c>
      <c r="D774" s="4" t="s">
        <v>28</v>
      </c>
      <c r="E774" s="8" t="s">
        <v>24</v>
      </c>
      <c r="F774" t="str">
        <f t="shared" si="12"/>
        <v>Monday</v>
      </c>
      <c r="G774" t="str">
        <f>VLOOKUP(B774,cabang!A:C,2,FALSE)</f>
        <v>Warung Selera Nusantara - Margonda</v>
      </c>
    </row>
    <row r="775" spans="1:7" x14ac:dyDescent="0.35">
      <c r="A775" s="7" t="s">
        <v>808</v>
      </c>
      <c r="B775" s="4" t="s">
        <v>31</v>
      </c>
      <c r="C775" s="5">
        <v>45992.722222222219</v>
      </c>
      <c r="D775" s="4" t="s">
        <v>23</v>
      </c>
      <c r="E775" s="8" t="s">
        <v>38</v>
      </c>
      <c r="F775" t="str">
        <f t="shared" si="12"/>
        <v>Monday</v>
      </c>
      <c r="G775" t="str">
        <f>VLOOKUP(B775,cabang!A:C,2,FALSE)</f>
        <v>Warung Selera Nusantara - Sudirman</v>
      </c>
    </row>
    <row r="776" spans="1:7" x14ac:dyDescent="0.35">
      <c r="A776" s="7" t="s">
        <v>809</v>
      </c>
      <c r="B776" s="4" t="s">
        <v>31</v>
      </c>
      <c r="C776" s="5">
        <v>45993.296527777777</v>
      </c>
      <c r="D776" s="4" t="s">
        <v>28</v>
      </c>
      <c r="E776" s="8" t="s">
        <v>38</v>
      </c>
      <c r="F776" t="str">
        <f t="shared" si="12"/>
        <v>Tuesday</v>
      </c>
      <c r="G776" t="str">
        <f>VLOOKUP(B776,cabang!A:C,2,FALSE)</f>
        <v>Warung Selera Nusantara - Sudirman</v>
      </c>
    </row>
    <row r="777" spans="1:7" x14ac:dyDescent="0.35">
      <c r="A777" s="7" t="s">
        <v>810</v>
      </c>
      <c r="B777" s="4" t="s">
        <v>31</v>
      </c>
      <c r="C777" s="5">
        <v>45993.334722222222</v>
      </c>
      <c r="D777" s="4" t="s">
        <v>44</v>
      </c>
      <c r="E777" s="8" t="s">
        <v>38</v>
      </c>
      <c r="F777" t="str">
        <f t="shared" si="12"/>
        <v>Tuesday</v>
      </c>
      <c r="G777" t="str">
        <f>VLOOKUP(B777,cabang!A:C,2,FALSE)</f>
        <v>Warung Selera Nusantara - Sudirman</v>
      </c>
    </row>
    <row r="778" spans="1:7" x14ac:dyDescent="0.35">
      <c r="A778" s="7" t="s">
        <v>811</v>
      </c>
      <c r="B778" s="4" t="s">
        <v>43</v>
      </c>
      <c r="C778" s="5">
        <v>45993.609722222223</v>
      </c>
      <c r="D778" s="4" t="s">
        <v>44</v>
      </c>
      <c r="E778" s="8" t="s">
        <v>24</v>
      </c>
      <c r="F778" t="str">
        <f t="shared" si="12"/>
        <v>Tuesday</v>
      </c>
      <c r="G778" t="str">
        <f>VLOOKUP(B778,cabang!A:C,2,FALSE)</f>
        <v>Warung Selera Nusantara - Dago</v>
      </c>
    </row>
    <row r="779" spans="1:7" x14ac:dyDescent="0.35">
      <c r="A779" s="7" t="s">
        <v>812</v>
      </c>
      <c r="B779" s="4" t="s">
        <v>27</v>
      </c>
      <c r="C779" s="5">
        <v>45993.829861111109</v>
      </c>
      <c r="D779" s="4" t="s">
        <v>23</v>
      </c>
      <c r="E779" s="8" t="s">
        <v>24</v>
      </c>
      <c r="F779" t="str">
        <f t="shared" si="12"/>
        <v>Tuesday</v>
      </c>
      <c r="G779" t="str">
        <f>VLOOKUP(B779,cabang!A:C,2,FALSE)</f>
        <v>Warung Selera Nusantara - Tunjungan</v>
      </c>
    </row>
    <row r="780" spans="1:7" x14ac:dyDescent="0.35">
      <c r="A780" s="7" t="s">
        <v>813</v>
      </c>
      <c r="B780" s="4" t="s">
        <v>31</v>
      </c>
      <c r="C780" s="5">
        <v>45994.813888888893</v>
      </c>
      <c r="D780" s="4" t="s">
        <v>44</v>
      </c>
      <c r="E780" s="8" t="s">
        <v>38</v>
      </c>
      <c r="F780" t="str">
        <f t="shared" si="12"/>
        <v>Wednesday</v>
      </c>
      <c r="G780" t="str">
        <f>VLOOKUP(B780,cabang!A:C,2,FALSE)</f>
        <v>Warung Selera Nusantara - Sudirman</v>
      </c>
    </row>
    <row r="781" spans="1:7" x14ac:dyDescent="0.35">
      <c r="A781" s="7" t="s">
        <v>814</v>
      </c>
      <c r="B781" s="4" t="s">
        <v>31</v>
      </c>
      <c r="C781" s="5">
        <v>45995.563888888893</v>
      </c>
      <c r="D781" s="4" t="s">
        <v>23</v>
      </c>
      <c r="E781" s="8" t="s">
        <v>24</v>
      </c>
      <c r="F781" t="str">
        <f t="shared" si="12"/>
        <v>Thursday</v>
      </c>
      <c r="G781" t="str">
        <f>VLOOKUP(B781,cabang!A:C,2,FALSE)</f>
        <v>Warung Selera Nusantara - Sudirman</v>
      </c>
    </row>
    <row r="782" spans="1:7" x14ac:dyDescent="0.35">
      <c r="A782" s="7" t="s">
        <v>815</v>
      </c>
      <c r="B782" s="4" t="s">
        <v>27</v>
      </c>
      <c r="C782" s="5">
        <v>45996.832638888889</v>
      </c>
      <c r="D782" s="4" t="s">
        <v>28</v>
      </c>
      <c r="E782" s="8" t="s">
        <v>33</v>
      </c>
      <c r="F782" t="str">
        <f t="shared" si="12"/>
        <v>Friday</v>
      </c>
      <c r="G782" t="str">
        <f>VLOOKUP(B782,cabang!A:C,2,FALSE)</f>
        <v>Warung Selera Nusantara - Tunjungan</v>
      </c>
    </row>
    <row r="783" spans="1:7" x14ac:dyDescent="0.35">
      <c r="A783" s="7" t="s">
        <v>816</v>
      </c>
      <c r="B783" s="4" t="s">
        <v>43</v>
      </c>
      <c r="C783" s="5">
        <v>45997.474305555559</v>
      </c>
      <c r="D783" s="4" t="s">
        <v>23</v>
      </c>
      <c r="E783" s="8" t="s">
        <v>24</v>
      </c>
      <c r="F783" t="str">
        <f t="shared" si="12"/>
        <v>Saturday</v>
      </c>
      <c r="G783" t="str">
        <f>VLOOKUP(B783,cabang!A:C,2,FALSE)</f>
        <v>Warung Selera Nusantara - Dago</v>
      </c>
    </row>
    <row r="784" spans="1:7" x14ac:dyDescent="0.35">
      <c r="A784" s="7" t="s">
        <v>817</v>
      </c>
      <c r="B784" s="4" t="s">
        <v>27</v>
      </c>
      <c r="C784" s="5">
        <v>45997.581250000003</v>
      </c>
      <c r="D784" s="4" t="s">
        <v>44</v>
      </c>
      <c r="E784" s="8" t="s">
        <v>24</v>
      </c>
      <c r="F784" t="str">
        <f t="shared" si="12"/>
        <v>Saturday</v>
      </c>
      <c r="G784" t="str">
        <f>VLOOKUP(B784,cabang!A:C,2,FALSE)</f>
        <v>Warung Selera Nusantara - Tunjungan</v>
      </c>
    </row>
    <row r="785" spans="1:7" x14ac:dyDescent="0.35">
      <c r="A785" s="7" t="s">
        <v>818</v>
      </c>
      <c r="B785" s="4" t="s">
        <v>27</v>
      </c>
      <c r="C785" s="5">
        <v>45997.747916666667</v>
      </c>
      <c r="D785" s="4" t="s">
        <v>23</v>
      </c>
      <c r="E785" s="8" t="s">
        <v>29</v>
      </c>
      <c r="F785" t="str">
        <f t="shared" si="12"/>
        <v>Saturday</v>
      </c>
      <c r="G785" t="str">
        <f>VLOOKUP(B785,cabang!A:C,2,FALSE)</f>
        <v>Warung Selera Nusantara - Tunjungan</v>
      </c>
    </row>
    <row r="786" spans="1:7" x14ac:dyDescent="0.35">
      <c r="A786" s="7" t="s">
        <v>819</v>
      </c>
      <c r="B786" s="4" t="s">
        <v>43</v>
      </c>
      <c r="C786" s="5">
        <v>45997.819444444453</v>
      </c>
      <c r="D786" s="4" t="s">
        <v>44</v>
      </c>
      <c r="E786" s="8" t="s">
        <v>24</v>
      </c>
      <c r="F786" t="str">
        <f t="shared" si="12"/>
        <v>Saturday</v>
      </c>
      <c r="G786" t="str">
        <f>VLOOKUP(B786,cabang!A:C,2,FALSE)</f>
        <v>Warung Selera Nusantara - Dago</v>
      </c>
    </row>
    <row r="787" spans="1:7" x14ac:dyDescent="0.35">
      <c r="A787" s="7" t="s">
        <v>820</v>
      </c>
      <c r="B787" s="4" t="s">
        <v>43</v>
      </c>
      <c r="C787" s="5">
        <v>45998.526388888888</v>
      </c>
      <c r="D787" s="4" t="s">
        <v>23</v>
      </c>
      <c r="E787" s="8" t="s">
        <v>29</v>
      </c>
      <c r="F787" t="str">
        <f t="shared" si="12"/>
        <v>Sunday</v>
      </c>
      <c r="G787" t="str">
        <f>VLOOKUP(B787,cabang!A:C,2,FALSE)</f>
        <v>Warung Selera Nusantara - Dago</v>
      </c>
    </row>
    <row r="788" spans="1:7" x14ac:dyDescent="0.35">
      <c r="A788" s="7" t="s">
        <v>821</v>
      </c>
      <c r="B788" s="4" t="s">
        <v>27</v>
      </c>
      <c r="C788" s="5">
        <v>45998.575694444437</v>
      </c>
      <c r="D788" s="4" t="s">
        <v>23</v>
      </c>
      <c r="E788" s="8" t="s">
        <v>24</v>
      </c>
      <c r="F788" t="str">
        <f t="shared" si="12"/>
        <v>Sunday</v>
      </c>
      <c r="G788" t="str">
        <f>VLOOKUP(B788,cabang!A:C,2,FALSE)</f>
        <v>Warung Selera Nusantara - Tunjungan</v>
      </c>
    </row>
    <row r="789" spans="1:7" x14ac:dyDescent="0.35">
      <c r="A789" s="7" t="s">
        <v>822</v>
      </c>
      <c r="B789" s="4" t="s">
        <v>31</v>
      </c>
      <c r="C789" s="5">
        <v>45998.773611111108</v>
      </c>
      <c r="D789" s="4" t="s">
        <v>44</v>
      </c>
      <c r="E789" s="8" t="s">
        <v>33</v>
      </c>
      <c r="F789" t="str">
        <f t="shared" si="12"/>
        <v>Sunday</v>
      </c>
      <c r="G789" t="str">
        <f>VLOOKUP(B789,cabang!A:C,2,FALSE)</f>
        <v>Warung Selera Nusantara - Sudirman</v>
      </c>
    </row>
    <row r="790" spans="1:7" x14ac:dyDescent="0.35">
      <c r="A790" s="7" t="s">
        <v>823</v>
      </c>
      <c r="B790" s="4" t="s">
        <v>43</v>
      </c>
      <c r="C790" s="5">
        <v>45998.82708333333</v>
      </c>
      <c r="D790" s="4" t="s">
        <v>23</v>
      </c>
      <c r="E790" s="8" t="s">
        <v>33</v>
      </c>
      <c r="F790" t="str">
        <f t="shared" si="12"/>
        <v>Sunday</v>
      </c>
      <c r="G790" t="str">
        <f>VLOOKUP(B790,cabang!A:C,2,FALSE)</f>
        <v>Warung Selera Nusantara - Dago</v>
      </c>
    </row>
    <row r="791" spans="1:7" x14ac:dyDescent="0.35">
      <c r="A791" s="7" t="s">
        <v>824</v>
      </c>
      <c r="B791" s="4" t="s">
        <v>43</v>
      </c>
      <c r="C791" s="5">
        <v>45999.877083333333</v>
      </c>
      <c r="D791" s="4" t="s">
        <v>23</v>
      </c>
      <c r="E791" s="8" t="s">
        <v>24</v>
      </c>
      <c r="F791" t="str">
        <f t="shared" si="12"/>
        <v>Monday</v>
      </c>
      <c r="G791" t="str">
        <f>VLOOKUP(B791,cabang!A:C,2,FALSE)</f>
        <v>Warung Selera Nusantara - Dago</v>
      </c>
    </row>
    <row r="792" spans="1:7" x14ac:dyDescent="0.35">
      <c r="A792" s="7" t="s">
        <v>825</v>
      </c>
      <c r="B792" s="4" t="s">
        <v>43</v>
      </c>
      <c r="C792" s="5">
        <v>46000.382638888892</v>
      </c>
      <c r="D792" s="4" t="s">
        <v>44</v>
      </c>
      <c r="E792" s="8" t="s">
        <v>29</v>
      </c>
      <c r="F792" t="str">
        <f t="shared" si="12"/>
        <v>Tuesday</v>
      </c>
      <c r="G792" t="str">
        <f>VLOOKUP(B792,cabang!A:C,2,FALSE)</f>
        <v>Warung Selera Nusantara - Dago</v>
      </c>
    </row>
    <row r="793" spans="1:7" x14ac:dyDescent="0.35">
      <c r="A793" s="7" t="s">
        <v>826</v>
      </c>
      <c r="B793" s="4" t="s">
        <v>22</v>
      </c>
      <c r="C793" s="5">
        <v>46000.520138888889</v>
      </c>
      <c r="D793" s="4" t="s">
        <v>23</v>
      </c>
      <c r="E793" s="8" t="s">
        <v>24</v>
      </c>
      <c r="F793" t="str">
        <f t="shared" si="12"/>
        <v>Tuesday</v>
      </c>
      <c r="G793" t="str">
        <f>VLOOKUP(B793,cabang!A:C,2,FALSE)</f>
        <v>Warung Selera Nusantara - Margonda</v>
      </c>
    </row>
    <row r="794" spans="1:7" x14ac:dyDescent="0.35">
      <c r="A794" s="7" t="s">
        <v>827</v>
      </c>
      <c r="B794" s="4" t="s">
        <v>27</v>
      </c>
      <c r="C794" s="5">
        <v>46000.754861111112</v>
      </c>
      <c r="D794" s="4" t="s">
        <v>23</v>
      </c>
      <c r="E794" s="8" t="s">
        <v>29</v>
      </c>
      <c r="F794" t="str">
        <f t="shared" si="12"/>
        <v>Tuesday</v>
      </c>
      <c r="G794" t="str">
        <f>VLOOKUP(B794,cabang!A:C,2,FALSE)</f>
        <v>Warung Selera Nusantara - Tunjungan</v>
      </c>
    </row>
    <row r="795" spans="1:7" x14ac:dyDescent="0.35">
      <c r="A795" s="7" t="s">
        <v>828</v>
      </c>
      <c r="B795" s="4" t="s">
        <v>22</v>
      </c>
      <c r="C795" s="5">
        <v>46000.797222222223</v>
      </c>
      <c r="D795" s="4" t="s">
        <v>23</v>
      </c>
      <c r="E795" s="8" t="s">
        <v>38</v>
      </c>
      <c r="F795" t="str">
        <f t="shared" si="12"/>
        <v>Tuesday</v>
      </c>
      <c r="G795" t="str">
        <f>VLOOKUP(B795,cabang!A:C,2,FALSE)</f>
        <v>Warung Selera Nusantara - Margonda</v>
      </c>
    </row>
    <row r="796" spans="1:7" x14ac:dyDescent="0.35">
      <c r="A796" s="7" t="s">
        <v>829</v>
      </c>
      <c r="B796" s="4" t="s">
        <v>31</v>
      </c>
      <c r="C796" s="5">
        <v>46002.515277777777</v>
      </c>
      <c r="D796" s="4" t="s">
        <v>23</v>
      </c>
      <c r="E796" s="8" t="s">
        <v>29</v>
      </c>
      <c r="F796" t="str">
        <f t="shared" si="12"/>
        <v>Thursday</v>
      </c>
      <c r="G796" t="str">
        <f>VLOOKUP(B796,cabang!A:C,2,FALSE)</f>
        <v>Warung Selera Nusantara - Sudirman</v>
      </c>
    </row>
    <row r="797" spans="1:7" x14ac:dyDescent="0.35">
      <c r="A797" s="7" t="s">
        <v>830</v>
      </c>
      <c r="B797" s="4" t="s">
        <v>22</v>
      </c>
      <c r="C797" s="5">
        <v>46002.870138888888</v>
      </c>
      <c r="D797" s="4" t="s">
        <v>28</v>
      </c>
      <c r="E797" s="8" t="s">
        <v>24</v>
      </c>
      <c r="F797" t="str">
        <f t="shared" si="12"/>
        <v>Thursday</v>
      </c>
      <c r="G797" t="str">
        <f>VLOOKUP(B797,cabang!A:C,2,FALSE)</f>
        <v>Warung Selera Nusantara - Margonda</v>
      </c>
    </row>
    <row r="798" spans="1:7" x14ac:dyDescent="0.35">
      <c r="A798" s="7" t="s">
        <v>831</v>
      </c>
      <c r="B798" s="4" t="s">
        <v>31</v>
      </c>
      <c r="C798" s="5">
        <v>46003.523611111108</v>
      </c>
      <c r="D798" s="4" t="s">
        <v>28</v>
      </c>
      <c r="E798" s="8" t="s">
        <v>24</v>
      </c>
      <c r="F798" t="str">
        <f t="shared" si="12"/>
        <v>Friday</v>
      </c>
      <c r="G798" t="str">
        <f>VLOOKUP(B798,cabang!A:C,2,FALSE)</f>
        <v>Warung Selera Nusantara - Sudirman</v>
      </c>
    </row>
    <row r="799" spans="1:7" x14ac:dyDescent="0.35">
      <c r="A799" s="7" t="s">
        <v>832</v>
      </c>
      <c r="B799" s="4" t="s">
        <v>27</v>
      </c>
      <c r="C799" s="5">
        <v>46003.545138888891</v>
      </c>
      <c r="D799" s="4" t="s">
        <v>23</v>
      </c>
      <c r="E799" s="8" t="s">
        <v>33</v>
      </c>
      <c r="F799" t="str">
        <f t="shared" si="12"/>
        <v>Friday</v>
      </c>
      <c r="G799" t="str">
        <f>VLOOKUP(B799,cabang!A:C,2,FALSE)</f>
        <v>Warung Selera Nusantara - Tunjungan</v>
      </c>
    </row>
    <row r="800" spans="1:7" x14ac:dyDescent="0.35">
      <c r="A800" s="7" t="s">
        <v>833</v>
      </c>
      <c r="B800" s="4" t="s">
        <v>31</v>
      </c>
      <c r="C800" s="5">
        <v>46003.551388888889</v>
      </c>
      <c r="D800" s="4" t="s">
        <v>23</v>
      </c>
      <c r="E800" s="8" t="s">
        <v>24</v>
      </c>
      <c r="F800" t="str">
        <f t="shared" si="12"/>
        <v>Friday</v>
      </c>
      <c r="G800" t="str">
        <f>VLOOKUP(B800,cabang!A:C,2,FALSE)</f>
        <v>Warung Selera Nusantara - Sudirman</v>
      </c>
    </row>
    <row r="801" spans="1:7" x14ac:dyDescent="0.35">
      <c r="A801" s="7" t="s">
        <v>834</v>
      </c>
      <c r="B801" s="4" t="s">
        <v>31</v>
      </c>
      <c r="C801" s="5">
        <v>46003.761111111111</v>
      </c>
      <c r="D801" s="4" t="s">
        <v>28</v>
      </c>
      <c r="E801" s="8" t="s">
        <v>24</v>
      </c>
      <c r="F801" t="str">
        <f t="shared" si="12"/>
        <v>Friday</v>
      </c>
      <c r="G801" t="str">
        <f>VLOOKUP(B801,cabang!A:C,2,FALSE)</f>
        <v>Warung Selera Nusantara - Sudirman</v>
      </c>
    </row>
    <row r="802" spans="1:7" x14ac:dyDescent="0.35">
      <c r="A802" s="7" t="s">
        <v>835</v>
      </c>
      <c r="B802" s="4" t="s">
        <v>31</v>
      </c>
      <c r="C802" s="5">
        <v>46003.864583333343</v>
      </c>
      <c r="D802" s="4" t="s">
        <v>23</v>
      </c>
      <c r="E802" s="8" t="s">
        <v>24</v>
      </c>
      <c r="F802" t="str">
        <f t="shared" si="12"/>
        <v>Friday</v>
      </c>
      <c r="G802" t="str">
        <f>VLOOKUP(B802,cabang!A:C,2,FALSE)</f>
        <v>Warung Selera Nusantara - Sudirman</v>
      </c>
    </row>
    <row r="803" spans="1:7" x14ac:dyDescent="0.35">
      <c r="A803" s="7" t="s">
        <v>836</v>
      </c>
      <c r="B803" s="4" t="s">
        <v>43</v>
      </c>
      <c r="C803" s="5">
        <v>46004.40625</v>
      </c>
      <c r="D803" s="4" t="s">
        <v>23</v>
      </c>
      <c r="E803" s="8" t="s">
        <v>24</v>
      </c>
      <c r="F803" t="str">
        <f t="shared" si="12"/>
        <v>Saturday</v>
      </c>
      <c r="G803" t="str">
        <f>VLOOKUP(B803,cabang!A:C,2,FALSE)</f>
        <v>Warung Selera Nusantara - Dago</v>
      </c>
    </row>
    <row r="804" spans="1:7" x14ac:dyDescent="0.35">
      <c r="A804" s="7" t="s">
        <v>837</v>
      </c>
      <c r="B804" s="4" t="s">
        <v>31</v>
      </c>
      <c r="C804" s="5">
        <v>46004.484722222223</v>
      </c>
      <c r="D804" s="4" t="s">
        <v>23</v>
      </c>
      <c r="E804" s="8" t="s">
        <v>33</v>
      </c>
      <c r="F804" t="str">
        <f t="shared" si="12"/>
        <v>Saturday</v>
      </c>
      <c r="G804" t="str">
        <f>VLOOKUP(B804,cabang!A:C,2,FALSE)</f>
        <v>Warung Selera Nusantara - Sudirman</v>
      </c>
    </row>
    <row r="805" spans="1:7" x14ac:dyDescent="0.35">
      <c r="A805" s="7" t="s">
        <v>838</v>
      </c>
      <c r="B805" s="4" t="s">
        <v>22</v>
      </c>
      <c r="C805" s="5">
        <v>46004.511111111111</v>
      </c>
      <c r="D805" s="4" t="s">
        <v>23</v>
      </c>
      <c r="E805" s="8" t="s">
        <v>29</v>
      </c>
      <c r="F805" t="str">
        <f t="shared" si="12"/>
        <v>Saturday</v>
      </c>
      <c r="G805" t="str">
        <f>VLOOKUP(B805,cabang!A:C,2,FALSE)</f>
        <v>Warung Selera Nusantara - Margonda</v>
      </c>
    </row>
    <row r="806" spans="1:7" x14ac:dyDescent="0.35">
      <c r="A806" s="7" t="s">
        <v>839</v>
      </c>
      <c r="B806" s="4" t="s">
        <v>31</v>
      </c>
      <c r="C806" s="5">
        <v>46004.527777777781</v>
      </c>
      <c r="D806" s="4" t="s">
        <v>23</v>
      </c>
      <c r="E806" s="8" t="s">
        <v>29</v>
      </c>
      <c r="F806" t="str">
        <f t="shared" si="12"/>
        <v>Saturday</v>
      </c>
      <c r="G806" t="str">
        <f>VLOOKUP(B806,cabang!A:C,2,FALSE)</f>
        <v>Warung Selera Nusantara - Sudirman</v>
      </c>
    </row>
    <row r="807" spans="1:7" x14ac:dyDescent="0.35">
      <c r="A807" s="7" t="s">
        <v>840</v>
      </c>
      <c r="B807" s="4" t="s">
        <v>31</v>
      </c>
      <c r="C807" s="5">
        <v>46004.593055555553</v>
      </c>
      <c r="D807" s="4" t="s">
        <v>44</v>
      </c>
      <c r="E807" s="8" t="s">
        <v>24</v>
      </c>
      <c r="F807" t="str">
        <f t="shared" si="12"/>
        <v>Saturday</v>
      </c>
      <c r="G807" t="str">
        <f>VLOOKUP(B807,cabang!A:C,2,FALSE)</f>
        <v>Warung Selera Nusantara - Sudirman</v>
      </c>
    </row>
    <row r="808" spans="1:7" x14ac:dyDescent="0.35">
      <c r="A808" s="7" t="s">
        <v>841</v>
      </c>
      <c r="B808" s="4" t="s">
        <v>27</v>
      </c>
      <c r="C808" s="5">
        <v>46004.770138888889</v>
      </c>
      <c r="D808" s="4" t="s">
        <v>23</v>
      </c>
      <c r="E808" s="8" t="s">
        <v>24</v>
      </c>
      <c r="F808" t="str">
        <f t="shared" si="12"/>
        <v>Saturday</v>
      </c>
      <c r="G808" t="str">
        <f>VLOOKUP(B808,cabang!A:C,2,FALSE)</f>
        <v>Warung Selera Nusantara - Tunjungan</v>
      </c>
    </row>
    <row r="809" spans="1:7" x14ac:dyDescent="0.35">
      <c r="A809" s="7" t="s">
        <v>842</v>
      </c>
      <c r="B809" s="4" t="s">
        <v>31</v>
      </c>
      <c r="C809" s="5">
        <v>46005.791666666657</v>
      </c>
      <c r="D809" s="4" t="s">
        <v>23</v>
      </c>
      <c r="E809" s="8" t="s">
        <v>29</v>
      </c>
      <c r="F809" t="str">
        <f t="shared" si="12"/>
        <v>Sunday</v>
      </c>
      <c r="G809" t="str">
        <f>VLOOKUP(B809,cabang!A:C,2,FALSE)</f>
        <v>Warung Selera Nusantara - Sudirman</v>
      </c>
    </row>
    <row r="810" spans="1:7" x14ac:dyDescent="0.35">
      <c r="A810" s="7" t="s">
        <v>843</v>
      </c>
      <c r="B810" s="4" t="s">
        <v>22</v>
      </c>
      <c r="C810" s="5">
        <v>46006.484027777777</v>
      </c>
      <c r="D810" s="4" t="s">
        <v>23</v>
      </c>
      <c r="E810" s="8" t="s">
        <v>33</v>
      </c>
      <c r="F810" t="str">
        <f t="shared" si="12"/>
        <v>Monday</v>
      </c>
      <c r="G810" t="str">
        <f>VLOOKUP(B810,cabang!A:C,2,FALSE)</f>
        <v>Warung Selera Nusantara - Margonda</v>
      </c>
    </row>
    <row r="811" spans="1:7" x14ac:dyDescent="0.35">
      <c r="A811" s="7" t="s">
        <v>844</v>
      </c>
      <c r="B811" s="4" t="s">
        <v>27</v>
      </c>
      <c r="C811" s="5">
        <v>46006.751388888893</v>
      </c>
      <c r="D811" s="4" t="s">
        <v>23</v>
      </c>
      <c r="E811" s="8" t="s">
        <v>29</v>
      </c>
      <c r="F811" t="str">
        <f t="shared" si="12"/>
        <v>Monday</v>
      </c>
      <c r="G811" t="str">
        <f>VLOOKUP(B811,cabang!A:C,2,FALSE)</f>
        <v>Warung Selera Nusantara - Tunjungan</v>
      </c>
    </row>
    <row r="812" spans="1:7" x14ac:dyDescent="0.35">
      <c r="A812" s="7" t="s">
        <v>845</v>
      </c>
      <c r="B812" s="4" t="s">
        <v>27</v>
      </c>
      <c r="C812" s="5">
        <v>46006.763194444437</v>
      </c>
      <c r="D812" s="4" t="s">
        <v>23</v>
      </c>
      <c r="E812" s="8" t="s">
        <v>29</v>
      </c>
      <c r="F812" t="str">
        <f t="shared" si="12"/>
        <v>Monday</v>
      </c>
      <c r="G812" t="str">
        <f>VLOOKUP(B812,cabang!A:C,2,FALSE)</f>
        <v>Warung Selera Nusantara - Tunjungan</v>
      </c>
    </row>
    <row r="813" spans="1:7" x14ac:dyDescent="0.35">
      <c r="A813" s="7" t="s">
        <v>846</v>
      </c>
      <c r="B813" s="4" t="s">
        <v>22</v>
      </c>
      <c r="C813" s="5">
        <v>46007.567361111112</v>
      </c>
      <c r="D813" s="4" t="s">
        <v>23</v>
      </c>
      <c r="E813" s="8" t="s">
        <v>24</v>
      </c>
      <c r="F813" t="str">
        <f t="shared" si="12"/>
        <v>Tuesday</v>
      </c>
      <c r="G813" t="str">
        <f>VLOOKUP(B813,cabang!A:C,2,FALSE)</f>
        <v>Warung Selera Nusantara - Margonda</v>
      </c>
    </row>
    <row r="814" spans="1:7" x14ac:dyDescent="0.35">
      <c r="A814" s="7" t="s">
        <v>847</v>
      </c>
      <c r="B814" s="4" t="s">
        <v>27</v>
      </c>
      <c r="C814" s="5">
        <v>46007.577777777777</v>
      </c>
      <c r="D814" s="4" t="s">
        <v>23</v>
      </c>
      <c r="E814" s="8" t="s">
        <v>38</v>
      </c>
      <c r="F814" t="str">
        <f t="shared" si="12"/>
        <v>Tuesday</v>
      </c>
      <c r="G814" t="str">
        <f>VLOOKUP(B814,cabang!A:C,2,FALSE)</f>
        <v>Warung Selera Nusantara - Tunjungan</v>
      </c>
    </row>
    <row r="815" spans="1:7" x14ac:dyDescent="0.35">
      <c r="A815" s="7" t="s">
        <v>848</v>
      </c>
      <c r="B815" s="4" t="s">
        <v>27</v>
      </c>
      <c r="C815" s="5">
        <v>46008.853472222218</v>
      </c>
      <c r="D815" s="4" t="s">
        <v>23</v>
      </c>
      <c r="E815" s="8" t="s">
        <v>24</v>
      </c>
      <c r="F815" t="str">
        <f t="shared" si="12"/>
        <v>Wednesday</v>
      </c>
      <c r="G815" t="str">
        <f>VLOOKUP(B815,cabang!A:C,2,FALSE)</f>
        <v>Warung Selera Nusantara - Tunjungan</v>
      </c>
    </row>
    <row r="816" spans="1:7" x14ac:dyDescent="0.35">
      <c r="A816" s="7" t="s">
        <v>849</v>
      </c>
      <c r="B816" s="4" t="s">
        <v>31</v>
      </c>
      <c r="C816" s="5">
        <v>46009.768750000003</v>
      </c>
      <c r="D816" s="4" t="s">
        <v>44</v>
      </c>
      <c r="E816" s="8" t="s">
        <v>24</v>
      </c>
      <c r="F816" t="str">
        <f t="shared" si="12"/>
        <v>Thursday</v>
      </c>
      <c r="G816" t="str">
        <f>VLOOKUP(B816,cabang!A:C,2,FALSE)</f>
        <v>Warung Selera Nusantara - Sudirman</v>
      </c>
    </row>
    <row r="817" spans="1:7" x14ac:dyDescent="0.35">
      <c r="A817" s="7" t="s">
        <v>850</v>
      </c>
      <c r="B817" s="4" t="s">
        <v>27</v>
      </c>
      <c r="C817" s="5">
        <v>46010.331250000003</v>
      </c>
      <c r="D817" s="4" t="s">
        <v>23</v>
      </c>
      <c r="E817" s="8" t="s">
        <v>29</v>
      </c>
      <c r="F817" t="str">
        <f t="shared" si="12"/>
        <v>Friday</v>
      </c>
      <c r="G817" t="str">
        <f>VLOOKUP(B817,cabang!A:C,2,FALSE)</f>
        <v>Warung Selera Nusantara - Tunjungan</v>
      </c>
    </row>
    <row r="818" spans="1:7" x14ac:dyDescent="0.35">
      <c r="A818" s="7" t="s">
        <v>851</v>
      </c>
      <c r="B818" s="4" t="s">
        <v>27</v>
      </c>
      <c r="C818" s="5">
        <v>46010.618055555547</v>
      </c>
      <c r="D818" s="4" t="s">
        <v>23</v>
      </c>
      <c r="E818" s="8" t="s">
        <v>33</v>
      </c>
      <c r="F818" t="str">
        <f t="shared" si="12"/>
        <v>Friday</v>
      </c>
      <c r="G818" t="str">
        <f>VLOOKUP(B818,cabang!A:C,2,FALSE)</f>
        <v>Warung Selera Nusantara - Tunjungan</v>
      </c>
    </row>
    <row r="819" spans="1:7" x14ac:dyDescent="0.35">
      <c r="A819" s="7" t="s">
        <v>852</v>
      </c>
      <c r="B819" s="4" t="s">
        <v>43</v>
      </c>
      <c r="C819" s="5">
        <v>46011.332638888889</v>
      </c>
      <c r="D819" s="4" t="s">
        <v>44</v>
      </c>
      <c r="E819" s="8" t="s">
        <v>24</v>
      </c>
      <c r="F819" t="str">
        <f t="shared" si="12"/>
        <v>Saturday</v>
      </c>
      <c r="G819" t="str">
        <f>VLOOKUP(B819,cabang!A:C,2,FALSE)</f>
        <v>Warung Selera Nusantara - Dago</v>
      </c>
    </row>
    <row r="820" spans="1:7" x14ac:dyDescent="0.35">
      <c r="A820" s="7" t="s">
        <v>853</v>
      </c>
      <c r="B820" s="4" t="s">
        <v>31</v>
      </c>
      <c r="C820" s="5">
        <v>46011.568749999999</v>
      </c>
      <c r="D820" s="4" t="s">
        <v>23</v>
      </c>
      <c r="E820" s="8" t="s">
        <v>29</v>
      </c>
      <c r="F820" t="str">
        <f t="shared" si="12"/>
        <v>Saturday</v>
      </c>
      <c r="G820" t="str">
        <f>VLOOKUP(B820,cabang!A:C,2,FALSE)</f>
        <v>Warung Selera Nusantara - Sudirman</v>
      </c>
    </row>
    <row r="821" spans="1:7" x14ac:dyDescent="0.35">
      <c r="A821" s="7" t="s">
        <v>854</v>
      </c>
      <c r="B821" s="4" t="s">
        <v>27</v>
      </c>
      <c r="C821" s="5">
        <v>46011.595138888893</v>
      </c>
      <c r="D821" s="4" t="s">
        <v>44</v>
      </c>
      <c r="E821" s="8" t="s">
        <v>24</v>
      </c>
      <c r="F821" t="str">
        <f t="shared" si="12"/>
        <v>Saturday</v>
      </c>
      <c r="G821" t="str">
        <f>VLOOKUP(B821,cabang!A:C,2,FALSE)</f>
        <v>Warung Selera Nusantara - Tunjungan</v>
      </c>
    </row>
    <row r="822" spans="1:7" x14ac:dyDescent="0.35">
      <c r="A822" s="7" t="s">
        <v>855</v>
      </c>
      <c r="B822" s="4" t="s">
        <v>22</v>
      </c>
      <c r="C822" s="5">
        <v>46011.890972222223</v>
      </c>
      <c r="D822" s="4" t="s">
        <v>44</v>
      </c>
      <c r="E822" s="8" t="s">
        <v>24</v>
      </c>
      <c r="F822" t="str">
        <f t="shared" si="12"/>
        <v>Saturday</v>
      </c>
      <c r="G822" t="str">
        <f>VLOOKUP(B822,cabang!A:C,2,FALSE)</f>
        <v>Warung Selera Nusantara - Margonda</v>
      </c>
    </row>
    <row r="823" spans="1:7" x14ac:dyDescent="0.35">
      <c r="A823" s="7" t="s">
        <v>856</v>
      </c>
      <c r="B823" s="4" t="s">
        <v>31</v>
      </c>
      <c r="C823" s="5">
        <v>46012.503472222219</v>
      </c>
      <c r="D823" s="4" t="s">
        <v>28</v>
      </c>
      <c r="E823" s="8" t="s">
        <v>24</v>
      </c>
      <c r="F823" t="str">
        <f t="shared" si="12"/>
        <v>Sunday</v>
      </c>
      <c r="G823" t="str">
        <f>VLOOKUP(B823,cabang!A:C,2,FALSE)</f>
        <v>Warung Selera Nusantara - Sudirman</v>
      </c>
    </row>
    <row r="824" spans="1:7" x14ac:dyDescent="0.35">
      <c r="A824" s="7" t="s">
        <v>857</v>
      </c>
      <c r="B824" s="4" t="s">
        <v>31</v>
      </c>
      <c r="C824" s="5">
        <v>46012.525000000001</v>
      </c>
      <c r="D824" s="4" t="s">
        <v>44</v>
      </c>
      <c r="E824" s="8" t="s">
        <v>24</v>
      </c>
      <c r="F824" t="str">
        <f t="shared" si="12"/>
        <v>Sunday</v>
      </c>
      <c r="G824" t="str">
        <f>VLOOKUP(B824,cabang!A:C,2,FALSE)</f>
        <v>Warung Selera Nusantara - Sudirman</v>
      </c>
    </row>
    <row r="825" spans="1:7" x14ac:dyDescent="0.35">
      <c r="A825" s="7" t="s">
        <v>858</v>
      </c>
      <c r="B825" s="4" t="s">
        <v>31</v>
      </c>
      <c r="C825" s="5">
        <v>46012.613888888889</v>
      </c>
      <c r="D825" s="4" t="s">
        <v>23</v>
      </c>
      <c r="E825" s="8" t="s">
        <v>24</v>
      </c>
      <c r="F825" t="str">
        <f t="shared" si="12"/>
        <v>Sunday</v>
      </c>
      <c r="G825" t="str">
        <f>VLOOKUP(B825,cabang!A:C,2,FALSE)</f>
        <v>Warung Selera Nusantara - Sudirman</v>
      </c>
    </row>
    <row r="826" spans="1:7" x14ac:dyDescent="0.35">
      <c r="A826" s="7" t="s">
        <v>859</v>
      </c>
      <c r="B826" s="4" t="s">
        <v>31</v>
      </c>
      <c r="C826" s="5">
        <v>46012.681944444441</v>
      </c>
      <c r="D826" s="4" t="s">
        <v>23</v>
      </c>
      <c r="E826" s="8" t="s">
        <v>24</v>
      </c>
      <c r="F826" t="str">
        <f t="shared" si="12"/>
        <v>Sunday</v>
      </c>
      <c r="G826" t="str">
        <f>VLOOKUP(B826,cabang!A:C,2,FALSE)</f>
        <v>Warung Selera Nusantara - Sudirman</v>
      </c>
    </row>
    <row r="827" spans="1:7" x14ac:dyDescent="0.35">
      <c r="A827" s="7" t="s">
        <v>860</v>
      </c>
      <c r="B827" s="4" t="s">
        <v>31</v>
      </c>
      <c r="C827" s="5">
        <v>46012.740277777782</v>
      </c>
      <c r="D827" s="4" t="s">
        <v>23</v>
      </c>
      <c r="E827" s="8" t="s">
        <v>24</v>
      </c>
      <c r="F827" t="str">
        <f t="shared" si="12"/>
        <v>Sunday</v>
      </c>
      <c r="G827" t="str">
        <f>VLOOKUP(B827,cabang!A:C,2,FALSE)</f>
        <v>Warung Selera Nusantara - Sudirman</v>
      </c>
    </row>
    <row r="828" spans="1:7" x14ac:dyDescent="0.35">
      <c r="A828" s="7" t="s">
        <v>861</v>
      </c>
      <c r="B828" s="4" t="s">
        <v>43</v>
      </c>
      <c r="C828" s="5">
        <v>46012.790972222218</v>
      </c>
      <c r="D828" s="4" t="s">
        <v>44</v>
      </c>
      <c r="E828" s="8" t="s">
        <v>29</v>
      </c>
      <c r="F828" t="str">
        <f t="shared" si="12"/>
        <v>Sunday</v>
      </c>
      <c r="G828" t="str">
        <f>VLOOKUP(B828,cabang!A:C,2,FALSE)</f>
        <v>Warung Selera Nusantara - Dago</v>
      </c>
    </row>
    <row r="829" spans="1:7" x14ac:dyDescent="0.35">
      <c r="A829" s="7" t="s">
        <v>862</v>
      </c>
      <c r="B829" s="4" t="s">
        <v>43</v>
      </c>
      <c r="C829" s="5">
        <v>46013.536805555559</v>
      </c>
      <c r="D829" s="4" t="s">
        <v>44</v>
      </c>
      <c r="E829" s="8" t="s">
        <v>24</v>
      </c>
      <c r="F829" t="str">
        <f t="shared" si="12"/>
        <v>Monday</v>
      </c>
      <c r="G829" t="str">
        <f>VLOOKUP(B829,cabang!A:C,2,FALSE)</f>
        <v>Warung Selera Nusantara - Dago</v>
      </c>
    </row>
    <row r="830" spans="1:7" x14ac:dyDescent="0.35">
      <c r="A830" s="7" t="s">
        <v>863</v>
      </c>
      <c r="B830" s="4" t="s">
        <v>43</v>
      </c>
      <c r="C830" s="5">
        <v>46014.351388888892</v>
      </c>
      <c r="D830" s="4" t="s">
        <v>28</v>
      </c>
      <c r="E830" s="8" t="s">
        <v>33</v>
      </c>
      <c r="F830" t="str">
        <f t="shared" si="12"/>
        <v>Tuesday</v>
      </c>
      <c r="G830" t="str">
        <f>VLOOKUP(B830,cabang!A:C,2,FALSE)</f>
        <v>Warung Selera Nusantara - Dago</v>
      </c>
    </row>
    <row r="831" spans="1:7" x14ac:dyDescent="0.35">
      <c r="A831" s="7" t="s">
        <v>864</v>
      </c>
      <c r="B831" s="4" t="s">
        <v>22</v>
      </c>
      <c r="C831" s="5">
        <v>46014.508333333331</v>
      </c>
      <c r="D831" s="4" t="s">
        <v>23</v>
      </c>
      <c r="E831" s="8" t="s">
        <v>38</v>
      </c>
      <c r="F831" t="str">
        <f t="shared" si="12"/>
        <v>Tuesday</v>
      </c>
      <c r="G831" t="str">
        <f>VLOOKUP(B831,cabang!A:C,2,FALSE)</f>
        <v>Warung Selera Nusantara - Margonda</v>
      </c>
    </row>
    <row r="832" spans="1:7" x14ac:dyDescent="0.35">
      <c r="A832" s="7" t="s">
        <v>865</v>
      </c>
      <c r="B832" s="4" t="s">
        <v>31</v>
      </c>
      <c r="C832" s="5">
        <v>46015.663888888892</v>
      </c>
      <c r="D832" s="4" t="s">
        <v>28</v>
      </c>
      <c r="E832" s="8" t="s">
        <v>38</v>
      </c>
      <c r="F832" t="str">
        <f t="shared" si="12"/>
        <v>Wednesday</v>
      </c>
      <c r="G832" t="str">
        <f>VLOOKUP(B832,cabang!A:C,2,FALSE)</f>
        <v>Warung Selera Nusantara - Sudirman</v>
      </c>
    </row>
    <row r="833" spans="1:7" x14ac:dyDescent="0.35">
      <c r="A833" s="7" t="s">
        <v>866</v>
      </c>
      <c r="B833" s="4" t="s">
        <v>22</v>
      </c>
      <c r="C833" s="5">
        <v>46015.875694444447</v>
      </c>
      <c r="D833" s="4" t="s">
        <v>23</v>
      </c>
      <c r="E833" s="8" t="s">
        <v>33</v>
      </c>
      <c r="F833" t="str">
        <f t="shared" si="12"/>
        <v>Wednesday</v>
      </c>
      <c r="G833" t="str">
        <f>VLOOKUP(B833,cabang!A:C,2,FALSE)</f>
        <v>Warung Selera Nusantara - Margonda</v>
      </c>
    </row>
    <row r="834" spans="1:7" x14ac:dyDescent="0.35">
      <c r="A834" s="7" t="s">
        <v>867</v>
      </c>
      <c r="B834" s="4" t="s">
        <v>27</v>
      </c>
      <c r="C834" s="5">
        <v>46016.60833333333</v>
      </c>
      <c r="D834" s="4" t="s">
        <v>44</v>
      </c>
      <c r="E834" s="8" t="s">
        <v>33</v>
      </c>
      <c r="F834" t="str">
        <f t="shared" ref="F834:F851" si="13">TEXT(C834,"dddd")</f>
        <v>Thursday</v>
      </c>
      <c r="G834" t="str">
        <f>VLOOKUP(B834,cabang!A:C,2,FALSE)</f>
        <v>Warung Selera Nusantara - Tunjungan</v>
      </c>
    </row>
    <row r="835" spans="1:7" x14ac:dyDescent="0.35">
      <c r="A835" s="7" t="s">
        <v>868</v>
      </c>
      <c r="B835" s="4" t="s">
        <v>22</v>
      </c>
      <c r="C835" s="5">
        <v>46016.631944444453</v>
      </c>
      <c r="D835" s="4" t="s">
        <v>28</v>
      </c>
      <c r="E835" s="8" t="s">
        <v>29</v>
      </c>
      <c r="F835" t="str">
        <f t="shared" si="13"/>
        <v>Thursday</v>
      </c>
      <c r="G835" t="str">
        <f>VLOOKUP(B835,cabang!A:C,2,FALSE)</f>
        <v>Warung Selera Nusantara - Margonda</v>
      </c>
    </row>
    <row r="836" spans="1:7" x14ac:dyDescent="0.35">
      <c r="A836" s="7" t="s">
        <v>869</v>
      </c>
      <c r="B836" s="4" t="s">
        <v>43</v>
      </c>
      <c r="C836" s="5">
        <v>46016.771527777782</v>
      </c>
      <c r="D836" s="4" t="s">
        <v>23</v>
      </c>
      <c r="E836" s="8" t="s">
        <v>38</v>
      </c>
      <c r="F836" t="str">
        <f t="shared" si="13"/>
        <v>Thursday</v>
      </c>
      <c r="G836" t="str">
        <f>VLOOKUP(B836,cabang!A:C,2,FALSE)</f>
        <v>Warung Selera Nusantara - Dago</v>
      </c>
    </row>
    <row r="837" spans="1:7" x14ac:dyDescent="0.35">
      <c r="A837" s="7" t="s">
        <v>870</v>
      </c>
      <c r="B837" s="4" t="s">
        <v>43</v>
      </c>
      <c r="C837" s="5">
        <v>46016.834722222222</v>
      </c>
      <c r="D837" s="4" t="s">
        <v>23</v>
      </c>
      <c r="E837" s="8" t="s">
        <v>33</v>
      </c>
      <c r="F837" t="str">
        <f t="shared" si="13"/>
        <v>Thursday</v>
      </c>
      <c r="G837" t="str">
        <f>VLOOKUP(B837,cabang!A:C,2,FALSE)</f>
        <v>Warung Selera Nusantara - Dago</v>
      </c>
    </row>
    <row r="838" spans="1:7" x14ac:dyDescent="0.35">
      <c r="A838" s="7" t="s">
        <v>871</v>
      </c>
      <c r="B838" s="4" t="s">
        <v>22</v>
      </c>
      <c r="C838" s="5">
        <v>46016.870833333327</v>
      </c>
      <c r="D838" s="4" t="s">
        <v>44</v>
      </c>
      <c r="E838" s="8" t="s">
        <v>33</v>
      </c>
      <c r="F838" t="str">
        <f t="shared" si="13"/>
        <v>Thursday</v>
      </c>
      <c r="G838" t="str">
        <f>VLOOKUP(B838,cabang!A:C,2,FALSE)</f>
        <v>Warung Selera Nusantara - Margonda</v>
      </c>
    </row>
    <row r="839" spans="1:7" x14ac:dyDescent="0.35">
      <c r="A839" s="7" t="s">
        <v>872</v>
      </c>
      <c r="B839" s="4" t="s">
        <v>27</v>
      </c>
      <c r="C839" s="5">
        <v>46017.338194444441</v>
      </c>
      <c r="D839" s="4" t="s">
        <v>23</v>
      </c>
      <c r="E839" s="8" t="s">
        <v>38</v>
      </c>
      <c r="F839" t="str">
        <f t="shared" si="13"/>
        <v>Friday</v>
      </c>
      <c r="G839" t="str">
        <f>VLOOKUP(B839,cabang!A:C,2,FALSE)</f>
        <v>Warung Selera Nusantara - Tunjungan</v>
      </c>
    </row>
    <row r="840" spans="1:7" x14ac:dyDescent="0.35">
      <c r="A840" s="7" t="s">
        <v>873</v>
      </c>
      <c r="B840" s="4" t="s">
        <v>31</v>
      </c>
      <c r="C840" s="5">
        <v>46018.479861111111</v>
      </c>
      <c r="D840" s="4" t="s">
        <v>23</v>
      </c>
      <c r="E840" s="8" t="s">
        <v>24</v>
      </c>
      <c r="F840" t="str">
        <f t="shared" si="13"/>
        <v>Saturday</v>
      </c>
      <c r="G840" t="str">
        <f>VLOOKUP(B840,cabang!A:C,2,FALSE)</f>
        <v>Warung Selera Nusantara - Sudirman</v>
      </c>
    </row>
    <row r="841" spans="1:7" x14ac:dyDescent="0.35">
      <c r="A841" s="7" t="s">
        <v>874</v>
      </c>
      <c r="B841" s="4" t="s">
        <v>31</v>
      </c>
      <c r="C841" s="5">
        <v>46018.484722222223</v>
      </c>
      <c r="D841" s="4" t="s">
        <v>44</v>
      </c>
      <c r="E841" s="8" t="s">
        <v>29</v>
      </c>
      <c r="F841" t="str">
        <f t="shared" si="13"/>
        <v>Saturday</v>
      </c>
      <c r="G841" t="str">
        <f>VLOOKUP(B841,cabang!A:C,2,FALSE)</f>
        <v>Warung Selera Nusantara - Sudirman</v>
      </c>
    </row>
    <row r="842" spans="1:7" x14ac:dyDescent="0.35">
      <c r="A842" s="7" t="s">
        <v>875</v>
      </c>
      <c r="B842" s="4" t="s">
        <v>31</v>
      </c>
      <c r="C842" s="5">
        <v>46018.502083333333</v>
      </c>
      <c r="D842" s="4" t="s">
        <v>23</v>
      </c>
      <c r="E842" s="8" t="s">
        <v>24</v>
      </c>
      <c r="F842" t="str">
        <f t="shared" si="13"/>
        <v>Saturday</v>
      </c>
      <c r="G842" t="str">
        <f>VLOOKUP(B842,cabang!A:C,2,FALSE)</f>
        <v>Warung Selera Nusantara - Sudirman</v>
      </c>
    </row>
    <row r="843" spans="1:7" x14ac:dyDescent="0.35">
      <c r="A843" s="7" t="s">
        <v>876</v>
      </c>
      <c r="B843" s="4" t="s">
        <v>43</v>
      </c>
      <c r="C843" s="5">
        <v>46018.579861111109</v>
      </c>
      <c r="D843" s="4" t="s">
        <v>28</v>
      </c>
      <c r="E843" s="8" t="s">
        <v>38</v>
      </c>
      <c r="F843" t="str">
        <f t="shared" si="13"/>
        <v>Saturday</v>
      </c>
      <c r="G843" t="str">
        <f>VLOOKUP(B843,cabang!A:C,2,FALSE)</f>
        <v>Warung Selera Nusantara - Dago</v>
      </c>
    </row>
    <row r="844" spans="1:7" x14ac:dyDescent="0.35">
      <c r="A844" s="7" t="s">
        <v>877</v>
      </c>
      <c r="B844" s="4" t="s">
        <v>31</v>
      </c>
      <c r="C844" s="5">
        <v>46019.57916666667</v>
      </c>
      <c r="D844" s="4" t="s">
        <v>28</v>
      </c>
      <c r="E844" s="8" t="s">
        <v>33</v>
      </c>
      <c r="F844" t="str">
        <f t="shared" si="13"/>
        <v>Sunday</v>
      </c>
      <c r="G844" t="str">
        <f>VLOOKUP(B844,cabang!A:C,2,FALSE)</f>
        <v>Warung Selera Nusantara - Sudirman</v>
      </c>
    </row>
    <row r="845" spans="1:7" x14ac:dyDescent="0.35">
      <c r="A845" s="7" t="s">
        <v>878</v>
      </c>
      <c r="B845" s="4" t="s">
        <v>31</v>
      </c>
      <c r="C845" s="5">
        <v>46019.688888888893</v>
      </c>
      <c r="D845" s="4" t="s">
        <v>23</v>
      </c>
      <c r="E845" s="8" t="s">
        <v>38</v>
      </c>
      <c r="F845" t="str">
        <f t="shared" si="13"/>
        <v>Sunday</v>
      </c>
      <c r="G845" t="str">
        <f>VLOOKUP(B845,cabang!A:C,2,FALSE)</f>
        <v>Warung Selera Nusantara - Sudirman</v>
      </c>
    </row>
    <row r="846" spans="1:7" x14ac:dyDescent="0.35">
      <c r="A846" s="7" t="s">
        <v>879</v>
      </c>
      <c r="B846" s="4" t="s">
        <v>22</v>
      </c>
      <c r="C846" s="5">
        <v>46019.838888888888</v>
      </c>
      <c r="D846" s="4" t="s">
        <v>23</v>
      </c>
      <c r="E846" s="8" t="s">
        <v>33</v>
      </c>
      <c r="F846" t="str">
        <f t="shared" si="13"/>
        <v>Sunday</v>
      </c>
      <c r="G846" t="str">
        <f>VLOOKUP(B846,cabang!A:C,2,FALSE)</f>
        <v>Warung Selera Nusantara - Margonda</v>
      </c>
    </row>
    <row r="847" spans="1:7" x14ac:dyDescent="0.35">
      <c r="A847" s="7" t="s">
        <v>880</v>
      </c>
      <c r="B847" s="4" t="s">
        <v>22</v>
      </c>
      <c r="C847" s="5">
        <v>46021.467361111107</v>
      </c>
      <c r="D847" s="4" t="s">
        <v>28</v>
      </c>
      <c r="E847" s="8" t="s">
        <v>29</v>
      </c>
      <c r="F847" t="str">
        <f t="shared" si="13"/>
        <v>Tuesday</v>
      </c>
      <c r="G847" t="str">
        <f>VLOOKUP(B847,cabang!A:C,2,FALSE)</f>
        <v>Warung Selera Nusantara - Margonda</v>
      </c>
    </row>
    <row r="848" spans="1:7" x14ac:dyDescent="0.35">
      <c r="A848" s="7" t="s">
        <v>881</v>
      </c>
      <c r="B848" s="4" t="s">
        <v>31</v>
      </c>
      <c r="C848" s="5">
        <v>46021.539583333331</v>
      </c>
      <c r="D848" s="4" t="s">
        <v>44</v>
      </c>
      <c r="E848" s="8" t="s">
        <v>33</v>
      </c>
      <c r="F848" t="str">
        <f t="shared" si="13"/>
        <v>Tuesday</v>
      </c>
      <c r="G848" t="str">
        <f>VLOOKUP(B848,cabang!A:C,2,FALSE)</f>
        <v>Warung Selera Nusantara - Sudirman</v>
      </c>
    </row>
    <row r="849" spans="1:7" x14ac:dyDescent="0.35">
      <c r="A849" s="7" t="s">
        <v>882</v>
      </c>
      <c r="B849" s="4" t="s">
        <v>27</v>
      </c>
      <c r="C849" s="5">
        <v>46021.820833333331</v>
      </c>
      <c r="D849" s="4" t="s">
        <v>23</v>
      </c>
      <c r="E849" s="8" t="s">
        <v>24</v>
      </c>
      <c r="F849" t="str">
        <f t="shared" si="13"/>
        <v>Tuesday</v>
      </c>
      <c r="G849" t="str">
        <f>VLOOKUP(B849,cabang!A:C,2,FALSE)</f>
        <v>Warung Selera Nusantara - Tunjungan</v>
      </c>
    </row>
    <row r="850" spans="1:7" x14ac:dyDescent="0.35">
      <c r="A850" s="7" t="s">
        <v>883</v>
      </c>
      <c r="B850" s="4" t="s">
        <v>31</v>
      </c>
      <c r="C850" s="5">
        <v>46022.568055555559</v>
      </c>
      <c r="D850" s="4" t="s">
        <v>23</v>
      </c>
      <c r="E850" s="8" t="s">
        <v>24</v>
      </c>
      <c r="F850" t="str">
        <f t="shared" si="13"/>
        <v>Wednesday</v>
      </c>
      <c r="G850" t="str">
        <f>VLOOKUP(B850,cabang!A:C,2,FALSE)</f>
        <v>Warung Selera Nusantara - Sudirman</v>
      </c>
    </row>
    <row r="851" spans="1:7" x14ac:dyDescent="0.35">
      <c r="A851" s="12" t="s">
        <v>884</v>
      </c>
      <c r="B851" s="13" t="s">
        <v>43</v>
      </c>
      <c r="C851" s="14">
        <v>46022.576388888891</v>
      </c>
      <c r="D851" s="13" t="s">
        <v>28</v>
      </c>
      <c r="E851" s="15" t="s">
        <v>33</v>
      </c>
      <c r="F851" t="str">
        <f t="shared" si="13"/>
        <v>Wednesday</v>
      </c>
      <c r="G851" t="str">
        <f>VLOOKUP(B851,cabang!A:C,2,FALSE)</f>
        <v>Warung Selera Nusantara - Dago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01"/>
  <sheetViews>
    <sheetView topLeftCell="C1" zoomScale="84" zoomScaleNormal="84" workbookViewId="0">
      <pane ySplit="1" topLeftCell="A2078" activePane="bottomLeft" state="frozen"/>
      <selection pane="bottomLeft" activeCell="F2102" sqref="F2102"/>
    </sheetView>
  </sheetViews>
  <sheetFormatPr defaultRowHeight="14.5" x14ac:dyDescent="0.35"/>
  <cols>
    <col min="1" max="1" width="12" customWidth="1"/>
    <col min="2" max="2" width="17" customWidth="1"/>
    <col min="3" max="4" width="10" customWidth="1"/>
    <col min="5" max="5" width="15" customWidth="1"/>
    <col min="6" max="6" width="27.08984375" customWidth="1"/>
    <col min="8" max="8" width="14.36328125" customWidth="1"/>
  </cols>
  <sheetData>
    <row r="1" spans="1:9" x14ac:dyDescent="0.35">
      <c r="A1" s="3" t="s">
        <v>885</v>
      </c>
      <c r="B1" s="3" t="s">
        <v>16</v>
      </c>
      <c r="C1" s="3" t="s">
        <v>886</v>
      </c>
      <c r="D1" s="3" t="s">
        <v>887</v>
      </c>
      <c r="E1" s="3" t="s">
        <v>888</v>
      </c>
      <c r="F1" s="20" t="s">
        <v>3012</v>
      </c>
      <c r="G1" s="20" t="s">
        <v>3079</v>
      </c>
      <c r="H1" s="20" t="s">
        <v>3080</v>
      </c>
      <c r="I1" s="20" t="s">
        <v>3081</v>
      </c>
    </row>
    <row r="2" spans="1:9" x14ac:dyDescent="0.35">
      <c r="A2" s="4" t="s">
        <v>889</v>
      </c>
      <c r="B2" s="4" t="s">
        <v>153</v>
      </c>
      <c r="C2" s="4" t="s">
        <v>890</v>
      </c>
      <c r="D2" s="4">
        <v>1</v>
      </c>
      <c r="E2" s="6">
        <v>18000</v>
      </c>
      <c r="F2" t="str">
        <f>VLOOKUP(C2,menu!A:B,2,FALSE)</f>
        <v>Es Kopi Susu Gula Aren</v>
      </c>
      <c r="G2">
        <f>D2*E2</f>
        <v>18000</v>
      </c>
      <c r="H2">
        <f>VLOOKUP(C2,menu!A:E,4,FALSE)</f>
        <v>4500</v>
      </c>
      <c r="I2">
        <f>(E2-H2)*D2</f>
        <v>13500</v>
      </c>
    </row>
    <row r="3" spans="1:9" x14ac:dyDescent="0.35">
      <c r="A3" s="4" t="s">
        <v>891</v>
      </c>
      <c r="B3" s="4" t="s">
        <v>153</v>
      </c>
      <c r="C3" s="4" t="s">
        <v>892</v>
      </c>
      <c r="D3" s="4">
        <v>1</v>
      </c>
      <c r="E3" s="6">
        <v>9000</v>
      </c>
      <c r="F3" t="str">
        <f>VLOOKUP(C3,menu!A:B,2,FALSE)</f>
        <v>Tempe Mendoan (5pcs)</v>
      </c>
      <c r="G3">
        <f t="shared" ref="G3:G66" si="0">D3*E3</f>
        <v>9000</v>
      </c>
      <c r="H3">
        <f>VLOOKUP(C3,menu!A:E,4,FALSE)</f>
        <v>3000</v>
      </c>
      <c r="I3">
        <f t="shared" ref="I3:I66" si="1">(E3-H3)*D3</f>
        <v>6000</v>
      </c>
    </row>
    <row r="4" spans="1:9" x14ac:dyDescent="0.35">
      <c r="A4" s="4" t="s">
        <v>893</v>
      </c>
      <c r="B4" s="4" t="s">
        <v>649</v>
      </c>
      <c r="C4" s="4" t="s">
        <v>894</v>
      </c>
      <c r="D4" s="4">
        <v>1</v>
      </c>
      <c r="E4" s="6">
        <v>5000</v>
      </c>
      <c r="F4" t="str">
        <f>VLOOKUP(C4,menu!A:B,2,FALSE)</f>
        <v>Air Mineral Botol</v>
      </c>
      <c r="G4">
        <f t="shared" si="0"/>
        <v>5000</v>
      </c>
      <c r="H4">
        <f>VLOOKUP(C4,menu!A:E,4,FALSE)</f>
        <v>2000</v>
      </c>
      <c r="I4">
        <f t="shared" si="1"/>
        <v>3000</v>
      </c>
    </row>
    <row r="5" spans="1:9" x14ac:dyDescent="0.35">
      <c r="A5" s="4" t="s">
        <v>895</v>
      </c>
      <c r="B5" s="4" t="s">
        <v>649</v>
      </c>
      <c r="C5" s="4" t="s">
        <v>896</v>
      </c>
      <c r="D5" s="4">
        <v>1</v>
      </c>
      <c r="E5" s="6">
        <v>23000</v>
      </c>
      <c r="F5" t="str">
        <f>VLOOKUP(C5,menu!A:B,2,FALSE)</f>
        <v>Nasi Uduk Komplit</v>
      </c>
      <c r="G5">
        <f t="shared" si="0"/>
        <v>23000</v>
      </c>
      <c r="H5">
        <f>VLOOKUP(C5,menu!A:E,4,FALSE)</f>
        <v>9000</v>
      </c>
      <c r="I5">
        <f t="shared" si="1"/>
        <v>14000</v>
      </c>
    </row>
    <row r="6" spans="1:9" x14ac:dyDescent="0.35">
      <c r="A6" s="4" t="s">
        <v>897</v>
      </c>
      <c r="B6" s="4" t="s">
        <v>649</v>
      </c>
      <c r="C6" s="4" t="s">
        <v>898</v>
      </c>
      <c r="D6" s="4">
        <v>1</v>
      </c>
      <c r="E6" s="6">
        <v>27000</v>
      </c>
      <c r="F6" t="str">
        <f>VLOOKUP(C6,menu!A:B,2,FALSE)</f>
        <v>Ayam Geprek Sambal Bawang</v>
      </c>
      <c r="G6">
        <f t="shared" si="0"/>
        <v>27000</v>
      </c>
      <c r="H6">
        <f>VLOOKUP(C6,menu!A:E,4,FALSE)</f>
        <v>11000</v>
      </c>
      <c r="I6">
        <f t="shared" si="1"/>
        <v>16000</v>
      </c>
    </row>
    <row r="7" spans="1:9" x14ac:dyDescent="0.35">
      <c r="A7" s="4" t="s">
        <v>899</v>
      </c>
      <c r="B7" s="4" t="s">
        <v>649</v>
      </c>
      <c r="C7" s="4" t="s">
        <v>900</v>
      </c>
      <c r="D7" s="4">
        <v>1</v>
      </c>
      <c r="E7" s="6">
        <v>8000</v>
      </c>
      <c r="F7" t="str">
        <f>VLOOKUP(C7,menu!A:B,2,FALSE)</f>
        <v>Es Jeruk Peras</v>
      </c>
      <c r="G7">
        <f t="shared" si="0"/>
        <v>8000</v>
      </c>
      <c r="H7">
        <f>VLOOKUP(C7,menu!A:E,4,FALSE)</f>
        <v>2500</v>
      </c>
      <c r="I7">
        <f t="shared" si="1"/>
        <v>5500</v>
      </c>
    </row>
    <row r="8" spans="1:9" x14ac:dyDescent="0.35">
      <c r="A8" s="4" t="s">
        <v>901</v>
      </c>
      <c r="B8" s="4" t="s">
        <v>649</v>
      </c>
      <c r="C8" s="4" t="s">
        <v>902</v>
      </c>
      <c r="D8" s="4">
        <v>1</v>
      </c>
      <c r="E8" s="6">
        <v>12000</v>
      </c>
      <c r="F8" t="str">
        <f>VLOOKUP(C8,menu!A:B,2,FALSE)</f>
        <v>Teh Tarik</v>
      </c>
      <c r="G8">
        <f t="shared" si="0"/>
        <v>12000</v>
      </c>
      <c r="H8">
        <f>VLOOKUP(C8,menu!A:E,4,FALSE)</f>
        <v>3000</v>
      </c>
      <c r="I8">
        <f t="shared" si="1"/>
        <v>9000</v>
      </c>
    </row>
    <row r="9" spans="1:9" x14ac:dyDescent="0.35">
      <c r="A9" s="4" t="s">
        <v>903</v>
      </c>
      <c r="B9" s="4" t="s">
        <v>553</v>
      </c>
      <c r="C9" s="4" t="s">
        <v>904</v>
      </c>
      <c r="D9" s="4">
        <v>2</v>
      </c>
      <c r="E9" s="6">
        <v>22000</v>
      </c>
      <c r="F9" t="str">
        <f>VLOOKUP(C9,menu!A:B,2,FALSE)</f>
        <v>Pecel Lele</v>
      </c>
      <c r="G9">
        <f t="shared" si="0"/>
        <v>44000</v>
      </c>
      <c r="H9">
        <f>VLOOKUP(C9,menu!A:E,4,FALSE)</f>
        <v>9500</v>
      </c>
      <c r="I9">
        <f t="shared" si="1"/>
        <v>25000</v>
      </c>
    </row>
    <row r="10" spans="1:9" x14ac:dyDescent="0.35">
      <c r="A10" s="4" t="s">
        <v>905</v>
      </c>
      <c r="B10" s="4" t="s">
        <v>553</v>
      </c>
      <c r="C10" s="4" t="s">
        <v>906</v>
      </c>
      <c r="D10" s="4">
        <v>1</v>
      </c>
      <c r="E10" s="6">
        <v>28000</v>
      </c>
      <c r="F10" t="str">
        <f>VLOOKUP(C10,menu!A:B,2,FALSE)</f>
        <v>Sate Ayam 10 Tusuk</v>
      </c>
      <c r="G10">
        <f t="shared" si="0"/>
        <v>28000</v>
      </c>
      <c r="H10">
        <f>VLOOKUP(C10,menu!A:E,4,FALSE)</f>
        <v>12000</v>
      </c>
      <c r="I10">
        <f t="shared" si="1"/>
        <v>16000</v>
      </c>
    </row>
    <row r="11" spans="1:9" x14ac:dyDescent="0.35">
      <c r="A11" s="4" t="s">
        <v>907</v>
      </c>
      <c r="B11" s="4" t="s">
        <v>553</v>
      </c>
      <c r="C11" s="4" t="s">
        <v>908</v>
      </c>
      <c r="D11" s="4">
        <v>2</v>
      </c>
      <c r="E11" s="6">
        <v>16000</v>
      </c>
      <c r="F11" t="str">
        <f>VLOOKUP(C11,menu!A:B,2,FALSE)</f>
        <v>Jus Alpukat</v>
      </c>
      <c r="G11">
        <f t="shared" si="0"/>
        <v>32000</v>
      </c>
      <c r="H11">
        <f>VLOOKUP(C11,menu!A:E,4,FALSE)</f>
        <v>5500</v>
      </c>
      <c r="I11">
        <f t="shared" si="1"/>
        <v>21000</v>
      </c>
    </row>
    <row r="12" spans="1:9" x14ac:dyDescent="0.35">
      <c r="A12" s="4" t="s">
        <v>909</v>
      </c>
      <c r="B12" s="4" t="s">
        <v>149</v>
      </c>
      <c r="C12" s="4" t="s">
        <v>902</v>
      </c>
      <c r="D12" s="4">
        <v>1</v>
      </c>
      <c r="E12" s="6">
        <v>12000</v>
      </c>
      <c r="F12" t="str">
        <f>VLOOKUP(C12,menu!A:B,2,FALSE)</f>
        <v>Teh Tarik</v>
      </c>
      <c r="G12">
        <f t="shared" si="0"/>
        <v>12000</v>
      </c>
      <c r="H12">
        <f>VLOOKUP(C12,menu!A:E,4,FALSE)</f>
        <v>3000</v>
      </c>
      <c r="I12">
        <f t="shared" si="1"/>
        <v>9000</v>
      </c>
    </row>
    <row r="13" spans="1:9" x14ac:dyDescent="0.35">
      <c r="A13" s="4" t="s">
        <v>910</v>
      </c>
      <c r="B13" s="4" t="s">
        <v>149</v>
      </c>
      <c r="C13" s="4" t="s">
        <v>890</v>
      </c>
      <c r="D13" s="4">
        <v>1</v>
      </c>
      <c r="E13" s="6">
        <v>18000</v>
      </c>
      <c r="F13" t="str">
        <f>VLOOKUP(C13,menu!A:B,2,FALSE)</f>
        <v>Es Kopi Susu Gula Aren</v>
      </c>
      <c r="G13">
        <f t="shared" si="0"/>
        <v>18000</v>
      </c>
      <c r="H13">
        <f>VLOOKUP(C13,menu!A:E,4,FALSE)</f>
        <v>4500</v>
      </c>
      <c r="I13">
        <f t="shared" si="1"/>
        <v>13500</v>
      </c>
    </row>
    <row r="14" spans="1:9" x14ac:dyDescent="0.35">
      <c r="A14" s="4" t="s">
        <v>911</v>
      </c>
      <c r="B14" s="4" t="s">
        <v>711</v>
      </c>
      <c r="C14" s="4" t="s">
        <v>890</v>
      </c>
      <c r="D14" s="4">
        <v>1</v>
      </c>
      <c r="E14" s="6">
        <v>18000</v>
      </c>
      <c r="F14" t="str">
        <f>VLOOKUP(C14,menu!A:B,2,FALSE)</f>
        <v>Es Kopi Susu Gula Aren</v>
      </c>
      <c r="G14">
        <f t="shared" si="0"/>
        <v>18000</v>
      </c>
      <c r="H14">
        <f>VLOOKUP(C14,menu!A:E,4,FALSE)</f>
        <v>4500</v>
      </c>
      <c r="I14">
        <f t="shared" si="1"/>
        <v>13500</v>
      </c>
    </row>
    <row r="15" spans="1:9" x14ac:dyDescent="0.35">
      <c r="A15" s="4" t="s">
        <v>912</v>
      </c>
      <c r="B15" s="4" t="s">
        <v>711</v>
      </c>
      <c r="C15" s="4" t="s">
        <v>894</v>
      </c>
      <c r="D15" s="4">
        <v>1</v>
      </c>
      <c r="E15" s="6">
        <v>5000</v>
      </c>
      <c r="F15" t="str">
        <f>VLOOKUP(C15,menu!A:B,2,FALSE)</f>
        <v>Air Mineral Botol</v>
      </c>
      <c r="G15">
        <f t="shared" si="0"/>
        <v>5000</v>
      </c>
      <c r="H15">
        <f>VLOOKUP(C15,menu!A:E,4,FALSE)</f>
        <v>2000</v>
      </c>
      <c r="I15">
        <f t="shared" si="1"/>
        <v>3000</v>
      </c>
    </row>
    <row r="16" spans="1:9" x14ac:dyDescent="0.35">
      <c r="A16" s="4" t="s">
        <v>913</v>
      </c>
      <c r="B16" s="4" t="s">
        <v>711</v>
      </c>
      <c r="C16" s="4" t="s">
        <v>908</v>
      </c>
      <c r="D16" s="4">
        <v>1</v>
      </c>
      <c r="E16" s="6">
        <v>16000</v>
      </c>
      <c r="F16" t="str">
        <f>VLOOKUP(C16,menu!A:B,2,FALSE)</f>
        <v>Jus Alpukat</v>
      </c>
      <c r="G16">
        <f t="shared" si="0"/>
        <v>16000</v>
      </c>
      <c r="H16">
        <f>VLOOKUP(C16,menu!A:E,4,FALSE)</f>
        <v>5500</v>
      </c>
      <c r="I16">
        <f t="shared" si="1"/>
        <v>10500</v>
      </c>
    </row>
    <row r="17" spans="1:9" x14ac:dyDescent="0.35">
      <c r="A17" s="4" t="s">
        <v>914</v>
      </c>
      <c r="B17" s="4" t="s">
        <v>104</v>
      </c>
      <c r="C17" s="4" t="s">
        <v>898</v>
      </c>
      <c r="D17" s="4">
        <v>2</v>
      </c>
      <c r="E17" s="6">
        <v>27000</v>
      </c>
      <c r="F17" t="str">
        <f>VLOOKUP(C17,menu!A:B,2,FALSE)</f>
        <v>Ayam Geprek Sambal Bawang</v>
      </c>
      <c r="G17">
        <f t="shared" si="0"/>
        <v>54000</v>
      </c>
      <c r="H17">
        <f>VLOOKUP(C17,menu!A:E,4,FALSE)</f>
        <v>11000</v>
      </c>
      <c r="I17">
        <f t="shared" si="1"/>
        <v>32000</v>
      </c>
    </row>
    <row r="18" spans="1:9" x14ac:dyDescent="0.35">
      <c r="A18" s="4" t="s">
        <v>915</v>
      </c>
      <c r="B18" s="4" t="s">
        <v>104</v>
      </c>
      <c r="C18" s="4" t="s">
        <v>916</v>
      </c>
      <c r="D18" s="4">
        <v>1</v>
      </c>
      <c r="E18" s="6">
        <v>9000</v>
      </c>
      <c r="F18" t="str">
        <f>VLOOKUP(C18,menu!A:B,2,FALSE)</f>
        <v>Kopi Hitam Tubruk</v>
      </c>
      <c r="G18">
        <f t="shared" si="0"/>
        <v>9000</v>
      </c>
      <c r="H18">
        <f>VLOOKUP(C18,menu!A:E,4,FALSE)</f>
        <v>2000</v>
      </c>
      <c r="I18">
        <f t="shared" si="1"/>
        <v>7000</v>
      </c>
    </row>
    <row r="19" spans="1:9" x14ac:dyDescent="0.35">
      <c r="A19" s="4" t="s">
        <v>917</v>
      </c>
      <c r="B19" s="4" t="s">
        <v>104</v>
      </c>
      <c r="C19" s="4" t="s">
        <v>890</v>
      </c>
      <c r="D19" s="4">
        <v>1</v>
      </c>
      <c r="E19" s="6">
        <v>18000</v>
      </c>
      <c r="F19" t="str">
        <f>VLOOKUP(C19,menu!A:B,2,FALSE)</f>
        <v>Es Kopi Susu Gula Aren</v>
      </c>
      <c r="G19">
        <f t="shared" si="0"/>
        <v>18000</v>
      </c>
      <c r="H19">
        <f>VLOOKUP(C19,menu!A:E,4,FALSE)</f>
        <v>4500</v>
      </c>
      <c r="I19">
        <f t="shared" si="1"/>
        <v>13500</v>
      </c>
    </row>
    <row r="20" spans="1:9" x14ac:dyDescent="0.35">
      <c r="A20" s="4" t="s">
        <v>918</v>
      </c>
      <c r="B20" s="4" t="s">
        <v>104</v>
      </c>
      <c r="C20" s="4" t="s">
        <v>919</v>
      </c>
      <c r="D20" s="4">
        <v>2</v>
      </c>
      <c r="E20" s="6">
        <v>20000</v>
      </c>
      <c r="F20" t="str">
        <f>VLOOKUP(C20,menu!A:B,2,FALSE)</f>
        <v>Gado-Gado Jakarta</v>
      </c>
      <c r="G20">
        <f t="shared" si="0"/>
        <v>40000</v>
      </c>
      <c r="H20">
        <f>VLOOKUP(C20,menu!A:E,4,FALSE)</f>
        <v>8000</v>
      </c>
      <c r="I20">
        <f t="shared" si="1"/>
        <v>24000</v>
      </c>
    </row>
    <row r="21" spans="1:9" x14ac:dyDescent="0.35">
      <c r="A21" s="4" t="s">
        <v>920</v>
      </c>
      <c r="B21" s="4" t="s">
        <v>104</v>
      </c>
      <c r="C21" s="4" t="s">
        <v>894</v>
      </c>
      <c r="D21" s="4">
        <v>3</v>
      </c>
      <c r="E21" s="6">
        <v>5000</v>
      </c>
      <c r="F21" t="str">
        <f>VLOOKUP(C21,menu!A:B,2,FALSE)</f>
        <v>Air Mineral Botol</v>
      </c>
      <c r="G21">
        <f t="shared" si="0"/>
        <v>15000</v>
      </c>
      <c r="H21">
        <f>VLOOKUP(C21,menu!A:E,4,FALSE)</f>
        <v>2000</v>
      </c>
      <c r="I21">
        <f t="shared" si="1"/>
        <v>9000</v>
      </c>
    </row>
    <row r="22" spans="1:9" x14ac:dyDescent="0.35">
      <c r="A22" s="4" t="s">
        <v>921</v>
      </c>
      <c r="B22" s="4" t="s">
        <v>84</v>
      </c>
      <c r="C22" s="4" t="s">
        <v>919</v>
      </c>
      <c r="D22" s="4">
        <v>1</v>
      </c>
      <c r="E22" s="6">
        <v>20000</v>
      </c>
      <c r="F22" t="str">
        <f>VLOOKUP(C22,menu!A:B,2,FALSE)</f>
        <v>Gado-Gado Jakarta</v>
      </c>
      <c r="G22">
        <f t="shared" si="0"/>
        <v>20000</v>
      </c>
      <c r="H22">
        <f>VLOOKUP(C22,menu!A:E,4,FALSE)</f>
        <v>8000</v>
      </c>
      <c r="I22">
        <f t="shared" si="1"/>
        <v>12000</v>
      </c>
    </row>
    <row r="23" spans="1:9" x14ac:dyDescent="0.35">
      <c r="A23" s="4" t="s">
        <v>922</v>
      </c>
      <c r="B23" s="4" t="s">
        <v>385</v>
      </c>
      <c r="C23" s="4" t="s">
        <v>898</v>
      </c>
      <c r="D23" s="4">
        <v>2</v>
      </c>
      <c r="E23" s="6">
        <v>27000</v>
      </c>
      <c r="F23" t="str">
        <f>VLOOKUP(C23,menu!A:B,2,FALSE)</f>
        <v>Ayam Geprek Sambal Bawang</v>
      </c>
      <c r="G23">
        <f t="shared" si="0"/>
        <v>54000</v>
      </c>
      <c r="H23">
        <f>VLOOKUP(C23,menu!A:E,4,FALSE)</f>
        <v>11000</v>
      </c>
      <c r="I23">
        <f t="shared" si="1"/>
        <v>32000</v>
      </c>
    </row>
    <row r="24" spans="1:9" x14ac:dyDescent="0.35">
      <c r="A24" s="4" t="s">
        <v>923</v>
      </c>
      <c r="B24" s="4" t="s">
        <v>385</v>
      </c>
      <c r="C24" s="4" t="s">
        <v>896</v>
      </c>
      <c r="D24" s="4">
        <v>1</v>
      </c>
      <c r="E24" s="6">
        <v>23000</v>
      </c>
      <c r="F24" t="str">
        <f>VLOOKUP(C24,menu!A:B,2,FALSE)</f>
        <v>Nasi Uduk Komplit</v>
      </c>
      <c r="G24">
        <f t="shared" si="0"/>
        <v>23000</v>
      </c>
      <c r="H24">
        <f>VLOOKUP(C24,menu!A:E,4,FALSE)</f>
        <v>9000</v>
      </c>
      <c r="I24">
        <f t="shared" si="1"/>
        <v>14000</v>
      </c>
    </row>
    <row r="25" spans="1:9" x14ac:dyDescent="0.35">
      <c r="A25" s="4" t="s">
        <v>924</v>
      </c>
      <c r="B25" s="4" t="s">
        <v>191</v>
      </c>
      <c r="C25" s="4" t="s">
        <v>904</v>
      </c>
      <c r="D25" s="4">
        <v>1</v>
      </c>
      <c r="E25" s="6">
        <v>22000</v>
      </c>
      <c r="F25" t="str">
        <f>VLOOKUP(C25,menu!A:B,2,FALSE)</f>
        <v>Pecel Lele</v>
      </c>
      <c r="G25">
        <f t="shared" si="0"/>
        <v>22000</v>
      </c>
      <c r="H25">
        <f>VLOOKUP(C25,menu!A:E,4,FALSE)</f>
        <v>9500</v>
      </c>
      <c r="I25">
        <f t="shared" si="1"/>
        <v>12500</v>
      </c>
    </row>
    <row r="26" spans="1:9" x14ac:dyDescent="0.35">
      <c r="A26" s="4" t="s">
        <v>925</v>
      </c>
      <c r="B26" s="4" t="s">
        <v>846</v>
      </c>
      <c r="C26" s="4" t="s">
        <v>892</v>
      </c>
      <c r="D26" s="4">
        <v>1</v>
      </c>
      <c r="E26" s="6">
        <v>9000</v>
      </c>
      <c r="F26" t="str">
        <f>VLOOKUP(C26,menu!A:B,2,FALSE)</f>
        <v>Tempe Mendoan (5pcs)</v>
      </c>
      <c r="G26">
        <f t="shared" si="0"/>
        <v>9000</v>
      </c>
      <c r="H26">
        <f>VLOOKUP(C26,menu!A:E,4,FALSE)</f>
        <v>3000</v>
      </c>
      <c r="I26">
        <f t="shared" si="1"/>
        <v>6000</v>
      </c>
    </row>
    <row r="27" spans="1:9" x14ac:dyDescent="0.35">
      <c r="A27" s="4" t="s">
        <v>926</v>
      </c>
      <c r="B27" s="4" t="s">
        <v>846</v>
      </c>
      <c r="C27" s="4" t="s">
        <v>898</v>
      </c>
      <c r="D27" s="4">
        <v>2</v>
      </c>
      <c r="E27" s="6">
        <v>27000</v>
      </c>
      <c r="F27" t="str">
        <f>VLOOKUP(C27,menu!A:B,2,FALSE)</f>
        <v>Ayam Geprek Sambal Bawang</v>
      </c>
      <c r="G27">
        <f t="shared" si="0"/>
        <v>54000</v>
      </c>
      <c r="H27">
        <f>VLOOKUP(C27,menu!A:E,4,FALSE)</f>
        <v>11000</v>
      </c>
      <c r="I27">
        <f t="shared" si="1"/>
        <v>32000</v>
      </c>
    </row>
    <row r="28" spans="1:9" x14ac:dyDescent="0.35">
      <c r="A28" s="4" t="s">
        <v>927</v>
      </c>
      <c r="B28" s="4" t="s">
        <v>846</v>
      </c>
      <c r="C28" s="4" t="s">
        <v>928</v>
      </c>
      <c r="D28" s="4">
        <v>2</v>
      </c>
      <c r="E28" s="6">
        <v>23000</v>
      </c>
      <c r="F28" t="str">
        <f>VLOOKUP(C28,menu!A:B,2,FALSE)</f>
        <v>Mie Goreng Jawa</v>
      </c>
      <c r="G28">
        <f t="shared" si="0"/>
        <v>46000</v>
      </c>
      <c r="H28">
        <f>VLOOKUP(C28,menu!A:E,4,FALSE)</f>
        <v>8500</v>
      </c>
      <c r="I28">
        <f t="shared" si="1"/>
        <v>29000</v>
      </c>
    </row>
    <row r="29" spans="1:9" x14ac:dyDescent="0.35">
      <c r="A29" s="4" t="s">
        <v>929</v>
      </c>
      <c r="B29" s="4" t="s">
        <v>846</v>
      </c>
      <c r="C29" s="4" t="s">
        <v>894</v>
      </c>
      <c r="D29" s="4">
        <v>1</v>
      </c>
      <c r="E29" s="6">
        <v>5000</v>
      </c>
      <c r="F29" t="str">
        <f>VLOOKUP(C29,menu!A:B,2,FALSE)</f>
        <v>Air Mineral Botol</v>
      </c>
      <c r="G29">
        <f t="shared" si="0"/>
        <v>5000</v>
      </c>
      <c r="H29">
        <f>VLOOKUP(C29,menu!A:E,4,FALSE)</f>
        <v>2000</v>
      </c>
      <c r="I29">
        <f t="shared" si="1"/>
        <v>3000</v>
      </c>
    </row>
    <row r="30" spans="1:9" x14ac:dyDescent="0.35">
      <c r="A30" s="4" t="s">
        <v>930</v>
      </c>
      <c r="B30" s="4" t="s">
        <v>846</v>
      </c>
      <c r="C30" s="4" t="s">
        <v>931</v>
      </c>
      <c r="D30" s="4">
        <v>2</v>
      </c>
      <c r="E30" s="6">
        <v>5000</v>
      </c>
      <c r="F30" t="str">
        <f>VLOOKUP(C30,menu!A:B,2,FALSE)</f>
        <v>Kerupuk Udang</v>
      </c>
      <c r="G30">
        <f t="shared" si="0"/>
        <v>10000</v>
      </c>
      <c r="H30">
        <f>VLOOKUP(C30,menu!A:E,4,FALSE)</f>
        <v>1500</v>
      </c>
      <c r="I30">
        <f t="shared" si="1"/>
        <v>7000</v>
      </c>
    </row>
    <row r="31" spans="1:9" x14ac:dyDescent="0.35">
      <c r="A31" s="4" t="s">
        <v>932</v>
      </c>
      <c r="B31" s="4" t="s">
        <v>480</v>
      </c>
      <c r="C31" s="4" t="s">
        <v>898</v>
      </c>
      <c r="D31" s="4">
        <v>1</v>
      </c>
      <c r="E31" s="6">
        <v>27000</v>
      </c>
      <c r="F31" t="str">
        <f>VLOOKUP(C31,menu!A:B,2,FALSE)</f>
        <v>Ayam Geprek Sambal Bawang</v>
      </c>
      <c r="G31">
        <f t="shared" si="0"/>
        <v>27000</v>
      </c>
      <c r="H31">
        <f>VLOOKUP(C31,menu!A:E,4,FALSE)</f>
        <v>11000</v>
      </c>
      <c r="I31">
        <f t="shared" si="1"/>
        <v>16000</v>
      </c>
    </row>
    <row r="32" spans="1:9" x14ac:dyDescent="0.35">
      <c r="A32" s="4" t="s">
        <v>933</v>
      </c>
      <c r="B32" s="4" t="s">
        <v>480</v>
      </c>
      <c r="C32" s="4" t="s">
        <v>890</v>
      </c>
      <c r="D32" s="4">
        <v>1</v>
      </c>
      <c r="E32" s="6">
        <v>18000</v>
      </c>
      <c r="F32" t="str">
        <f>VLOOKUP(C32,menu!A:B,2,FALSE)</f>
        <v>Es Kopi Susu Gula Aren</v>
      </c>
      <c r="G32">
        <f t="shared" si="0"/>
        <v>18000</v>
      </c>
      <c r="H32">
        <f>VLOOKUP(C32,menu!A:E,4,FALSE)</f>
        <v>4500</v>
      </c>
      <c r="I32">
        <f t="shared" si="1"/>
        <v>13500</v>
      </c>
    </row>
    <row r="33" spans="1:9" x14ac:dyDescent="0.35">
      <c r="A33" s="4" t="s">
        <v>934</v>
      </c>
      <c r="B33" s="4" t="s">
        <v>480</v>
      </c>
      <c r="C33" s="4" t="s">
        <v>935</v>
      </c>
      <c r="D33" s="4">
        <v>1</v>
      </c>
      <c r="E33" s="6">
        <v>22000</v>
      </c>
      <c r="F33" t="str">
        <f>VLOOKUP(C33,menu!A:B,2,FALSE)</f>
        <v>Soto Ayam Lamongan</v>
      </c>
      <c r="G33">
        <f t="shared" si="0"/>
        <v>22000</v>
      </c>
      <c r="H33">
        <f>VLOOKUP(C33,menu!A:E,4,FALSE)</f>
        <v>9500</v>
      </c>
      <c r="I33">
        <f t="shared" si="1"/>
        <v>12500</v>
      </c>
    </row>
    <row r="34" spans="1:9" x14ac:dyDescent="0.35">
      <c r="A34" s="4" t="s">
        <v>936</v>
      </c>
      <c r="B34" s="4" t="s">
        <v>480</v>
      </c>
      <c r="C34" s="4" t="s">
        <v>937</v>
      </c>
      <c r="D34" s="4">
        <v>1</v>
      </c>
      <c r="E34" s="6">
        <v>26000</v>
      </c>
      <c r="F34" t="str">
        <f>VLOOKUP(C34,menu!A:B,2,FALSE)</f>
        <v>Nasi Campur Bali</v>
      </c>
      <c r="G34">
        <f t="shared" si="0"/>
        <v>26000</v>
      </c>
      <c r="H34">
        <f>VLOOKUP(C34,menu!A:E,4,FALSE)</f>
        <v>11500</v>
      </c>
      <c r="I34">
        <f t="shared" si="1"/>
        <v>14500</v>
      </c>
    </row>
    <row r="35" spans="1:9" x14ac:dyDescent="0.35">
      <c r="A35" s="4" t="s">
        <v>938</v>
      </c>
      <c r="B35" s="4" t="s">
        <v>113</v>
      </c>
      <c r="C35" s="4" t="s">
        <v>898</v>
      </c>
      <c r="D35" s="4">
        <v>2</v>
      </c>
      <c r="E35" s="6">
        <v>27000</v>
      </c>
      <c r="F35" t="str">
        <f>VLOOKUP(C35,menu!A:B,2,FALSE)</f>
        <v>Ayam Geprek Sambal Bawang</v>
      </c>
      <c r="G35">
        <f t="shared" si="0"/>
        <v>54000</v>
      </c>
      <c r="H35">
        <f>VLOOKUP(C35,menu!A:E,4,FALSE)</f>
        <v>11000</v>
      </c>
      <c r="I35">
        <f t="shared" si="1"/>
        <v>32000</v>
      </c>
    </row>
    <row r="36" spans="1:9" x14ac:dyDescent="0.35">
      <c r="A36" s="4" t="s">
        <v>939</v>
      </c>
      <c r="B36" s="4" t="s">
        <v>113</v>
      </c>
      <c r="C36" s="4" t="s">
        <v>940</v>
      </c>
      <c r="D36" s="4">
        <v>1</v>
      </c>
      <c r="E36" s="6">
        <v>10000</v>
      </c>
      <c r="F36" t="str">
        <f>VLOOKUP(C36,menu!A:B,2,FALSE)</f>
        <v>Tahu Isi Goreng (5pcs)</v>
      </c>
      <c r="G36">
        <f t="shared" si="0"/>
        <v>10000</v>
      </c>
      <c r="H36">
        <f>VLOOKUP(C36,menu!A:E,4,FALSE)</f>
        <v>3500</v>
      </c>
      <c r="I36">
        <f t="shared" si="1"/>
        <v>6500</v>
      </c>
    </row>
    <row r="37" spans="1:9" x14ac:dyDescent="0.35">
      <c r="A37" s="4" t="s">
        <v>941</v>
      </c>
      <c r="B37" s="4" t="s">
        <v>298</v>
      </c>
      <c r="C37" s="4" t="s">
        <v>942</v>
      </c>
      <c r="D37" s="4">
        <v>1</v>
      </c>
      <c r="E37" s="6">
        <v>13000</v>
      </c>
      <c r="F37" t="str">
        <f>VLOOKUP(C37,menu!A:B,2,FALSE)</f>
        <v>Pisang Goreng Keju (4pcs)</v>
      </c>
      <c r="G37">
        <f t="shared" si="0"/>
        <v>13000</v>
      </c>
      <c r="H37">
        <f>VLOOKUP(C37,menu!A:E,4,FALSE)</f>
        <v>4000</v>
      </c>
      <c r="I37">
        <f t="shared" si="1"/>
        <v>9000</v>
      </c>
    </row>
    <row r="38" spans="1:9" x14ac:dyDescent="0.35">
      <c r="A38" s="4" t="s">
        <v>943</v>
      </c>
      <c r="B38" s="4" t="s">
        <v>298</v>
      </c>
      <c r="C38" s="4" t="s">
        <v>944</v>
      </c>
      <c r="D38" s="4">
        <v>1</v>
      </c>
      <c r="E38" s="6">
        <v>32000</v>
      </c>
      <c r="F38" t="str">
        <f>VLOOKUP(C38,menu!A:B,2,FALSE)</f>
        <v>Nasi Padang Rendang</v>
      </c>
      <c r="G38">
        <f t="shared" si="0"/>
        <v>32000</v>
      </c>
      <c r="H38">
        <f>VLOOKUP(C38,menu!A:E,4,FALSE)</f>
        <v>14000</v>
      </c>
      <c r="I38">
        <f t="shared" si="1"/>
        <v>18000</v>
      </c>
    </row>
    <row r="39" spans="1:9" x14ac:dyDescent="0.35">
      <c r="A39" s="4" t="s">
        <v>945</v>
      </c>
      <c r="B39" s="4" t="s">
        <v>573</v>
      </c>
      <c r="C39" s="4" t="s">
        <v>898</v>
      </c>
      <c r="D39" s="4">
        <v>1</v>
      </c>
      <c r="E39" s="6">
        <v>27000</v>
      </c>
      <c r="F39" t="str">
        <f>VLOOKUP(C39,menu!A:B,2,FALSE)</f>
        <v>Ayam Geprek Sambal Bawang</v>
      </c>
      <c r="G39">
        <f t="shared" si="0"/>
        <v>27000</v>
      </c>
      <c r="H39">
        <f>VLOOKUP(C39,menu!A:E,4,FALSE)</f>
        <v>11000</v>
      </c>
      <c r="I39">
        <f t="shared" si="1"/>
        <v>16000</v>
      </c>
    </row>
    <row r="40" spans="1:9" x14ac:dyDescent="0.35">
      <c r="A40" s="4" t="s">
        <v>946</v>
      </c>
      <c r="B40" s="4" t="s">
        <v>573</v>
      </c>
      <c r="C40" s="4" t="s">
        <v>890</v>
      </c>
      <c r="D40" s="4">
        <v>3</v>
      </c>
      <c r="E40" s="6">
        <v>18000</v>
      </c>
      <c r="F40" t="str">
        <f>VLOOKUP(C40,menu!A:B,2,FALSE)</f>
        <v>Es Kopi Susu Gula Aren</v>
      </c>
      <c r="G40">
        <f t="shared" si="0"/>
        <v>54000</v>
      </c>
      <c r="H40">
        <f>VLOOKUP(C40,menu!A:E,4,FALSE)</f>
        <v>4500</v>
      </c>
      <c r="I40">
        <f t="shared" si="1"/>
        <v>40500</v>
      </c>
    </row>
    <row r="41" spans="1:9" x14ac:dyDescent="0.35">
      <c r="A41" s="4" t="s">
        <v>947</v>
      </c>
      <c r="B41" s="4" t="s">
        <v>573</v>
      </c>
      <c r="C41" s="4" t="s">
        <v>902</v>
      </c>
      <c r="D41" s="4">
        <v>3</v>
      </c>
      <c r="E41" s="6">
        <v>12000</v>
      </c>
      <c r="F41" t="str">
        <f>VLOOKUP(C41,menu!A:B,2,FALSE)</f>
        <v>Teh Tarik</v>
      </c>
      <c r="G41">
        <f t="shared" si="0"/>
        <v>36000</v>
      </c>
      <c r="H41">
        <f>VLOOKUP(C41,menu!A:E,4,FALSE)</f>
        <v>3000</v>
      </c>
      <c r="I41">
        <f t="shared" si="1"/>
        <v>27000</v>
      </c>
    </row>
    <row r="42" spans="1:9" x14ac:dyDescent="0.35">
      <c r="A42" s="4" t="s">
        <v>948</v>
      </c>
      <c r="B42" s="4" t="s">
        <v>335</v>
      </c>
      <c r="C42" s="4" t="s">
        <v>900</v>
      </c>
      <c r="D42" s="4">
        <v>1</v>
      </c>
      <c r="E42" s="6">
        <v>8000</v>
      </c>
      <c r="F42" t="str">
        <f>VLOOKUP(C42,menu!A:B,2,FALSE)</f>
        <v>Es Jeruk Peras</v>
      </c>
      <c r="G42">
        <f t="shared" si="0"/>
        <v>8000</v>
      </c>
      <c r="H42">
        <f>VLOOKUP(C42,menu!A:E,4,FALSE)</f>
        <v>2500</v>
      </c>
      <c r="I42">
        <f t="shared" si="1"/>
        <v>5500</v>
      </c>
    </row>
    <row r="43" spans="1:9" x14ac:dyDescent="0.35">
      <c r="A43" s="4" t="s">
        <v>949</v>
      </c>
      <c r="B43" s="4" t="s">
        <v>335</v>
      </c>
      <c r="C43" s="4" t="s">
        <v>908</v>
      </c>
      <c r="D43" s="4">
        <v>1</v>
      </c>
      <c r="E43" s="6">
        <v>16000</v>
      </c>
      <c r="F43" t="str">
        <f>VLOOKUP(C43,menu!A:B,2,FALSE)</f>
        <v>Jus Alpukat</v>
      </c>
      <c r="G43">
        <f t="shared" si="0"/>
        <v>16000</v>
      </c>
      <c r="H43">
        <f>VLOOKUP(C43,menu!A:E,4,FALSE)</f>
        <v>5500</v>
      </c>
      <c r="I43">
        <f t="shared" si="1"/>
        <v>10500</v>
      </c>
    </row>
    <row r="44" spans="1:9" x14ac:dyDescent="0.35">
      <c r="A44" s="4" t="s">
        <v>950</v>
      </c>
      <c r="B44" s="4" t="s">
        <v>335</v>
      </c>
      <c r="C44" s="4" t="s">
        <v>898</v>
      </c>
      <c r="D44" s="4">
        <v>2</v>
      </c>
      <c r="E44" s="6">
        <v>27000</v>
      </c>
      <c r="F44" t="str">
        <f>VLOOKUP(C44,menu!A:B,2,FALSE)</f>
        <v>Ayam Geprek Sambal Bawang</v>
      </c>
      <c r="G44">
        <f t="shared" si="0"/>
        <v>54000</v>
      </c>
      <c r="H44">
        <f>VLOOKUP(C44,menu!A:E,4,FALSE)</f>
        <v>11000</v>
      </c>
      <c r="I44">
        <f t="shared" si="1"/>
        <v>32000</v>
      </c>
    </row>
    <row r="45" spans="1:9" x14ac:dyDescent="0.35">
      <c r="A45" s="4" t="s">
        <v>951</v>
      </c>
      <c r="B45" s="4" t="s">
        <v>335</v>
      </c>
      <c r="C45" s="4" t="s">
        <v>896</v>
      </c>
      <c r="D45" s="4">
        <v>1</v>
      </c>
      <c r="E45" s="6">
        <v>23000</v>
      </c>
      <c r="F45" t="str">
        <f>VLOOKUP(C45,menu!A:B,2,FALSE)</f>
        <v>Nasi Uduk Komplit</v>
      </c>
      <c r="G45">
        <f t="shared" si="0"/>
        <v>23000</v>
      </c>
      <c r="H45">
        <f>VLOOKUP(C45,menu!A:E,4,FALSE)</f>
        <v>9000</v>
      </c>
      <c r="I45">
        <f t="shared" si="1"/>
        <v>14000</v>
      </c>
    </row>
    <row r="46" spans="1:9" x14ac:dyDescent="0.35">
      <c r="A46" s="4" t="s">
        <v>952</v>
      </c>
      <c r="B46" s="4" t="s">
        <v>675</v>
      </c>
      <c r="C46" s="4" t="s">
        <v>898</v>
      </c>
      <c r="D46" s="4">
        <v>1</v>
      </c>
      <c r="E46" s="6">
        <v>27000</v>
      </c>
      <c r="F46" t="str">
        <f>VLOOKUP(C46,menu!A:B,2,FALSE)</f>
        <v>Ayam Geprek Sambal Bawang</v>
      </c>
      <c r="G46">
        <f t="shared" si="0"/>
        <v>27000</v>
      </c>
      <c r="H46">
        <f>VLOOKUP(C46,menu!A:E,4,FALSE)</f>
        <v>11000</v>
      </c>
      <c r="I46">
        <f t="shared" si="1"/>
        <v>16000</v>
      </c>
    </row>
    <row r="47" spans="1:9" x14ac:dyDescent="0.35">
      <c r="A47" s="4" t="s">
        <v>953</v>
      </c>
      <c r="B47" s="4" t="s">
        <v>675</v>
      </c>
      <c r="C47" s="4" t="s">
        <v>908</v>
      </c>
      <c r="D47" s="4">
        <v>1</v>
      </c>
      <c r="E47" s="6">
        <v>16000</v>
      </c>
      <c r="F47" t="str">
        <f>VLOOKUP(C47,menu!A:B,2,FALSE)</f>
        <v>Jus Alpukat</v>
      </c>
      <c r="G47">
        <f t="shared" si="0"/>
        <v>16000</v>
      </c>
      <c r="H47">
        <f>VLOOKUP(C47,menu!A:E,4,FALSE)</f>
        <v>5500</v>
      </c>
      <c r="I47">
        <f t="shared" si="1"/>
        <v>10500</v>
      </c>
    </row>
    <row r="48" spans="1:9" x14ac:dyDescent="0.35">
      <c r="A48" s="4" t="s">
        <v>954</v>
      </c>
      <c r="B48" s="4" t="s">
        <v>675</v>
      </c>
      <c r="C48" s="4" t="s">
        <v>955</v>
      </c>
      <c r="D48" s="4">
        <v>1</v>
      </c>
      <c r="E48" s="6">
        <v>15000</v>
      </c>
      <c r="F48" t="str">
        <f>VLOOKUP(C48,menu!A:B,2,FALSE)</f>
        <v>Es Campur</v>
      </c>
      <c r="G48">
        <f t="shared" si="0"/>
        <v>15000</v>
      </c>
      <c r="H48">
        <f>VLOOKUP(C48,menu!A:E,4,FALSE)</f>
        <v>6000</v>
      </c>
      <c r="I48">
        <f t="shared" si="1"/>
        <v>9000</v>
      </c>
    </row>
    <row r="49" spans="1:9" x14ac:dyDescent="0.35">
      <c r="A49" s="4" t="s">
        <v>956</v>
      </c>
      <c r="B49" s="4" t="s">
        <v>568</v>
      </c>
      <c r="C49" s="4" t="s">
        <v>894</v>
      </c>
      <c r="D49" s="4">
        <v>1</v>
      </c>
      <c r="E49" s="6">
        <v>5000</v>
      </c>
      <c r="F49" t="str">
        <f>VLOOKUP(C49,menu!A:B,2,FALSE)</f>
        <v>Air Mineral Botol</v>
      </c>
      <c r="G49">
        <f t="shared" si="0"/>
        <v>5000</v>
      </c>
      <c r="H49">
        <f>VLOOKUP(C49,menu!A:E,4,FALSE)</f>
        <v>2000</v>
      </c>
      <c r="I49">
        <f t="shared" si="1"/>
        <v>3000</v>
      </c>
    </row>
    <row r="50" spans="1:9" x14ac:dyDescent="0.35">
      <c r="A50" s="4" t="s">
        <v>957</v>
      </c>
      <c r="B50" s="4" t="s">
        <v>568</v>
      </c>
      <c r="C50" s="4" t="s">
        <v>898</v>
      </c>
      <c r="D50" s="4">
        <v>1</v>
      </c>
      <c r="E50" s="6">
        <v>27000</v>
      </c>
      <c r="F50" t="str">
        <f>VLOOKUP(C50,menu!A:B,2,FALSE)</f>
        <v>Ayam Geprek Sambal Bawang</v>
      </c>
      <c r="G50">
        <f t="shared" si="0"/>
        <v>27000</v>
      </c>
      <c r="H50">
        <f>VLOOKUP(C50,menu!A:E,4,FALSE)</f>
        <v>11000</v>
      </c>
      <c r="I50">
        <f t="shared" si="1"/>
        <v>16000</v>
      </c>
    </row>
    <row r="51" spans="1:9" x14ac:dyDescent="0.35">
      <c r="A51" s="4" t="s">
        <v>958</v>
      </c>
      <c r="B51" s="4" t="s">
        <v>568</v>
      </c>
      <c r="C51" s="4" t="s">
        <v>916</v>
      </c>
      <c r="D51" s="4">
        <v>2</v>
      </c>
      <c r="E51" s="6">
        <v>9000</v>
      </c>
      <c r="F51" t="str">
        <f>VLOOKUP(C51,menu!A:B,2,FALSE)</f>
        <v>Kopi Hitam Tubruk</v>
      </c>
      <c r="G51">
        <f t="shared" si="0"/>
        <v>18000</v>
      </c>
      <c r="H51">
        <f>VLOOKUP(C51,menu!A:E,4,FALSE)</f>
        <v>2000</v>
      </c>
      <c r="I51">
        <f t="shared" si="1"/>
        <v>14000</v>
      </c>
    </row>
    <row r="52" spans="1:9" x14ac:dyDescent="0.35">
      <c r="A52" s="4" t="s">
        <v>959</v>
      </c>
      <c r="B52" s="4" t="s">
        <v>568</v>
      </c>
      <c r="C52" s="4" t="s">
        <v>902</v>
      </c>
      <c r="D52" s="4">
        <v>1</v>
      </c>
      <c r="E52" s="6">
        <v>12000</v>
      </c>
      <c r="F52" t="str">
        <f>VLOOKUP(C52,menu!A:B,2,FALSE)</f>
        <v>Teh Tarik</v>
      </c>
      <c r="G52">
        <f t="shared" si="0"/>
        <v>12000</v>
      </c>
      <c r="H52">
        <f>VLOOKUP(C52,menu!A:E,4,FALSE)</f>
        <v>3000</v>
      </c>
      <c r="I52">
        <f t="shared" si="1"/>
        <v>9000</v>
      </c>
    </row>
    <row r="53" spans="1:9" x14ac:dyDescent="0.35">
      <c r="A53" s="4" t="s">
        <v>960</v>
      </c>
      <c r="B53" s="4" t="s">
        <v>192</v>
      </c>
      <c r="C53" s="4" t="s">
        <v>955</v>
      </c>
      <c r="D53" s="4">
        <v>3</v>
      </c>
      <c r="E53" s="6">
        <v>15000</v>
      </c>
      <c r="F53" t="str">
        <f>VLOOKUP(C53,menu!A:B,2,FALSE)</f>
        <v>Es Campur</v>
      </c>
      <c r="G53">
        <f t="shared" si="0"/>
        <v>45000</v>
      </c>
      <c r="H53">
        <f>VLOOKUP(C53,menu!A:E,4,FALSE)</f>
        <v>6000</v>
      </c>
      <c r="I53">
        <f t="shared" si="1"/>
        <v>27000</v>
      </c>
    </row>
    <row r="54" spans="1:9" x14ac:dyDescent="0.35">
      <c r="A54" s="4" t="s">
        <v>961</v>
      </c>
      <c r="B54" s="4" t="s">
        <v>192</v>
      </c>
      <c r="C54" s="4" t="s">
        <v>937</v>
      </c>
      <c r="D54" s="4">
        <v>1</v>
      </c>
      <c r="E54" s="6">
        <v>26000</v>
      </c>
      <c r="F54" t="str">
        <f>VLOOKUP(C54,menu!A:B,2,FALSE)</f>
        <v>Nasi Campur Bali</v>
      </c>
      <c r="G54">
        <f t="shared" si="0"/>
        <v>26000</v>
      </c>
      <c r="H54">
        <f>VLOOKUP(C54,menu!A:E,4,FALSE)</f>
        <v>11500</v>
      </c>
      <c r="I54">
        <f t="shared" si="1"/>
        <v>14500</v>
      </c>
    </row>
    <row r="55" spans="1:9" x14ac:dyDescent="0.35">
      <c r="A55" s="4" t="s">
        <v>962</v>
      </c>
      <c r="B55" s="4" t="s">
        <v>192</v>
      </c>
      <c r="C55" s="4" t="s">
        <v>898</v>
      </c>
      <c r="D55" s="4">
        <v>1</v>
      </c>
      <c r="E55" s="6">
        <v>27000</v>
      </c>
      <c r="F55" t="str">
        <f>VLOOKUP(C55,menu!A:B,2,FALSE)</f>
        <v>Ayam Geprek Sambal Bawang</v>
      </c>
      <c r="G55">
        <f t="shared" si="0"/>
        <v>27000</v>
      </c>
      <c r="H55">
        <f>VLOOKUP(C55,menu!A:E,4,FALSE)</f>
        <v>11000</v>
      </c>
      <c r="I55">
        <f t="shared" si="1"/>
        <v>16000</v>
      </c>
    </row>
    <row r="56" spans="1:9" x14ac:dyDescent="0.35">
      <c r="A56" s="4" t="s">
        <v>963</v>
      </c>
      <c r="B56" s="4" t="s">
        <v>445</v>
      </c>
      <c r="C56" s="4" t="s">
        <v>955</v>
      </c>
      <c r="D56" s="4">
        <v>1</v>
      </c>
      <c r="E56" s="6">
        <v>15000</v>
      </c>
      <c r="F56" t="str">
        <f>VLOOKUP(C56,menu!A:B,2,FALSE)</f>
        <v>Es Campur</v>
      </c>
      <c r="G56">
        <f t="shared" si="0"/>
        <v>15000</v>
      </c>
      <c r="H56">
        <f>VLOOKUP(C56,menu!A:E,4,FALSE)</f>
        <v>6000</v>
      </c>
      <c r="I56">
        <f t="shared" si="1"/>
        <v>9000</v>
      </c>
    </row>
    <row r="57" spans="1:9" x14ac:dyDescent="0.35">
      <c r="A57" s="4" t="s">
        <v>964</v>
      </c>
      <c r="B57" s="4" t="s">
        <v>445</v>
      </c>
      <c r="C57" s="4" t="s">
        <v>900</v>
      </c>
      <c r="D57" s="4">
        <v>1</v>
      </c>
      <c r="E57" s="6">
        <v>8000</v>
      </c>
      <c r="F57" t="str">
        <f>VLOOKUP(C57,menu!A:B,2,FALSE)</f>
        <v>Es Jeruk Peras</v>
      </c>
      <c r="G57">
        <f t="shared" si="0"/>
        <v>8000</v>
      </c>
      <c r="H57">
        <f>VLOOKUP(C57,menu!A:E,4,FALSE)</f>
        <v>2500</v>
      </c>
      <c r="I57">
        <f t="shared" si="1"/>
        <v>5500</v>
      </c>
    </row>
    <row r="58" spans="1:9" x14ac:dyDescent="0.35">
      <c r="A58" s="4" t="s">
        <v>965</v>
      </c>
      <c r="B58" s="4" t="s">
        <v>546</v>
      </c>
      <c r="C58" s="4" t="s">
        <v>940</v>
      </c>
      <c r="D58" s="4">
        <v>2</v>
      </c>
      <c r="E58" s="6">
        <v>10000</v>
      </c>
      <c r="F58" t="str">
        <f>VLOOKUP(C58,menu!A:B,2,FALSE)</f>
        <v>Tahu Isi Goreng (5pcs)</v>
      </c>
      <c r="G58">
        <f t="shared" si="0"/>
        <v>20000</v>
      </c>
      <c r="H58">
        <f>VLOOKUP(C58,menu!A:E,4,FALSE)</f>
        <v>3500</v>
      </c>
      <c r="I58">
        <f t="shared" si="1"/>
        <v>13000</v>
      </c>
    </row>
    <row r="59" spans="1:9" x14ac:dyDescent="0.35">
      <c r="A59" s="4" t="s">
        <v>966</v>
      </c>
      <c r="B59" s="4" t="s">
        <v>546</v>
      </c>
      <c r="C59" s="4" t="s">
        <v>898</v>
      </c>
      <c r="D59" s="4">
        <v>1</v>
      </c>
      <c r="E59" s="6">
        <v>27000</v>
      </c>
      <c r="F59" t="str">
        <f>VLOOKUP(C59,menu!A:B,2,FALSE)</f>
        <v>Ayam Geprek Sambal Bawang</v>
      </c>
      <c r="G59">
        <f t="shared" si="0"/>
        <v>27000</v>
      </c>
      <c r="H59">
        <f>VLOOKUP(C59,menu!A:E,4,FALSE)</f>
        <v>11000</v>
      </c>
      <c r="I59">
        <f t="shared" si="1"/>
        <v>16000</v>
      </c>
    </row>
    <row r="60" spans="1:9" x14ac:dyDescent="0.35">
      <c r="A60" s="4" t="s">
        <v>967</v>
      </c>
      <c r="B60" s="4" t="s">
        <v>126</v>
      </c>
      <c r="C60" s="4" t="s">
        <v>890</v>
      </c>
      <c r="D60" s="4">
        <v>1</v>
      </c>
      <c r="E60" s="6">
        <v>18000</v>
      </c>
      <c r="F60" t="str">
        <f>VLOOKUP(C60,menu!A:B,2,FALSE)</f>
        <v>Es Kopi Susu Gula Aren</v>
      </c>
      <c r="G60">
        <f t="shared" si="0"/>
        <v>18000</v>
      </c>
      <c r="H60">
        <f>VLOOKUP(C60,menu!A:E,4,FALSE)</f>
        <v>4500</v>
      </c>
      <c r="I60">
        <f t="shared" si="1"/>
        <v>13500</v>
      </c>
    </row>
    <row r="61" spans="1:9" x14ac:dyDescent="0.35">
      <c r="A61" s="4" t="s">
        <v>968</v>
      </c>
      <c r="B61" s="4" t="s">
        <v>126</v>
      </c>
      <c r="C61" s="4" t="s">
        <v>904</v>
      </c>
      <c r="D61" s="4">
        <v>1</v>
      </c>
      <c r="E61" s="6">
        <v>22000</v>
      </c>
      <c r="F61" t="str">
        <f>VLOOKUP(C61,menu!A:B,2,FALSE)</f>
        <v>Pecel Lele</v>
      </c>
      <c r="G61">
        <f t="shared" si="0"/>
        <v>22000</v>
      </c>
      <c r="H61">
        <f>VLOOKUP(C61,menu!A:E,4,FALSE)</f>
        <v>9500</v>
      </c>
      <c r="I61">
        <f t="shared" si="1"/>
        <v>12500</v>
      </c>
    </row>
    <row r="62" spans="1:9" x14ac:dyDescent="0.35">
      <c r="A62" s="4" t="s">
        <v>969</v>
      </c>
      <c r="B62" s="4" t="s">
        <v>415</v>
      </c>
      <c r="C62" s="4" t="s">
        <v>898</v>
      </c>
      <c r="D62" s="4">
        <v>1</v>
      </c>
      <c r="E62" s="6">
        <v>27000</v>
      </c>
      <c r="F62" t="str">
        <f>VLOOKUP(C62,menu!A:B,2,FALSE)</f>
        <v>Ayam Geprek Sambal Bawang</v>
      </c>
      <c r="G62">
        <f t="shared" si="0"/>
        <v>27000</v>
      </c>
      <c r="H62">
        <f>VLOOKUP(C62,menu!A:E,4,FALSE)</f>
        <v>11000</v>
      </c>
      <c r="I62">
        <f t="shared" si="1"/>
        <v>16000</v>
      </c>
    </row>
    <row r="63" spans="1:9" x14ac:dyDescent="0.35">
      <c r="A63" s="4" t="s">
        <v>970</v>
      </c>
      <c r="B63" s="4" t="s">
        <v>415</v>
      </c>
      <c r="C63" s="4" t="s">
        <v>896</v>
      </c>
      <c r="D63" s="4">
        <v>3</v>
      </c>
      <c r="E63" s="6">
        <v>23000</v>
      </c>
      <c r="F63" t="str">
        <f>VLOOKUP(C63,menu!A:B,2,FALSE)</f>
        <v>Nasi Uduk Komplit</v>
      </c>
      <c r="G63">
        <f t="shared" si="0"/>
        <v>69000</v>
      </c>
      <c r="H63">
        <f>VLOOKUP(C63,menu!A:E,4,FALSE)</f>
        <v>9000</v>
      </c>
      <c r="I63">
        <f t="shared" si="1"/>
        <v>42000</v>
      </c>
    </row>
    <row r="64" spans="1:9" x14ac:dyDescent="0.35">
      <c r="A64" s="4" t="s">
        <v>971</v>
      </c>
      <c r="B64" s="4" t="s">
        <v>415</v>
      </c>
      <c r="C64" s="4" t="s">
        <v>908</v>
      </c>
      <c r="D64" s="4">
        <v>1</v>
      </c>
      <c r="E64" s="6">
        <v>16000</v>
      </c>
      <c r="F64" t="str">
        <f>VLOOKUP(C64,menu!A:B,2,FALSE)</f>
        <v>Jus Alpukat</v>
      </c>
      <c r="G64">
        <f t="shared" si="0"/>
        <v>16000</v>
      </c>
      <c r="H64">
        <f>VLOOKUP(C64,menu!A:E,4,FALSE)</f>
        <v>5500</v>
      </c>
      <c r="I64">
        <f t="shared" si="1"/>
        <v>10500</v>
      </c>
    </row>
    <row r="65" spans="1:9" x14ac:dyDescent="0.35">
      <c r="A65" s="4" t="s">
        <v>972</v>
      </c>
      <c r="B65" s="4" t="s">
        <v>415</v>
      </c>
      <c r="C65" s="4" t="s">
        <v>892</v>
      </c>
      <c r="D65" s="4">
        <v>1</v>
      </c>
      <c r="E65" s="6">
        <v>9000</v>
      </c>
      <c r="F65" t="str">
        <f>VLOOKUP(C65,menu!A:B,2,FALSE)</f>
        <v>Tempe Mendoan (5pcs)</v>
      </c>
      <c r="G65">
        <f t="shared" si="0"/>
        <v>9000</v>
      </c>
      <c r="H65">
        <f>VLOOKUP(C65,menu!A:E,4,FALSE)</f>
        <v>3000</v>
      </c>
      <c r="I65">
        <f t="shared" si="1"/>
        <v>6000</v>
      </c>
    </row>
    <row r="66" spans="1:9" x14ac:dyDescent="0.35">
      <c r="A66" s="4" t="s">
        <v>973</v>
      </c>
      <c r="B66" s="4" t="s">
        <v>415</v>
      </c>
      <c r="C66" s="4" t="s">
        <v>900</v>
      </c>
      <c r="D66" s="4">
        <v>1</v>
      </c>
      <c r="E66" s="6">
        <v>8000</v>
      </c>
      <c r="F66" t="str">
        <f>VLOOKUP(C66,menu!A:B,2,FALSE)</f>
        <v>Es Jeruk Peras</v>
      </c>
      <c r="G66">
        <f t="shared" si="0"/>
        <v>8000</v>
      </c>
      <c r="H66">
        <f>VLOOKUP(C66,menu!A:E,4,FALSE)</f>
        <v>2500</v>
      </c>
      <c r="I66">
        <f t="shared" si="1"/>
        <v>5500</v>
      </c>
    </row>
    <row r="67" spans="1:9" x14ac:dyDescent="0.35">
      <c r="A67" s="4" t="s">
        <v>974</v>
      </c>
      <c r="B67" s="4" t="s">
        <v>745</v>
      </c>
      <c r="C67" s="4" t="s">
        <v>894</v>
      </c>
      <c r="D67" s="4">
        <v>1</v>
      </c>
      <c r="E67" s="6">
        <v>5000</v>
      </c>
      <c r="F67" t="str">
        <f>VLOOKUP(C67,menu!A:B,2,FALSE)</f>
        <v>Air Mineral Botol</v>
      </c>
      <c r="G67">
        <f t="shared" ref="G67:G130" si="2">D67*E67</f>
        <v>5000</v>
      </c>
      <c r="H67">
        <f>VLOOKUP(C67,menu!A:E,4,FALSE)</f>
        <v>2000</v>
      </c>
      <c r="I67">
        <f t="shared" ref="I67:I130" si="3">(E67-H67)*D67</f>
        <v>3000</v>
      </c>
    </row>
    <row r="68" spans="1:9" x14ac:dyDescent="0.35">
      <c r="A68" s="4" t="s">
        <v>975</v>
      </c>
      <c r="B68" s="4" t="s">
        <v>745</v>
      </c>
      <c r="C68" s="4" t="s">
        <v>955</v>
      </c>
      <c r="D68" s="4">
        <v>1</v>
      </c>
      <c r="E68" s="6">
        <v>15000</v>
      </c>
      <c r="F68" t="str">
        <f>VLOOKUP(C68,menu!A:B,2,FALSE)</f>
        <v>Es Campur</v>
      </c>
      <c r="G68">
        <f t="shared" si="2"/>
        <v>15000</v>
      </c>
      <c r="H68">
        <f>VLOOKUP(C68,menu!A:E,4,FALSE)</f>
        <v>6000</v>
      </c>
      <c r="I68">
        <f t="shared" si="3"/>
        <v>9000</v>
      </c>
    </row>
    <row r="69" spans="1:9" x14ac:dyDescent="0.35">
      <c r="A69" s="4" t="s">
        <v>976</v>
      </c>
      <c r="B69" s="4" t="s">
        <v>745</v>
      </c>
      <c r="C69" s="4" t="s">
        <v>890</v>
      </c>
      <c r="D69" s="4">
        <v>1</v>
      </c>
      <c r="E69" s="6">
        <v>18000</v>
      </c>
      <c r="F69" t="str">
        <f>VLOOKUP(C69,menu!A:B,2,FALSE)</f>
        <v>Es Kopi Susu Gula Aren</v>
      </c>
      <c r="G69">
        <f t="shared" si="2"/>
        <v>18000</v>
      </c>
      <c r="H69">
        <f>VLOOKUP(C69,menu!A:E,4,FALSE)</f>
        <v>4500</v>
      </c>
      <c r="I69">
        <f t="shared" si="3"/>
        <v>13500</v>
      </c>
    </row>
    <row r="70" spans="1:9" x14ac:dyDescent="0.35">
      <c r="A70" s="4" t="s">
        <v>977</v>
      </c>
      <c r="B70" s="4" t="s">
        <v>745</v>
      </c>
      <c r="C70" s="4" t="s">
        <v>898</v>
      </c>
      <c r="D70" s="4">
        <v>2</v>
      </c>
      <c r="E70" s="6">
        <v>27000</v>
      </c>
      <c r="F70" t="str">
        <f>VLOOKUP(C70,menu!A:B,2,FALSE)</f>
        <v>Ayam Geprek Sambal Bawang</v>
      </c>
      <c r="G70">
        <f t="shared" si="2"/>
        <v>54000</v>
      </c>
      <c r="H70">
        <f>VLOOKUP(C70,menu!A:E,4,FALSE)</f>
        <v>11000</v>
      </c>
      <c r="I70">
        <f t="shared" si="3"/>
        <v>32000</v>
      </c>
    </row>
    <row r="71" spans="1:9" x14ac:dyDescent="0.35">
      <c r="A71" s="4" t="s">
        <v>978</v>
      </c>
      <c r="B71" s="4" t="s">
        <v>575</v>
      </c>
      <c r="C71" s="4" t="s">
        <v>896</v>
      </c>
      <c r="D71" s="4">
        <v>1</v>
      </c>
      <c r="E71" s="6">
        <v>23000</v>
      </c>
      <c r="F71" t="str">
        <f>VLOOKUP(C71,menu!A:B,2,FALSE)</f>
        <v>Nasi Uduk Komplit</v>
      </c>
      <c r="G71">
        <f t="shared" si="2"/>
        <v>23000</v>
      </c>
      <c r="H71">
        <f>VLOOKUP(C71,menu!A:E,4,FALSE)</f>
        <v>9000</v>
      </c>
      <c r="I71">
        <f t="shared" si="3"/>
        <v>14000</v>
      </c>
    </row>
    <row r="72" spans="1:9" x14ac:dyDescent="0.35">
      <c r="A72" s="4" t="s">
        <v>979</v>
      </c>
      <c r="B72" s="4" t="s">
        <v>368</v>
      </c>
      <c r="C72" s="4" t="s">
        <v>898</v>
      </c>
      <c r="D72" s="4">
        <v>1</v>
      </c>
      <c r="E72" s="6">
        <v>27000</v>
      </c>
      <c r="F72" t="str">
        <f>VLOOKUP(C72,menu!A:B,2,FALSE)</f>
        <v>Ayam Geprek Sambal Bawang</v>
      </c>
      <c r="G72">
        <f t="shared" si="2"/>
        <v>27000</v>
      </c>
      <c r="H72">
        <f>VLOOKUP(C72,menu!A:E,4,FALSE)</f>
        <v>11000</v>
      </c>
      <c r="I72">
        <f t="shared" si="3"/>
        <v>16000</v>
      </c>
    </row>
    <row r="73" spans="1:9" x14ac:dyDescent="0.35">
      <c r="A73" s="4" t="s">
        <v>980</v>
      </c>
      <c r="B73" s="4" t="s">
        <v>368</v>
      </c>
      <c r="C73" s="4" t="s">
        <v>902</v>
      </c>
      <c r="D73" s="4">
        <v>2</v>
      </c>
      <c r="E73" s="6">
        <v>12000</v>
      </c>
      <c r="F73" t="str">
        <f>VLOOKUP(C73,menu!A:B,2,FALSE)</f>
        <v>Teh Tarik</v>
      </c>
      <c r="G73">
        <f t="shared" si="2"/>
        <v>24000</v>
      </c>
      <c r="H73">
        <f>VLOOKUP(C73,menu!A:E,4,FALSE)</f>
        <v>3000</v>
      </c>
      <c r="I73">
        <f t="shared" si="3"/>
        <v>18000</v>
      </c>
    </row>
    <row r="74" spans="1:9" x14ac:dyDescent="0.35">
      <c r="A74" s="4" t="s">
        <v>981</v>
      </c>
      <c r="B74" s="4" t="s">
        <v>116</v>
      </c>
      <c r="C74" s="4" t="s">
        <v>896</v>
      </c>
      <c r="D74" s="4">
        <v>2</v>
      </c>
      <c r="E74" s="6">
        <v>23000</v>
      </c>
      <c r="F74" t="str">
        <f>VLOOKUP(C74,menu!A:B,2,FALSE)</f>
        <v>Nasi Uduk Komplit</v>
      </c>
      <c r="G74">
        <f t="shared" si="2"/>
        <v>46000</v>
      </c>
      <c r="H74">
        <f>VLOOKUP(C74,menu!A:E,4,FALSE)</f>
        <v>9000</v>
      </c>
      <c r="I74">
        <f t="shared" si="3"/>
        <v>28000</v>
      </c>
    </row>
    <row r="75" spans="1:9" x14ac:dyDescent="0.35">
      <c r="A75" s="4" t="s">
        <v>982</v>
      </c>
      <c r="B75" s="4" t="s">
        <v>116</v>
      </c>
      <c r="C75" s="4" t="s">
        <v>916</v>
      </c>
      <c r="D75" s="4">
        <v>1</v>
      </c>
      <c r="E75" s="6">
        <v>9000</v>
      </c>
      <c r="F75" t="str">
        <f>VLOOKUP(C75,menu!A:B,2,FALSE)</f>
        <v>Kopi Hitam Tubruk</v>
      </c>
      <c r="G75">
        <f t="shared" si="2"/>
        <v>9000</v>
      </c>
      <c r="H75">
        <f>VLOOKUP(C75,menu!A:E,4,FALSE)</f>
        <v>2000</v>
      </c>
      <c r="I75">
        <f t="shared" si="3"/>
        <v>7000</v>
      </c>
    </row>
    <row r="76" spans="1:9" x14ac:dyDescent="0.35">
      <c r="A76" s="4" t="s">
        <v>983</v>
      </c>
      <c r="B76" s="4" t="s">
        <v>116</v>
      </c>
      <c r="C76" s="4" t="s">
        <v>890</v>
      </c>
      <c r="D76" s="4">
        <v>1</v>
      </c>
      <c r="E76" s="6">
        <v>18000</v>
      </c>
      <c r="F76" t="str">
        <f>VLOOKUP(C76,menu!A:B,2,FALSE)</f>
        <v>Es Kopi Susu Gula Aren</v>
      </c>
      <c r="G76">
        <f t="shared" si="2"/>
        <v>18000</v>
      </c>
      <c r="H76">
        <f>VLOOKUP(C76,menu!A:E,4,FALSE)</f>
        <v>4500</v>
      </c>
      <c r="I76">
        <f t="shared" si="3"/>
        <v>13500</v>
      </c>
    </row>
    <row r="77" spans="1:9" x14ac:dyDescent="0.35">
      <c r="A77" s="4" t="s">
        <v>984</v>
      </c>
      <c r="B77" s="4" t="s">
        <v>116</v>
      </c>
      <c r="C77" s="4" t="s">
        <v>898</v>
      </c>
      <c r="D77" s="4">
        <v>1</v>
      </c>
      <c r="E77" s="6">
        <v>27000</v>
      </c>
      <c r="F77" t="str">
        <f>VLOOKUP(C77,menu!A:B,2,FALSE)</f>
        <v>Ayam Geprek Sambal Bawang</v>
      </c>
      <c r="G77">
        <f t="shared" si="2"/>
        <v>27000</v>
      </c>
      <c r="H77">
        <f>VLOOKUP(C77,menu!A:E,4,FALSE)</f>
        <v>11000</v>
      </c>
      <c r="I77">
        <f t="shared" si="3"/>
        <v>16000</v>
      </c>
    </row>
    <row r="78" spans="1:9" x14ac:dyDescent="0.35">
      <c r="A78" s="4" t="s">
        <v>985</v>
      </c>
      <c r="B78" s="4" t="s">
        <v>116</v>
      </c>
      <c r="C78" s="4" t="s">
        <v>894</v>
      </c>
      <c r="D78" s="4">
        <v>1</v>
      </c>
      <c r="E78" s="6">
        <v>5000</v>
      </c>
      <c r="F78" t="str">
        <f>VLOOKUP(C78,menu!A:B,2,FALSE)</f>
        <v>Air Mineral Botol</v>
      </c>
      <c r="G78">
        <f t="shared" si="2"/>
        <v>5000</v>
      </c>
      <c r="H78">
        <f>VLOOKUP(C78,menu!A:E,4,FALSE)</f>
        <v>2000</v>
      </c>
      <c r="I78">
        <f t="shared" si="3"/>
        <v>3000</v>
      </c>
    </row>
    <row r="79" spans="1:9" x14ac:dyDescent="0.35">
      <c r="A79" s="4" t="s">
        <v>986</v>
      </c>
      <c r="B79" s="4" t="s">
        <v>409</v>
      </c>
      <c r="C79" s="4" t="s">
        <v>894</v>
      </c>
      <c r="D79" s="4">
        <v>1</v>
      </c>
      <c r="E79" s="6">
        <v>5000</v>
      </c>
      <c r="F79" t="str">
        <f>VLOOKUP(C79,menu!A:B,2,FALSE)</f>
        <v>Air Mineral Botol</v>
      </c>
      <c r="G79">
        <f t="shared" si="2"/>
        <v>5000</v>
      </c>
      <c r="H79">
        <f>VLOOKUP(C79,menu!A:E,4,FALSE)</f>
        <v>2000</v>
      </c>
      <c r="I79">
        <f t="shared" si="3"/>
        <v>3000</v>
      </c>
    </row>
    <row r="80" spans="1:9" x14ac:dyDescent="0.35">
      <c r="A80" s="4" t="s">
        <v>987</v>
      </c>
      <c r="B80" s="4" t="s">
        <v>566</v>
      </c>
      <c r="C80" s="4" t="s">
        <v>890</v>
      </c>
      <c r="D80" s="4">
        <v>1</v>
      </c>
      <c r="E80" s="6">
        <v>18000</v>
      </c>
      <c r="F80" t="str">
        <f>VLOOKUP(C80,menu!A:B,2,FALSE)</f>
        <v>Es Kopi Susu Gula Aren</v>
      </c>
      <c r="G80">
        <f t="shared" si="2"/>
        <v>18000</v>
      </c>
      <c r="H80">
        <f>VLOOKUP(C80,menu!A:E,4,FALSE)</f>
        <v>4500</v>
      </c>
      <c r="I80">
        <f t="shared" si="3"/>
        <v>13500</v>
      </c>
    </row>
    <row r="81" spans="1:9" x14ac:dyDescent="0.35">
      <c r="A81" s="4" t="s">
        <v>988</v>
      </c>
      <c r="B81" s="4" t="s">
        <v>566</v>
      </c>
      <c r="C81" s="4" t="s">
        <v>892</v>
      </c>
      <c r="D81" s="4">
        <v>1</v>
      </c>
      <c r="E81" s="6">
        <v>9000</v>
      </c>
      <c r="F81" t="str">
        <f>VLOOKUP(C81,menu!A:B,2,FALSE)</f>
        <v>Tempe Mendoan (5pcs)</v>
      </c>
      <c r="G81">
        <f t="shared" si="2"/>
        <v>9000</v>
      </c>
      <c r="H81">
        <f>VLOOKUP(C81,menu!A:E,4,FALSE)</f>
        <v>3000</v>
      </c>
      <c r="I81">
        <f t="shared" si="3"/>
        <v>6000</v>
      </c>
    </row>
    <row r="82" spans="1:9" x14ac:dyDescent="0.35">
      <c r="A82" s="4" t="s">
        <v>989</v>
      </c>
      <c r="B82" s="4" t="s">
        <v>566</v>
      </c>
      <c r="C82" s="4" t="s">
        <v>898</v>
      </c>
      <c r="D82" s="4">
        <v>1</v>
      </c>
      <c r="E82" s="6">
        <v>27000</v>
      </c>
      <c r="F82" t="str">
        <f>VLOOKUP(C82,menu!A:B,2,FALSE)</f>
        <v>Ayam Geprek Sambal Bawang</v>
      </c>
      <c r="G82">
        <f t="shared" si="2"/>
        <v>27000</v>
      </c>
      <c r="H82">
        <f>VLOOKUP(C82,menu!A:E,4,FALSE)</f>
        <v>11000</v>
      </c>
      <c r="I82">
        <f t="shared" si="3"/>
        <v>16000</v>
      </c>
    </row>
    <row r="83" spans="1:9" x14ac:dyDescent="0.35">
      <c r="A83" s="4" t="s">
        <v>990</v>
      </c>
      <c r="B83" s="4" t="s">
        <v>566</v>
      </c>
      <c r="C83" s="4" t="s">
        <v>919</v>
      </c>
      <c r="D83" s="4">
        <v>1</v>
      </c>
      <c r="E83" s="6">
        <v>20000</v>
      </c>
      <c r="F83" t="str">
        <f>VLOOKUP(C83,menu!A:B,2,FALSE)</f>
        <v>Gado-Gado Jakarta</v>
      </c>
      <c r="G83">
        <f t="shared" si="2"/>
        <v>20000</v>
      </c>
      <c r="H83">
        <f>VLOOKUP(C83,menu!A:E,4,FALSE)</f>
        <v>8000</v>
      </c>
      <c r="I83">
        <f t="shared" si="3"/>
        <v>12000</v>
      </c>
    </row>
    <row r="84" spans="1:9" x14ac:dyDescent="0.35">
      <c r="A84" s="4" t="s">
        <v>991</v>
      </c>
      <c r="B84" s="4" t="s">
        <v>826</v>
      </c>
      <c r="C84" s="4" t="s">
        <v>931</v>
      </c>
      <c r="D84" s="4">
        <v>1</v>
      </c>
      <c r="E84" s="6">
        <v>5000</v>
      </c>
      <c r="F84" t="str">
        <f>VLOOKUP(C84,menu!A:B,2,FALSE)</f>
        <v>Kerupuk Udang</v>
      </c>
      <c r="G84">
        <f t="shared" si="2"/>
        <v>5000</v>
      </c>
      <c r="H84">
        <f>VLOOKUP(C84,menu!A:E,4,FALSE)</f>
        <v>1500</v>
      </c>
      <c r="I84">
        <f t="shared" si="3"/>
        <v>3500</v>
      </c>
    </row>
    <row r="85" spans="1:9" x14ac:dyDescent="0.35">
      <c r="A85" s="4" t="s">
        <v>992</v>
      </c>
      <c r="B85" s="4" t="s">
        <v>826</v>
      </c>
      <c r="C85" s="4" t="s">
        <v>898</v>
      </c>
      <c r="D85" s="4">
        <v>1</v>
      </c>
      <c r="E85" s="6">
        <v>27000</v>
      </c>
      <c r="F85" t="str">
        <f>VLOOKUP(C85,menu!A:B,2,FALSE)</f>
        <v>Ayam Geprek Sambal Bawang</v>
      </c>
      <c r="G85">
        <f t="shared" si="2"/>
        <v>27000</v>
      </c>
      <c r="H85">
        <f>VLOOKUP(C85,menu!A:E,4,FALSE)</f>
        <v>11000</v>
      </c>
      <c r="I85">
        <f t="shared" si="3"/>
        <v>16000</v>
      </c>
    </row>
    <row r="86" spans="1:9" x14ac:dyDescent="0.35">
      <c r="A86" s="4" t="s">
        <v>993</v>
      </c>
      <c r="B86" s="4" t="s">
        <v>459</v>
      </c>
      <c r="C86" s="4" t="s">
        <v>894</v>
      </c>
      <c r="D86" s="4">
        <v>1</v>
      </c>
      <c r="E86" s="6">
        <v>5000</v>
      </c>
      <c r="F86" t="str">
        <f>VLOOKUP(C86,menu!A:B,2,FALSE)</f>
        <v>Air Mineral Botol</v>
      </c>
      <c r="G86">
        <f t="shared" si="2"/>
        <v>5000</v>
      </c>
      <c r="H86">
        <f>VLOOKUP(C86,menu!A:E,4,FALSE)</f>
        <v>2000</v>
      </c>
      <c r="I86">
        <f t="shared" si="3"/>
        <v>3000</v>
      </c>
    </row>
    <row r="87" spans="1:9" x14ac:dyDescent="0.35">
      <c r="A87" s="4" t="s">
        <v>994</v>
      </c>
      <c r="B87" s="4" t="s">
        <v>459</v>
      </c>
      <c r="C87" s="4" t="s">
        <v>935</v>
      </c>
      <c r="D87" s="4">
        <v>1</v>
      </c>
      <c r="E87" s="6">
        <v>22000</v>
      </c>
      <c r="F87" t="str">
        <f>VLOOKUP(C87,menu!A:B,2,FALSE)</f>
        <v>Soto Ayam Lamongan</v>
      </c>
      <c r="G87">
        <f t="shared" si="2"/>
        <v>22000</v>
      </c>
      <c r="H87">
        <f>VLOOKUP(C87,menu!A:E,4,FALSE)</f>
        <v>9500</v>
      </c>
      <c r="I87">
        <f t="shared" si="3"/>
        <v>12500</v>
      </c>
    </row>
    <row r="88" spans="1:9" x14ac:dyDescent="0.35">
      <c r="A88" s="4" t="s">
        <v>995</v>
      </c>
      <c r="B88" s="4" t="s">
        <v>459</v>
      </c>
      <c r="C88" s="4" t="s">
        <v>892</v>
      </c>
      <c r="D88" s="4">
        <v>1</v>
      </c>
      <c r="E88" s="6">
        <v>9000</v>
      </c>
      <c r="F88" t="str">
        <f>VLOOKUP(C88,menu!A:B,2,FALSE)</f>
        <v>Tempe Mendoan (5pcs)</v>
      </c>
      <c r="G88">
        <f t="shared" si="2"/>
        <v>9000</v>
      </c>
      <c r="H88">
        <f>VLOOKUP(C88,menu!A:E,4,FALSE)</f>
        <v>3000</v>
      </c>
      <c r="I88">
        <f t="shared" si="3"/>
        <v>6000</v>
      </c>
    </row>
    <row r="89" spans="1:9" x14ac:dyDescent="0.35">
      <c r="A89" s="4" t="s">
        <v>996</v>
      </c>
      <c r="B89" s="4" t="s">
        <v>632</v>
      </c>
      <c r="C89" s="4" t="s">
        <v>898</v>
      </c>
      <c r="D89" s="4">
        <v>2</v>
      </c>
      <c r="E89" s="6">
        <v>27000</v>
      </c>
      <c r="F89" t="str">
        <f>VLOOKUP(C89,menu!A:B,2,FALSE)</f>
        <v>Ayam Geprek Sambal Bawang</v>
      </c>
      <c r="G89">
        <f t="shared" si="2"/>
        <v>54000</v>
      </c>
      <c r="H89">
        <f>VLOOKUP(C89,menu!A:E,4,FALSE)</f>
        <v>11000</v>
      </c>
      <c r="I89">
        <f t="shared" si="3"/>
        <v>32000</v>
      </c>
    </row>
    <row r="90" spans="1:9" x14ac:dyDescent="0.35">
      <c r="A90" s="4" t="s">
        <v>997</v>
      </c>
      <c r="B90" s="4" t="s">
        <v>632</v>
      </c>
      <c r="C90" s="4" t="s">
        <v>919</v>
      </c>
      <c r="D90" s="4">
        <v>2</v>
      </c>
      <c r="E90" s="6">
        <v>20000</v>
      </c>
      <c r="F90" t="str">
        <f>VLOOKUP(C90,menu!A:B,2,FALSE)</f>
        <v>Gado-Gado Jakarta</v>
      </c>
      <c r="G90">
        <f t="shared" si="2"/>
        <v>40000</v>
      </c>
      <c r="H90">
        <f>VLOOKUP(C90,menu!A:E,4,FALSE)</f>
        <v>8000</v>
      </c>
      <c r="I90">
        <f t="shared" si="3"/>
        <v>24000</v>
      </c>
    </row>
    <row r="91" spans="1:9" x14ac:dyDescent="0.35">
      <c r="A91" s="4" t="s">
        <v>998</v>
      </c>
      <c r="B91" s="4" t="s">
        <v>382</v>
      </c>
      <c r="C91" s="4" t="s">
        <v>955</v>
      </c>
      <c r="D91" s="4">
        <v>2</v>
      </c>
      <c r="E91" s="6">
        <v>15000</v>
      </c>
      <c r="F91" t="str">
        <f>VLOOKUP(C91,menu!A:B,2,FALSE)</f>
        <v>Es Campur</v>
      </c>
      <c r="G91">
        <f t="shared" si="2"/>
        <v>30000</v>
      </c>
      <c r="H91">
        <f>VLOOKUP(C91,menu!A:E,4,FALSE)</f>
        <v>6000</v>
      </c>
      <c r="I91">
        <f t="shared" si="3"/>
        <v>18000</v>
      </c>
    </row>
    <row r="92" spans="1:9" x14ac:dyDescent="0.35">
      <c r="A92" s="4" t="s">
        <v>999</v>
      </c>
      <c r="B92" s="4" t="s">
        <v>510</v>
      </c>
      <c r="C92" s="4" t="s">
        <v>892</v>
      </c>
      <c r="D92" s="4">
        <v>1</v>
      </c>
      <c r="E92" s="6">
        <v>9000</v>
      </c>
      <c r="F92" t="str">
        <f>VLOOKUP(C92,menu!A:B,2,FALSE)</f>
        <v>Tempe Mendoan (5pcs)</v>
      </c>
      <c r="G92">
        <f t="shared" si="2"/>
        <v>9000</v>
      </c>
      <c r="H92">
        <f>VLOOKUP(C92,menu!A:E,4,FALSE)</f>
        <v>3000</v>
      </c>
      <c r="I92">
        <f t="shared" si="3"/>
        <v>6000</v>
      </c>
    </row>
    <row r="93" spans="1:9" x14ac:dyDescent="0.35">
      <c r="A93" s="4" t="s">
        <v>1000</v>
      </c>
      <c r="B93" s="4" t="s">
        <v>510</v>
      </c>
      <c r="C93" s="4" t="s">
        <v>898</v>
      </c>
      <c r="D93" s="4">
        <v>1</v>
      </c>
      <c r="E93" s="6">
        <v>27000</v>
      </c>
      <c r="F93" t="str">
        <f>VLOOKUP(C93,menu!A:B,2,FALSE)</f>
        <v>Ayam Geprek Sambal Bawang</v>
      </c>
      <c r="G93">
        <f t="shared" si="2"/>
        <v>27000</v>
      </c>
      <c r="H93">
        <f>VLOOKUP(C93,menu!A:E,4,FALSE)</f>
        <v>11000</v>
      </c>
      <c r="I93">
        <f t="shared" si="3"/>
        <v>16000</v>
      </c>
    </row>
    <row r="94" spans="1:9" x14ac:dyDescent="0.35">
      <c r="A94" s="4" t="s">
        <v>1001</v>
      </c>
      <c r="B94" s="4" t="s">
        <v>510</v>
      </c>
      <c r="C94" s="4" t="s">
        <v>896</v>
      </c>
      <c r="D94" s="4">
        <v>2</v>
      </c>
      <c r="E94" s="6">
        <v>23000</v>
      </c>
      <c r="F94" t="str">
        <f>VLOOKUP(C94,menu!A:B,2,FALSE)</f>
        <v>Nasi Uduk Komplit</v>
      </c>
      <c r="G94">
        <f t="shared" si="2"/>
        <v>46000</v>
      </c>
      <c r="H94">
        <f>VLOOKUP(C94,menu!A:E,4,FALSE)</f>
        <v>9000</v>
      </c>
      <c r="I94">
        <f t="shared" si="3"/>
        <v>28000</v>
      </c>
    </row>
    <row r="95" spans="1:9" x14ac:dyDescent="0.35">
      <c r="A95" s="4" t="s">
        <v>1002</v>
      </c>
      <c r="B95" s="4" t="s">
        <v>510</v>
      </c>
      <c r="C95" s="4" t="s">
        <v>1003</v>
      </c>
      <c r="D95" s="4">
        <v>2</v>
      </c>
      <c r="E95" s="6">
        <v>29000</v>
      </c>
      <c r="F95" t="str">
        <f>VLOOKUP(C95,menu!A:B,2,FALSE)</f>
        <v>Capcay Seafood</v>
      </c>
      <c r="G95">
        <f t="shared" si="2"/>
        <v>58000</v>
      </c>
      <c r="H95">
        <f>VLOOKUP(C95,menu!A:E,4,FALSE)</f>
        <v>13000</v>
      </c>
      <c r="I95">
        <f t="shared" si="3"/>
        <v>32000</v>
      </c>
    </row>
    <row r="96" spans="1:9" x14ac:dyDescent="0.35">
      <c r="A96" s="4" t="s">
        <v>1004</v>
      </c>
      <c r="B96" s="4" t="s">
        <v>510</v>
      </c>
      <c r="C96" s="4" t="s">
        <v>908</v>
      </c>
      <c r="D96" s="4">
        <v>3</v>
      </c>
      <c r="E96" s="6">
        <v>16000</v>
      </c>
      <c r="F96" t="str">
        <f>VLOOKUP(C96,menu!A:B,2,FALSE)</f>
        <v>Jus Alpukat</v>
      </c>
      <c r="G96">
        <f t="shared" si="2"/>
        <v>48000</v>
      </c>
      <c r="H96">
        <f>VLOOKUP(C96,menu!A:E,4,FALSE)</f>
        <v>5500</v>
      </c>
      <c r="I96">
        <f t="shared" si="3"/>
        <v>31500</v>
      </c>
    </row>
    <row r="97" spans="1:9" x14ac:dyDescent="0.35">
      <c r="A97" s="4" t="s">
        <v>1005</v>
      </c>
      <c r="B97" s="4" t="s">
        <v>639</v>
      </c>
      <c r="C97" s="4" t="s">
        <v>898</v>
      </c>
      <c r="D97" s="4">
        <v>3</v>
      </c>
      <c r="E97" s="6">
        <v>27000</v>
      </c>
      <c r="F97" t="str">
        <f>VLOOKUP(C97,menu!A:B,2,FALSE)</f>
        <v>Ayam Geprek Sambal Bawang</v>
      </c>
      <c r="G97">
        <f t="shared" si="2"/>
        <v>81000</v>
      </c>
      <c r="H97">
        <f>VLOOKUP(C97,menu!A:E,4,FALSE)</f>
        <v>11000</v>
      </c>
      <c r="I97">
        <f t="shared" si="3"/>
        <v>48000</v>
      </c>
    </row>
    <row r="98" spans="1:9" x14ac:dyDescent="0.35">
      <c r="A98" s="4" t="s">
        <v>1006</v>
      </c>
      <c r="B98" s="4" t="s">
        <v>639</v>
      </c>
      <c r="C98" s="4" t="s">
        <v>906</v>
      </c>
      <c r="D98" s="4">
        <v>1</v>
      </c>
      <c r="E98" s="6">
        <v>28000</v>
      </c>
      <c r="F98" t="str">
        <f>VLOOKUP(C98,menu!A:B,2,FALSE)</f>
        <v>Sate Ayam 10 Tusuk</v>
      </c>
      <c r="G98">
        <f t="shared" si="2"/>
        <v>28000</v>
      </c>
      <c r="H98">
        <f>VLOOKUP(C98,menu!A:E,4,FALSE)</f>
        <v>12000</v>
      </c>
      <c r="I98">
        <f t="shared" si="3"/>
        <v>16000</v>
      </c>
    </row>
    <row r="99" spans="1:9" x14ac:dyDescent="0.35">
      <c r="A99" s="4" t="s">
        <v>1007</v>
      </c>
      <c r="B99" s="4" t="s">
        <v>515</v>
      </c>
      <c r="C99" s="4" t="s">
        <v>898</v>
      </c>
      <c r="D99" s="4">
        <v>1</v>
      </c>
      <c r="E99" s="6">
        <v>27000</v>
      </c>
      <c r="F99" t="str">
        <f>VLOOKUP(C99,menu!A:B,2,FALSE)</f>
        <v>Ayam Geprek Sambal Bawang</v>
      </c>
      <c r="G99">
        <f t="shared" si="2"/>
        <v>27000</v>
      </c>
      <c r="H99">
        <f>VLOOKUP(C99,menu!A:E,4,FALSE)</f>
        <v>11000</v>
      </c>
      <c r="I99">
        <f t="shared" si="3"/>
        <v>16000</v>
      </c>
    </row>
    <row r="100" spans="1:9" x14ac:dyDescent="0.35">
      <c r="A100" s="4" t="s">
        <v>1008</v>
      </c>
      <c r="B100" s="4" t="s">
        <v>696</v>
      </c>
      <c r="C100" s="4" t="s">
        <v>894</v>
      </c>
      <c r="D100" s="4">
        <v>1</v>
      </c>
      <c r="E100" s="6">
        <v>5000</v>
      </c>
      <c r="F100" t="str">
        <f>VLOOKUP(C100,menu!A:B,2,FALSE)</f>
        <v>Air Mineral Botol</v>
      </c>
      <c r="G100">
        <f t="shared" si="2"/>
        <v>5000</v>
      </c>
      <c r="H100">
        <f>VLOOKUP(C100,menu!A:E,4,FALSE)</f>
        <v>2000</v>
      </c>
      <c r="I100">
        <f t="shared" si="3"/>
        <v>3000</v>
      </c>
    </row>
    <row r="101" spans="1:9" x14ac:dyDescent="0.35">
      <c r="A101" s="4" t="s">
        <v>1009</v>
      </c>
      <c r="B101" s="4" t="s">
        <v>696</v>
      </c>
      <c r="C101" s="4" t="s">
        <v>898</v>
      </c>
      <c r="D101" s="4">
        <v>1</v>
      </c>
      <c r="E101" s="6">
        <v>27000</v>
      </c>
      <c r="F101" t="str">
        <f>VLOOKUP(C101,menu!A:B,2,FALSE)</f>
        <v>Ayam Geprek Sambal Bawang</v>
      </c>
      <c r="G101">
        <f t="shared" si="2"/>
        <v>27000</v>
      </c>
      <c r="H101">
        <f>VLOOKUP(C101,menu!A:E,4,FALSE)</f>
        <v>11000</v>
      </c>
      <c r="I101">
        <f t="shared" si="3"/>
        <v>16000</v>
      </c>
    </row>
    <row r="102" spans="1:9" x14ac:dyDescent="0.35">
      <c r="A102" s="4" t="s">
        <v>1010</v>
      </c>
      <c r="B102" s="4" t="s">
        <v>696</v>
      </c>
      <c r="C102" s="4" t="s">
        <v>919</v>
      </c>
      <c r="D102" s="4">
        <v>1</v>
      </c>
      <c r="E102" s="6">
        <v>20000</v>
      </c>
      <c r="F102" t="str">
        <f>VLOOKUP(C102,menu!A:B,2,FALSE)</f>
        <v>Gado-Gado Jakarta</v>
      </c>
      <c r="G102">
        <f t="shared" si="2"/>
        <v>20000</v>
      </c>
      <c r="H102">
        <f>VLOOKUP(C102,menu!A:E,4,FALSE)</f>
        <v>8000</v>
      </c>
      <c r="I102">
        <f t="shared" si="3"/>
        <v>12000</v>
      </c>
    </row>
    <row r="103" spans="1:9" x14ac:dyDescent="0.35">
      <c r="A103" s="4" t="s">
        <v>1011</v>
      </c>
      <c r="B103" s="4" t="s">
        <v>696</v>
      </c>
      <c r="C103" s="4" t="s">
        <v>916</v>
      </c>
      <c r="D103" s="4">
        <v>2</v>
      </c>
      <c r="E103" s="6">
        <v>9000</v>
      </c>
      <c r="F103" t="str">
        <f>VLOOKUP(C103,menu!A:B,2,FALSE)</f>
        <v>Kopi Hitam Tubruk</v>
      </c>
      <c r="G103">
        <f t="shared" si="2"/>
        <v>18000</v>
      </c>
      <c r="H103">
        <f>VLOOKUP(C103,menu!A:E,4,FALSE)</f>
        <v>2000</v>
      </c>
      <c r="I103">
        <f t="shared" si="3"/>
        <v>14000</v>
      </c>
    </row>
    <row r="104" spans="1:9" x14ac:dyDescent="0.35">
      <c r="A104" s="4" t="s">
        <v>1012</v>
      </c>
      <c r="B104" s="4" t="s">
        <v>696</v>
      </c>
      <c r="C104" s="4" t="s">
        <v>937</v>
      </c>
      <c r="D104" s="4">
        <v>1</v>
      </c>
      <c r="E104" s="6">
        <v>26000</v>
      </c>
      <c r="F104" t="str">
        <f>VLOOKUP(C104,menu!A:B,2,FALSE)</f>
        <v>Nasi Campur Bali</v>
      </c>
      <c r="G104">
        <f t="shared" si="2"/>
        <v>26000</v>
      </c>
      <c r="H104">
        <f>VLOOKUP(C104,menu!A:E,4,FALSE)</f>
        <v>11500</v>
      </c>
      <c r="I104">
        <f t="shared" si="3"/>
        <v>14500</v>
      </c>
    </row>
    <row r="105" spans="1:9" x14ac:dyDescent="0.35">
      <c r="A105" s="4" t="s">
        <v>1013</v>
      </c>
      <c r="B105" s="4" t="s">
        <v>234</v>
      </c>
      <c r="C105" s="4" t="s">
        <v>896</v>
      </c>
      <c r="D105" s="4">
        <v>2</v>
      </c>
      <c r="E105" s="6">
        <v>23000</v>
      </c>
      <c r="F105" t="str">
        <f>VLOOKUP(C105,menu!A:B,2,FALSE)</f>
        <v>Nasi Uduk Komplit</v>
      </c>
      <c r="G105">
        <f t="shared" si="2"/>
        <v>46000</v>
      </c>
      <c r="H105">
        <f>VLOOKUP(C105,menu!A:E,4,FALSE)</f>
        <v>9000</v>
      </c>
      <c r="I105">
        <f t="shared" si="3"/>
        <v>28000</v>
      </c>
    </row>
    <row r="106" spans="1:9" x14ac:dyDescent="0.35">
      <c r="A106" s="4" t="s">
        <v>1014</v>
      </c>
      <c r="B106" s="4" t="s">
        <v>234</v>
      </c>
      <c r="C106" s="4" t="s">
        <v>892</v>
      </c>
      <c r="D106" s="4">
        <v>2</v>
      </c>
      <c r="E106" s="6">
        <v>9000</v>
      </c>
      <c r="F106" t="str">
        <f>VLOOKUP(C106,menu!A:B,2,FALSE)</f>
        <v>Tempe Mendoan (5pcs)</v>
      </c>
      <c r="G106">
        <f t="shared" si="2"/>
        <v>18000</v>
      </c>
      <c r="H106">
        <f>VLOOKUP(C106,menu!A:E,4,FALSE)</f>
        <v>3000</v>
      </c>
      <c r="I106">
        <f t="shared" si="3"/>
        <v>12000</v>
      </c>
    </row>
    <row r="107" spans="1:9" x14ac:dyDescent="0.35">
      <c r="A107" s="4" t="s">
        <v>1015</v>
      </c>
      <c r="B107" s="4" t="s">
        <v>45</v>
      </c>
      <c r="C107" s="4" t="s">
        <v>898</v>
      </c>
      <c r="D107" s="4">
        <v>1</v>
      </c>
      <c r="E107" s="6">
        <v>27000</v>
      </c>
      <c r="F107" t="str">
        <f>VLOOKUP(C107,menu!A:B,2,FALSE)</f>
        <v>Ayam Geprek Sambal Bawang</v>
      </c>
      <c r="G107">
        <f t="shared" si="2"/>
        <v>27000</v>
      </c>
      <c r="H107">
        <f>VLOOKUP(C107,menu!A:E,4,FALSE)</f>
        <v>11000</v>
      </c>
      <c r="I107">
        <f t="shared" si="3"/>
        <v>16000</v>
      </c>
    </row>
    <row r="108" spans="1:9" x14ac:dyDescent="0.35">
      <c r="A108" s="4" t="s">
        <v>1016</v>
      </c>
      <c r="B108" s="4" t="s">
        <v>45</v>
      </c>
      <c r="C108" s="4" t="s">
        <v>894</v>
      </c>
      <c r="D108" s="4">
        <v>1</v>
      </c>
      <c r="E108" s="6">
        <v>5000</v>
      </c>
      <c r="F108" t="str">
        <f>VLOOKUP(C108,menu!A:B,2,FALSE)</f>
        <v>Air Mineral Botol</v>
      </c>
      <c r="G108">
        <f t="shared" si="2"/>
        <v>5000</v>
      </c>
      <c r="H108">
        <f>VLOOKUP(C108,menu!A:E,4,FALSE)</f>
        <v>2000</v>
      </c>
      <c r="I108">
        <f t="shared" si="3"/>
        <v>3000</v>
      </c>
    </row>
    <row r="109" spans="1:9" x14ac:dyDescent="0.35">
      <c r="A109" s="4" t="s">
        <v>1017</v>
      </c>
      <c r="B109" s="4" t="s">
        <v>266</v>
      </c>
      <c r="C109" s="4" t="s">
        <v>892</v>
      </c>
      <c r="D109" s="4">
        <v>2</v>
      </c>
      <c r="E109" s="6">
        <v>9000</v>
      </c>
      <c r="F109" t="str">
        <f>VLOOKUP(C109,menu!A:B,2,FALSE)</f>
        <v>Tempe Mendoan (5pcs)</v>
      </c>
      <c r="G109">
        <f t="shared" si="2"/>
        <v>18000</v>
      </c>
      <c r="H109">
        <f>VLOOKUP(C109,menu!A:E,4,FALSE)</f>
        <v>3000</v>
      </c>
      <c r="I109">
        <f t="shared" si="3"/>
        <v>12000</v>
      </c>
    </row>
    <row r="110" spans="1:9" x14ac:dyDescent="0.35">
      <c r="A110" s="4" t="s">
        <v>1018</v>
      </c>
      <c r="B110" s="4" t="s">
        <v>223</v>
      </c>
      <c r="C110" s="4" t="s">
        <v>1019</v>
      </c>
      <c r="D110" s="4">
        <v>1</v>
      </c>
      <c r="E110" s="6">
        <v>21000</v>
      </c>
      <c r="F110" t="str">
        <f>VLOOKUP(C110,menu!A:B,2,FALSE)</f>
        <v>Bakso Urat Spesial</v>
      </c>
      <c r="G110">
        <f t="shared" si="2"/>
        <v>21000</v>
      </c>
      <c r="H110">
        <f>VLOOKUP(C110,menu!A:E,4,FALSE)</f>
        <v>8500</v>
      </c>
      <c r="I110">
        <f t="shared" si="3"/>
        <v>12500</v>
      </c>
    </row>
    <row r="111" spans="1:9" x14ac:dyDescent="0.35">
      <c r="A111" s="4" t="s">
        <v>1020</v>
      </c>
      <c r="B111" s="4" t="s">
        <v>223</v>
      </c>
      <c r="C111" s="4" t="s">
        <v>898</v>
      </c>
      <c r="D111" s="4">
        <v>1</v>
      </c>
      <c r="E111" s="6">
        <v>27000</v>
      </c>
      <c r="F111" t="str">
        <f>VLOOKUP(C111,menu!A:B,2,FALSE)</f>
        <v>Ayam Geprek Sambal Bawang</v>
      </c>
      <c r="G111">
        <f t="shared" si="2"/>
        <v>27000</v>
      </c>
      <c r="H111">
        <f>VLOOKUP(C111,menu!A:E,4,FALSE)</f>
        <v>11000</v>
      </c>
      <c r="I111">
        <f t="shared" si="3"/>
        <v>16000</v>
      </c>
    </row>
    <row r="112" spans="1:9" x14ac:dyDescent="0.35">
      <c r="A112" s="4" t="s">
        <v>1021</v>
      </c>
      <c r="B112" s="4" t="s">
        <v>761</v>
      </c>
      <c r="C112" s="4" t="s">
        <v>898</v>
      </c>
      <c r="D112" s="4">
        <v>1</v>
      </c>
      <c r="E112" s="6">
        <v>27000</v>
      </c>
      <c r="F112" t="str">
        <f>VLOOKUP(C112,menu!A:B,2,FALSE)</f>
        <v>Ayam Geprek Sambal Bawang</v>
      </c>
      <c r="G112">
        <f t="shared" si="2"/>
        <v>27000</v>
      </c>
      <c r="H112">
        <f>VLOOKUP(C112,menu!A:E,4,FALSE)</f>
        <v>11000</v>
      </c>
      <c r="I112">
        <f t="shared" si="3"/>
        <v>16000</v>
      </c>
    </row>
    <row r="113" spans="1:9" x14ac:dyDescent="0.35">
      <c r="A113" s="4" t="s">
        <v>1022</v>
      </c>
      <c r="B113" s="4" t="s">
        <v>761</v>
      </c>
      <c r="C113" s="4" t="s">
        <v>896</v>
      </c>
      <c r="D113" s="4">
        <v>2</v>
      </c>
      <c r="E113" s="6">
        <v>23000</v>
      </c>
      <c r="F113" t="str">
        <f>VLOOKUP(C113,menu!A:B,2,FALSE)</f>
        <v>Nasi Uduk Komplit</v>
      </c>
      <c r="G113">
        <f t="shared" si="2"/>
        <v>46000</v>
      </c>
      <c r="H113">
        <f>VLOOKUP(C113,menu!A:E,4,FALSE)</f>
        <v>9000</v>
      </c>
      <c r="I113">
        <f t="shared" si="3"/>
        <v>28000</v>
      </c>
    </row>
    <row r="114" spans="1:9" x14ac:dyDescent="0.35">
      <c r="A114" s="4" t="s">
        <v>1023</v>
      </c>
      <c r="B114" s="4" t="s">
        <v>761</v>
      </c>
      <c r="C114" s="4" t="s">
        <v>900</v>
      </c>
      <c r="D114" s="4">
        <v>1</v>
      </c>
      <c r="E114" s="6">
        <v>8000</v>
      </c>
      <c r="F114" t="str">
        <f>VLOOKUP(C114,menu!A:B,2,FALSE)</f>
        <v>Es Jeruk Peras</v>
      </c>
      <c r="G114">
        <f t="shared" si="2"/>
        <v>8000</v>
      </c>
      <c r="H114">
        <f>VLOOKUP(C114,menu!A:E,4,FALSE)</f>
        <v>2500</v>
      </c>
      <c r="I114">
        <f t="shared" si="3"/>
        <v>5500</v>
      </c>
    </row>
    <row r="115" spans="1:9" x14ac:dyDescent="0.35">
      <c r="A115" s="4" t="s">
        <v>1024</v>
      </c>
      <c r="B115" s="4" t="s">
        <v>761</v>
      </c>
      <c r="C115" s="4" t="s">
        <v>892</v>
      </c>
      <c r="D115" s="4">
        <v>2</v>
      </c>
      <c r="E115" s="6">
        <v>9000</v>
      </c>
      <c r="F115" t="str">
        <f>VLOOKUP(C115,menu!A:B,2,FALSE)</f>
        <v>Tempe Mendoan (5pcs)</v>
      </c>
      <c r="G115">
        <f t="shared" si="2"/>
        <v>18000</v>
      </c>
      <c r="H115">
        <f>VLOOKUP(C115,menu!A:E,4,FALSE)</f>
        <v>3000</v>
      </c>
      <c r="I115">
        <f t="shared" si="3"/>
        <v>12000</v>
      </c>
    </row>
    <row r="116" spans="1:9" x14ac:dyDescent="0.35">
      <c r="A116" s="4" t="s">
        <v>1025</v>
      </c>
      <c r="B116" s="4" t="s">
        <v>761</v>
      </c>
      <c r="C116" s="4" t="s">
        <v>916</v>
      </c>
      <c r="D116" s="4">
        <v>1</v>
      </c>
      <c r="E116" s="6">
        <v>9000</v>
      </c>
      <c r="F116" t="str">
        <f>VLOOKUP(C116,menu!A:B,2,FALSE)</f>
        <v>Kopi Hitam Tubruk</v>
      </c>
      <c r="G116">
        <f t="shared" si="2"/>
        <v>9000</v>
      </c>
      <c r="H116">
        <f>VLOOKUP(C116,menu!A:E,4,FALSE)</f>
        <v>2000</v>
      </c>
      <c r="I116">
        <f t="shared" si="3"/>
        <v>7000</v>
      </c>
    </row>
    <row r="117" spans="1:9" x14ac:dyDescent="0.35">
      <c r="A117" s="4" t="s">
        <v>1026</v>
      </c>
      <c r="B117" s="4" t="s">
        <v>853</v>
      </c>
      <c r="C117" s="4" t="s">
        <v>935</v>
      </c>
      <c r="D117" s="4">
        <v>2</v>
      </c>
      <c r="E117" s="6">
        <v>22000</v>
      </c>
      <c r="F117" t="str">
        <f>VLOOKUP(C117,menu!A:B,2,FALSE)</f>
        <v>Soto Ayam Lamongan</v>
      </c>
      <c r="G117">
        <f t="shared" si="2"/>
        <v>44000</v>
      </c>
      <c r="H117">
        <f>VLOOKUP(C117,menu!A:E,4,FALSE)</f>
        <v>9500</v>
      </c>
      <c r="I117">
        <f t="shared" si="3"/>
        <v>25000</v>
      </c>
    </row>
    <row r="118" spans="1:9" x14ac:dyDescent="0.35">
      <c r="A118" s="4" t="s">
        <v>1027</v>
      </c>
      <c r="B118" s="4" t="s">
        <v>853</v>
      </c>
      <c r="C118" s="4" t="s">
        <v>892</v>
      </c>
      <c r="D118" s="4">
        <v>1</v>
      </c>
      <c r="E118" s="6">
        <v>9000</v>
      </c>
      <c r="F118" t="str">
        <f>VLOOKUP(C118,menu!A:B,2,FALSE)</f>
        <v>Tempe Mendoan (5pcs)</v>
      </c>
      <c r="G118">
        <f t="shared" si="2"/>
        <v>9000</v>
      </c>
      <c r="H118">
        <f>VLOOKUP(C118,menu!A:E,4,FALSE)</f>
        <v>3000</v>
      </c>
      <c r="I118">
        <f t="shared" si="3"/>
        <v>6000</v>
      </c>
    </row>
    <row r="119" spans="1:9" x14ac:dyDescent="0.35">
      <c r="A119" s="4" t="s">
        <v>1028</v>
      </c>
      <c r="B119" s="4" t="s">
        <v>98</v>
      </c>
      <c r="C119" s="4" t="s">
        <v>898</v>
      </c>
      <c r="D119" s="4">
        <v>3</v>
      </c>
      <c r="E119" s="6">
        <v>27000</v>
      </c>
      <c r="F119" t="str">
        <f>VLOOKUP(C119,menu!A:B,2,FALSE)</f>
        <v>Ayam Geprek Sambal Bawang</v>
      </c>
      <c r="G119">
        <f t="shared" si="2"/>
        <v>81000</v>
      </c>
      <c r="H119">
        <f>VLOOKUP(C119,menu!A:E,4,FALSE)</f>
        <v>11000</v>
      </c>
      <c r="I119">
        <f t="shared" si="3"/>
        <v>48000</v>
      </c>
    </row>
    <row r="120" spans="1:9" x14ac:dyDescent="0.35">
      <c r="A120" s="4" t="s">
        <v>1029</v>
      </c>
      <c r="B120" s="4" t="s">
        <v>98</v>
      </c>
      <c r="C120" s="4" t="s">
        <v>928</v>
      </c>
      <c r="D120" s="4">
        <v>1</v>
      </c>
      <c r="E120" s="6">
        <v>23000</v>
      </c>
      <c r="F120" t="str">
        <f>VLOOKUP(C120,menu!A:B,2,FALSE)</f>
        <v>Mie Goreng Jawa</v>
      </c>
      <c r="G120">
        <f t="shared" si="2"/>
        <v>23000</v>
      </c>
      <c r="H120">
        <f>VLOOKUP(C120,menu!A:E,4,FALSE)</f>
        <v>8500</v>
      </c>
      <c r="I120">
        <f t="shared" si="3"/>
        <v>14500</v>
      </c>
    </row>
    <row r="121" spans="1:9" x14ac:dyDescent="0.35">
      <c r="A121" s="4" t="s">
        <v>1030</v>
      </c>
      <c r="B121" s="4" t="s">
        <v>98</v>
      </c>
      <c r="C121" s="4" t="s">
        <v>892</v>
      </c>
      <c r="D121" s="4">
        <v>1</v>
      </c>
      <c r="E121" s="6">
        <v>9000</v>
      </c>
      <c r="F121" t="str">
        <f>VLOOKUP(C121,menu!A:B,2,FALSE)</f>
        <v>Tempe Mendoan (5pcs)</v>
      </c>
      <c r="G121">
        <f t="shared" si="2"/>
        <v>9000</v>
      </c>
      <c r="H121">
        <f>VLOOKUP(C121,menu!A:E,4,FALSE)</f>
        <v>3000</v>
      </c>
      <c r="I121">
        <f t="shared" si="3"/>
        <v>6000</v>
      </c>
    </row>
    <row r="122" spans="1:9" x14ac:dyDescent="0.35">
      <c r="A122" s="4" t="s">
        <v>1031</v>
      </c>
      <c r="B122" s="4" t="s">
        <v>505</v>
      </c>
      <c r="C122" s="4" t="s">
        <v>898</v>
      </c>
      <c r="D122" s="4">
        <v>1</v>
      </c>
      <c r="E122" s="6">
        <v>27000</v>
      </c>
      <c r="F122" t="str">
        <f>VLOOKUP(C122,menu!A:B,2,FALSE)</f>
        <v>Ayam Geprek Sambal Bawang</v>
      </c>
      <c r="G122">
        <f t="shared" si="2"/>
        <v>27000</v>
      </c>
      <c r="H122">
        <f>VLOOKUP(C122,menu!A:E,4,FALSE)</f>
        <v>11000</v>
      </c>
      <c r="I122">
        <f t="shared" si="3"/>
        <v>16000</v>
      </c>
    </row>
    <row r="123" spans="1:9" x14ac:dyDescent="0.35">
      <c r="A123" s="4" t="s">
        <v>1032</v>
      </c>
      <c r="B123" s="4" t="s">
        <v>170</v>
      </c>
      <c r="C123" s="4" t="s">
        <v>894</v>
      </c>
      <c r="D123" s="4">
        <v>1</v>
      </c>
      <c r="E123" s="6">
        <v>5000</v>
      </c>
      <c r="F123" t="str">
        <f>VLOOKUP(C123,menu!A:B,2,FALSE)</f>
        <v>Air Mineral Botol</v>
      </c>
      <c r="G123">
        <f t="shared" si="2"/>
        <v>5000</v>
      </c>
      <c r="H123">
        <f>VLOOKUP(C123,menu!A:E,4,FALSE)</f>
        <v>2000</v>
      </c>
      <c r="I123">
        <f t="shared" si="3"/>
        <v>3000</v>
      </c>
    </row>
    <row r="124" spans="1:9" x14ac:dyDescent="0.35">
      <c r="A124" s="4" t="s">
        <v>1033</v>
      </c>
      <c r="B124" s="4" t="s">
        <v>170</v>
      </c>
      <c r="C124" s="4" t="s">
        <v>890</v>
      </c>
      <c r="D124" s="4">
        <v>2</v>
      </c>
      <c r="E124" s="6">
        <v>18000</v>
      </c>
      <c r="F124" t="str">
        <f>VLOOKUP(C124,menu!A:B,2,FALSE)</f>
        <v>Es Kopi Susu Gula Aren</v>
      </c>
      <c r="G124">
        <f t="shared" si="2"/>
        <v>36000</v>
      </c>
      <c r="H124">
        <f>VLOOKUP(C124,menu!A:E,4,FALSE)</f>
        <v>4500</v>
      </c>
      <c r="I124">
        <f t="shared" si="3"/>
        <v>27000</v>
      </c>
    </row>
    <row r="125" spans="1:9" x14ac:dyDescent="0.35">
      <c r="A125" s="4" t="s">
        <v>1034</v>
      </c>
      <c r="B125" s="4" t="s">
        <v>105</v>
      </c>
      <c r="C125" s="4" t="s">
        <v>908</v>
      </c>
      <c r="D125" s="4">
        <v>1</v>
      </c>
      <c r="E125" s="6">
        <v>16000</v>
      </c>
      <c r="F125" t="str">
        <f>VLOOKUP(C125,menu!A:B,2,FALSE)</f>
        <v>Jus Alpukat</v>
      </c>
      <c r="G125">
        <f t="shared" si="2"/>
        <v>16000</v>
      </c>
      <c r="H125">
        <f>VLOOKUP(C125,menu!A:E,4,FALSE)</f>
        <v>5500</v>
      </c>
      <c r="I125">
        <f t="shared" si="3"/>
        <v>10500</v>
      </c>
    </row>
    <row r="126" spans="1:9" x14ac:dyDescent="0.35">
      <c r="A126" s="4" t="s">
        <v>1035</v>
      </c>
      <c r="B126" s="4" t="s">
        <v>558</v>
      </c>
      <c r="C126" s="4" t="s">
        <v>919</v>
      </c>
      <c r="D126" s="4">
        <v>1</v>
      </c>
      <c r="E126" s="6">
        <v>20000</v>
      </c>
      <c r="F126" t="str">
        <f>VLOOKUP(C126,menu!A:B,2,FALSE)</f>
        <v>Gado-Gado Jakarta</v>
      </c>
      <c r="G126">
        <f t="shared" si="2"/>
        <v>20000</v>
      </c>
      <c r="H126">
        <f>VLOOKUP(C126,menu!A:E,4,FALSE)</f>
        <v>8000</v>
      </c>
      <c r="I126">
        <f t="shared" si="3"/>
        <v>12000</v>
      </c>
    </row>
    <row r="127" spans="1:9" x14ac:dyDescent="0.35">
      <c r="A127" s="4" t="s">
        <v>1036</v>
      </c>
      <c r="B127" s="4" t="s">
        <v>558</v>
      </c>
      <c r="C127" s="4" t="s">
        <v>898</v>
      </c>
      <c r="D127" s="4">
        <v>1</v>
      </c>
      <c r="E127" s="6">
        <v>27000</v>
      </c>
      <c r="F127" t="str">
        <f>VLOOKUP(C127,menu!A:B,2,FALSE)</f>
        <v>Ayam Geprek Sambal Bawang</v>
      </c>
      <c r="G127">
        <f t="shared" si="2"/>
        <v>27000</v>
      </c>
      <c r="H127">
        <f>VLOOKUP(C127,menu!A:E,4,FALSE)</f>
        <v>11000</v>
      </c>
      <c r="I127">
        <f t="shared" si="3"/>
        <v>16000</v>
      </c>
    </row>
    <row r="128" spans="1:9" x14ac:dyDescent="0.35">
      <c r="A128" s="4" t="s">
        <v>1037</v>
      </c>
      <c r="B128" s="4" t="s">
        <v>558</v>
      </c>
      <c r="C128" s="4" t="s">
        <v>928</v>
      </c>
      <c r="D128" s="4">
        <v>1</v>
      </c>
      <c r="E128" s="6">
        <v>23000</v>
      </c>
      <c r="F128" t="str">
        <f>VLOOKUP(C128,menu!A:B,2,FALSE)</f>
        <v>Mie Goreng Jawa</v>
      </c>
      <c r="G128">
        <f t="shared" si="2"/>
        <v>23000</v>
      </c>
      <c r="H128">
        <f>VLOOKUP(C128,menu!A:E,4,FALSE)</f>
        <v>8500</v>
      </c>
      <c r="I128">
        <f t="shared" si="3"/>
        <v>14500</v>
      </c>
    </row>
    <row r="129" spans="1:9" x14ac:dyDescent="0.35">
      <c r="A129" s="4" t="s">
        <v>1038</v>
      </c>
      <c r="B129" s="4" t="s">
        <v>558</v>
      </c>
      <c r="C129" s="4" t="s">
        <v>935</v>
      </c>
      <c r="D129" s="4">
        <v>1</v>
      </c>
      <c r="E129" s="6">
        <v>22000</v>
      </c>
      <c r="F129" t="str">
        <f>VLOOKUP(C129,menu!A:B,2,FALSE)</f>
        <v>Soto Ayam Lamongan</v>
      </c>
      <c r="G129">
        <f t="shared" si="2"/>
        <v>22000</v>
      </c>
      <c r="H129">
        <f>VLOOKUP(C129,menu!A:E,4,FALSE)</f>
        <v>9500</v>
      </c>
      <c r="I129">
        <f t="shared" si="3"/>
        <v>12500</v>
      </c>
    </row>
    <row r="130" spans="1:9" x14ac:dyDescent="0.35">
      <c r="A130" s="4" t="s">
        <v>1039</v>
      </c>
      <c r="B130" s="4" t="s">
        <v>751</v>
      </c>
      <c r="C130" s="4" t="s">
        <v>898</v>
      </c>
      <c r="D130" s="4">
        <v>2</v>
      </c>
      <c r="E130" s="6">
        <v>27000</v>
      </c>
      <c r="F130" t="str">
        <f>VLOOKUP(C130,menu!A:B,2,FALSE)</f>
        <v>Ayam Geprek Sambal Bawang</v>
      </c>
      <c r="G130">
        <f t="shared" si="2"/>
        <v>54000</v>
      </c>
      <c r="H130">
        <f>VLOOKUP(C130,menu!A:E,4,FALSE)</f>
        <v>11000</v>
      </c>
      <c r="I130">
        <f t="shared" si="3"/>
        <v>32000</v>
      </c>
    </row>
    <row r="131" spans="1:9" x14ac:dyDescent="0.35">
      <c r="A131" s="4" t="s">
        <v>1040</v>
      </c>
      <c r="B131" s="4" t="s">
        <v>751</v>
      </c>
      <c r="C131" s="4" t="s">
        <v>919</v>
      </c>
      <c r="D131" s="4">
        <v>1</v>
      </c>
      <c r="E131" s="6">
        <v>20000</v>
      </c>
      <c r="F131" t="str">
        <f>VLOOKUP(C131,menu!A:B,2,FALSE)</f>
        <v>Gado-Gado Jakarta</v>
      </c>
      <c r="G131">
        <f t="shared" ref="G131:G194" si="4">D131*E131</f>
        <v>20000</v>
      </c>
      <c r="H131">
        <f>VLOOKUP(C131,menu!A:E,4,FALSE)</f>
        <v>8000</v>
      </c>
      <c r="I131">
        <f t="shared" ref="I131:I194" si="5">(E131-H131)*D131</f>
        <v>12000</v>
      </c>
    </row>
    <row r="132" spans="1:9" x14ac:dyDescent="0.35">
      <c r="A132" s="4" t="s">
        <v>1041</v>
      </c>
      <c r="B132" s="4" t="s">
        <v>716</v>
      </c>
      <c r="C132" s="4" t="s">
        <v>955</v>
      </c>
      <c r="D132" s="4">
        <v>2</v>
      </c>
      <c r="E132" s="6">
        <v>15000</v>
      </c>
      <c r="F132" t="str">
        <f>VLOOKUP(C132,menu!A:B,2,FALSE)</f>
        <v>Es Campur</v>
      </c>
      <c r="G132">
        <f t="shared" si="4"/>
        <v>30000</v>
      </c>
      <c r="H132">
        <f>VLOOKUP(C132,menu!A:E,4,FALSE)</f>
        <v>6000</v>
      </c>
      <c r="I132">
        <f t="shared" si="5"/>
        <v>18000</v>
      </c>
    </row>
    <row r="133" spans="1:9" x14ac:dyDescent="0.35">
      <c r="A133" s="4" t="s">
        <v>1042</v>
      </c>
      <c r="B133" s="4" t="s">
        <v>716</v>
      </c>
      <c r="C133" s="4" t="s">
        <v>898</v>
      </c>
      <c r="D133" s="4">
        <v>1</v>
      </c>
      <c r="E133" s="6">
        <v>27000</v>
      </c>
      <c r="F133" t="str">
        <f>VLOOKUP(C133,menu!A:B,2,FALSE)</f>
        <v>Ayam Geprek Sambal Bawang</v>
      </c>
      <c r="G133">
        <f t="shared" si="4"/>
        <v>27000</v>
      </c>
      <c r="H133">
        <f>VLOOKUP(C133,menu!A:E,4,FALSE)</f>
        <v>11000</v>
      </c>
      <c r="I133">
        <f t="shared" si="5"/>
        <v>16000</v>
      </c>
    </row>
    <row r="134" spans="1:9" x14ac:dyDescent="0.35">
      <c r="A134" s="4" t="s">
        <v>1043</v>
      </c>
      <c r="B134" s="4" t="s">
        <v>716</v>
      </c>
      <c r="C134" s="4" t="s">
        <v>902</v>
      </c>
      <c r="D134" s="4">
        <v>1</v>
      </c>
      <c r="E134" s="6">
        <v>12000</v>
      </c>
      <c r="F134" t="str">
        <f>VLOOKUP(C134,menu!A:B,2,FALSE)</f>
        <v>Teh Tarik</v>
      </c>
      <c r="G134">
        <f t="shared" si="4"/>
        <v>12000</v>
      </c>
      <c r="H134">
        <f>VLOOKUP(C134,menu!A:E,4,FALSE)</f>
        <v>3000</v>
      </c>
      <c r="I134">
        <f t="shared" si="5"/>
        <v>9000</v>
      </c>
    </row>
    <row r="135" spans="1:9" x14ac:dyDescent="0.35">
      <c r="A135" s="4" t="s">
        <v>1044</v>
      </c>
      <c r="B135" s="4" t="s">
        <v>470</v>
      </c>
      <c r="C135" s="4" t="s">
        <v>906</v>
      </c>
      <c r="D135" s="4">
        <v>3</v>
      </c>
      <c r="E135" s="6">
        <v>28000</v>
      </c>
      <c r="F135" t="str">
        <f>VLOOKUP(C135,menu!A:B,2,FALSE)</f>
        <v>Sate Ayam 10 Tusuk</v>
      </c>
      <c r="G135">
        <f t="shared" si="4"/>
        <v>84000</v>
      </c>
      <c r="H135">
        <f>VLOOKUP(C135,menu!A:E,4,FALSE)</f>
        <v>12000</v>
      </c>
      <c r="I135">
        <f t="shared" si="5"/>
        <v>48000</v>
      </c>
    </row>
    <row r="136" spans="1:9" x14ac:dyDescent="0.35">
      <c r="A136" s="4" t="s">
        <v>1045</v>
      </c>
      <c r="B136" s="4" t="s">
        <v>470</v>
      </c>
      <c r="C136" s="4" t="s">
        <v>904</v>
      </c>
      <c r="D136" s="4">
        <v>1</v>
      </c>
      <c r="E136" s="6">
        <v>22000</v>
      </c>
      <c r="F136" t="str">
        <f>VLOOKUP(C136,menu!A:B,2,FALSE)</f>
        <v>Pecel Lele</v>
      </c>
      <c r="G136">
        <f t="shared" si="4"/>
        <v>22000</v>
      </c>
      <c r="H136">
        <f>VLOOKUP(C136,menu!A:E,4,FALSE)</f>
        <v>9500</v>
      </c>
      <c r="I136">
        <f t="shared" si="5"/>
        <v>12500</v>
      </c>
    </row>
    <row r="137" spans="1:9" x14ac:dyDescent="0.35">
      <c r="A137" s="4" t="s">
        <v>1046</v>
      </c>
      <c r="B137" s="4" t="s">
        <v>470</v>
      </c>
      <c r="C137" s="4" t="s">
        <v>898</v>
      </c>
      <c r="D137" s="4">
        <v>1</v>
      </c>
      <c r="E137" s="6">
        <v>27000</v>
      </c>
      <c r="F137" t="str">
        <f>VLOOKUP(C137,menu!A:B,2,FALSE)</f>
        <v>Ayam Geprek Sambal Bawang</v>
      </c>
      <c r="G137">
        <f t="shared" si="4"/>
        <v>27000</v>
      </c>
      <c r="H137">
        <f>VLOOKUP(C137,menu!A:E,4,FALSE)</f>
        <v>11000</v>
      </c>
      <c r="I137">
        <f t="shared" si="5"/>
        <v>16000</v>
      </c>
    </row>
    <row r="138" spans="1:9" x14ac:dyDescent="0.35">
      <c r="A138" s="4" t="s">
        <v>1047</v>
      </c>
      <c r="B138" s="4" t="s">
        <v>470</v>
      </c>
      <c r="C138" s="4" t="s">
        <v>894</v>
      </c>
      <c r="D138" s="4">
        <v>1</v>
      </c>
      <c r="E138" s="6">
        <v>5000</v>
      </c>
      <c r="F138" t="str">
        <f>VLOOKUP(C138,menu!A:B,2,FALSE)</f>
        <v>Air Mineral Botol</v>
      </c>
      <c r="G138">
        <f t="shared" si="4"/>
        <v>5000</v>
      </c>
      <c r="H138">
        <f>VLOOKUP(C138,menu!A:E,4,FALSE)</f>
        <v>2000</v>
      </c>
      <c r="I138">
        <f t="shared" si="5"/>
        <v>3000</v>
      </c>
    </row>
    <row r="139" spans="1:9" x14ac:dyDescent="0.35">
      <c r="A139" s="4" t="s">
        <v>1048</v>
      </c>
      <c r="B139" s="4" t="s">
        <v>447</v>
      </c>
      <c r="C139" s="4" t="s">
        <v>894</v>
      </c>
      <c r="D139" s="4">
        <v>1</v>
      </c>
      <c r="E139" s="6">
        <v>5000</v>
      </c>
      <c r="F139" t="str">
        <f>VLOOKUP(C139,menu!A:B,2,FALSE)</f>
        <v>Air Mineral Botol</v>
      </c>
      <c r="G139">
        <f t="shared" si="4"/>
        <v>5000</v>
      </c>
      <c r="H139">
        <f>VLOOKUP(C139,menu!A:E,4,FALSE)</f>
        <v>2000</v>
      </c>
      <c r="I139">
        <f t="shared" si="5"/>
        <v>3000</v>
      </c>
    </row>
    <row r="140" spans="1:9" x14ac:dyDescent="0.35">
      <c r="A140" s="4" t="s">
        <v>1049</v>
      </c>
      <c r="B140" s="4" t="s">
        <v>447</v>
      </c>
      <c r="C140" s="4" t="s">
        <v>898</v>
      </c>
      <c r="D140" s="4">
        <v>1</v>
      </c>
      <c r="E140" s="6">
        <v>27000</v>
      </c>
      <c r="F140" t="str">
        <f>VLOOKUP(C140,menu!A:B,2,FALSE)</f>
        <v>Ayam Geprek Sambal Bawang</v>
      </c>
      <c r="G140">
        <f t="shared" si="4"/>
        <v>27000</v>
      </c>
      <c r="H140">
        <f>VLOOKUP(C140,menu!A:E,4,FALSE)</f>
        <v>11000</v>
      </c>
      <c r="I140">
        <f t="shared" si="5"/>
        <v>16000</v>
      </c>
    </row>
    <row r="141" spans="1:9" x14ac:dyDescent="0.35">
      <c r="A141" s="4" t="s">
        <v>1050</v>
      </c>
      <c r="B141" s="4" t="s">
        <v>195</v>
      </c>
      <c r="C141" s="4" t="s">
        <v>1003</v>
      </c>
      <c r="D141" s="4">
        <v>2</v>
      </c>
      <c r="E141" s="6">
        <v>29000</v>
      </c>
      <c r="F141" t="str">
        <f>VLOOKUP(C141,menu!A:B,2,FALSE)</f>
        <v>Capcay Seafood</v>
      </c>
      <c r="G141">
        <f t="shared" si="4"/>
        <v>58000</v>
      </c>
      <c r="H141">
        <f>VLOOKUP(C141,menu!A:E,4,FALSE)</f>
        <v>13000</v>
      </c>
      <c r="I141">
        <f t="shared" si="5"/>
        <v>32000</v>
      </c>
    </row>
    <row r="142" spans="1:9" x14ac:dyDescent="0.35">
      <c r="A142" s="4" t="s">
        <v>1051</v>
      </c>
      <c r="B142" s="4" t="s">
        <v>591</v>
      </c>
      <c r="C142" s="4" t="s">
        <v>937</v>
      </c>
      <c r="D142" s="4">
        <v>1</v>
      </c>
      <c r="E142" s="6">
        <v>26000</v>
      </c>
      <c r="F142" t="str">
        <f>VLOOKUP(C142,menu!A:B,2,FALSE)</f>
        <v>Nasi Campur Bali</v>
      </c>
      <c r="G142">
        <f t="shared" si="4"/>
        <v>26000</v>
      </c>
      <c r="H142">
        <f>VLOOKUP(C142,menu!A:E,4,FALSE)</f>
        <v>11500</v>
      </c>
      <c r="I142">
        <f t="shared" si="5"/>
        <v>14500</v>
      </c>
    </row>
    <row r="143" spans="1:9" x14ac:dyDescent="0.35">
      <c r="A143" s="4" t="s">
        <v>1052</v>
      </c>
      <c r="B143" s="4" t="s">
        <v>591</v>
      </c>
      <c r="C143" s="4" t="s">
        <v>892</v>
      </c>
      <c r="D143" s="4">
        <v>1</v>
      </c>
      <c r="E143" s="6">
        <v>9000</v>
      </c>
      <c r="F143" t="str">
        <f>VLOOKUP(C143,menu!A:B,2,FALSE)</f>
        <v>Tempe Mendoan (5pcs)</v>
      </c>
      <c r="G143">
        <f t="shared" si="4"/>
        <v>9000</v>
      </c>
      <c r="H143">
        <f>VLOOKUP(C143,menu!A:E,4,FALSE)</f>
        <v>3000</v>
      </c>
      <c r="I143">
        <f t="shared" si="5"/>
        <v>6000</v>
      </c>
    </row>
    <row r="144" spans="1:9" x14ac:dyDescent="0.35">
      <c r="A144" s="4" t="s">
        <v>1053</v>
      </c>
      <c r="B144" s="4" t="s">
        <v>591</v>
      </c>
      <c r="C144" s="4" t="s">
        <v>900</v>
      </c>
      <c r="D144" s="4">
        <v>1</v>
      </c>
      <c r="E144" s="6">
        <v>8000</v>
      </c>
      <c r="F144" t="str">
        <f>VLOOKUP(C144,menu!A:B,2,FALSE)</f>
        <v>Es Jeruk Peras</v>
      </c>
      <c r="G144">
        <f t="shared" si="4"/>
        <v>8000</v>
      </c>
      <c r="H144">
        <f>VLOOKUP(C144,menu!A:E,4,FALSE)</f>
        <v>2500</v>
      </c>
      <c r="I144">
        <f t="shared" si="5"/>
        <v>5500</v>
      </c>
    </row>
    <row r="145" spans="1:9" x14ac:dyDescent="0.35">
      <c r="A145" s="4" t="s">
        <v>1054</v>
      </c>
      <c r="B145" s="4" t="s">
        <v>136</v>
      </c>
      <c r="C145" s="4" t="s">
        <v>916</v>
      </c>
      <c r="D145" s="4">
        <v>1</v>
      </c>
      <c r="E145" s="6">
        <v>9000</v>
      </c>
      <c r="F145" t="str">
        <f>VLOOKUP(C145,menu!A:B,2,FALSE)</f>
        <v>Kopi Hitam Tubruk</v>
      </c>
      <c r="G145">
        <f t="shared" si="4"/>
        <v>9000</v>
      </c>
      <c r="H145">
        <f>VLOOKUP(C145,menu!A:E,4,FALSE)</f>
        <v>2000</v>
      </c>
      <c r="I145">
        <f t="shared" si="5"/>
        <v>7000</v>
      </c>
    </row>
    <row r="146" spans="1:9" x14ac:dyDescent="0.35">
      <c r="A146" s="4" t="s">
        <v>1055</v>
      </c>
      <c r="B146" s="4" t="s">
        <v>249</v>
      </c>
      <c r="C146" s="4" t="s">
        <v>919</v>
      </c>
      <c r="D146" s="4">
        <v>1</v>
      </c>
      <c r="E146" s="6">
        <v>20000</v>
      </c>
      <c r="F146" t="str">
        <f>VLOOKUP(C146,menu!A:B,2,FALSE)</f>
        <v>Gado-Gado Jakarta</v>
      </c>
      <c r="G146">
        <f t="shared" si="4"/>
        <v>20000</v>
      </c>
      <c r="H146">
        <f>VLOOKUP(C146,menu!A:E,4,FALSE)</f>
        <v>8000</v>
      </c>
      <c r="I146">
        <f t="shared" si="5"/>
        <v>12000</v>
      </c>
    </row>
    <row r="147" spans="1:9" x14ac:dyDescent="0.35">
      <c r="A147" s="4" t="s">
        <v>1056</v>
      </c>
      <c r="B147" s="4" t="s">
        <v>249</v>
      </c>
      <c r="C147" s="4" t="s">
        <v>898</v>
      </c>
      <c r="D147" s="4">
        <v>1</v>
      </c>
      <c r="E147" s="6">
        <v>27000</v>
      </c>
      <c r="F147" t="str">
        <f>VLOOKUP(C147,menu!A:B,2,FALSE)</f>
        <v>Ayam Geprek Sambal Bawang</v>
      </c>
      <c r="G147">
        <f t="shared" si="4"/>
        <v>27000</v>
      </c>
      <c r="H147">
        <f>VLOOKUP(C147,menu!A:E,4,FALSE)</f>
        <v>11000</v>
      </c>
      <c r="I147">
        <f t="shared" si="5"/>
        <v>16000</v>
      </c>
    </row>
    <row r="148" spans="1:9" x14ac:dyDescent="0.35">
      <c r="A148" s="4" t="s">
        <v>1057</v>
      </c>
      <c r="B148" s="4" t="s">
        <v>681</v>
      </c>
      <c r="C148" s="4" t="s">
        <v>894</v>
      </c>
      <c r="D148" s="4">
        <v>1</v>
      </c>
      <c r="E148" s="6">
        <v>5000</v>
      </c>
      <c r="F148" t="str">
        <f>VLOOKUP(C148,menu!A:B,2,FALSE)</f>
        <v>Air Mineral Botol</v>
      </c>
      <c r="G148">
        <f t="shared" si="4"/>
        <v>5000</v>
      </c>
      <c r="H148">
        <f>VLOOKUP(C148,menu!A:E,4,FALSE)</f>
        <v>2000</v>
      </c>
      <c r="I148">
        <f t="shared" si="5"/>
        <v>3000</v>
      </c>
    </row>
    <row r="149" spans="1:9" x14ac:dyDescent="0.35">
      <c r="A149" s="4" t="s">
        <v>1058</v>
      </c>
      <c r="B149" s="4" t="s">
        <v>681</v>
      </c>
      <c r="C149" s="4" t="s">
        <v>1059</v>
      </c>
      <c r="D149" s="4">
        <v>1</v>
      </c>
      <c r="E149" s="6">
        <v>6000</v>
      </c>
      <c r="F149" t="str">
        <f>VLOOKUP(C149,menu!A:B,2,FALSE)</f>
        <v>Es Teh Manis</v>
      </c>
      <c r="G149">
        <f t="shared" si="4"/>
        <v>6000</v>
      </c>
      <c r="H149">
        <f>VLOOKUP(C149,menu!A:E,4,FALSE)</f>
        <v>1500</v>
      </c>
      <c r="I149">
        <f t="shared" si="5"/>
        <v>4500</v>
      </c>
    </row>
    <row r="150" spans="1:9" x14ac:dyDescent="0.35">
      <c r="A150" s="4" t="s">
        <v>1060</v>
      </c>
      <c r="B150" s="4" t="s">
        <v>683</v>
      </c>
      <c r="C150" s="4" t="s">
        <v>902</v>
      </c>
      <c r="D150" s="4">
        <v>1</v>
      </c>
      <c r="E150" s="6">
        <v>12000</v>
      </c>
      <c r="F150" t="str">
        <f>VLOOKUP(C150,menu!A:B,2,FALSE)</f>
        <v>Teh Tarik</v>
      </c>
      <c r="G150">
        <f t="shared" si="4"/>
        <v>12000</v>
      </c>
      <c r="H150">
        <f>VLOOKUP(C150,menu!A:E,4,FALSE)</f>
        <v>3000</v>
      </c>
      <c r="I150">
        <f t="shared" si="5"/>
        <v>9000</v>
      </c>
    </row>
    <row r="151" spans="1:9" x14ac:dyDescent="0.35">
      <c r="A151" s="4" t="s">
        <v>1061</v>
      </c>
      <c r="B151" s="4" t="s">
        <v>144</v>
      </c>
      <c r="C151" s="4" t="s">
        <v>898</v>
      </c>
      <c r="D151" s="4">
        <v>1</v>
      </c>
      <c r="E151" s="6">
        <v>27000</v>
      </c>
      <c r="F151" t="str">
        <f>VLOOKUP(C151,menu!A:B,2,FALSE)</f>
        <v>Ayam Geprek Sambal Bawang</v>
      </c>
      <c r="G151">
        <f t="shared" si="4"/>
        <v>27000</v>
      </c>
      <c r="H151">
        <f>VLOOKUP(C151,menu!A:E,4,FALSE)</f>
        <v>11000</v>
      </c>
      <c r="I151">
        <f t="shared" si="5"/>
        <v>16000</v>
      </c>
    </row>
    <row r="152" spans="1:9" x14ac:dyDescent="0.35">
      <c r="A152" s="4" t="s">
        <v>1062</v>
      </c>
      <c r="B152" s="4" t="s">
        <v>144</v>
      </c>
      <c r="C152" s="4" t="s">
        <v>890</v>
      </c>
      <c r="D152" s="4">
        <v>2</v>
      </c>
      <c r="E152" s="6">
        <v>18000</v>
      </c>
      <c r="F152" t="str">
        <f>VLOOKUP(C152,menu!A:B,2,FALSE)</f>
        <v>Es Kopi Susu Gula Aren</v>
      </c>
      <c r="G152">
        <f t="shared" si="4"/>
        <v>36000</v>
      </c>
      <c r="H152">
        <f>VLOOKUP(C152,menu!A:E,4,FALSE)</f>
        <v>4500</v>
      </c>
      <c r="I152">
        <f t="shared" si="5"/>
        <v>27000</v>
      </c>
    </row>
    <row r="153" spans="1:9" x14ac:dyDescent="0.35">
      <c r="A153" s="4" t="s">
        <v>1063</v>
      </c>
      <c r="B153" s="4" t="s">
        <v>144</v>
      </c>
      <c r="C153" s="4" t="s">
        <v>919</v>
      </c>
      <c r="D153" s="4">
        <v>2</v>
      </c>
      <c r="E153" s="6">
        <v>20000</v>
      </c>
      <c r="F153" t="str">
        <f>VLOOKUP(C153,menu!A:B,2,FALSE)</f>
        <v>Gado-Gado Jakarta</v>
      </c>
      <c r="G153">
        <f t="shared" si="4"/>
        <v>40000</v>
      </c>
      <c r="H153">
        <f>VLOOKUP(C153,menu!A:E,4,FALSE)</f>
        <v>8000</v>
      </c>
      <c r="I153">
        <f t="shared" si="5"/>
        <v>24000</v>
      </c>
    </row>
    <row r="154" spans="1:9" x14ac:dyDescent="0.35">
      <c r="A154" s="4" t="s">
        <v>1064</v>
      </c>
      <c r="B154" s="4" t="s">
        <v>667</v>
      </c>
      <c r="C154" s="4" t="s">
        <v>906</v>
      </c>
      <c r="D154" s="4">
        <v>1</v>
      </c>
      <c r="E154" s="6">
        <v>28000</v>
      </c>
      <c r="F154" t="str">
        <f>VLOOKUP(C154,menu!A:B,2,FALSE)</f>
        <v>Sate Ayam 10 Tusuk</v>
      </c>
      <c r="G154">
        <f t="shared" si="4"/>
        <v>28000</v>
      </c>
      <c r="H154">
        <f>VLOOKUP(C154,menu!A:E,4,FALSE)</f>
        <v>12000</v>
      </c>
      <c r="I154">
        <f t="shared" si="5"/>
        <v>16000</v>
      </c>
    </row>
    <row r="155" spans="1:9" x14ac:dyDescent="0.35">
      <c r="A155" s="4" t="s">
        <v>1065</v>
      </c>
      <c r="B155" s="4" t="s">
        <v>667</v>
      </c>
      <c r="C155" s="4" t="s">
        <v>908</v>
      </c>
      <c r="D155" s="4">
        <v>1</v>
      </c>
      <c r="E155" s="6">
        <v>16000</v>
      </c>
      <c r="F155" t="str">
        <f>VLOOKUP(C155,menu!A:B,2,FALSE)</f>
        <v>Jus Alpukat</v>
      </c>
      <c r="G155">
        <f t="shared" si="4"/>
        <v>16000</v>
      </c>
      <c r="H155">
        <f>VLOOKUP(C155,menu!A:E,4,FALSE)</f>
        <v>5500</v>
      </c>
      <c r="I155">
        <f t="shared" si="5"/>
        <v>10500</v>
      </c>
    </row>
    <row r="156" spans="1:9" x14ac:dyDescent="0.35">
      <c r="A156" s="4" t="s">
        <v>1066</v>
      </c>
      <c r="B156" s="4" t="s">
        <v>685</v>
      </c>
      <c r="C156" s="4" t="s">
        <v>894</v>
      </c>
      <c r="D156" s="4">
        <v>1</v>
      </c>
      <c r="E156" s="6">
        <v>5000</v>
      </c>
      <c r="F156" t="str">
        <f>VLOOKUP(C156,menu!A:B,2,FALSE)</f>
        <v>Air Mineral Botol</v>
      </c>
      <c r="G156">
        <f t="shared" si="4"/>
        <v>5000</v>
      </c>
      <c r="H156">
        <f>VLOOKUP(C156,menu!A:E,4,FALSE)</f>
        <v>2000</v>
      </c>
      <c r="I156">
        <f t="shared" si="5"/>
        <v>3000</v>
      </c>
    </row>
    <row r="157" spans="1:9" x14ac:dyDescent="0.35">
      <c r="A157" s="4" t="s">
        <v>1067</v>
      </c>
      <c r="B157" s="4" t="s">
        <v>685</v>
      </c>
      <c r="C157" s="4" t="s">
        <v>898</v>
      </c>
      <c r="D157" s="4">
        <v>1</v>
      </c>
      <c r="E157" s="6">
        <v>27000</v>
      </c>
      <c r="F157" t="str">
        <f>VLOOKUP(C157,menu!A:B,2,FALSE)</f>
        <v>Ayam Geprek Sambal Bawang</v>
      </c>
      <c r="G157">
        <f t="shared" si="4"/>
        <v>27000</v>
      </c>
      <c r="H157">
        <f>VLOOKUP(C157,menu!A:E,4,FALSE)</f>
        <v>11000</v>
      </c>
      <c r="I157">
        <f t="shared" si="5"/>
        <v>16000</v>
      </c>
    </row>
    <row r="158" spans="1:9" x14ac:dyDescent="0.35">
      <c r="A158" s="4" t="s">
        <v>1068</v>
      </c>
      <c r="B158" s="4" t="s">
        <v>685</v>
      </c>
      <c r="C158" s="4" t="s">
        <v>908</v>
      </c>
      <c r="D158" s="4">
        <v>1</v>
      </c>
      <c r="E158" s="6">
        <v>16000</v>
      </c>
      <c r="F158" t="str">
        <f>VLOOKUP(C158,menu!A:B,2,FALSE)</f>
        <v>Jus Alpukat</v>
      </c>
      <c r="G158">
        <f t="shared" si="4"/>
        <v>16000</v>
      </c>
      <c r="H158">
        <f>VLOOKUP(C158,menu!A:E,4,FALSE)</f>
        <v>5500</v>
      </c>
      <c r="I158">
        <f t="shared" si="5"/>
        <v>10500</v>
      </c>
    </row>
    <row r="159" spans="1:9" x14ac:dyDescent="0.35">
      <c r="A159" s="4" t="s">
        <v>1069</v>
      </c>
      <c r="B159" s="4" t="s">
        <v>685</v>
      </c>
      <c r="C159" s="4" t="s">
        <v>916</v>
      </c>
      <c r="D159" s="4">
        <v>2</v>
      </c>
      <c r="E159" s="6">
        <v>9000</v>
      </c>
      <c r="F159" t="str">
        <f>VLOOKUP(C159,menu!A:B,2,FALSE)</f>
        <v>Kopi Hitam Tubruk</v>
      </c>
      <c r="G159">
        <f t="shared" si="4"/>
        <v>18000</v>
      </c>
      <c r="H159">
        <f>VLOOKUP(C159,menu!A:E,4,FALSE)</f>
        <v>2000</v>
      </c>
      <c r="I159">
        <f t="shared" si="5"/>
        <v>14000</v>
      </c>
    </row>
    <row r="160" spans="1:9" x14ac:dyDescent="0.35">
      <c r="A160" s="4" t="s">
        <v>1070</v>
      </c>
      <c r="B160" s="4" t="s">
        <v>517</v>
      </c>
      <c r="C160" s="4" t="s">
        <v>898</v>
      </c>
      <c r="D160" s="4">
        <v>1</v>
      </c>
      <c r="E160" s="6">
        <v>27000</v>
      </c>
      <c r="F160" t="str">
        <f>VLOOKUP(C160,menu!A:B,2,FALSE)</f>
        <v>Ayam Geprek Sambal Bawang</v>
      </c>
      <c r="G160">
        <f t="shared" si="4"/>
        <v>27000</v>
      </c>
      <c r="H160">
        <f>VLOOKUP(C160,menu!A:E,4,FALSE)</f>
        <v>11000</v>
      </c>
      <c r="I160">
        <f t="shared" si="5"/>
        <v>16000</v>
      </c>
    </row>
    <row r="161" spans="1:9" x14ac:dyDescent="0.35">
      <c r="A161" s="4" t="s">
        <v>1071</v>
      </c>
      <c r="B161" s="4" t="s">
        <v>517</v>
      </c>
      <c r="C161" s="4" t="s">
        <v>940</v>
      </c>
      <c r="D161" s="4">
        <v>1</v>
      </c>
      <c r="E161" s="6">
        <v>10000</v>
      </c>
      <c r="F161" t="str">
        <f>VLOOKUP(C161,menu!A:B,2,FALSE)</f>
        <v>Tahu Isi Goreng (5pcs)</v>
      </c>
      <c r="G161">
        <f t="shared" si="4"/>
        <v>10000</v>
      </c>
      <c r="H161">
        <f>VLOOKUP(C161,menu!A:E,4,FALSE)</f>
        <v>3500</v>
      </c>
      <c r="I161">
        <f t="shared" si="5"/>
        <v>6500</v>
      </c>
    </row>
    <row r="162" spans="1:9" x14ac:dyDescent="0.35">
      <c r="A162" s="4" t="s">
        <v>1072</v>
      </c>
      <c r="B162" s="4" t="s">
        <v>291</v>
      </c>
      <c r="C162" s="4" t="s">
        <v>898</v>
      </c>
      <c r="D162" s="4">
        <v>1</v>
      </c>
      <c r="E162" s="6">
        <v>27000</v>
      </c>
      <c r="F162" t="str">
        <f>VLOOKUP(C162,menu!A:B,2,FALSE)</f>
        <v>Ayam Geprek Sambal Bawang</v>
      </c>
      <c r="G162">
        <f t="shared" si="4"/>
        <v>27000</v>
      </c>
      <c r="H162">
        <f>VLOOKUP(C162,menu!A:E,4,FALSE)</f>
        <v>11000</v>
      </c>
      <c r="I162">
        <f t="shared" si="5"/>
        <v>16000</v>
      </c>
    </row>
    <row r="163" spans="1:9" x14ac:dyDescent="0.35">
      <c r="A163" s="4" t="s">
        <v>1073</v>
      </c>
      <c r="B163" s="4" t="s">
        <v>291</v>
      </c>
      <c r="C163" s="4" t="s">
        <v>908</v>
      </c>
      <c r="D163" s="4">
        <v>3</v>
      </c>
      <c r="E163" s="6">
        <v>16000</v>
      </c>
      <c r="F163" t="str">
        <f>VLOOKUP(C163,menu!A:B,2,FALSE)</f>
        <v>Jus Alpukat</v>
      </c>
      <c r="G163">
        <f t="shared" si="4"/>
        <v>48000</v>
      </c>
      <c r="H163">
        <f>VLOOKUP(C163,menu!A:E,4,FALSE)</f>
        <v>5500</v>
      </c>
      <c r="I163">
        <f t="shared" si="5"/>
        <v>31500</v>
      </c>
    </row>
    <row r="164" spans="1:9" x14ac:dyDescent="0.35">
      <c r="A164" s="4" t="s">
        <v>1074</v>
      </c>
      <c r="B164" s="4" t="s">
        <v>378</v>
      </c>
      <c r="C164" s="4" t="s">
        <v>931</v>
      </c>
      <c r="D164" s="4">
        <v>1</v>
      </c>
      <c r="E164" s="6">
        <v>5000</v>
      </c>
      <c r="F164" t="str">
        <f>VLOOKUP(C164,menu!A:B,2,FALSE)</f>
        <v>Kerupuk Udang</v>
      </c>
      <c r="G164">
        <f t="shared" si="4"/>
        <v>5000</v>
      </c>
      <c r="H164">
        <f>VLOOKUP(C164,menu!A:E,4,FALSE)</f>
        <v>1500</v>
      </c>
      <c r="I164">
        <f t="shared" si="5"/>
        <v>3500</v>
      </c>
    </row>
    <row r="165" spans="1:9" x14ac:dyDescent="0.35">
      <c r="A165" s="4" t="s">
        <v>1075</v>
      </c>
      <c r="B165" s="4" t="s">
        <v>378</v>
      </c>
      <c r="C165" s="4" t="s">
        <v>898</v>
      </c>
      <c r="D165" s="4">
        <v>1</v>
      </c>
      <c r="E165" s="6">
        <v>27000</v>
      </c>
      <c r="F165" t="str">
        <f>VLOOKUP(C165,menu!A:B,2,FALSE)</f>
        <v>Ayam Geprek Sambal Bawang</v>
      </c>
      <c r="G165">
        <f t="shared" si="4"/>
        <v>27000</v>
      </c>
      <c r="H165">
        <f>VLOOKUP(C165,menu!A:E,4,FALSE)</f>
        <v>11000</v>
      </c>
      <c r="I165">
        <f t="shared" si="5"/>
        <v>16000</v>
      </c>
    </row>
    <row r="166" spans="1:9" x14ac:dyDescent="0.35">
      <c r="A166" s="4" t="s">
        <v>1076</v>
      </c>
      <c r="B166" s="4" t="s">
        <v>859</v>
      </c>
      <c r="C166" s="4" t="s">
        <v>937</v>
      </c>
      <c r="D166" s="4">
        <v>3</v>
      </c>
      <c r="E166" s="6">
        <v>26000</v>
      </c>
      <c r="F166" t="str">
        <f>VLOOKUP(C166,menu!A:B,2,FALSE)</f>
        <v>Nasi Campur Bali</v>
      </c>
      <c r="G166">
        <f t="shared" si="4"/>
        <v>78000</v>
      </c>
      <c r="H166">
        <f>VLOOKUP(C166,menu!A:E,4,FALSE)</f>
        <v>11500</v>
      </c>
      <c r="I166">
        <f t="shared" si="5"/>
        <v>43500</v>
      </c>
    </row>
    <row r="167" spans="1:9" x14ac:dyDescent="0.35">
      <c r="A167" s="4" t="s">
        <v>1077</v>
      </c>
      <c r="B167" s="4" t="s">
        <v>859</v>
      </c>
      <c r="C167" s="4" t="s">
        <v>898</v>
      </c>
      <c r="D167" s="4">
        <v>1</v>
      </c>
      <c r="E167" s="6">
        <v>27000</v>
      </c>
      <c r="F167" t="str">
        <f>VLOOKUP(C167,menu!A:B,2,FALSE)</f>
        <v>Ayam Geprek Sambal Bawang</v>
      </c>
      <c r="G167">
        <f t="shared" si="4"/>
        <v>27000</v>
      </c>
      <c r="H167">
        <f>VLOOKUP(C167,menu!A:E,4,FALSE)</f>
        <v>11000</v>
      </c>
      <c r="I167">
        <f t="shared" si="5"/>
        <v>16000</v>
      </c>
    </row>
    <row r="168" spans="1:9" x14ac:dyDescent="0.35">
      <c r="A168" s="4" t="s">
        <v>1078</v>
      </c>
      <c r="B168" s="4" t="s">
        <v>859</v>
      </c>
      <c r="C168" s="4" t="s">
        <v>919</v>
      </c>
      <c r="D168" s="4">
        <v>2</v>
      </c>
      <c r="E168" s="6">
        <v>20000</v>
      </c>
      <c r="F168" t="str">
        <f>VLOOKUP(C168,menu!A:B,2,FALSE)</f>
        <v>Gado-Gado Jakarta</v>
      </c>
      <c r="G168">
        <f t="shared" si="4"/>
        <v>40000</v>
      </c>
      <c r="H168">
        <f>VLOOKUP(C168,menu!A:E,4,FALSE)</f>
        <v>8000</v>
      </c>
      <c r="I168">
        <f t="shared" si="5"/>
        <v>24000</v>
      </c>
    </row>
    <row r="169" spans="1:9" x14ac:dyDescent="0.35">
      <c r="A169" s="4" t="s">
        <v>1079</v>
      </c>
      <c r="B169" s="4" t="s">
        <v>562</v>
      </c>
      <c r="C169" s="4" t="s">
        <v>902</v>
      </c>
      <c r="D169" s="4">
        <v>1</v>
      </c>
      <c r="E169" s="6">
        <v>12000</v>
      </c>
      <c r="F169" t="str">
        <f>VLOOKUP(C169,menu!A:B,2,FALSE)</f>
        <v>Teh Tarik</v>
      </c>
      <c r="G169">
        <f t="shared" si="4"/>
        <v>12000</v>
      </c>
      <c r="H169">
        <f>VLOOKUP(C169,menu!A:E,4,FALSE)</f>
        <v>3000</v>
      </c>
      <c r="I169">
        <f t="shared" si="5"/>
        <v>9000</v>
      </c>
    </row>
    <row r="170" spans="1:9" x14ac:dyDescent="0.35">
      <c r="A170" s="4" t="s">
        <v>1080</v>
      </c>
      <c r="B170" s="4" t="s">
        <v>562</v>
      </c>
      <c r="C170" s="4" t="s">
        <v>890</v>
      </c>
      <c r="D170" s="4">
        <v>2</v>
      </c>
      <c r="E170" s="6">
        <v>18000</v>
      </c>
      <c r="F170" t="str">
        <f>VLOOKUP(C170,menu!A:B,2,FALSE)</f>
        <v>Es Kopi Susu Gula Aren</v>
      </c>
      <c r="G170">
        <f t="shared" si="4"/>
        <v>36000</v>
      </c>
      <c r="H170">
        <f>VLOOKUP(C170,menu!A:E,4,FALSE)</f>
        <v>4500</v>
      </c>
      <c r="I170">
        <f t="shared" si="5"/>
        <v>27000</v>
      </c>
    </row>
    <row r="171" spans="1:9" x14ac:dyDescent="0.35">
      <c r="A171" s="4" t="s">
        <v>1081</v>
      </c>
      <c r="B171" s="4" t="s">
        <v>562</v>
      </c>
      <c r="C171" s="4" t="s">
        <v>940</v>
      </c>
      <c r="D171" s="4">
        <v>1</v>
      </c>
      <c r="E171" s="6">
        <v>10000</v>
      </c>
      <c r="F171" t="str">
        <f>VLOOKUP(C171,menu!A:B,2,FALSE)</f>
        <v>Tahu Isi Goreng (5pcs)</v>
      </c>
      <c r="G171">
        <f t="shared" si="4"/>
        <v>10000</v>
      </c>
      <c r="H171">
        <f>VLOOKUP(C171,menu!A:E,4,FALSE)</f>
        <v>3500</v>
      </c>
      <c r="I171">
        <f t="shared" si="5"/>
        <v>6500</v>
      </c>
    </row>
    <row r="172" spans="1:9" x14ac:dyDescent="0.35">
      <c r="A172" s="4" t="s">
        <v>1082</v>
      </c>
      <c r="B172" s="4" t="s">
        <v>449</v>
      </c>
      <c r="C172" s="4" t="s">
        <v>937</v>
      </c>
      <c r="D172" s="4">
        <v>1</v>
      </c>
      <c r="E172" s="6">
        <v>26000</v>
      </c>
      <c r="F172" t="str">
        <f>VLOOKUP(C172,menu!A:B,2,FALSE)</f>
        <v>Nasi Campur Bali</v>
      </c>
      <c r="G172">
        <f t="shared" si="4"/>
        <v>26000</v>
      </c>
      <c r="H172">
        <f>VLOOKUP(C172,menu!A:E,4,FALSE)</f>
        <v>11500</v>
      </c>
      <c r="I172">
        <f t="shared" si="5"/>
        <v>14500</v>
      </c>
    </row>
    <row r="173" spans="1:9" x14ac:dyDescent="0.35">
      <c r="A173" s="4" t="s">
        <v>1083</v>
      </c>
      <c r="B173" s="4" t="s">
        <v>130</v>
      </c>
      <c r="C173" s="4" t="s">
        <v>937</v>
      </c>
      <c r="D173" s="4">
        <v>2</v>
      </c>
      <c r="E173" s="6">
        <v>26000</v>
      </c>
      <c r="F173" t="str">
        <f>VLOOKUP(C173,menu!A:B,2,FALSE)</f>
        <v>Nasi Campur Bali</v>
      </c>
      <c r="G173">
        <f t="shared" si="4"/>
        <v>52000</v>
      </c>
      <c r="H173">
        <f>VLOOKUP(C173,menu!A:E,4,FALSE)</f>
        <v>11500</v>
      </c>
      <c r="I173">
        <f t="shared" si="5"/>
        <v>29000</v>
      </c>
    </row>
    <row r="174" spans="1:9" x14ac:dyDescent="0.35">
      <c r="A174" s="4" t="s">
        <v>1084</v>
      </c>
      <c r="B174" s="4" t="s">
        <v>596</v>
      </c>
      <c r="C174" s="4" t="s">
        <v>896</v>
      </c>
      <c r="D174" s="4">
        <v>1</v>
      </c>
      <c r="E174" s="6">
        <v>23000</v>
      </c>
      <c r="F174" t="str">
        <f>VLOOKUP(C174,menu!A:B,2,FALSE)</f>
        <v>Nasi Uduk Komplit</v>
      </c>
      <c r="G174">
        <f t="shared" si="4"/>
        <v>23000</v>
      </c>
      <c r="H174">
        <f>VLOOKUP(C174,menu!A:E,4,FALSE)</f>
        <v>9000</v>
      </c>
      <c r="I174">
        <f t="shared" si="5"/>
        <v>14000</v>
      </c>
    </row>
    <row r="175" spans="1:9" x14ac:dyDescent="0.35">
      <c r="A175" s="4" t="s">
        <v>1085</v>
      </c>
      <c r="B175" s="4" t="s">
        <v>596</v>
      </c>
      <c r="C175" s="4" t="s">
        <v>955</v>
      </c>
      <c r="D175" s="4">
        <v>2</v>
      </c>
      <c r="E175" s="6">
        <v>15000</v>
      </c>
      <c r="F175" t="str">
        <f>VLOOKUP(C175,menu!A:B,2,FALSE)</f>
        <v>Es Campur</v>
      </c>
      <c r="G175">
        <f t="shared" si="4"/>
        <v>30000</v>
      </c>
      <c r="H175">
        <f>VLOOKUP(C175,menu!A:E,4,FALSE)</f>
        <v>6000</v>
      </c>
      <c r="I175">
        <f t="shared" si="5"/>
        <v>18000</v>
      </c>
    </row>
    <row r="176" spans="1:9" x14ac:dyDescent="0.35">
      <c r="A176" s="4" t="s">
        <v>1086</v>
      </c>
      <c r="B176" s="4" t="s">
        <v>596</v>
      </c>
      <c r="C176" s="4" t="s">
        <v>898</v>
      </c>
      <c r="D176" s="4">
        <v>1</v>
      </c>
      <c r="E176" s="6">
        <v>27000</v>
      </c>
      <c r="F176" t="str">
        <f>VLOOKUP(C176,menu!A:B,2,FALSE)</f>
        <v>Ayam Geprek Sambal Bawang</v>
      </c>
      <c r="G176">
        <f t="shared" si="4"/>
        <v>27000</v>
      </c>
      <c r="H176">
        <f>VLOOKUP(C176,menu!A:E,4,FALSE)</f>
        <v>11000</v>
      </c>
      <c r="I176">
        <f t="shared" si="5"/>
        <v>16000</v>
      </c>
    </row>
    <row r="177" spans="1:9" x14ac:dyDescent="0.35">
      <c r="A177" s="4" t="s">
        <v>1087</v>
      </c>
      <c r="B177" s="4" t="s">
        <v>596</v>
      </c>
      <c r="C177" s="4" t="s">
        <v>1003</v>
      </c>
      <c r="D177" s="4">
        <v>1</v>
      </c>
      <c r="E177" s="6">
        <v>29000</v>
      </c>
      <c r="F177" t="str">
        <f>VLOOKUP(C177,menu!A:B,2,FALSE)</f>
        <v>Capcay Seafood</v>
      </c>
      <c r="G177">
        <f t="shared" si="4"/>
        <v>29000</v>
      </c>
      <c r="H177">
        <f>VLOOKUP(C177,menu!A:E,4,FALSE)</f>
        <v>13000</v>
      </c>
      <c r="I177">
        <f t="shared" si="5"/>
        <v>16000</v>
      </c>
    </row>
    <row r="178" spans="1:9" x14ac:dyDescent="0.35">
      <c r="A178" s="4" t="s">
        <v>1088</v>
      </c>
      <c r="B178" s="4" t="s">
        <v>615</v>
      </c>
      <c r="C178" s="4" t="s">
        <v>1059</v>
      </c>
      <c r="D178" s="4">
        <v>1</v>
      </c>
      <c r="E178" s="6">
        <v>6000</v>
      </c>
      <c r="F178" t="str">
        <f>VLOOKUP(C178,menu!A:B,2,FALSE)</f>
        <v>Es Teh Manis</v>
      </c>
      <c r="G178">
        <f t="shared" si="4"/>
        <v>6000</v>
      </c>
      <c r="H178">
        <f>VLOOKUP(C178,menu!A:E,4,FALSE)</f>
        <v>1500</v>
      </c>
      <c r="I178">
        <f t="shared" si="5"/>
        <v>4500</v>
      </c>
    </row>
    <row r="179" spans="1:9" x14ac:dyDescent="0.35">
      <c r="A179" s="4" t="s">
        <v>1089</v>
      </c>
      <c r="B179" s="4" t="s">
        <v>763</v>
      </c>
      <c r="C179" s="4" t="s">
        <v>955</v>
      </c>
      <c r="D179" s="4">
        <v>1</v>
      </c>
      <c r="E179" s="6">
        <v>15000</v>
      </c>
      <c r="F179" t="str">
        <f>VLOOKUP(C179,menu!A:B,2,FALSE)</f>
        <v>Es Campur</v>
      </c>
      <c r="G179">
        <f t="shared" si="4"/>
        <v>15000</v>
      </c>
      <c r="H179">
        <f>VLOOKUP(C179,menu!A:E,4,FALSE)</f>
        <v>6000</v>
      </c>
      <c r="I179">
        <f t="shared" si="5"/>
        <v>9000</v>
      </c>
    </row>
    <row r="180" spans="1:9" x14ac:dyDescent="0.35">
      <c r="A180" s="4" t="s">
        <v>1090</v>
      </c>
      <c r="B180" s="4" t="s">
        <v>763</v>
      </c>
      <c r="C180" s="4" t="s">
        <v>919</v>
      </c>
      <c r="D180" s="4">
        <v>1</v>
      </c>
      <c r="E180" s="6">
        <v>20000</v>
      </c>
      <c r="F180" t="str">
        <f>VLOOKUP(C180,menu!A:B,2,FALSE)</f>
        <v>Gado-Gado Jakarta</v>
      </c>
      <c r="G180">
        <f t="shared" si="4"/>
        <v>20000</v>
      </c>
      <c r="H180">
        <f>VLOOKUP(C180,menu!A:E,4,FALSE)</f>
        <v>8000</v>
      </c>
      <c r="I180">
        <f t="shared" si="5"/>
        <v>12000</v>
      </c>
    </row>
    <row r="181" spans="1:9" x14ac:dyDescent="0.35">
      <c r="A181" s="4" t="s">
        <v>1091</v>
      </c>
      <c r="B181" s="4" t="s">
        <v>763</v>
      </c>
      <c r="C181" s="4" t="s">
        <v>890</v>
      </c>
      <c r="D181" s="4">
        <v>3</v>
      </c>
      <c r="E181" s="6">
        <v>18000</v>
      </c>
      <c r="F181" t="str">
        <f>VLOOKUP(C181,menu!A:B,2,FALSE)</f>
        <v>Es Kopi Susu Gula Aren</v>
      </c>
      <c r="G181">
        <f t="shared" si="4"/>
        <v>54000</v>
      </c>
      <c r="H181">
        <f>VLOOKUP(C181,menu!A:E,4,FALSE)</f>
        <v>4500</v>
      </c>
      <c r="I181">
        <f t="shared" si="5"/>
        <v>40500</v>
      </c>
    </row>
    <row r="182" spans="1:9" x14ac:dyDescent="0.35">
      <c r="A182" s="4" t="s">
        <v>1092</v>
      </c>
      <c r="B182" s="4" t="s">
        <v>806</v>
      </c>
      <c r="C182" s="4" t="s">
        <v>892</v>
      </c>
      <c r="D182" s="4">
        <v>1</v>
      </c>
      <c r="E182" s="6">
        <v>9000</v>
      </c>
      <c r="F182" t="str">
        <f>VLOOKUP(C182,menu!A:B,2,FALSE)</f>
        <v>Tempe Mendoan (5pcs)</v>
      </c>
      <c r="G182">
        <f t="shared" si="4"/>
        <v>9000</v>
      </c>
      <c r="H182">
        <f>VLOOKUP(C182,menu!A:E,4,FALSE)</f>
        <v>3000</v>
      </c>
      <c r="I182">
        <f t="shared" si="5"/>
        <v>6000</v>
      </c>
    </row>
    <row r="183" spans="1:9" x14ac:dyDescent="0.35">
      <c r="A183" s="4" t="s">
        <v>1093</v>
      </c>
      <c r="B183" s="4" t="s">
        <v>806</v>
      </c>
      <c r="C183" s="4" t="s">
        <v>931</v>
      </c>
      <c r="D183" s="4">
        <v>1</v>
      </c>
      <c r="E183" s="6">
        <v>5000</v>
      </c>
      <c r="F183" t="str">
        <f>VLOOKUP(C183,menu!A:B,2,FALSE)</f>
        <v>Kerupuk Udang</v>
      </c>
      <c r="G183">
        <f t="shared" si="4"/>
        <v>5000</v>
      </c>
      <c r="H183">
        <f>VLOOKUP(C183,menu!A:E,4,FALSE)</f>
        <v>1500</v>
      </c>
      <c r="I183">
        <f t="shared" si="5"/>
        <v>3500</v>
      </c>
    </row>
    <row r="184" spans="1:9" x14ac:dyDescent="0.35">
      <c r="A184" s="4" t="s">
        <v>1094</v>
      </c>
      <c r="B184" s="4" t="s">
        <v>806</v>
      </c>
      <c r="C184" s="4" t="s">
        <v>906</v>
      </c>
      <c r="D184" s="4">
        <v>1</v>
      </c>
      <c r="E184" s="6">
        <v>28000</v>
      </c>
      <c r="F184" t="str">
        <f>VLOOKUP(C184,menu!A:B,2,FALSE)</f>
        <v>Sate Ayam 10 Tusuk</v>
      </c>
      <c r="G184">
        <f t="shared" si="4"/>
        <v>28000</v>
      </c>
      <c r="H184">
        <f>VLOOKUP(C184,menu!A:E,4,FALSE)</f>
        <v>12000</v>
      </c>
      <c r="I184">
        <f t="shared" si="5"/>
        <v>16000</v>
      </c>
    </row>
    <row r="185" spans="1:9" x14ac:dyDescent="0.35">
      <c r="A185" s="4" t="s">
        <v>1095</v>
      </c>
      <c r="B185" s="4" t="s">
        <v>611</v>
      </c>
      <c r="C185" s="4" t="s">
        <v>890</v>
      </c>
      <c r="D185" s="4">
        <v>1</v>
      </c>
      <c r="E185" s="6">
        <v>18000</v>
      </c>
      <c r="F185" t="str">
        <f>VLOOKUP(C185,menu!A:B,2,FALSE)</f>
        <v>Es Kopi Susu Gula Aren</v>
      </c>
      <c r="G185">
        <f t="shared" si="4"/>
        <v>18000</v>
      </c>
      <c r="H185">
        <f>VLOOKUP(C185,menu!A:E,4,FALSE)</f>
        <v>4500</v>
      </c>
      <c r="I185">
        <f t="shared" si="5"/>
        <v>13500</v>
      </c>
    </row>
    <row r="186" spans="1:9" x14ac:dyDescent="0.35">
      <c r="A186" s="4" t="s">
        <v>1096</v>
      </c>
      <c r="B186" s="4" t="s">
        <v>611</v>
      </c>
      <c r="C186" s="4" t="s">
        <v>898</v>
      </c>
      <c r="D186" s="4">
        <v>1</v>
      </c>
      <c r="E186" s="6">
        <v>27000</v>
      </c>
      <c r="F186" t="str">
        <f>VLOOKUP(C186,menu!A:B,2,FALSE)</f>
        <v>Ayam Geprek Sambal Bawang</v>
      </c>
      <c r="G186">
        <f t="shared" si="4"/>
        <v>27000</v>
      </c>
      <c r="H186">
        <f>VLOOKUP(C186,menu!A:E,4,FALSE)</f>
        <v>11000</v>
      </c>
      <c r="I186">
        <f t="shared" si="5"/>
        <v>16000</v>
      </c>
    </row>
    <row r="187" spans="1:9" x14ac:dyDescent="0.35">
      <c r="A187" s="4" t="s">
        <v>1097</v>
      </c>
      <c r="B187" s="4" t="s">
        <v>611</v>
      </c>
      <c r="C187" s="4" t="s">
        <v>894</v>
      </c>
      <c r="D187" s="4">
        <v>1</v>
      </c>
      <c r="E187" s="6">
        <v>5000</v>
      </c>
      <c r="F187" t="str">
        <f>VLOOKUP(C187,menu!A:B,2,FALSE)</f>
        <v>Air Mineral Botol</v>
      </c>
      <c r="G187">
        <f t="shared" si="4"/>
        <v>5000</v>
      </c>
      <c r="H187">
        <f>VLOOKUP(C187,menu!A:E,4,FALSE)</f>
        <v>2000</v>
      </c>
      <c r="I187">
        <f t="shared" si="5"/>
        <v>3000</v>
      </c>
    </row>
    <row r="188" spans="1:9" x14ac:dyDescent="0.35">
      <c r="A188" s="4" t="s">
        <v>1098</v>
      </c>
      <c r="B188" s="4" t="s">
        <v>786</v>
      </c>
      <c r="C188" s="4" t="s">
        <v>906</v>
      </c>
      <c r="D188" s="4">
        <v>1</v>
      </c>
      <c r="E188" s="6">
        <v>28000</v>
      </c>
      <c r="F188" t="str">
        <f>VLOOKUP(C188,menu!A:B,2,FALSE)</f>
        <v>Sate Ayam 10 Tusuk</v>
      </c>
      <c r="G188">
        <f t="shared" si="4"/>
        <v>28000</v>
      </c>
      <c r="H188">
        <f>VLOOKUP(C188,menu!A:E,4,FALSE)</f>
        <v>12000</v>
      </c>
      <c r="I188">
        <f t="shared" si="5"/>
        <v>16000</v>
      </c>
    </row>
    <row r="189" spans="1:9" x14ac:dyDescent="0.35">
      <c r="A189" s="4" t="s">
        <v>1099</v>
      </c>
      <c r="B189" s="4" t="s">
        <v>786</v>
      </c>
      <c r="C189" s="4" t="s">
        <v>894</v>
      </c>
      <c r="D189" s="4">
        <v>1</v>
      </c>
      <c r="E189" s="6">
        <v>5000</v>
      </c>
      <c r="F189" t="str">
        <f>VLOOKUP(C189,menu!A:B,2,FALSE)</f>
        <v>Air Mineral Botol</v>
      </c>
      <c r="G189">
        <f t="shared" si="4"/>
        <v>5000</v>
      </c>
      <c r="H189">
        <f>VLOOKUP(C189,menu!A:E,4,FALSE)</f>
        <v>2000</v>
      </c>
      <c r="I189">
        <f t="shared" si="5"/>
        <v>3000</v>
      </c>
    </row>
    <row r="190" spans="1:9" x14ac:dyDescent="0.35">
      <c r="A190" s="4" t="s">
        <v>1100</v>
      </c>
      <c r="B190" s="4" t="s">
        <v>786</v>
      </c>
      <c r="C190" s="4" t="s">
        <v>898</v>
      </c>
      <c r="D190" s="4">
        <v>2</v>
      </c>
      <c r="E190" s="6">
        <v>27000</v>
      </c>
      <c r="F190" t="str">
        <f>VLOOKUP(C190,menu!A:B,2,FALSE)</f>
        <v>Ayam Geprek Sambal Bawang</v>
      </c>
      <c r="G190">
        <f t="shared" si="4"/>
        <v>54000</v>
      </c>
      <c r="H190">
        <f>VLOOKUP(C190,menu!A:E,4,FALSE)</f>
        <v>11000</v>
      </c>
      <c r="I190">
        <f t="shared" si="5"/>
        <v>32000</v>
      </c>
    </row>
    <row r="191" spans="1:9" x14ac:dyDescent="0.35">
      <c r="A191" s="4" t="s">
        <v>1101</v>
      </c>
      <c r="B191" s="4" t="s">
        <v>786</v>
      </c>
      <c r="C191" s="4" t="s">
        <v>890</v>
      </c>
      <c r="D191" s="4">
        <v>1</v>
      </c>
      <c r="E191" s="6">
        <v>18000</v>
      </c>
      <c r="F191" t="str">
        <f>VLOOKUP(C191,menu!A:B,2,FALSE)</f>
        <v>Es Kopi Susu Gula Aren</v>
      </c>
      <c r="G191">
        <f t="shared" si="4"/>
        <v>18000</v>
      </c>
      <c r="H191">
        <f>VLOOKUP(C191,menu!A:E,4,FALSE)</f>
        <v>4500</v>
      </c>
      <c r="I191">
        <f t="shared" si="5"/>
        <v>13500</v>
      </c>
    </row>
    <row r="192" spans="1:9" x14ac:dyDescent="0.35">
      <c r="A192" s="4" t="s">
        <v>1102</v>
      </c>
      <c r="B192" s="4" t="s">
        <v>508</v>
      </c>
      <c r="C192" s="4" t="s">
        <v>937</v>
      </c>
      <c r="D192" s="4">
        <v>2</v>
      </c>
      <c r="E192" s="6">
        <v>26000</v>
      </c>
      <c r="F192" t="str">
        <f>VLOOKUP(C192,menu!A:B,2,FALSE)</f>
        <v>Nasi Campur Bali</v>
      </c>
      <c r="G192">
        <f t="shared" si="4"/>
        <v>52000</v>
      </c>
      <c r="H192">
        <f>VLOOKUP(C192,menu!A:E,4,FALSE)</f>
        <v>11500</v>
      </c>
      <c r="I192">
        <f t="shared" si="5"/>
        <v>29000</v>
      </c>
    </row>
    <row r="193" spans="1:9" x14ac:dyDescent="0.35">
      <c r="A193" s="4" t="s">
        <v>1103</v>
      </c>
      <c r="B193" s="4" t="s">
        <v>259</v>
      </c>
      <c r="C193" s="4" t="s">
        <v>894</v>
      </c>
      <c r="D193" s="4">
        <v>2</v>
      </c>
      <c r="E193" s="6">
        <v>5000</v>
      </c>
      <c r="F193" t="str">
        <f>VLOOKUP(C193,menu!A:B,2,FALSE)</f>
        <v>Air Mineral Botol</v>
      </c>
      <c r="G193">
        <f t="shared" si="4"/>
        <v>10000</v>
      </c>
      <c r="H193">
        <f>VLOOKUP(C193,menu!A:E,4,FALSE)</f>
        <v>2000</v>
      </c>
      <c r="I193">
        <f t="shared" si="5"/>
        <v>6000</v>
      </c>
    </row>
    <row r="194" spans="1:9" x14ac:dyDescent="0.35">
      <c r="A194" s="4" t="s">
        <v>1104</v>
      </c>
      <c r="B194" s="4" t="s">
        <v>259</v>
      </c>
      <c r="C194" s="4" t="s">
        <v>896</v>
      </c>
      <c r="D194" s="4">
        <v>1</v>
      </c>
      <c r="E194" s="6">
        <v>23000</v>
      </c>
      <c r="F194" t="str">
        <f>VLOOKUP(C194,menu!A:B,2,FALSE)</f>
        <v>Nasi Uduk Komplit</v>
      </c>
      <c r="G194">
        <f t="shared" si="4"/>
        <v>23000</v>
      </c>
      <c r="H194">
        <f>VLOOKUP(C194,menu!A:E,4,FALSE)</f>
        <v>9000</v>
      </c>
      <c r="I194">
        <f t="shared" si="5"/>
        <v>14000</v>
      </c>
    </row>
    <row r="195" spans="1:9" x14ac:dyDescent="0.35">
      <c r="A195" s="4" t="s">
        <v>1105</v>
      </c>
      <c r="B195" s="4" t="s">
        <v>259</v>
      </c>
      <c r="C195" s="4" t="s">
        <v>900</v>
      </c>
      <c r="D195" s="4">
        <v>1</v>
      </c>
      <c r="E195" s="6">
        <v>8000</v>
      </c>
      <c r="F195" t="str">
        <f>VLOOKUP(C195,menu!A:B,2,FALSE)</f>
        <v>Es Jeruk Peras</v>
      </c>
      <c r="G195">
        <f t="shared" ref="G195:G258" si="6">D195*E195</f>
        <v>8000</v>
      </c>
      <c r="H195">
        <f>VLOOKUP(C195,menu!A:E,4,FALSE)</f>
        <v>2500</v>
      </c>
      <c r="I195">
        <f t="shared" ref="I195:I258" si="7">(E195-H195)*D195</f>
        <v>5500</v>
      </c>
    </row>
    <row r="196" spans="1:9" x14ac:dyDescent="0.35">
      <c r="A196" s="4" t="s">
        <v>1106</v>
      </c>
      <c r="B196" s="4" t="s">
        <v>259</v>
      </c>
      <c r="C196" s="4" t="s">
        <v>898</v>
      </c>
      <c r="D196" s="4">
        <v>1</v>
      </c>
      <c r="E196" s="6">
        <v>27000</v>
      </c>
      <c r="F196" t="str">
        <f>VLOOKUP(C196,menu!A:B,2,FALSE)</f>
        <v>Ayam Geprek Sambal Bawang</v>
      </c>
      <c r="G196">
        <f t="shared" si="6"/>
        <v>27000</v>
      </c>
      <c r="H196">
        <f>VLOOKUP(C196,menu!A:E,4,FALSE)</f>
        <v>11000</v>
      </c>
      <c r="I196">
        <f t="shared" si="7"/>
        <v>16000</v>
      </c>
    </row>
    <row r="197" spans="1:9" x14ac:dyDescent="0.35">
      <c r="A197" s="4" t="s">
        <v>1107</v>
      </c>
      <c r="B197" s="4" t="s">
        <v>259</v>
      </c>
      <c r="C197" s="4" t="s">
        <v>904</v>
      </c>
      <c r="D197" s="4">
        <v>1</v>
      </c>
      <c r="E197" s="6">
        <v>22000</v>
      </c>
      <c r="F197" t="str">
        <f>VLOOKUP(C197,menu!A:B,2,FALSE)</f>
        <v>Pecel Lele</v>
      </c>
      <c r="G197">
        <f t="shared" si="6"/>
        <v>22000</v>
      </c>
      <c r="H197">
        <f>VLOOKUP(C197,menu!A:E,4,FALSE)</f>
        <v>9500</v>
      </c>
      <c r="I197">
        <f t="shared" si="7"/>
        <v>12500</v>
      </c>
    </row>
    <row r="198" spans="1:9" x14ac:dyDescent="0.35">
      <c r="A198" s="4" t="s">
        <v>1108</v>
      </c>
      <c r="B198" s="4" t="s">
        <v>225</v>
      </c>
      <c r="C198" s="4" t="s">
        <v>898</v>
      </c>
      <c r="D198" s="4">
        <v>1</v>
      </c>
      <c r="E198" s="6">
        <v>27000</v>
      </c>
      <c r="F198" t="str">
        <f>VLOOKUP(C198,menu!A:B,2,FALSE)</f>
        <v>Ayam Geprek Sambal Bawang</v>
      </c>
      <c r="G198">
        <f t="shared" si="6"/>
        <v>27000</v>
      </c>
      <c r="H198">
        <f>VLOOKUP(C198,menu!A:E,4,FALSE)</f>
        <v>11000</v>
      </c>
      <c r="I198">
        <f t="shared" si="7"/>
        <v>16000</v>
      </c>
    </row>
    <row r="199" spans="1:9" x14ac:dyDescent="0.35">
      <c r="A199" s="4" t="s">
        <v>1109</v>
      </c>
      <c r="B199" s="4" t="s">
        <v>225</v>
      </c>
      <c r="C199" s="4" t="s">
        <v>1003</v>
      </c>
      <c r="D199" s="4">
        <v>1</v>
      </c>
      <c r="E199" s="6">
        <v>29000</v>
      </c>
      <c r="F199" t="str">
        <f>VLOOKUP(C199,menu!A:B,2,FALSE)</f>
        <v>Capcay Seafood</v>
      </c>
      <c r="G199">
        <f t="shared" si="6"/>
        <v>29000</v>
      </c>
      <c r="H199">
        <f>VLOOKUP(C199,menu!A:E,4,FALSE)</f>
        <v>13000</v>
      </c>
      <c r="I199">
        <f t="shared" si="7"/>
        <v>16000</v>
      </c>
    </row>
    <row r="200" spans="1:9" x14ac:dyDescent="0.35">
      <c r="A200" s="4" t="s">
        <v>1110</v>
      </c>
      <c r="B200" s="4" t="s">
        <v>599</v>
      </c>
      <c r="C200" s="4" t="s">
        <v>937</v>
      </c>
      <c r="D200" s="4">
        <v>1</v>
      </c>
      <c r="E200" s="6">
        <v>26000</v>
      </c>
      <c r="F200" t="str">
        <f>VLOOKUP(C200,menu!A:B,2,FALSE)</f>
        <v>Nasi Campur Bali</v>
      </c>
      <c r="G200">
        <f t="shared" si="6"/>
        <v>26000</v>
      </c>
      <c r="H200">
        <f>VLOOKUP(C200,menu!A:E,4,FALSE)</f>
        <v>11500</v>
      </c>
      <c r="I200">
        <f t="shared" si="7"/>
        <v>14500</v>
      </c>
    </row>
    <row r="201" spans="1:9" x14ac:dyDescent="0.35">
      <c r="A201" s="4" t="s">
        <v>1111</v>
      </c>
      <c r="B201" s="4" t="s">
        <v>599</v>
      </c>
      <c r="C201" s="4" t="s">
        <v>898</v>
      </c>
      <c r="D201" s="4">
        <v>3</v>
      </c>
      <c r="E201" s="6">
        <v>27000</v>
      </c>
      <c r="F201" t="str">
        <f>VLOOKUP(C201,menu!A:B,2,FALSE)</f>
        <v>Ayam Geprek Sambal Bawang</v>
      </c>
      <c r="G201">
        <f t="shared" si="6"/>
        <v>81000</v>
      </c>
      <c r="H201">
        <f>VLOOKUP(C201,menu!A:E,4,FALSE)</f>
        <v>11000</v>
      </c>
      <c r="I201">
        <f t="shared" si="7"/>
        <v>48000</v>
      </c>
    </row>
    <row r="202" spans="1:9" x14ac:dyDescent="0.35">
      <c r="A202" s="4" t="s">
        <v>1112</v>
      </c>
      <c r="B202" s="4" t="s">
        <v>239</v>
      </c>
      <c r="C202" s="4" t="s">
        <v>1003</v>
      </c>
      <c r="D202" s="4">
        <v>1</v>
      </c>
      <c r="E202" s="6">
        <v>29000</v>
      </c>
      <c r="F202" t="str">
        <f>VLOOKUP(C202,menu!A:B,2,FALSE)</f>
        <v>Capcay Seafood</v>
      </c>
      <c r="G202">
        <f t="shared" si="6"/>
        <v>29000</v>
      </c>
      <c r="H202">
        <f>VLOOKUP(C202,menu!A:E,4,FALSE)</f>
        <v>13000</v>
      </c>
      <c r="I202">
        <f t="shared" si="7"/>
        <v>16000</v>
      </c>
    </row>
    <row r="203" spans="1:9" x14ac:dyDescent="0.35">
      <c r="A203" s="4" t="s">
        <v>1113</v>
      </c>
      <c r="B203" s="4" t="s">
        <v>239</v>
      </c>
      <c r="C203" s="4" t="s">
        <v>898</v>
      </c>
      <c r="D203" s="4">
        <v>2</v>
      </c>
      <c r="E203" s="6">
        <v>27000</v>
      </c>
      <c r="F203" t="str">
        <f>VLOOKUP(C203,menu!A:B,2,FALSE)</f>
        <v>Ayam Geprek Sambal Bawang</v>
      </c>
      <c r="G203">
        <f t="shared" si="6"/>
        <v>54000</v>
      </c>
      <c r="H203">
        <f>VLOOKUP(C203,menu!A:E,4,FALSE)</f>
        <v>11000</v>
      </c>
      <c r="I203">
        <f t="shared" si="7"/>
        <v>32000</v>
      </c>
    </row>
    <row r="204" spans="1:9" x14ac:dyDescent="0.35">
      <c r="A204" s="4" t="s">
        <v>1114</v>
      </c>
      <c r="B204" s="4" t="s">
        <v>239</v>
      </c>
      <c r="C204" s="4" t="s">
        <v>900</v>
      </c>
      <c r="D204" s="4">
        <v>1</v>
      </c>
      <c r="E204" s="6">
        <v>8000</v>
      </c>
      <c r="F204" t="str">
        <f>VLOOKUP(C204,menu!A:B,2,FALSE)</f>
        <v>Es Jeruk Peras</v>
      </c>
      <c r="G204">
        <f t="shared" si="6"/>
        <v>8000</v>
      </c>
      <c r="H204">
        <f>VLOOKUP(C204,menu!A:E,4,FALSE)</f>
        <v>2500</v>
      </c>
      <c r="I204">
        <f t="shared" si="7"/>
        <v>5500</v>
      </c>
    </row>
    <row r="205" spans="1:9" x14ac:dyDescent="0.35">
      <c r="A205" s="4" t="s">
        <v>1115</v>
      </c>
      <c r="B205" s="4" t="s">
        <v>239</v>
      </c>
      <c r="C205" s="4" t="s">
        <v>894</v>
      </c>
      <c r="D205" s="4">
        <v>3</v>
      </c>
      <c r="E205" s="6">
        <v>5000</v>
      </c>
      <c r="F205" t="str">
        <f>VLOOKUP(C205,menu!A:B,2,FALSE)</f>
        <v>Air Mineral Botol</v>
      </c>
      <c r="G205">
        <f t="shared" si="6"/>
        <v>15000</v>
      </c>
      <c r="H205">
        <f>VLOOKUP(C205,menu!A:E,4,FALSE)</f>
        <v>2000</v>
      </c>
      <c r="I205">
        <f t="shared" si="7"/>
        <v>9000</v>
      </c>
    </row>
    <row r="206" spans="1:9" x14ac:dyDescent="0.35">
      <c r="A206" s="4" t="s">
        <v>1116</v>
      </c>
      <c r="B206" s="4" t="s">
        <v>239</v>
      </c>
      <c r="C206" s="4" t="s">
        <v>937</v>
      </c>
      <c r="D206" s="4">
        <v>1</v>
      </c>
      <c r="E206" s="6">
        <v>26000</v>
      </c>
      <c r="F206" t="str">
        <f>VLOOKUP(C206,menu!A:B,2,FALSE)</f>
        <v>Nasi Campur Bali</v>
      </c>
      <c r="G206">
        <f t="shared" si="6"/>
        <v>26000</v>
      </c>
      <c r="H206">
        <f>VLOOKUP(C206,menu!A:E,4,FALSE)</f>
        <v>11500</v>
      </c>
      <c r="I206">
        <f t="shared" si="7"/>
        <v>14500</v>
      </c>
    </row>
    <row r="207" spans="1:9" x14ac:dyDescent="0.35">
      <c r="A207" s="4" t="s">
        <v>1117</v>
      </c>
      <c r="B207" s="4" t="s">
        <v>52</v>
      </c>
      <c r="C207" s="4" t="s">
        <v>890</v>
      </c>
      <c r="D207" s="4">
        <v>1</v>
      </c>
      <c r="E207" s="6">
        <v>18000</v>
      </c>
      <c r="F207" t="str">
        <f>VLOOKUP(C207,menu!A:B,2,FALSE)</f>
        <v>Es Kopi Susu Gula Aren</v>
      </c>
      <c r="G207">
        <f t="shared" si="6"/>
        <v>18000</v>
      </c>
      <c r="H207">
        <f>VLOOKUP(C207,menu!A:E,4,FALSE)</f>
        <v>4500</v>
      </c>
      <c r="I207">
        <f t="shared" si="7"/>
        <v>13500</v>
      </c>
    </row>
    <row r="208" spans="1:9" x14ac:dyDescent="0.35">
      <c r="A208" s="4" t="s">
        <v>1118</v>
      </c>
      <c r="B208" s="4" t="s">
        <v>52</v>
      </c>
      <c r="C208" s="4" t="s">
        <v>898</v>
      </c>
      <c r="D208" s="4">
        <v>1</v>
      </c>
      <c r="E208" s="6">
        <v>27000</v>
      </c>
      <c r="F208" t="str">
        <f>VLOOKUP(C208,menu!A:B,2,FALSE)</f>
        <v>Ayam Geprek Sambal Bawang</v>
      </c>
      <c r="G208">
        <f t="shared" si="6"/>
        <v>27000</v>
      </c>
      <c r="H208">
        <f>VLOOKUP(C208,menu!A:E,4,FALSE)</f>
        <v>11000</v>
      </c>
      <c r="I208">
        <f t="shared" si="7"/>
        <v>16000</v>
      </c>
    </row>
    <row r="209" spans="1:9" x14ac:dyDescent="0.35">
      <c r="A209" s="4" t="s">
        <v>1119</v>
      </c>
      <c r="B209" s="4" t="s">
        <v>802</v>
      </c>
      <c r="C209" s="4" t="s">
        <v>935</v>
      </c>
      <c r="D209" s="4">
        <v>1</v>
      </c>
      <c r="E209" s="6">
        <v>22000</v>
      </c>
      <c r="F209" t="str">
        <f>VLOOKUP(C209,menu!A:B,2,FALSE)</f>
        <v>Soto Ayam Lamongan</v>
      </c>
      <c r="G209">
        <f t="shared" si="6"/>
        <v>22000</v>
      </c>
      <c r="H209">
        <f>VLOOKUP(C209,menu!A:E,4,FALSE)</f>
        <v>9500</v>
      </c>
      <c r="I209">
        <f t="shared" si="7"/>
        <v>12500</v>
      </c>
    </row>
    <row r="210" spans="1:9" x14ac:dyDescent="0.35">
      <c r="A210" s="4" t="s">
        <v>1120</v>
      </c>
      <c r="B210" s="4" t="s">
        <v>802</v>
      </c>
      <c r="C210" s="4" t="s">
        <v>937</v>
      </c>
      <c r="D210" s="4">
        <v>1</v>
      </c>
      <c r="E210" s="6">
        <v>26000</v>
      </c>
      <c r="F210" t="str">
        <f>VLOOKUP(C210,menu!A:B,2,FALSE)</f>
        <v>Nasi Campur Bali</v>
      </c>
      <c r="G210">
        <f t="shared" si="6"/>
        <v>26000</v>
      </c>
      <c r="H210">
        <f>VLOOKUP(C210,menu!A:E,4,FALSE)</f>
        <v>11500</v>
      </c>
      <c r="I210">
        <f t="shared" si="7"/>
        <v>14500</v>
      </c>
    </row>
    <row r="211" spans="1:9" x14ac:dyDescent="0.35">
      <c r="A211" s="4" t="s">
        <v>1121</v>
      </c>
      <c r="B211" s="4" t="s">
        <v>214</v>
      </c>
      <c r="C211" s="4" t="s">
        <v>1003</v>
      </c>
      <c r="D211" s="4">
        <v>2</v>
      </c>
      <c r="E211" s="6">
        <v>29000</v>
      </c>
      <c r="F211" t="str">
        <f>VLOOKUP(C211,menu!A:B,2,FALSE)</f>
        <v>Capcay Seafood</v>
      </c>
      <c r="G211">
        <f t="shared" si="6"/>
        <v>58000</v>
      </c>
      <c r="H211">
        <f>VLOOKUP(C211,menu!A:E,4,FALSE)</f>
        <v>13000</v>
      </c>
      <c r="I211">
        <f t="shared" si="7"/>
        <v>32000</v>
      </c>
    </row>
    <row r="212" spans="1:9" x14ac:dyDescent="0.35">
      <c r="A212" s="4" t="s">
        <v>1122</v>
      </c>
      <c r="B212" s="4" t="s">
        <v>214</v>
      </c>
      <c r="C212" s="4" t="s">
        <v>898</v>
      </c>
      <c r="D212" s="4">
        <v>1</v>
      </c>
      <c r="E212" s="6">
        <v>27000</v>
      </c>
      <c r="F212" t="str">
        <f>VLOOKUP(C212,menu!A:B,2,FALSE)</f>
        <v>Ayam Geprek Sambal Bawang</v>
      </c>
      <c r="G212">
        <f t="shared" si="6"/>
        <v>27000</v>
      </c>
      <c r="H212">
        <f>VLOOKUP(C212,menu!A:E,4,FALSE)</f>
        <v>11000</v>
      </c>
      <c r="I212">
        <f t="shared" si="7"/>
        <v>16000</v>
      </c>
    </row>
    <row r="213" spans="1:9" x14ac:dyDescent="0.35">
      <c r="A213" s="4" t="s">
        <v>1123</v>
      </c>
      <c r="B213" s="4" t="s">
        <v>214</v>
      </c>
      <c r="C213" s="4" t="s">
        <v>937</v>
      </c>
      <c r="D213" s="4">
        <v>1</v>
      </c>
      <c r="E213" s="6">
        <v>26000</v>
      </c>
      <c r="F213" t="str">
        <f>VLOOKUP(C213,menu!A:B,2,FALSE)</f>
        <v>Nasi Campur Bali</v>
      </c>
      <c r="G213">
        <f t="shared" si="6"/>
        <v>26000</v>
      </c>
      <c r="H213">
        <f>VLOOKUP(C213,menu!A:E,4,FALSE)</f>
        <v>11500</v>
      </c>
      <c r="I213">
        <f t="shared" si="7"/>
        <v>14500</v>
      </c>
    </row>
    <row r="214" spans="1:9" x14ac:dyDescent="0.35">
      <c r="A214" s="4" t="s">
        <v>1124</v>
      </c>
      <c r="B214" s="4" t="s">
        <v>214</v>
      </c>
      <c r="C214" s="4" t="s">
        <v>890</v>
      </c>
      <c r="D214" s="4">
        <v>1</v>
      </c>
      <c r="E214" s="6">
        <v>18000</v>
      </c>
      <c r="F214" t="str">
        <f>VLOOKUP(C214,menu!A:B,2,FALSE)</f>
        <v>Es Kopi Susu Gula Aren</v>
      </c>
      <c r="G214">
        <f t="shared" si="6"/>
        <v>18000</v>
      </c>
      <c r="H214">
        <f>VLOOKUP(C214,menu!A:E,4,FALSE)</f>
        <v>4500</v>
      </c>
      <c r="I214">
        <f t="shared" si="7"/>
        <v>13500</v>
      </c>
    </row>
    <row r="215" spans="1:9" x14ac:dyDescent="0.35">
      <c r="A215" s="4" t="s">
        <v>1125</v>
      </c>
      <c r="B215" s="4" t="s">
        <v>305</v>
      </c>
      <c r="C215" s="4" t="s">
        <v>898</v>
      </c>
      <c r="D215" s="4">
        <v>1</v>
      </c>
      <c r="E215" s="6">
        <v>27000</v>
      </c>
      <c r="F215" t="str">
        <f>VLOOKUP(C215,menu!A:B,2,FALSE)</f>
        <v>Ayam Geprek Sambal Bawang</v>
      </c>
      <c r="G215">
        <f t="shared" si="6"/>
        <v>27000</v>
      </c>
      <c r="H215">
        <f>VLOOKUP(C215,menu!A:E,4,FALSE)</f>
        <v>11000</v>
      </c>
      <c r="I215">
        <f t="shared" si="7"/>
        <v>16000</v>
      </c>
    </row>
    <row r="216" spans="1:9" x14ac:dyDescent="0.35">
      <c r="A216" s="4" t="s">
        <v>1126</v>
      </c>
      <c r="B216" s="4" t="s">
        <v>305</v>
      </c>
      <c r="C216" s="4" t="s">
        <v>896</v>
      </c>
      <c r="D216" s="4">
        <v>1</v>
      </c>
      <c r="E216" s="6">
        <v>23000</v>
      </c>
      <c r="F216" t="str">
        <f>VLOOKUP(C216,menu!A:B,2,FALSE)</f>
        <v>Nasi Uduk Komplit</v>
      </c>
      <c r="G216">
        <f t="shared" si="6"/>
        <v>23000</v>
      </c>
      <c r="H216">
        <f>VLOOKUP(C216,menu!A:E,4,FALSE)</f>
        <v>9000</v>
      </c>
      <c r="I216">
        <f t="shared" si="7"/>
        <v>14000</v>
      </c>
    </row>
    <row r="217" spans="1:9" x14ac:dyDescent="0.35">
      <c r="A217" s="4" t="s">
        <v>1127</v>
      </c>
      <c r="B217" s="4" t="s">
        <v>388</v>
      </c>
      <c r="C217" s="4" t="s">
        <v>919</v>
      </c>
      <c r="D217" s="4">
        <v>2</v>
      </c>
      <c r="E217" s="6">
        <v>20000</v>
      </c>
      <c r="F217" t="str">
        <f>VLOOKUP(C217,menu!A:B,2,FALSE)</f>
        <v>Gado-Gado Jakarta</v>
      </c>
      <c r="G217">
        <f t="shared" si="6"/>
        <v>40000</v>
      </c>
      <c r="H217">
        <f>VLOOKUP(C217,menu!A:E,4,FALSE)</f>
        <v>8000</v>
      </c>
      <c r="I217">
        <f t="shared" si="7"/>
        <v>24000</v>
      </c>
    </row>
    <row r="218" spans="1:9" x14ac:dyDescent="0.35">
      <c r="A218" s="4" t="s">
        <v>1128</v>
      </c>
      <c r="B218" s="4" t="s">
        <v>388</v>
      </c>
      <c r="C218" s="4" t="s">
        <v>898</v>
      </c>
      <c r="D218" s="4">
        <v>1</v>
      </c>
      <c r="E218" s="6">
        <v>27000</v>
      </c>
      <c r="F218" t="str">
        <f>VLOOKUP(C218,menu!A:B,2,FALSE)</f>
        <v>Ayam Geprek Sambal Bawang</v>
      </c>
      <c r="G218">
        <f t="shared" si="6"/>
        <v>27000</v>
      </c>
      <c r="H218">
        <f>VLOOKUP(C218,menu!A:E,4,FALSE)</f>
        <v>11000</v>
      </c>
      <c r="I218">
        <f t="shared" si="7"/>
        <v>16000</v>
      </c>
    </row>
    <row r="219" spans="1:9" x14ac:dyDescent="0.35">
      <c r="A219" s="4" t="s">
        <v>1129</v>
      </c>
      <c r="B219" s="4" t="s">
        <v>737</v>
      </c>
      <c r="C219" s="4" t="s">
        <v>937</v>
      </c>
      <c r="D219" s="4">
        <v>2</v>
      </c>
      <c r="E219" s="6">
        <v>26000</v>
      </c>
      <c r="F219" t="str">
        <f>VLOOKUP(C219,menu!A:B,2,FALSE)</f>
        <v>Nasi Campur Bali</v>
      </c>
      <c r="G219">
        <f t="shared" si="6"/>
        <v>52000</v>
      </c>
      <c r="H219">
        <f>VLOOKUP(C219,menu!A:E,4,FALSE)</f>
        <v>11500</v>
      </c>
      <c r="I219">
        <f t="shared" si="7"/>
        <v>29000</v>
      </c>
    </row>
    <row r="220" spans="1:9" x14ac:dyDescent="0.35">
      <c r="A220" s="4" t="s">
        <v>1130</v>
      </c>
      <c r="B220" s="4" t="s">
        <v>543</v>
      </c>
      <c r="C220" s="4" t="s">
        <v>944</v>
      </c>
      <c r="D220" s="4">
        <v>1</v>
      </c>
      <c r="E220" s="6">
        <v>32000</v>
      </c>
      <c r="F220" t="str">
        <f>VLOOKUP(C220,menu!A:B,2,FALSE)</f>
        <v>Nasi Padang Rendang</v>
      </c>
      <c r="G220">
        <f t="shared" si="6"/>
        <v>32000</v>
      </c>
      <c r="H220">
        <f>VLOOKUP(C220,menu!A:E,4,FALSE)</f>
        <v>14000</v>
      </c>
      <c r="I220">
        <f t="shared" si="7"/>
        <v>18000</v>
      </c>
    </row>
    <row r="221" spans="1:9" x14ac:dyDescent="0.35">
      <c r="A221" s="4" t="s">
        <v>1131</v>
      </c>
      <c r="B221" s="4" t="s">
        <v>543</v>
      </c>
      <c r="C221" s="4" t="s">
        <v>916</v>
      </c>
      <c r="D221" s="4">
        <v>1</v>
      </c>
      <c r="E221" s="6">
        <v>9000</v>
      </c>
      <c r="F221" t="str">
        <f>VLOOKUP(C221,menu!A:B,2,FALSE)</f>
        <v>Kopi Hitam Tubruk</v>
      </c>
      <c r="G221">
        <f t="shared" si="6"/>
        <v>9000</v>
      </c>
      <c r="H221">
        <f>VLOOKUP(C221,menu!A:E,4,FALSE)</f>
        <v>2000</v>
      </c>
      <c r="I221">
        <f t="shared" si="7"/>
        <v>7000</v>
      </c>
    </row>
    <row r="222" spans="1:9" x14ac:dyDescent="0.35">
      <c r="A222" s="4" t="s">
        <v>1132</v>
      </c>
      <c r="B222" s="4" t="s">
        <v>817</v>
      </c>
      <c r="C222" s="4" t="s">
        <v>898</v>
      </c>
      <c r="D222" s="4">
        <v>1</v>
      </c>
      <c r="E222" s="6">
        <v>27000</v>
      </c>
      <c r="F222" t="str">
        <f>VLOOKUP(C222,menu!A:B,2,FALSE)</f>
        <v>Ayam Geprek Sambal Bawang</v>
      </c>
      <c r="G222">
        <f t="shared" si="6"/>
        <v>27000</v>
      </c>
      <c r="H222">
        <f>VLOOKUP(C222,menu!A:E,4,FALSE)</f>
        <v>11000</v>
      </c>
      <c r="I222">
        <f t="shared" si="7"/>
        <v>16000</v>
      </c>
    </row>
    <row r="223" spans="1:9" x14ac:dyDescent="0.35">
      <c r="A223" s="4" t="s">
        <v>1133</v>
      </c>
      <c r="B223" s="4" t="s">
        <v>817</v>
      </c>
      <c r="C223" s="4" t="s">
        <v>919</v>
      </c>
      <c r="D223" s="4">
        <v>3</v>
      </c>
      <c r="E223" s="6">
        <v>20000</v>
      </c>
      <c r="F223" t="str">
        <f>VLOOKUP(C223,menu!A:B,2,FALSE)</f>
        <v>Gado-Gado Jakarta</v>
      </c>
      <c r="G223">
        <f t="shared" si="6"/>
        <v>60000</v>
      </c>
      <c r="H223">
        <f>VLOOKUP(C223,menu!A:E,4,FALSE)</f>
        <v>8000</v>
      </c>
      <c r="I223">
        <f t="shared" si="7"/>
        <v>36000</v>
      </c>
    </row>
    <row r="224" spans="1:9" x14ac:dyDescent="0.35">
      <c r="A224" s="4" t="s">
        <v>1134</v>
      </c>
      <c r="B224" s="4" t="s">
        <v>817</v>
      </c>
      <c r="C224" s="4" t="s">
        <v>955</v>
      </c>
      <c r="D224" s="4">
        <v>2</v>
      </c>
      <c r="E224" s="6">
        <v>15000</v>
      </c>
      <c r="F224" t="str">
        <f>VLOOKUP(C224,menu!A:B,2,FALSE)</f>
        <v>Es Campur</v>
      </c>
      <c r="G224">
        <f t="shared" si="6"/>
        <v>30000</v>
      </c>
      <c r="H224">
        <f>VLOOKUP(C224,menu!A:E,4,FALSE)</f>
        <v>6000</v>
      </c>
      <c r="I224">
        <f t="shared" si="7"/>
        <v>18000</v>
      </c>
    </row>
    <row r="225" spans="1:9" x14ac:dyDescent="0.35">
      <c r="A225" s="4" t="s">
        <v>1135</v>
      </c>
      <c r="B225" s="4" t="s">
        <v>666</v>
      </c>
      <c r="C225" s="4" t="s">
        <v>919</v>
      </c>
      <c r="D225" s="4">
        <v>2</v>
      </c>
      <c r="E225" s="6">
        <v>20000</v>
      </c>
      <c r="F225" t="str">
        <f>VLOOKUP(C225,menu!A:B,2,FALSE)</f>
        <v>Gado-Gado Jakarta</v>
      </c>
      <c r="G225">
        <f t="shared" si="6"/>
        <v>40000</v>
      </c>
      <c r="H225">
        <f>VLOOKUP(C225,menu!A:E,4,FALSE)</f>
        <v>8000</v>
      </c>
      <c r="I225">
        <f t="shared" si="7"/>
        <v>24000</v>
      </c>
    </row>
    <row r="226" spans="1:9" x14ac:dyDescent="0.35">
      <c r="A226" s="4" t="s">
        <v>1136</v>
      </c>
      <c r="B226" s="4" t="s">
        <v>666</v>
      </c>
      <c r="C226" s="4" t="s">
        <v>902</v>
      </c>
      <c r="D226" s="4">
        <v>2</v>
      </c>
      <c r="E226" s="6">
        <v>12000</v>
      </c>
      <c r="F226" t="str">
        <f>VLOOKUP(C226,menu!A:B,2,FALSE)</f>
        <v>Teh Tarik</v>
      </c>
      <c r="G226">
        <f t="shared" si="6"/>
        <v>24000</v>
      </c>
      <c r="H226">
        <f>VLOOKUP(C226,menu!A:E,4,FALSE)</f>
        <v>3000</v>
      </c>
      <c r="I226">
        <f t="shared" si="7"/>
        <v>18000</v>
      </c>
    </row>
    <row r="227" spans="1:9" x14ac:dyDescent="0.35">
      <c r="A227" s="4" t="s">
        <v>1137</v>
      </c>
      <c r="B227" s="4" t="s">
        <v>666</v>
      </c>
      <c r="C227" s="4" t="s">
        <v>898</v>
      </c>
      <c r="D227" s="4">
        <v>1</v>
      </c>
      <c r="E227" s="6">
        <v>27000</v>
      </c>
      <c r="F227" t="str">
        <f>VLOOKUP(C227,menu!A:B,2,FALSE)</f>
        <v>Ayam Geprek Sambal Bawang</v>
      </c>
      <c r="G227">
        <f t="shared" si="6"/>
        <v>27000</v>
      </c>
      <c r="H227">
        <f>VLOOKUP(C227,menu!A:E,4,FALSE)</f>
        <v>11000</v>
      </c>
      <c r="I227">
        <f t="shared" si="7"/>
        <v>16000</v>
      </c>
    </row>
    <row r="228" spans="1:9" x14ac:dyDescent="0.35">
      <c r="A228" s="4" t="s">
        <v>1138</v>
      </c>
      <c r="B228" s="4" t="s">
        <v>643</v>
      </c>
      <c r="C228" s="4" t="s">
        <v>896</v>
      </c>
      <c r="D228" s="4">
        <v>1</v>
      </c>
      <c r="E228" s="6">
        <v>23000</v>
      </c>
      <c r="F228" t="str">
        <f>VLOOKUP(C228,menu!A:B,2,FALSE)</f>
        <v>Nasi Uduk Komplit</v>
      </c>
      <c r="G228">
        <f t="shared" si="6"/>
        <v>23000</v>
      </c>
      <c r="H228">
        <f>VLOOKUP(C228,menu!A:E,4,FALSE)</f>
        <v>9000</v>
      </c>
      <c r="I228">
        <f t="shared" si="7"/>
        <v>14000</v>
      </c>
    </row>
    <row r="229" spans="1:9" x14ac:dyDescent="0.35">
      <c r="A229" s="4" t="s">
        <v>1139</v>
      </c>
      <c r="B229" s="4" t="s">
        <v>643</v>
      </c>
      <c r="C229" s="4" t="s">
        <v>908</v>
      </c>
      <c r="D229" s="4">
        <v>2</v>
      </c>
      <c r="E229" s="6">
        <v>16000</v>
      </c>
      <c r="F229" t="str">
        <f>VLOOKUP(C229,menu!A:B,2,FALSE)</f>
        <v>Jus Alpukat</v>
      </c>
      <c r="G229">
        <f t="shared" si="6"/>
        <v>32000</v>
      </c>
      <c r="H229">
        <f>VLOOKUP(C229,menu!A:E,4,FALSE)</f>
        <v>5500</v>
      </c>
      <c r="I229">
        <f t="shared" si="7"/>
        <v>21000</v>
      </c>
    </row>
    <row r="230" spans="1:9" x14ac:dyDescent="0.35">
      <c r="A230" s="4" t="s">
        <v>1140</v>
      </c>
      <c r="B230" s="4" t="s">
        <v>643</v>
      </c>
      <c r="C230" s="4" t="s">
        <v>898</v>
      </c>
      <c r="D230" s="4">
        <v>3</v>
      </c>
      <c r="E230" s="6">
        <v>27000</v>
      </c>
      <c r="F230" t="str">
        <f>VLOOKUP(C230,menu!A:B,2,FALSE)</f>
        <v>Ayam Geprek Sambal Bawang</v>
      </c>
      <c r="G230">
        <f t="shared" si="6"/>
        <v>81000</v>
      </c>
      <c r="H230">
        <f>VLOOKUP(C230,menu!A:E,4,FALSE)</f>
        <v>11000</v>
      </c>
      <c r="I230">
        <f t="shared" si="7"/>
        <v>48000</v>
      </c>
    </row>
    <row r="231" spans="1:9" x14ac:dyDescent="0.35">
      <c r="A231" s="4" t="s">
        <v>1141</v>
      </c>
      <c r="B231" s="4" t="s">
        <v>672</v>
      </c>
      <c r="C231" s="4" t="s">
        <v>898</v>
      </c>
      <c r="D231" s="4">
        <v>1</v>
      </c>
      <c r="E231" s="6">
        <v>27000</v>
      </c>
      <c r="F231" t="str">
        <f>VLOOKUP(C231,menu!A:B,2,FALSE)</f>
        <v>Ayam Geprek Sambal Bawang</v>
      </c>
      <c r="G231">
        <f t="shared" si="6"/>
        <v>27000</v>
      </c>
      <c r="H231">
        <f>VLOOKUP(C231,menu!A:E,4,FALSE)</f>
        <v>11000</v>
      </c>
      <c r="I231">
        <f t="shared" si="7"/>
        <v>16000</v>
      </c>
    </row>
    <row r="232" spans="1:9" x14ac:dyDescent="0.35">
      <c r="A232" s="4" t="s">
        <v>1142</v>
      </c>
      <c r="B232" s="4" t="s">
        <v>672</v>
      </c>
      <c r="C232" s="4" t="s">
        <v>935</v>
      </c>
      <c r="D232" s="4">
        <v>1</v>
      </c>
      <c r="E232" s="6">
        <v>22000</v>
      </c>
      <c r="F232" t="str">
        <f>VLOOKUP(C232,menu!A:B,2,FALSE)</f>
        <v>Soto Ayam Lamongan</v>
      </c>
      <c r="G232">
        <f t="shared" si="6"/>
        <v>22000</v>
      </c>
      <c r="H232">
        <f>VLOOKUP(C232,menu!A:E,4,FALSE)</f>
        <v>9500</v>
      </c>
      <c r="I232">
        <f t="shared" si="7"/>
        <v>12500</v>
      </c>
    </row>
    <row r="233" spans="1:9" x14ac:dyDescent="0.35">
      <c r="A233" s="4" t="s">
        <v>1143</v>
      </c>
      <c r="B233" s="4" t="s">
        <v>672</v>
      </c>
      <c r="C233" s="4" t="s">
        <v>892</v>
      </c>
      <c r="D233" s="4">
        <v>1</v>
      </c>
      <c r="E233" s="6">
        <v>9000</v>
      </c>
      <c r="F233" t="str">
        <f>VLOOKUP(C233,menu!A:B,2,FALSE)</f>
        <v>Tempe Mendoan (5pcs)</v>
      </c>
      <c r="G233">
        <f t="shared" si="6"/>
        <v>9000</v>
      </c>
      <c r="H233">
        <f>VLOOKUP(C233,menu!A:E,4,FALSE)</f>
        <v>3000</v>
      </c>
      <c r="I233">
        <f t="shared" si="7"/>
        <v>6000</v>
      </c>
    </row>
    <row r="234" spans="1:9" x14ac:dyDescent="0.35">
      <c r="A234" s="4" t="s">
        <v>1144</v>
      </c>
      <c r="B234" s="4" t="s">
        <v>756</v>
      </c>
      <c r="C234" s="4" t="s">
        <v>898</v>
      </c>
      <c r="D234" s="4">
        <v>1</v>
      </c>
      <c r="E234" s="6">
        <v>27000</v>
      </c>
      <c r="F234" t="str">
        <f>VLOOKUP(C234,menu!A:B,2,FALSE)</f>
        <v>Ayam Geprek Sambal Bawang</v>
      </c>
      <c r="G234">
        <f t="shared" si="6"/>
        <v>27000</v>
      </c>
      <c r="H234">
        <f>VLOOKUP(C234,menu!A:E,4,FALSE)</f>
        <v>11000</v>
      </c>
      <c r="I234">
        <f t="shared" si="7"/>
        <v>16000</v>
      </c>
    </row>
    <row r="235" spans="1:9" x14ac:dyDescent="0.35">
      <c r="A235" s="4" t="s">
        <v>1145</v>
      </c>
      <c r="B235" s="4" t="s">
        <v>232</v>
      </c>
      <c r="C235" s="4" t="s">
        <v>896</v>
      </c>
      <c r="D235" s="4">
        <v>3</v>
      </c>
      <c r="E235" s="6">
        <v>23000</v>
      </c>
      <c r="F235" t="str">
        <f>VLOOKUP(C235,menu!A:B,2,FALSE)</f>
        <v>Nasi Uduk Komplit</v>
      </c>
      <c r="G235">
        <f t="shared" si="6"/>
        <v>69000</v>
      </c>
      <c r="H235">
        <f>VLOOKUP(C235,menu!A:E,4,FALSE)</f>
        <v>9000</v>
      </c>
      <c r="I235">
        <f t="shared" si="7"/>
        <v>42000</v>
      </c>
    </row>
    <row r="236" spans="1:9" x14ac:dyDescent="0.35">
      <c r="A236" s="4" t="s">
        <v>1146</v>
      </c>
      <c r="B236" s="4" t="s">
        <v>704</v>
      </c>
      <c r="C236" s="4" t="s">
        <v>898</v>
      </c>
      <c r="D236" s="4">
        <v>2</v>
      </c>
      <c r="E236" s="6">
        <v>27000</v>
      </c>
      <c r="F236" t="str">
        <f>VLOOKUP(C236,menu!A:B,2,FALSE)</f>
        <v>Ayam Geprek Sambal Bawang</v>
      </c>
      <c r="G236">
        <f t="shared" si="6"/>
        <v>54000</v>
      </c>
      <c r="H236">
        <f>VLOOKUP(C236,menu!A:E,4,FALSE)</f>
        <v>11000</v>
      </c>
      <c r="I236">
        <f t="shared" si="7"/>
        <v>32000</v>
      </c>
    </row>
    <row r="237" spans="1:9" x14ac:dyDescent="0.35">
      <c r="A237" s="4" t="s">
        <v>1147</v>
      </c>
      <c r="B237" s="4" t="s">
        <v>704</v>
      </c>
      <c r="C237" s="4" t="s">
        <v>908</v>
      </c>
      <c r="D237" s="4">
        <v>1</v>
      </c>
      <c r="E237" s="6">
        <v>16000</v>
      </c>
      <c r="F237" t="str">
        <f>VLOOKUP(C237,menu!A:B,2,FALSE)</f>
        <v>Jus Alpukat</v>
      </c>
      <c r="G237">
        <f t="shared" si="6"/>
        <v>16000</v>
      </c>
      <c r="H237">
        <f>VLOOKUP(C237,menu!A:E,4,FALSE)</f>
        <v>5500</v>
      </c>
      <c r="I237">
        <f t="shared" si="7"/>
        <v>10500</v>
      </c>
    </row>
    <row r="238" spans="1:9" x14ac:dyDescent="0.35">
      <c r="A238" s="4" t="s">
        <v>1148</v>
      </c>
      <c r="B238" s="4" t="s">
        <v>668</v>
      </c>
      <c r="C238" s="4" t="s">
        <v>898</v>
      </c>
      <c r="D238" s="4">
        <v>3</v>
      </c>
      <c r="E238" s="6">
        <v>27000</v>
      </c>
      <c r="F238" t="str">
        <f>VLOOKUP(C238,menu!A:B,2,FALSE)</f>
        <v>Ayam Geprek Sambal Bawang</v>
      </c>
      <c r="G238">
        <f t="shared" si="6"/>
        <v>81000</v>
      </c>
      <c r="H238">
        <f>VLOOKUP(C238,menu!A:E,4,FALSE)</f>
        <v>11000</v>
      </c>
      <c r="I238">
        <f t="shared" si="7"/>
        <v>48000</v>
      </c>
    </row>
    <row r="239" spans="1:9" x14ac:dyDescent="0.35">
      <c r="A239" s="4" t="s">
        <v>1149</v>
      </c>
      <c r="B239" s="4" t="s">
        <v>668</v>
      </c>
      <c r="C239" s="4" t="s">
        <v>937</v>
      </c>
      <c r="D239" s="4">
        <v>1</v>
      </c>
      <c r="E239" s="6">
        <v>26000</v>
      </c>
      <c r="F239" t="str">
        <f>VLOOKUP(C239,menu!A:B,2,FALSE)</f>
        <v>Nasi Campur Bali</v>
      </c>
      <c r="G239">
        <f t="shared" si="6"/>
        <v>26000</v>
      </c>
      <c r="H239">
        <f>VLOOKUP(C239,menu!A:E,4,FALSE)</f>
        <v>11500</v>
      </c>
      <c r="I239">
        <f t="shared" si="7"/>
        <v>14500</v>
      </c>
    </row>
    <row r="240" spans="1:9" x14ac:dyDescent="0.35">
      <c r="A240" s="4" t="s">
        <v>1150</v>
      </c>
      <c r="B240" s="4" t="s">
        <v>668</v>
      </c>
      <c r="C240" s="4" t="s">
        <v>1019</v>
      </c>
      <c r="D240" s="4">
        <v>1</v>
      </c>
      <c r="E240" s="6">
        <v>21000</v>
      </c>
      <c r="F240" t="str">
        <f>VLOOKUP(C240,menu!A:B,2,FALSE)</f>
        <v>Bakso Urat Spesial</v>
      </c>
      <c r="G240">
        <f t="shared" si="6"/>
        <v>21000</v>
      </c>
      <c r="H240">
        <f>VLOOKUP(C240,menu!A:E,4,FALSE)</f>
        <v>8500</v>
      </c>
      <c r="I240">
        <f t="shared" si="7"/>
        <v>12500</v>
      </c>
    </row>
    <row r="241" spans="1:9" x14ac:dyDescent="0.35">
      <c r="A241" s="4" t="s">
        <v>1151</v>
      </c>
      <c r="B241" s="4" t="s">
        <v>668</v>
      </c>
      <c r="C241" s="4" t="s">
        <v>908</v>
      </c>
      <c r="D241" s="4">
        <v>2</v>
      </c>
      <c r="E241" s="6">
        <v>16000</v>
      </c>
      <c r="F241" t="str">
        <f>VLOOKUP(C241,menu!A:B,2,FALSE)</f>
        <v>Jus Alpukat</v>
      </c>
      <c r="G241">
        <f t="shared" si="6"/>
        <v>32000</v>
      </c>
      <c r="H241">
        <f>VLOOKUP(C241,menu!A:E,4,FALSE)</f>
        <v>5500</v>
      </c>
      <c r="I241">
        <f t="shared" si="7"/>
        <v>21000</v>
      </c>
    </row>
    <row r="242" spans="1:9" x14ac:dyDescent="0.35">
      <c r="A242" s="4" t="s">
        <v>1152</v>
      </c>
      <c r="B242" s="4" t="s">
        <v>101</v>
      </c>
      <c r="C242" s="4" t="s">
        <v>898</v>
      </c>
      <c r="D242" s="4">
        <v>1</v>
      </c>
      <c r="E242" s="6">
        <v>27000</v>
      </c>
      <c r="F242" t="str">
        <f>VLOOKUP(C242,menu!A:B,2,FALSE)</f>
        <v>Ayam Geprek Sambal Bawang</v>
      </c>
      <c r="G242">
        <f t="shared" si="6"/>
        <v>27000</v>
      </c>
      <c r="H242">
        <f>VLOOKUP(C242,menu!A:E,4,FALSE)</f>
        <v>11000</v>
      </c>
      <c r="I242">
        <f t="shared" si="7"/>
        <v>16000</v>
      </c>
    </row>
    <row r="243" spans="1:9" x14ac:dyDescent="0.35">
      <c r="A243" s="4" t="s">
        <v>1153</v>
      </c>
      <c r="B243" s="4" t="s">
        <v>651</v>
      </c>
      <c r="C243" s="4" t="s">
        <v>919</v>
      </c>
      <c r="D243" s="4">
        <v>1</v>
      </c>
      <c r="E243" s="6">
        <v>20000</v>
      </c>
      <c r="F243" t="str">
        <f>VLOOKUP(C243,menu!A:B,2,FALSE)</f>
        <v>Gado-Gado Jakarta</v>
      </c>
      <c r="G243">
        <f t="shared" si="6"/>
        <v>20000</v>
      </c>
      <c r="H243">
        <f>VLOOKUP(C243,menu!A:E,4,FALSE)</f>
        <v>8000</v>
      </c>
      <c r="I243">
        <f t="shared" si="7"/>
        <v>12000</v>
      </c>
    </row>
    <row r="244" spans="1:9" x14ac:dyDescent="0.35">
      <c r="A244" s="4" t="s">
        <v>1154</v>
      </c>
      <c r="B244" s="4" t="s">
        <v>112</v>
      </c>
      <c r="C244" s="4" t="s">
        <v>896</v>
      </c>
      <c r="D244" s="4">
        <v>1</v>
      </c>
      <c r="E244" s="6">
        <v>23000</v>
      </c>
      <c r="F244" t="str">
        <f>VLOOKUP(C244,menu!A:B,2,FALSE)</f>
        <v>Nasi Uduk Komplit</v>
      </c>
      <c r="G244">
        <f t="shared" si="6"/>
        <v>23000</v>
      </c>
      <c r="H244">
        <f>VLOOKUP(C244,menu!A:E,4,FALSE)</f>
        <v>9000</v>
      </c>
      <c r="I244">
        <f t="shared" si="7"/>
        <v>14000</v>
      </c>
    </row>
    <row r="245" spans="1:9" x14ac:dyDescent="0.35">
      <c r="A245" s="4" t="s">
        <v>1155</v>
      </c>
      <c r="B245" s="4" t="s">
        <v>112</v>
      </c>
      <c r="C245" s="4" t="s">
        <v>940</v>
      </c>
      <c r="D245" s="4">
        <v>1</v>
      </c>
      <c r="E245" s="6">
        <v>10000</v>
      </c>
      <c r="F245" t="str">
        <f>VLOOKUP(C245,menu!A:B,2,FALSE)</f>
        <v>Tahu Isi Goreng (5pcs)</v>
      </c>
      <c r="G245">
        <f t="shared" si="6"/>
        <v>10000</v>
      </c>
      <c r="H245">
        <f>VLOOKUP(C245,menu!A:E,4,FALSE)</f>
        <v>3500</v>
      </c>
      <c r="I245">
        <f t="shared" si="7"/>
        <v>6500</v>
      </c>
    </row>
    <row r="246" spans="1:9" x14ac:dyDescent="0.35">
      <c r="A246" s="4" t="s">
        <v>1156</v>
      </c>
      <c r="B246" s="4" t="s">
        <v>292</v>
      </c>
      <c r="C246" s="4" t="s">
        <v>898</v>
      </c>
      <c r="D246" s="4">
        <v>2</v>
      </c>
      <c r="E246" s="6">
        <v>27000</v>
      </c>
      <c r="F246" t="str">
        <f>VLOOKUP(C246,menu!A:B,2,FALSE)</f>
        <v>Ayam Geprek Sambal Bawang</v>
      </c>
      <c r="G246">
        <f t="shared" si="6"/>
        <v>54000</v>
      </c>
      <c r="H246">
        <f>VLOOKUP(C246,menu!A:E,4,FALSE)</f>
        <v>11000</v>
      </c>
      <c r="I246">
        <f t="shared" si="7"/>
        <v>32000</v>
      </c>
    </row>
    <row r="247" spans="1:9" x14ac:dyDescent="0.35">
      <c r="A247" s="4" t="s">
        <v>1157</v>
      </c>
      <c r="B247" s="4" t="s">
        <v>292</v>
      </c>
      <c r="C247" s="4" t="s">
        <v>902</v>
      </c>
      <c r="D247" s="4">
        <v>1</v>
      </c>
      <c r="E247" s="6">
        <v>12000</v>
      </c>
      <c r="F247" t="str">
        <f>VLOOKUP(C247,menu!A:B,2,FALSE)</f>
        <v>Teh Tarik</v>
      </c>
      <c r="G247">
        <f t="shared" si="6"/>
        <v>12000</v>
      </c>
      <c r="H247">
        <f>VLOOKUP(C247,menu!A:E,4,FALSE)</f>
        <v>3000</v>
      </c>
      <c r="I247">
        <f t="shared" si="7"/>
        <v>9000</v>
      </c>
    </row>
    <row r="248" spans="1:9" x14ac:dyDescent="0.35">
      <c r="A248" s="4" t="s">
        <v>1158</v>
      </c>
      <c r="B248" s="4" t="s">
        <v>654</v>
      </c>
      <c r="C248" s="4" t="s">
        <v>931</v>
      </c>
      <c r="D248" s="4">
        <v>2</v>
      </c>
      <c r="E248" s="6">
        <v>5000</v>
      </c>
      <c r="F248" t="str">
        <f>VLOOKUP(C248,menu!A:B,2,FALSE)</f>
        <v>Kerupuk Udang</v>
      </c>
      <c r="G248">
        <f t="shared" si="6"/>
        <v>10000</v>
      </c>
      <c r="H248">
        <f>VLOOKUP(C248,menu!A:E,4,FALSE)</f>
        <v>1500</v>
      </c>
      <c r="I248">
        <f t="shared" si="7"/>
        <v>7000</v>
      </c>
    </row>
    <row r="249" spans="1:9" x14ac:dyDescent="0.35">
      <c r="A249" s="4" t="s">
        <v>1159</v>
      </c>
      <c r="B249" s="4" t="s">
        <v>865</v>
      </c>
      <c r="C249" s="4" t="s">
        <v>890</v>
      </c>
      <c r="D249" s="4">
        <v>2</v>
      </c>
      <c r="E249" s="6">
        <v>18000</v>
      </c>
      <c r="F249" t="str">
        <f>VLOOKUP(C249,menu!A:B,2,FALSE)</f>
        <v>Es Kopi Susu Gula Aren</v>
      </c>
      <c r="G249">
        <f t="shared" si="6"/>
        <v>36000</v>
      </c>
      <c r="H249">
        <f>VLOOKUP(C249,menu!A:E,4,FALSE)</f>
        <v>4500</v>
      </c>
      <c r="I249">
        <f t="shared" si="7"/>
        <v>27000</v>
      </c>
    </row>
    <row r="250" spans="1:9" x14ac:dyDescent="0.35">
      <c r="A250" s="4" t="s">
        <v>1160</v>
      </c>
      <c r="B250" s="4" t="s">
        <v>865</v>
      </c>
      <c r="C250" s="4" t="s">
        <v>898</v>
      </c>
      <c r="D250" s="4">
        <v>1</v>
      </c>
      <c r="E250" s="6">
        <v>27000</v>
      </c>
      <c r="F250" t="str">
        <f>VLOOKUP(C250,menu!A:B,2,FALSE)</f>
        <v>Ayam Geprek Sambal Bawang</v>
      </c>
      <c r="G250">
        <f t="shared" si="6"/>
        <v>27000</v>
      </c>
      <c r="H250">
        <f>VLOOKUP(C250,menu!A:E,4,FALSE)</f>
        <v>11000</v>
      </c>
      <c r="I250">
        <f t="shared" si="7"/>
        <v>16000</v>
      </c>
    </row>
    <row r="251" spans="1:9" x14ac:dyDescent="0.35">
      <c r="A251" s="4" t="s">
        <v>1161</v>
      </c>
      <c r="B251" s="4" t="s">
        <v>865</v>
      </c>
      <c r="C251" s="4" t="s">
        <v>919</v>
      </c>
      <c r="D251" s="4">
        <v>3</v>
      </c>
      <c r="E251" s="6">
        <v>20000</v>
      </c>
      <c r="F251" t="str">
        <f>VLOOKUP(C251,menu!A:B,2,FALSE)</f>
        <v>Gado-Gado Jakarta</v>
      </c>
      <c r="G251">
        <f t="shared" si="6"/>
        <v>60000</v>
      </c>
      <c r="H251">
        <f>VLOOKUP(C251,menu!A:E,4,FALSE)</f>
        <v>8000</v>
      </c>
      <c r="I251">
        <f t="shared" si="7"/>
        <v>36000</v>
      </c>
    </row>
    <row r="252" spans="1:9" x14ac:dyDescent="0.35">
      <c r="A252" s="4" t="s">
        <v>1162</v>
      </c>
      <c r="B252" s="4" t="s">
        <v>212</v>
      </c>
      <c r="C252" s="4" t="s">
        <v>900</v>
      </c>
      <c r="D252" s="4">
        <v>1</v>
      </c>
      <c r="E252" s="6">
        <v>8000</v>
      </c>
      <c r="F252" t="str">
        <f>VLOOKUP(C252,menu!A:B,2,FALSE)</f>
        <v>Es Jeruk Peras</v>
      </c>
      <c r="G252">
        <f t="shared" si="6"/>
        <v>8000</v>
      </c>
      <c r="H252">
        <f>VLOOKUP(C252,menu!A:E,4,FALSE)</f>
        <v>2500</v>
      </c>
      <c r="I252">
        <f t="shared" si="7"/>
        <v>5500</v>
      </c>
    </row>
    <row r="253" spans="1:9" x14ac:dyDescent="0.35">
      <c r="A253" s="4" t="s">
        <v>1163</v>
      </c>
      <c r="B253" s="4" t="s">
        <v>212</v>
      </c>
      <c r="C253" s="4" t="s">
        <v>894</v>
      </c>
      <c r="D253" s="4">
        <v>2</v>
      </c>
      <c r="E253" s="6">
        <v>5000</v>
      </c>
      <c r="F253" t="str">
        <f>VLOOKUP(C253,menu!A:B,2,FALSE)</f>
        <v>Air Mineral Botol</v>
      </c>
      <c r="G253">
        <f t="shared" si="6"/>
        <v>10000</v>
      </c>
      <c r="H253">
        <f>VLOOKUP(C253,menu!A:E,4,FALSE)</f>
        <v>2000</v>
      </c>
      <c r="I253">
        <f t="shared" si="7"/>
        <v>6000</v>
      </c>
    </row>
    <row r="254" spans="1:9" x14ac:dyDescent="0.35">
      <c r="A254" s="4" t="s">
        <v>1164</v>
      </c>
      <c r="B254" s="4" t="s">
        <v>560</v>
      </c>
      <c r="C254" s="4" t="s">
        <v>1003</v>
      </c>
      <c r="D254" s="4">
        <v>1</v>
      </c>
      <c r="E254" s="6">
        <v>29000</v>
      </c>
      <c r="F254" t="str">
        <f>VLOOKUP(C254,menu!A:B,2,FALSE)</f>
        <v>Capcay Seafood</v>
      </c>
      <c r="G254">
        <f t="shared" si="6"/>
        <v>29000</v>
      </c>
      <c r="H254">
        <f>VLOOKUP(C254,menu!A:E,4,FALSE)</f>
        <v>13000</v>
      </c>
      <c r="I254">
        <f t="shared" si="7"/>
        <v>16000</v>
      </c>
    </row>
    <row r="255" spans="1:9" x14ac:dyDescent="0.35">
      <c r="A255" s="4" t="s">
        <v>1165</v>
      </c>
      <c r="B255" s="4" t="s">
        <v>560</v>
      </c>
      <c r="C255" s="4" t="s">
        <v>935</v>
      </c>
      <c r="D255" s="4">
        <v>1</v>
      </c>
      <c r="E255" s="6">
        <v>22000</v>
      </c>
      <c r="F255" t="str">
        <f>VLOOKUP(C255,menu!A:B,2,FALSE)</f>
        <v>Soto Ayam Lamongan</v>
      </c>
      <c r="G255">
        <f t="shared" si="6"/>
        <v>22000</v>
      </c>
      <c r="H255">
        <f>VLOOKUP(C255,menu!A:E,4,FALSE)</f>
        <v>9500</v>
      </c>
      <c r="I255">
        <f t="shared" si="7"/>
        <v>12500</v>
      </c>
    </row>
    <row r="256" spans="1:9" x14ac:dyDescent="0.35">
      <c r="A256" s="4" t="s">
        <v>1166</v>
      </c>
      <c r="B256" s="4" t="s">
        <v>560</v>
      </c>
      <c r="C256" s="4" t="s">
        <v>892</v>
      </c>
      <c r="D256" s="4">
        <v>1</v>
      </c>
      <c r="E256" s="6">
        <v>9000</v>
      </c>
      <c r="F256" t="str">
        <f>VLOOKUP(C256,menu!A:B,2,FALSE)</f>
        <v>Tempe Mendoan (5pcs)</v>
      </c>
      <c r="G256">
        <f t="shared" si="6"/>
        <v>9000</v>
      </c>
      <c r="H256">
        <f>VLOOKUP(C256,menu!A:E,4,FALSE)</f>
        <v>3000</v>
      </c>
      <c r="I256">
        <f t="shared" si="7"/>
        <v>6000</v>
      </c>
    </row>
    <row r="257" spans="1:9" x14ac:dyDescent="0.35">
      <c r="A257" s="4" t="s">
        <v>1167</v>
      </c>
      <c r="B257" s="4" t="s">
        <v>560</v>
      </c>
      <c r="C257" s="4" t="s">
        <v>928</v>
      </c>
      <c r="D257" s="4">
        <v>1</v>
      </c>
      <c r="E257" s="6">
        <v>23000</v>
      </c>
      <c r="F257" t="str">
        <f>VLOOKUP(C257,menu!A:B,2,FALSE)</f>
        <v>Mie Goreng Jawa</v>
      </c>
      <c r="G257">
        <f t="shared" si="6"/>
        <v>23000</v>
      </c>
      <c r="H257">
        <f>VLOOKUP(C257,menu!A:E,4,FALSE)</f>
        <v>8500</v>
      </c>
      <c r="I257">
        <f t="shared" si="7"/>
        <v>14500</v>
      </c>
    </row>
    <row r="258" spans="1:9" x14ac:dyDescent="0.35">
      <c r="A258" s="4" t="s">
        <v>1168</v>
      </c>
      <c r="B258" s="4" t="s">
        <v>560</v>
      </c>
      <c r="C258" s="4" t="s">
        <v>898</v>
      </c>
      <c r="D258" s="4">
        <v>1</v>
      </c>
      <c r="E258" s="6">
        <v>27000</v>
      </c>
      <c r="F258" t="str">
        <f>VLOOKUP(C258,menu!A:B,2,FALSE)</f>
        <v>Ayam Geprek Sambal Bawang</v>
      </c>
      <c r="G258">
        <f t="shared" si="6"/>
        <v>27000</v>
      </c>
      <c r="H258">
        <f>VLOOKUP(C258,menu!A:E,4,FALSE)</f>
        <v>11000</v>
      </c>
      <c r="I258">
        <f t="shared" si="7"/>
        <v>16000</v>
      </c>
    </row>
    <row r="259" spans="1:9" x14ac:dyDescent="0.35">
      <c r="A259" s="4" t="s">
        <v>1169</v>
      </c>
      <c r="B259" s="4" t="s">
        <v>333</v>
      </c>
      <c r="C259" s="4" t="s">
        <v>898</v>
      </c>
      <c r="D259" s="4">
        <v>1</v>
      </c>
      <c r="E259" s="6">
        <v>27000</v>
      </c>
      <c r="F259" t="str">
        <f>VLOOKUP(C259,menu!A:B,2,FALSE)</f>
        <v>Ayam Geprek Sambal Bawang</v>
      </c>
      <c r="G259">
        <f t="shared" ref="G259:G322" si="8">D259*E259</f>
        <v>27000</v>
      </c>
      <c r="H259">
        <f>VLOOKUP(C259,menu!A:E,4,FALSE)</f>
        <v>11000</v>
      </c>
      <c r="I259">
        <f t="shared" ref="I259:I322" si="9">(E259-H259)*D259</f>
        <v>16000</v>
      </c>
    </row>
    <row r="260" spans="1:9" x14ac:dyDescent="0.35">
      <c r="A260" s="4" t="s">
        <v>1170</v>
      </c>
      <c r="B260" s="4" t="s">
        <v>333</v>
      </c>
      <c r="C260" s="4" t="s">
        <v>908</v>
      </c>
      <c r="D260" s="4">
        <v>1</v>
      </c>
      <c r="E260" s="6">
        <v>16000</v>
      </c>
      <c r="F260" t="str">
        <f>VLOOKUP(C260,menu!A:B,2,FALSE)</f>
        <v>Jus Alpukat</v>
      </c>
      <c r="G260">
        <f t="shared" si="8"/>
        <v>16000</v>
      </c>
      <c r="H260">
        <f>VLOOKUP(C260,menu!A:E,4,FALSE)</f>
        <v>5500</v>
      </c>
      <c r="I260">
        <f t="shared" si="9"/>
        <v>10500</v>
      </c>
    </row>
    <row r="261" spans="1:9" x14ac:dyDescent="0.35">
      <c r="A261" s="4" t="s">
        <v>1171</v>
      </c>
      <c r="B261" s="4" t="s">
        <v>827</v>
      </c>
      <c r="C261" s="4" t="s">
        <v>908</v>
      </c>
      <c r="D261" s="4">
        <v>1</v>
      </c>
      <c r="E261" s="6">
        <v>16000</v>
      </c>
      <c r="F261" t="str">
        <f>VLOOKUP(C261,menu!A:B,2,FALSE)</f>
        <v>Jus Alpukat</v>
      </c>
      <c r="G261">
        <f t="shared" si="8"/>
        <v>16000</v>
      </c>
      <c r="H261">
        <f>VLOOKUP(C261,menu!A:E,4,FALSE)</f>
        <v>5500</v>
      </c>
      <c r="I261">
        <f t="shared" si="9"/>
        <v>10500</v>
      </c>
    </row>
    <row r="262" spans="1:9" x14ac:dyDescent="0.35">
      <c r="A262" s="4" t="s">
        <v>1172</v>
      </c>
      <c r="B262" s="4" t="s">
        <v>827</v>
      </c>
      <c r="C262" s="4" t="s">
        <v>955</v>
      </c>
      <c r="D262" s="4">
        <v>1</v>
      </c>
      <c r="E262" s="6">
        <v>15000</v>
      </c>
      <c r="F262" t="str">
        <f>VLOOKUP(C262,menu!A:B,2,FALSE)</f>
        <v>Es Campur</v>
      </c>
      <c r="G262">
        <f t="shared" si="8"/>
        <v>15000</v>
      </c>
      <c r="H262">
        <f>VLOOKUP(C262,menu!A:E,4,FALSE)</f>
        <v>6000</v>
      </c>
      <c r="I262">
        <f t="shared" si="9"/>
        <v>9000</v>
      </c>
    </row>
    <row r="263" spans="1:9" x14ac:dyDescent="0.35">
      <c r="A263" s="4" t="s">
        <v>1173</v>
      </c>
      <c r="B263" s="4" t="s">
        <v>827</v>
      </c>
      <c r="C263" s="4" t="s">
        <v>890</v>
      </c>
      <c r="D263" s="4">
        <v>1</v>
      </c>
      <c r="E263" s="6">
        <v>18000</v>
      </c>
      <c r="F263" t="str">
        <f>VLOOKUP(C263,menu!A:B,2,FALSE)</f>
        <v>Es Kopi Susu Gula Aren</v>
      </c>
      <c r="G263">
        <f t="shared" si="8"/>
        <v>18000</v>
      </c>
      <c r="H263">
        <f>VLOOKUP(C263,menu!A:E,4,FALSE)</f>
        <v>4500</v>
      </c>
      <c r="I263">
        <f t="shared" si="9"/>
        <v>13500</v>
      </c>
    </row>
    <row r="264" spans="1:9" x14ac:dyDescent="0.35">
      <c r="A264" s="4" t="s">
        <v>1174</v>
      </c>
      <c r="B264" s="4" t="s">
        <v>220</v>
      </c>
      <c r="C264" s="4" t="s">
        <v>898</v>
      </c>
      <c r="D264" s="4">
        <v>2</v>
      </c>
      <c r="E264" s="6">
        <v>27000</v>
      </c>
      <c r="F264" t="str">
        <f>VLOOKUP(C264,menu!A:B,2,FALSE)</f>
        <v>Ayam Geprek Sambal Bawang</v>
      </c>
      <c r="G264">
        <f t="shared" si="8"/>
        <v>54000</v>
      </c>
      <c r="H264">
        <f>VLOOKUP(C264,menu!A:E,4,FALSE)</f>
        <v>11000</v>
      </c>
      <c r="I264">
        <f t="shared" si="9"/>
        <v>32000</v>
      </c>
    </row>
    <row r="265" spans="1:9" x14ac:dyDescent="0.35">
      <c r="A265" s="4" t="s">
        <v>1175</v>
      </c>
      <c r="B265" s="4" t="s">
        <v>592</v>
      </c>
      <c r="C265" s="4" t="s">
        <v>1003</v>
      </c>
      <c r="D265" s="4">
        <v>2</v>
      </c>
      <c r="E265" s="6">
        <v>29000</v>
      </c>
      <c r="F265" t="str">
        <f>VLOOKUP(C265,menu!A:B,2,FALSE)</f>
        <v>Capcay Seafood</v>
      </c>
      <c r="G265">
        <f t="shared" si="8"/>
        <v>58000</v>
      </c>
      <c r="H265">
        <f>VLOOKUP(C265,menu!A:E,4,FALSE)</f>
        <v>13000</v>
      </c>
      <c r="I265">
        <f t="shared" si="9"/>
        <v>32000</v>
      </c>
    </row>
    <row r="266" spans="1:9" x14ac:dyDescent="0.35">
      <c r="A266" s="4" t="s">
        <v>1176</v>
      </c>
      <c r="B266" s="4" t="s">
        <v>592</v>
      </c>
      <c r="C266" s="4" t="s">
        <v>896</v>
      </c>
      <c r="D266" s="4">
        <v>1</v>
      </c>
      <c r="E266" s="6">
        <v>23000</v>
      </c>
      <c r="F266" t="str">
        <f>VLOOKUP(C266,menu!A:B,2,FALSE)</f>
        <v>Nasi Uduk Komplit</v>
      </c>
      <c r="G266">
        <f t="shared" si="8"/>
        <v>23000</v>
      </c>
      <c r="H266">
        <f>VLOOKUP(C266,menu!A:E,4,FALSE)</f>
        <v>9000</v>
      </c>
      <c r="I266">
        <f t="shared" si="9"/>
        <v>14000</v>
      </c>
    </row>
    <row r="267" spans="1:9" x14ac:dyDescent="0.35">
      <c r="A267" s="4" t="s">
        <v>1177</v>
      </c>
      <c r="B267" s="4" t="s">
        <v>592</v>
      </c>
      <c r="C267" s="4" t="s">
        <v>892</v>
      </c>
      <c r="D267" s="4">
        <v>1</v>
      </c>
      <c r="E267" s="6">
        <v>9000</v>
      </c>
      <c r="F267" t="str">
        <f>VLOOKUP(C267,menu!A:B,2,FALSE)</f>
        <v>Tempe Mendoan (5pcs)</v>
      </c>
      <c r="G267">
        <f t="shared" si="8"/>
        <v>9000</v>
      </c>
      <c r="H267">
        <f>VLOOKUP(C267,menu!A:E,4,FALSE)</f>
        <v>3000</v>
      </c>
      <c r="I267">
        <f t="shared" si="9"/>
        <v>6000</v>
      </c>
    </row>
    <row r="268" spans="1:9" x14ac:dyDescent="0.35">
      <c r="A268" s="4" t="s">
        <v>1178</v>
      </c>
      <c r="B268" s="4" t="s">
        <v>318</v>
      </c>
      <c r="C268" s="4" t="s">
        <v>940</v>
      </c>
      <c r="D268" s="4">
        <v>1</v>
      </c>
      <c r="E268" s="6">
        <v>10000</v>
      </c>
      <c r="F268" t="str">
        <f>VLOOKUP(C268,menu!A:B,2,FALSE)</f>
        <v>Tahu Isi Goreng (5pcs)</v>
      </c>
      <c r="G268">
        <f t="shared" si="8"/>
        <v>10000</v>
      </c>
      <c r="H268">
        <f>VLOOKUP(C268,menu!A:E,4,FALSE)</f>
        <v>3500</v>
      </c>
      <c r="I268">
        <f t="shared" si="9"/>
        <v>6500</v>
      </c>
    </row>
    <row r="269" spans="1:9" x14ac:dyDescent="0.35">
      <c r="A269" s="4" t="s">
        <v>1179</v>
      </c>
      <c r="B269" s="4" t="s">
        <v>318</v>
      </c>
      <c r="C269" s="4" t="s">
        <v>1003</v>
      </c>
      <c r="D269" s="4">
        <v>1</v>
      </c>
      <c r="E269" s="6">
        <v>29000</v>
      </c>
      <c r="F269" t="str">
        <f>VLOOKUP(C269,menu!A:B,2,FALSE)</f>
        <v>Capcay Seafood</v>
      </c>
      <c r="G269">
        <f t="shared" si="8"/>
        <v>29000</v>
      </c>
      <c r="H269">
        <f>VLOOKUP(C269,menu!A:E,4,FALSE)</f>
        <v>13000</v>
      </c>
      <c r="I269">
        <f t="shared" si="9"/>
        <v>16000</v>
      </c>
    </row>
    <row r="270" spans="1:9" x14ac:dyDescent="0.35">
      <c r="A270" s="4" t="s">
        <v>1180</v>
      </c>
      <c r="B270" s="4" t="s">
        <v>663</v>
      </c>
      <c r="C270" s="4" t="s">
        <v>919</v>
      </c>
      <c r="D270" s="4">
        <v>1</v>
      </c>
      <c r="E270" s="6">
        <v>20000</v>
      </c>
      <c r="F270" t="str">
        <f>VLOOKUP(C270,menu!A:B,2,FALSE)</f>
        <v>Gado-Gado Jakarta</v>
      </c>
      <c r="G270">
        <f t="shared" si="8"/>
        <v>20000</v>
      </c>
      <c r="H270">
        <f>VLOOKUP(C270,menu!A:E,4,FALSE)</f>
        <v>8000</v>
      </c>
      <c r="I270">
        <f t="shared" si="9"/>
        <v>12000</v>
      </c>
    </row>
    <row r="271" spans="1:9" x14ac:dyDescent="0.35">
      <c r="A271" s="4" t="s">
        <v>1181</v>
      </c>
      <c r="B271" s="4" t="s">
        <v>663</v>
      </c>
      <c r="C271" s="4" t="s">
        <v>928</v>
      </c>
      <c r="D271" s="4">
        <v>1</v>
      </c>
      <c r="E271" s="6">
        <v>23000</v>
      </c>
      <c r="F271" t="str">
        <f>VLOOKUP(C271,menu!A:B,2,FALSE)</f>
        <v>Mie Goreng Jawa</v>
      </c>
      <c r="G271">
        <f t="shared" si="8"/>
        <v>23000</v>
      </c>
      <c r="H271">
        <f>VLOOKUP(C271,menu!A:E,4,FALSE)</f>
        <v>8500</v>
      </c>
      <c r="I271">
        <f t="shared" si="9"/>
        <v>14500</v>
      </c>
    </row>
    <row r="272" spans="1:9" x14ac:dyDescent="0.35">
      <c r="A272" s="4" t="s">
        <v>1182</v>
      </c>
      <c r="B272" s="4" t="s">
        <v>283</v>
      </c>
      <c r="C272" s="4" t="s">
        <v>937</v>
      </c>
      <c r="D272" s="4">
        <v>1</v>
      </c>
      <c r="E272" s="6">
        <v>26000</v>
      </c>
      <c r="F272" t="str">
        <f>VLOOKUP(C272,menu!A:B,2,FALSE)</f>
        <v>Nasi Campur Bali</v>
      </c>
      <c r="G272">
        <f t="shared" si="8"/>
        <v>26000</v>
      </c>
      <c r="H272">
        <f>VLOOKUP(C272,menu!A:E,4,FALSE)</f>
        <v>11500</v>
      </c>
      <c r="I272">
        <f t="shared" si="9"/>
        <v>14500</v>
      </c>
    </row>
    <row r="273" spans="1:9" x14ac:dyDescent="0.35">
      <c r="A273" s="4" t="s">
        <v>1183</v>
      </c>
      <c r="B273" s="4" t="s">
        <v>283</v>
      </c>
      <c r="C273" s="4" t="s">
        <v>919</v>
      </c>
      <c r="D273" s="4">
        <v>1</v>
      </c>
      <c r="E273" s="6">
        <v>20000</v>
      </c>
      <c r="F273" t="str">
        <f>VLOOKUP(C273,menu!A:B,2,FALSE)</f>
        <v>Gado-Gado Jakarta</v>
      </c>
      <c r="G273">
        <f t="shared" si="8"/>
        <v>20000</v>
      </c>
      <c r="H273">
        <f>VLOOKUP(C273,menu!A:E,4,FALSE)</f>
        <v>8000</v>
      </c>
      <c r="I273">
        <f t="shared" si="9"/>
        <v>12000</v>
      </c>
    </row>
    <row r="274" spans="1:9" x14ac:dyDescent="0.35">
      <c r="A274" s="4" t="s">
        <v>1184</v>
      </c>
      <c r="B274" s="4" t="s">
        <v>283</v>
      </c>
      <c r="C274" s="4" t="s">
        <v>902</v>
      </c>
      <c r="D274" s="4">
        <v>1</v>
      </c>
      <c r="E274" s="6">
        <v>12000</v>
      </c>
      <c r="F274" t="str">
        <f>VLOOKUP(C274,menu!A:B,2,FALSE)</f>
        <v>Teh Tarik</v>
      </c>
      <c r="G274">
        <f t="shared" si="8"/>
        <v>12000</v>
      </c>
      <c r="H274">
        <f>VLOOKUP(C274,menu!A:E,4,FALSE)</f>
        <v>3000</v>
      </c>
      <c r="I274">
        <f t="shared" si="9"/>
        <v>9000</v>
      </c>
    </row>
    <row r="275" spans="1:9" x14ac:dyDescent="0.35">
      <c r="A275" s="4" t="s">
        <v>1185</v>
      </c>
      <c r="B275" s="4" t="s">
        <v>473</v>
      </c>
      <c r="C275" s="4" t="s">
        <v>898</v>
      </c>
      <c r="D275" s="4">
        <v>1</v>
      </c>
      <c r="E275" s="6">
        <v>27000</v>
      </c>
      <c r="F275" t="str">
        <f>VLOOKUP(C275,menu!A:B,2,FALSE)</f>
        <v>Ayam Geprek Sambal Bawang</v>
      </c>
      <c r="G275">
        <f t="shared" si="8"/>
        <v>27000</v>
      </c>
      <c r="H275">
        <f>VLOOKUP(C275,menu!A:E,4,FALSE)</f>
        <v>11000</v>
      </c>
      <c r="I275">
        <f t="shared" si="9"/>
        <v>16000</v>
      </c>
    </row>
    <row r="276" spans="1:9" x14ac:dyDescent="0.35">
      <c r="A276" s="4" t="s">
        <v>1186</v>
      </c>
      <c r="B276" s="4" t="s">
        <v>473</v>
      </c>
      <c r="C276" s="4" t="s">
        <v>919</v>
      </c>
      <c r="D276" s="4">
        <v>1</v>
      </c>
      <c r="E276" s="6">
        <v>20000</v>
      </c>
      <c r="F276" t="str">
        <f>VLOOKUP(C276,menu!A:B,2,FALSE)</f>
        <v>Gado-Gado Jakarta</v>
      </c>
      <c r="G276">
        <f t="shared" si="8"/>
        <v>20000</v>
      </c>
      <c r="H276">
        <f>VLOOKUP(C276,menu!A:E,4,FALSE)</f>
        <v>8000</v>
      </c>
      <c r="I276">
        <f t="shared" si="9"/>
        <v>12000</v>
      </c>
    </row>
    <row r="277" spans="1:9" x14ac:dyDescent="0.35">
      <c r="A277" s="4" t="s">
        <v>1187</v>
      </c>
      <c r="B277" s="4" t="s">
        <v>473</v>
      </c>
      <c r="C277" s="4" t="s">
        <v>940</v>
      </c>
      <c r="D277" s="4">
        <v>1</v>
      </c>
      <c r="E277" s="6">
        <v>10000</v>
      </c>
      <c r="F277" t="str">
        <f>VLOOKUP(C277,menu!A:B,2,FALSE)</f>
        <v>Tahu Isi Goreng (5pcs)</v>
      </c>
      <c r="G277">
        <f t="shared" si="8"/>
        <v>10000</v>
      </c>
      <c r="H277">
        <f>VLOOKUP(C277,menu!A:E,4,FALSE)</f>
        <v>3500</v>
      </c>
      <c r="I277">
        <f t="shared" si="9"/>
        <v>6500</v>
      </c>
    </row>
    <row r="278" spans="1:9" x14ac:dyDescent="0.35">
      <c r="A278" s="4" t="s">
        <v>1188</v>
      </c>
      <c r="B278" s="4" t="s">
        <v>473</v>
      </c>
      <c r="C278" s="4" t="s">
        <v>894</v>
      </c>
      <c r="D278" s="4">
        <v>1</v>
      </c>
      <c r="E278" s="6">
        <v>5000</v>
      </c>
      <c r="F278" t="str">
        <f>VLOOKUP(C278,menu!A:B,2,FALSE)</f>
        <v>Air Mineral Botol</v>
      </c>
      <c r="G278">
        <f t="shared" si="8"/>
        <v>5000</v>
      </c>
      <c r="H278">
        <f>VLOOKUP(C278,menu!A:E,4,FALSE)</f>
        <v>2000</v>
      </c>
      <c r="I278">
        <f t="shared" si="9"/>
        <v>3000</v>
      </c>
    </row>
    <row r="279" spans="1:9" x14ac:dyDescent="0.35">
      <c r="A279" s="4" t="s">
        <v>1189</v>
      </c>
      <c r="B279" s="4" t="s">
        <v>580</v>
      </c>
      <c r="C279" s="4" t="s">
        <v>902</v>
      </c>
      <c r="D279" s="4">
        <v>1</v>
      </c>
      <c r="E279" s="6">
        <v>12000</v>
      </c>
      <c r="F279" t="str">
        <f>VLOOKUP(C279,menu!A:B,2,FALSE)</f>
        <v>Teh Tarik</v>
      </c>
      <c r="G279">
        <f t="shared" si="8"/>
        <v>12000</v>
      </c>
      <c r="H279">
        <f>VLOOKUP(C279,menu!A:E,4,FALSE)</f>
        <v>3000</v>
      </c>
      <c r="I279">
        <f t="shared" si="9"/>
        <v>9000</v>
      </c>
    </row>
    <row r="280" spans="1:9" x14ac:dyDescent="0.35">
      <c r="A280" s="4" t="s">
        <v>1190</v>
      </c>
      <c r="B280" s="4" t="s">
        <v>494</v>
      </c>
      <c r="C280" s="4" t="s">
        <v>890</v>
      </c>
      <c r="D280" s="4">
        <v>3</v>
      </c>
      <c r="E280" s="6">
        <v>18000</v>
      </c>
      <c r="F280" t="str">
        <f>VLOOKUP(C280,menu!A:B,2,FALSE)</f>
        <v>Es Kopi Susu Gula Aren</v>
      </c>
      <c r="G280">
        <f t="shared" si="8"/>
        <v>54000</v>
      </c>
      <c r="H280">
        <f>VLOOKUP(C280,menu!A:E,4,FALSE)</f>
        <v>4500</v>
      </c>
      <c r="I280">
        <f t="shared" si="9"/>
        <v>40500</v>
      </c>
    </row>
    <row r="281" spans="1:9" x14ac:dyDescent="0.35">
      <c r="A281" s="4" t="s">
        <v>1191</v>
      </c>
      <c r="B281" s="4" t="s">
        <v>494</v>
      </c>
      <c r="C281" s="4" t="s">
        <v>908</v>
      </c>
      <c r="D281" s="4">
        <v>1</v>
      </c>
      <c r="E281" s="6">
        <v>16000</v>
      </c>
      <c r="F281" t="str">
        <f>VLOOKUP(C281,menu!A:B,2,FALSE)</f>
        <v>Jus Alpukat</v>
      </c>
      <c r="G281">
        <f t="shared" si="8"/>
        <v>16000</v>
      </c>
      <c r="H281">
        <f>VLOOKUP(C281,menu!A:E,4,FALSE)</f>
        <v>5500</v>
      </c>
      <c r="I281">
        <f t="shared" si="9"/>
        <v>10500</v>
      </c>
    </row>
    <row r="282" spans="1:9" x14ac:dyDescent="0.35">
      <c r="A282" s="4" t="s">
        <v>1192</v>
      </c>
      <c r="B282" s="4" t="s">
        <v>494</v>
      </c>
      <c r="C282" s="4" t="s">
        <v>944</v>
      </c>
      <c r="D282" s="4">
        <v>1</v>
      </c>
      <c r="E282" s="6">
        <v>32000</v>
      </c>
      <c r="F282" t="str">
        <f>VLOOKUP(C282,menu!A:B,2,FALSE)</f>
        <v>Nasi Padang Rendang</v>
      </c>
      <c r="G282">
        <f t="shared" si="8"/>
        <v>32000</v>
      </c>
      <c r="H282">
        <f>VLOOKUP(C282,menu!A:E,4,FALSE)</f>
        <v>14000</v>
      </c>
      <c r="I282">
        <f t="shared" si="9"/>
        <v>18000</v>
      </c>
    </row>
    <row r="283" spans="1:9" x14ac:dyDescent="0.35">
      <c r="A283" s="4" t="s">
        <v>1193</v>
      </c>
      <c r="B283" s="4" t="s">
        <v>395</v>
      </c>
      <c r="C283" s="4" t="s">
        <v>898</v>
      </c>
      <c r="D283" s="4">
        <v>1</v>
      </c>
      <c r="E283" s="6">
        <v>27000</v>
      </c>
      <c r="F283" t="str">
        <f>VLOOKUP(C283,menu!A:B,2,FALSE)</f>
        <v>Ayam Geprek Sambal Bawang</v>
      </c>
      <c r="G283">
        <f t="shared" si="8"/>
        <v>27000</v>
      </c>
      <c r="H283">
        <f>VLOOKUP(C283,menu!A:E,4,FALSE)</f>
        <v>11000</v>
      </c>
      <c r="I283">
        <f t="shared" si="9"/>
        <v>16000</v>
      </c>
    </row>
    <row r="284" spans="1:9" x14ac:dyDescent="0.35">
      <c r="A284" s="4" t="s">
        <v>1194</v>
      </c>
      <c r="B284" s="4" t="s">
        <v>395</v>
      </c>
      <c r="C284" s="4" t="s">
        <v>937</v>
      </c>
      <c r="D284" s="4">
        <v>1</v>
      </c>
      <c r="E284" s="6">
        <v>26000</v>
      </c>
      <c r="F284" t="str">
        <f>VLOOKUP(C284,menu!A:B,2,FALSE)</f>
        <v>Nasi Campur Bali</v>
      </c>
      <c r="G284">
        <f t="shared" si="8"/>
        <v>26000</v>
      </c>
      <c r="H284">
        <f>VLOOKUP(C284,menu!A:E,4,FALSE)</f>
        <v>11500</v>
      </c>
      <c r="I284">
        <f t="shared" si="9"/>
        <v>14500</v>
      </c>
    </row>
    <row r="285" spans="1:9" x14ac:dyDescent="0.35">
      <c r="A285" s="4" t="s">
        <v>1195</v>
      </c>
      <c r="B285" s="4" t="s">
        <v>395</v>
      </c>
      <c r="C285" s="4" t="s">
        <v>890</v>
      </c>
      <c r="D285" s="4">
        <v>2</v>
      </c>
      <c r="E285" s="6">
        <v>18000</v>
      </c>
      <c r="F285" t="str">
        <f>VLOOKUP(C285,menu!A:B,2,FALSE)</f>
        <v>Es Kopi Susu Gula Aren</v>
      </c>
      <c r="G285">
        <f t="shared" si="8"/>
        <v>36000</v>
      </c>
      <c r="H285">
        <f>VLOOKUP(C285,menu!A:E,4,FALSE)</f>
        <v>4500</v>
      </c>
      <c r="I285">
        <f t="shared" si="9"/>
        <v>27000</v>
      </c>
    </row>
    <row r="286" spans="1:9" x14ac:dyDescent="0.35">
      <c r="A286" s="4" t="s">
        <v>1196</v>
      </c>
      <c r="B286" s="4" t="s">
        <v>172</v>
      </c>
      <c r="C286" s="4" t="s">
        <v>894</v>
      </c>
      <c r="D286" s="4">
        <v>2</v>
      </c>
      <c r="E286" s="6">
        <v>5000</v>
      </c>
      <c r="F286" t="str">
        <f>VLOOKUP(C286,menu!A:B,2,FALSE)</f>
        <v>Air Mineral Botol</v>
      </c>
      <c r="G286">
        <f t="shared" si="8"/>
        <v>10000</v>
      </c>
      <c r="H286">
        <f>VLOOKUP(C286,menu!A:E,4,FALSE)</f>
        <v>2000</v>
      </c>
      <c r="I286">
        <f t="shared" si="9"/>
        <v>6000</v>
      </c>
    </row>
    <row r="287" spans="1:9" x14ac:dyDescent="0.35">
      <c r="A287" s="4" t="s">
        <v>1197</v>
      </c>
      <c r="B287" s="4" t="s">
        <v>172</v>
      </c>
      <c r="C287" s="4" t="s">
        <v>898</v>
      </c>
      <c r="D287" s="4">
        <v>2</v>
      </c>
      <c r="E287" s="6">
        <v>27000</v>
      </c>
      <c r="F287" t="str">
        <f>VLOOKUP(C287,menu!A:B,2,FALSE)</f>
        <v>Ayam Geprek Sambal Bawang</v>
      </c>
      <c r="G287">
        <f t="shared" si="8"/>
        <v>54000</v>
      </c>
      <c r="H287">
        <f>VLOOKUP(C287,menu!A:E,4,FALSE)</f>
        <v>11000</v>
      </c>
      <c r="I287">
        <f t="shared" si="9"/>
        <v>32000</v>
      </c>
    </row>
    <row r="288" spans="1:9" x14ac:dyDescent="0.35">
      <c r="A288" s="4" t="s">
        <v>1198</v>
      </c>
      <c r="B288" s="4" t="s">
        <v>172</v>
      </c>
      <c r="C288" s="4" t="s">
        <v>890</v>
      </c>
      <c r="D288" s="4">
        <v>1</v>
      </c>
      <c r="E288" s="6">
        <v>18000</v>
      </c>
      <c r="F288" t="str">
        <f>VLOOKUP(C288,menu!A:B,2,FALSE)</f>
        <v>Es Kopi Susu Gula Aren</v>
      </c>
      <c r="G288">
        <f t="shared" si="8"/>
        <v>18000</v>
      </c>
      <c r="H288">
        <f>VLOOKUP(C288,menu!A:E,4,FALSE)</f>
        <v>4500</v>
      </c>
      <c r="I288">
        <f t="shared" si="9"/>
        <v>13500</v>
      </c>
    </row>
    <row r="289" spans="1:9" x14ac:dyDescent="0.35">
      <c r="A289" s="4" t="s">
        <v>1199</v>
      </c>
      <c r="B289" s="4" t="s">
        <v>265</v>
      </c>
      <c r="C289" s="4" t="s">
        <v>902</v>
      </c>
      <c r="D289" s="4">
        <v>1</v>
      </c>
      <c r="E289" s="6">
        <v>12000</v>
      </c>
      <c r="F289" t="str">
        <f>VLOOKUP(C289,menu!A:B,2,FALSE)</f>
        <v>Teh Tarik</v>
      </c>
      <c r="G289">
        <f t="shared" si="8"/>
        <v>12000</v>
      </c>
      <c r="H289">
        <f>VLOOKUP(C289,menu!A:E,4,FALSE)</f>
        <v>3000</v>
      </c>
      <c r="I289">
        <f t="shared" si="9"/>
        <v>9000</v>
      </c>
    </row>
    <row r="290" spans="1:9" x14ac:dyDescent="0.35">
      <c r="A290" s="4" t="s">
        <v>1200</v>
      </c>
      <c r="B290" s="4" t="s">
        <v>265</v>
      </c>
      <c r="C290" s="4" t="s">
        <v>894</v>
      </c>
      <c r="D290" s="4">
        <v>1</v>
      </c>
      <c r="E290" s="6">
        <v>5000</v>
      </c>
      <c r="F290" t="str">
        <f>VLOOKUP(C290,menu!A:B,2,FALSE)</f>
        <v>Air Mineral Botol</v>
      </c>
      <c r="G290">
        <f t="shared" si="8"/>
        <v>5000</v>
      </c>
      <c r="H290">
        <f>VLOOKUP(C290,menu!A:E,4,FALSE)</f>
        <v>2000</v>
      </c>
      <c r="I290">
        <f t="shared" si="9"/>
        <v>3000</v>
      </c>
    </row>
    <row r="291" spans="1:9" x14ac:dyDescent="0.35">
      <c r="A291" s="4" t="s">
        <v>1201</v>
      </c>
      <c r="B291" s="4" t="s">
        <v>838</v>
      </c>
      <c r="C291" s="4" t="s">
        <v>890</v>
      </c>
      <c r="D291" s="4">
        <v>1</v>
      </c>
      <c r="E291" s="6">
        <v>18000</v>
      </c>
      <c r="F291" t="str">
        <f>VLOOKUP(C291,menu!A:B,2,FALSE)</f>
        <v>Es Kopi Susu Gula Aren</v>
      </c>
      <c r="G291">
        <f t="shared" si="8"/>
        <v>18000</v>
      </c>
      <c r="H291">
        <f>VLOOKUP(C291,menu!A:E,4,FALSE)</f>
        <v>4500</v>
      </c>
      <c r="I291">
        <f t="shared" si="9"/>
        <v>13500</v>
      </c>
    </row>
    <row r="292" spans="1:9" x14ac:dyDescent="0.35">
      <c r="A292" s="4" t="s">
        <v>1202</v>
      </c>
      <c r="B292" s="4" t="s">
        <v>838</v>
      </c>
      <c r="C292" s="4" t="s">
        <v>919</v>
      </c>
      <c r="D292" s="4">
        <v>1</v>
      </c>
      <c r="E292" s="6">
        <v>20000</v>
      </c>
      <c r="F292" t="str">
        <f>VLOOKUP(C292,menu!A:B,2,FALSE)</f>
        <v>Gado-Gado Jakarta</v>
      </c>
      <c r="G292">
        <f t="shared" si="8"/>
        <v>20000</v>
      </c>
      <c r="H292">
        <f>VLOOKUP(C292,menu!A:E,4,FALSE)</f>
        <v>8000</v>
      </c>
      <c r="I292">
        <f t="shared" si="9"/>
        <v>12000</v>
      </c>
    </row>
    <row r="293" spans="1:9" x14ac:dyDescent="0.35">
      <c r="A293" s="4" t="s">
        <v>1203</v>
      </c>
      <c r="B293" s="4" t="s">
        <v>838</v>
      </c>
      <c r="C293" s="4" t="s">
        <v>955</v>
      </c>
      <c r="D293" s="4">
        <v>1</v>
      </c>
      <c r="E293" s="6">
        <v>15000</v>
      </c>
      <c r="F293" t="str">
        <f>VLOOKUP(C293,menu!A:B,2,FALSE)</f>
        <v>Es Campur</v>
      </c>
      <c r="G293">
        <f t="shared" si="8"/>
        <v>15000</v>
      </c>
      <c r="H293">
        <f>VLOOKUP(C293,menu!A:E,4,FALSE)</f>
        <v>6000</v>
      </c>
      <c r="I293">
        <f t="shared" si="9"/>
        <v>9000</v>
      </c>
    </row>
    <row r="294" spans="1:9" x14ac:dyDescent="0.35">
      <c r="A294" s="4" t="s">
        <v>1204</v>
      </c>
      <c r="B294" s="4" t="s">
        <v>520</v>
      </c>
      <c r="C294" s="4" t="s">
        <v>935</v>
      </c>
      <c r="D294" s="4">
        <v>1</v>
      </c>
      <c r="E294" s="6">
        <v>22000</v>
      </c>
      <c r="F294" t="str">
        <f>VLOOKUP(C294,menu!A:B,2,FALSE)</f>
        <v>Soto Ayam Lamongan</v>
      </c>
      <c r="G294">
        <f t="shared" si="8"/>
        <v>22000</v>
      </c>
      <c r="H294">
        <f>VLOOKUP(C294,menu!A:E,4,FALSE)</f>
        <v>9500</v>
      </c>
      <c r="I294">
        <f t="shared" si="9"/>
        <v>12500</v>
      </c>
    </row>
    <row r="295" spans="1:9" x14ac:dyDescent="0.35">
      <c r="A295" s="4" t="s">
        <v>1205</v>
      </c>
      <c r="B295" s="4" t="s">
        <v>520</v>
      </c>
      <c r="C295" s="4" t="s">
        <v>937</v>
      </c>
      <c r="D295" s="4">
        <v>1</v>
      </c>
      <c r="E295" s="6">
        <v>26000</v>
      </c>
      <c r="F295" t="str">
        <f>VLOOKUP(C295,menu!A:B,2,FALSE)</f>
        <v>Nasi Campur Bali</v>
      </c>
      <c r="G295">
        <f t="shared" si="8"/>
        <v>26000</v>
      </c>
      <c r="H295">
        <f>VLOOKUP(C295,menu!A:E,4,FALSE)</f>
        <v>11500</v>
      </c>
      <c r="I295">
        <f t="shared" si="9"/>
        <v>14500</v>
      </c>
    </row>
    <row r="296" spans="1:9" x14ac:dyDescent="0.35">
      <c r="A296" s="4" t="s">
        <v>1206</v>
      </c>
      <c r="B296" s="4" t="s">
        <v>520</v>
      </c>
      <c r="C296" s="4" t="s">
        <v>898</v>
      </c>
      <c r="D296" s="4">
        <v>1</v>
      </c>
      <c r="E296" s="6">
        <v>27000</v>
      </c>
      <c r="F296" t="str">
        <f>VLOOKUP(C296,menu!A:B,2,FALSE)</f>
        <v>Ayam Geprek Sambal Bawang</v>
      </c>
      <c r="G296">
        <f t="shared" si="8"/>
        <v>27000</v>
      </c>
      <c r="H296">
        <f>VLOOKUP(C296,menu!A:E,4,FALSE)</f>
        <v>11000</v>
      </c>
      <c r="I296">
        <f t="shared" si="9"/>
        <v>16000</v>
      </c>
    </row>
    <row r="297" spans="1:9" x14ac:dyDescent="0.35">
      <c r="A297" s="4" t="s">
        <v>1207</v>
      </c>
      <c r="B297" s="4" t="s">
        <v>660</v>
      </c>
      <c r="C297" s="4" t="s">
        <v>894</v>
      </c>
      <c r="D297" s="4">
        <v>1</v>
      </c>
      <c r="E297" s="6">
        <v>5000</v>
      </c>
      <c r="F297" t="str">
        <f>VLOOKUP(C297,menu!A:B,2,FALSE)</f>
        <v>Air Mineral Botol</v>
      </c>
      <c r="G297">
        <f t="shared" si="8"/>
        <v>5000</v>
      </c>
      <c r="H297">
        <f>VLOOKUP(C297,menu!A:E,4,FALSE)</f>
        <v>2000</v>
      </c>
      <c r="I297">
        <f t="shared" si="9"/>
        <v>3000</v>
      </c>
    </row>
    <row r="298" spans="1:9" x14ac:dyDescent="0.35">
      <c r="A298" s="4" t="s">
        <v>1208</v>
      </c>
      <c r="B298" s="4" t="s">
        <v>660</v>
      </c>
      <c r="C298" s="4" t="s">
        <v>898</v>
      </c>
      <c r="D298" s="4">
        <v>1</v>
      </c>
      <c r="E298" s="6">
        <v>27000</v>
      </c>
      <c r="F298" t="str">
        <f>VLOOKUP(C298,menu!A:B,2,FALSE)</f>
        <v>Ayam Geprek Sambal Bawang</v>
      </c>
      <c r="G298">
        <f t="shared" si="8"/>
        <v>27000</v>
      </c>
      <c r="H298">
        <f>VLOOKUP(C298,menu!A:E,4,FALSE)</f>
        <v>11000</v>
      </c>
      <c r="I298">
        <f t="shared" si="9"/>
        <v>16000</v>
      </c>
    </row>
    <row r="299" spans="1:9" x14ac:dyDescent="0.35">
      <c r="A299" s="4" t="s">
        <v>1209</v>
      </c>
      <c r="B299" s="4" t="s">
        <v>660</v>
      </c>
      <c r="C299" s="4" t="s">
        <v>919</v>
      </c>
      <c r="D299" s="4">
        <v>2</v>
      </c>
      <c r="E299" s="6">
        <v>20000</v>
      </c>
      <c r="F299" t="str">
        <f>VLOOKUP(C299,menu!A:B,2,FALSE)</f>
        <v>Gado-Gado Jakarta</v>
      </c>
      <c r="G299">
        <f t="shared" si="8"/>
        <v>40000</v>
      </c>
      <c r="H299">
        <f>VLOOKUP(C299,menu!A:E,4,FALSE)</f>
        <v>8000</v>
      </c>
      <c r="I299">
        <f t="shared" si="9"/>
        <v>24000</v>
      </c>
    </row>
    <row r="300" spans="1:9" x14ac:dyDescent="0.35">
      <c r="A300" s="4" t="s">
        <v>1210</v>
      </c>
      <c r="B300" s="4" t="s">
        <v>660</v>
      </c>
      <c r="C300" s="4" t="s">
        <v>906</v>
      </c>
      <c r="D300" s="4">
        <v>1</v>
      </c>
      <c r="E300" s="6">
        <v>28000</v>
      </c>
      <c r="F300" t="str">
        <f>VLOOKUP(C300,menu!A:B,2,FALSE)</f>
        <v>Sate Ayam 10 Tusuk</v>
      </c>
      <c r="G300">
        <f t="shared" si="8"/>
        <v>28000</v>
      </c>
      <c r="H300">
        <f>VLOOKUP(C300,menu!A:E,4,FALSE)</f>
        <v>12000</v>
      </c>
      <c r="I300">
        <f t="shared" si="9"/>
        <v>16000</v>
      </c>
    </row>
    <row r="301" spans="1:9" x14ac:dyDescent="0.35">
      <c r="A301" s="4" t="s">
        <v>1211</v>
      </c>
      <c r="B301" s="4" t="s">
        <v>660</v>
      </c>
      <c r="C301" s="4" t="s">
        <v>896</v>
      </c>
      <c r="D301" s="4">
        <v>1</v>
      </c>
      <c r="E301" s="6">
        <v>23000</v>
      </c>
      <c r="F301" t="str">
        <f>VLOOKUP(C301,menu!A:B,2,FALSE)</f>
        <v>Nasi Uduk Komplit</v>
      </c>
      <c r="G301">
        <f t="shared" si="8"/>
        <v>23000</v>
      </c>
      <c r="H301">
        <f>VLOOKUP(C301,menu!A:E,4,FALSE)</f>
        <v>9000</v>
      </c>
      <c r="I301">
        <f t="shared" si="9"/>
        <v>14000</v>
      </c>
    </row>
    <row r="302" spans="1:9" x14ac:dyDescent="0.35">
      <c r="A302" s="4" t="s">
        <v>1212</v>
      </c>
      <c r="B302" s="4" t="s">
        <v>431</v>
      </c>
      <c r="C302" s="4" t="s">
        <v>898</v>
      </c>
      <c r="D302" s="4">
        <v>1</v>
      </c>
      <c r="E302" s="6">
        <v>27000</v>
      </c>
      <c r="F302" t="str">
        <f>VLOOKUP(C302,menu!A:B,2,FALSE)</f>
        <v>Ayam Geprek Sambal Bawang</v>
      </c>
      <c r="G302">
        <f t="shared" si="8"/>
        <v>27000</v>
      </c>
      <c r="H302">
        <f>VLOOKUP(C302,menu!A:E,4,FALSE)</f>
        <v>11000</v>
      </c>
      <c r="I302">
        <f t="shared" si="9"/>
        <v>16000</v>
      </c>
    </row>
    <row r="303" spans="1:9" x14ac:dyDescent="0.35">
      <c r="A303" s="4" t="s">
        <v>1213</v>
      </c>
      <c r="B303" s="4" t="s">
        <v>850</v>
      </c>
      <c r="C303" s="4" t="s">
        <v>898</v>
      </c>
      <c r="D303" s="4">
        <v>1</v>
      </c>
      <c r="E303" s="6">
        <v>27000</v>
      </c>
      <c r="F303" t="str">
        <f>VLOOKUP(C303,menu!A:B,2,FALSE)</f>
        <v>Ayam Geprek Sambal Bawang</v>
      </c>
      <c r="G303">
        <f t="shared" si="8"/>
        <v>27000</v>
      </c>
      <c r="H303">
        <f>VLOOKUP(C303,menu!A:E,4,FALSE)</f>
        <v>11000</v>
      </c>
      <c r="I303">
        <f t="shared" si="9"/>
        <v>16000</v>
      </c>
    </row>
    <row r="304" spans="1:9" x14ac:dyDescent="0.35">
      <c r="A304" s="4" t="s">
        <v>1214</v>
      </c>
      <c r="B304" s="4" t="s">
        <v>850</v>
      </c>
      <c r="C304" s="4" t="s">
        <v>892</v>
      </c>
      <c r="D304" s="4">
        <v>1</v>
      </c>
      <c r="E304" s="6">
        <v>9000</v>
      </c>
      <c r="F304" t="str">
        <f>VLOOKUP(C304,menu!A:B,2,FALSE)</f>
        <v>Tempe Mendoan (5pcs)</v>
      </c>
      <c r="G304">
        <f t="shared" si="8"/>
        <v>9000</v>
      </c>
      <c r="H304">
        <f>VLOOKUP(C304,menu!A:E,4,FALSE)</f>
        <v>3000</v>
      </c>
      <c r="I304">
        <f t="shared" si="9"/>
        <v>6000</v>
      </c>
    </row>
    <row r="305" spans="1:9" x14ac:dyDescent="0.35">
      <c r="A305" s="4" t="s">
        <v>1215</v>
      </c>
      <c r="B305" s="4" t="s">
        <v>850</v>
      </c>
      <c r="C305" s="4" t="s">
        <v>919</v>
      </c>
      <c r="D305" s="4">
        <v>1</v>
      </c>
      <c r="E305" s="6">
        <v>20000</v>
      </c>
      <c r="F305" t="str">
        <f>VLOOKUP(C305,menu!A:B,2,FALSE)</f>
        <v>Gado-Gado Jakarta</v>
      </c>
      <c r="G305">
        <f t="shared" si="8"/>
        <v>20000</v>
      </c>
      <c r="H305">
        <f>VLOOKUP(C305,menu!A:E,4,FALSE)</f>
        <v>8000</v>
      </c>
      <c r="I305">
        <f t="shared" si="9"/>
        <v>12000</v>
      </c>
    </row>
    <row r="306" spans="1:9" x14ac:dyDescent="0.35">
      <c r="A306" s="4" t="s">
        <v>1216</v>
      </c>
      <c r="B306" s="4" t="s">
        <v>122</v>
      </c>
      <c r="C306" s="4" t="s">
        <v>890</v>
      </c>
      <c r="D306" s="4">
        <v>2</v>
      </c>
      <c r="E306" s="6">
        <v>18000</v>
      </c>
      <c r="F306" t="str">
        <f>VLOOKUP(C306,menu!A:B,2,FALSE)</f>
        <v>Es Kopi Susu Gula Aren</v>
      </c>
      <c r="G306">
        <f t="shared" si="8"/>
        <v>36000</v>
      </c>
      <c r="H306">
        <f>VLOOKUP(C306,menu!A:E,4,FALSE)</f>
        <v>4500</v>
      </c>
      <c r="I306">
        <f t="shared" si="9"/>
        <v>27000</v>
      </c>
    </row>
    <row r="307" spans="1:9" x14ac:dyDescent="0.35">
      <c r="A307" s="4" t="s">
        <v>1217</v>
      </c>
      <c r="B307" s="4" t="s">
        <v>122</v>
      </c>
      <c r="C307" s="4" t="s">
        <v>898</v>
      </c>
      <c r="D307" s="4">
        <v>2</v>
      </c>
      <c r="E307" s="6">
        <v>27000</v>
      </c>
      <c r="F307" t="str">
        <f>VLOOKUP(C307,menu!A:B,2,FALSE)</f>
        <v>Ayam Geprek Sambal Bawang</v>
      </c>
      <c r="G307">
        <f t="shared" si="8"/>
        <v>54000</v>
      </c>
      <c r="H307">
        <f>VLOOKUP(C307,menu!A:E,4,FALSE)</f>
        <v>11000</v>
      </c>
      <c r="I307">
        <f t="shared" si="9"/>
        <v>32000</v>
      </c>
    </row>
    <row r="308" spans="1:9" x14ac:dyDescent="0.35">
      <c r="A308" s="4" t="s">
        <v>1218</v>
      </c>
      <c r="B308" s="4" t="s">
        <v>122</v>
      </c>
      <c r="C308" s="4" t="s">
        <v>935</v>
      </c>
      <c r="D308" s="4">
        <v>1</v>
      </c>
      <c r="E308" s="6">
        <v>22000</v>
      </c>
      <c r="F308" t="str">
        <f>VLOOKUP(C308,menu!A:B,2,FALSE)</f>
        <v>Soto Ayam Lamongan</v>
      </c>
      <c r="G308">
        <f t="shared" si="8"/>
        <v>22000</v>
      </c>
      <c r="H308">
        <f>VLOOKUP(C308,menu!A:E,4,FALSE)</f>
        <v>9500</v>
      </c>
      <c r="I308">
        <f t="shared" si="9"/>
        <v>12500</v>
      </c>
    </row>
    <row r="309" spans="1:9" x14ac:dyDescent="0.35">
      <c r="A309" s="4" t="s">
        <v>1219</v>
      </c>
      <c r="B309" s="4" t="s">
        <v>785</v>
      </c>
      <c r="C309" s="4" t="s">
        <v>890</v>
      </c>
      <c r="D309" s="4">
        <v>1</v>
      </c>
      <c r="E309" s="6">
        <v>18000</v>
      </c>
      <c r="F309" t="str">
        <f>VLOOKUP(C309,menu!A:B,2,FALSE)</f>
        <v>Es Kopi Susu Gula Aren</v>
      </c>
      <c r="G309">
        <f t="shared" si="8"/>
        <v>18000</v>
      </c>
      <c r="H309">
        <f>VLOOKUP(C309,menu!A:E,4,FALSE)</f>
        <v>4500</v>
      </c>
      <c r="I309">
        <f t="shared" si="9"/>
        <v>13500</v>
      </c>
    </row>
    <row r="310" spans="1:9" x14ac:dyDescent="0.35">
      <c r="A310" s="4" t="s">
        <v>1220</v>
      </c>
      <c r="B310" s="4" t="s">
        <v>785</v>
      </c>
      <c r="C310" s="4" t="s">
        <v>898</v>
      </c>
      <c r="D310" s="4">
        <v>1</v>
      </c>
      <c r="E310" s="6">
        <v>27000</v>
      </c>
      <c r="F310" t="str">
        <f>VLOOKUP(C310,menu!A:B,2,FALSE)</f>
        <v>Ayam Geprek Sambal Bawang</v>
      </c>
      <c r="G310">
        <f t="shared" si="8"/>
        <v>27000</v>
      </c>
      <c r="H310">
        <f>VLOOKUP(C310,menu!A:E,4,FALSE)</f>
        <v>11000</v>
      </c>
      <c r="I310">
        <f t="shared" si="9"/>
        <v>16000</v>
      </c>
    </row>
    <row r="311" spans="1:9" x14ac:dyDescent="0.35">
      <c r="A311" s="4" t="s">
        <v>1221</v>
      </c>
      <c r="B311" s="4" t="s">
        <v>785</v>
      </c>
      <c r="C311" s="4" t="s">
        <v>894</v>
      </c>
      <c r="D311" s="4">
        <v>1</v>
      </c>
      <c r="E311" s="6">
        <v>5000</v>
      </c>
      <c r="F311" t="str">
        <f>VLOOKUP(C311,menu!A:B,2,FALSE)</f>
        <v>Air Mineral Botol</v>
      </c>
      <c r="G311">
        <f t="shared" si="8"/>
        <v>5000</v>
      </c>
      <c r="H311">
        <f>VLOOKUP(C311,menu!A:E,4,FALSE)</f>
        <v>2000</v>
      </c>
      <c r="I311">
        <f t="shared" si="9"/>
        <v>3000</v>
      </c>
    </row>
    <row r="312" spans="1:9" x14ac:dyDescent="0.35">
      <c r="A312" s="4" t="s">
        <v>1222</v>
      </c>
      <c r="B312" s="4" t="s">
        <v>313</v>
      </c>
      <c r="C312" s="4" t="s">
        <v>900</v>
      </c>
      <c r="D312" s="4">
        <v>1</v>
      </c>
      <c r="E312" s="6">
        <v>8000</v>
      </c>
      <c r="F312" t="str">
        <f>VLOOKUP(C312,menu!A:B,2,FALSE)</f>
        <v>Es Jeruk Peras</v>
      </c>
      <c r="G312">
        <f t="shared" si="8"/>
        <v>8000</v>
      </c>
      <c r="H312">
        <f>VLOOKUP(C312,menu!A:E,4,FALSE)</f>
        <v>2500</v>
      </c>
      <c r="I312">
        <f t="shared" si="9"/>
        <v>5500</v>
      </c>
    </row>
    <row r="313" spans="1:9" x14ac:dyDescent="0.35">
      <c r="A313" s="4" t="s">
        <v>1223</v>
      </c>
      <c r="B313" s="4" t="s">
        <v>197</v>
      </c>
      <c r="C313" s="4" t="s">
        <v>955</v>
      </c>
      <c r="D313" s="4">
        <v>1</v>
      </c>
      <c r="E313" s="6">
        <v>15000</v>
      </c>
      <c r="F313" t="str">
        <f>VLOOKUP(C313,menu!A:B,2,FALSE)</f>
        <v>Es Campur</v>
      </c>
      <c r="G313">
        <f t="shared" si="8"/>
        <v>15000</v>
      </c>
      <c r="H313">
        <f>VLOOKUP(C313,menu!A:E,4,FALSE)</f>
        <v>6000</v>
      </c>
      <c r="I313">
        <f t="shared" si="9"/>
        <v>9000</v>
      </c>
    </row>
    <row r="314" spans="1:9" x14ac:dyDescent="0.35">
      <c r="A314" s="4" t="s">
        <v>1224</v>
      </c>
      <c r="B314" s="4" t="s">
        <v>197</v>
      </c>
      <c r="C314" s="4" t="s">
        <v>928</v>
      </c>
      <c r="D314" s="4">
        <v>1</v>
      </c>
      <c r="E314" s="6">
        <v>23000</v>
      </c>
      <c r="F314" t="str">
        <f>VLOOKUP(C314,menu!A:B,2,FALSE)</f>
        <v>Mie Goreng Jawa</v>
      </c>
      <c r="G314">
        <f t="shared" si="8"/>
        <v>23000</v>
      </c>
      <c r="H314">
        <f>VLOOKUP(C314,menu!A:E,4,FALSE)</f>
        <v>8500</v>
      </c>
      <c r="I314">
        <f t="shared" si="9"/>
        <v>14500</v>
      </c>
    </row>
    <row r="315" spans="1:9" x14ac:dyDescent="0.35">
      <c r="A315" s="4" t="s">
        <v>1225</v>
      </c>
      <c r="B315" s="4" t="s">
        <v>701</v>
      </c>
      <c r="C315" s="4" t="s">
        <v>898</v>
      </c>
      <c r="D315" s="4">
        <v>1</v>
      </c>
      <c r="E315" s="6">
        <v>27000</v>
      </c>
      <c r="F315" t="str">
        <f>VLOOKUP(C315,menu!A:B,2,FALSE)</f>
        <v>Ayam Geprek Sambal Bawang</v>
      </c>
      <c r="G315">
        <f t="shared" si="8"/>
        <v>27000</v>
      </c>
      <c r="H315">
        <f>VLOOKUP(C315,menu!A:E,4,FALSE)</f>
        <v>11000</v>
      </c>
      <c r="I315">
        <f t="shared" si="9"/>
        <v>16000</v>
      </c>
    </row>
    <row r="316" spans="1:9" x14ac:dyDescent="0.35">
      <c r="A316" s="4" t="s">
        <v>1226</v>
      </c>
      <c r="B316" s="4" t="s">
        <v>701</v>
      </c>
      <c r="C316" s="4" t="s">
        <v>937</v>
      </c>
      <c r="D316" s="4">
        <v>3</v>
      </c>
      <c r="E316" s="6">
        <v>26000</v>
      </c>
      <c r="F316" t="str">
        <f>VLOOKUP(C316,menu!A:B,2,FALSE)</f>
        <v>Nasi Campur Bali</v>
      </c>
      <c r="G316">
        <f t="shared" si="8"/>
        <v>78000</v>
      </c>
      <c r="H316">
        <f>VLOOKUP(C316,menu!A:E,4,FALSE)</f>
        <v>11500</v>
      </c>
      <c r="I316">
        <f t="shared" si="9"/>
        <v>43500</v>
      </c>
    </row>
    <row r="317" spans="1:9" x14ac:dyDescent="0.35">
      <c r="A317" s="4" t="s">
        <v>1227</v>
      </c>
      <c r="B317" s="4" t="s">
        <v>363</v>
      </c>
      <c r="C317" s="4" t="s">
        <v>928</v>
      </c>
      <c r="D317" s="4">
        <v>1</v>
      </c>
      <c r="E317" s="6">
        <v>23000</v>
      </c>
      <c r="F317" t="str">
        <f>VLOOKUP(C317,menu!A:B,2,FALSE)</f>
        <v>Mie Goreng Jawa</v>
      </c>
      <c r="G317">
        <f t="shared" si="8"/>
        <v>23000</v>
      </c>
      <c r="H317">
        <f>VLOOKUP(C317,menu!A:E,4,FALSE)</f>
        <v>8500</v>
      </c>
      <c r="I317">
        <f t="shared" si="9"/>
        <v>14500</v>
      </c>
    </row>
    <row r="318" spans="1:9" x14ac:dyDescent="0.35">
      <c r="A318" s="4" t="s">
        <v>1228</v>
      </c>
      <c r="B318" s="4" t="s">
        <v>678</v>
      </c>
      <c r="C318" s="4" t="s">
        <v>1003</v>
      </c>
      <c r="D318" s="4">
        <v>1</v>
      </c>
      <c r="E318" s="6">
        <v>29000</v>
      </c>
      <c r="F318" t="str">
        <f>VLOOKUP(C318,menu!A:B,2,FALSE)</f>
        <v>Capcay Seafood</v>
      </c>
      <c r="G318">
        <f t="shared" si="8"/>
        <v>29000</v>
      </c>
      <c r="H318">
        <f>VLOOKUP(C318,menu!A:E,4,FALSE)</f>
        <v>13000</v>
      </c>
      <c r="I318">
        <f t="shared" si="9"/>
        <v>16000</v>
      </c>
    </row>
    <row r="319" spans="1:9" x14ac:dyDescent="0.35">
      <c r="A319" s="4" t="s">
        <v>1229</v>
      </c>
      <c r="B319" s="4" t="s">
        <v>246</v>
      </c>
      <c r="C319" s="4" t="s">
        <v>894</v>
      </c>
      <c r="D319" s="4">
        <v>1</v>
      </c>
      <c r="E319" s="6">
        <v>5000</v>
      </c>
      <c r="F319" t="str">
        <f>VLOOKUP(C319,menu!A:B,2,FALSE)</f>
        <v>Air Mineral Botol</v>
      </c>
      <c r="G319">
        <f t="shared" si="8"/>
        <v>5000</v>
      </c>
      <c r="H319">
        <f>VLOOKUP(C319,menu!A:E,4,FALSE)</f>
        <v>2000</v>
      </c>
      <c r="I319">
        <f t="shared" si="9"/>
        <v>3000</v>
      </c>
    </row>
    <row r="320" spans="1:9" x14ac:dyDescent="0.35">
      <c r="A320" s="4" t="s">
        <v>1230</v>
      </c>
      <c r="B320" s="4" t="s">
        <v>246</v>
      </c>
      <c r="C320" s="4" t="s">
        <v>898</v>
      </c>
      <c r="D320" s="4">
        <v>1</v>
      </c>
      <c r="E320" s="6">
        <v>27000</v>
      </c>
      <c r="F320" t="str">
        <f>VLOOKUP(C320,menu!A:B,2,FALSE)</f>
        <v>Ayam Geprek Sambal Bawang</v>
      </c>
      <c r="G320">
        <f t="shared" si="8"/>
        <v>27000</v>
      </c>
      <c r="H320">
        <f>VLOOKUP(C320,menu!A:E,4,FALSE)</f>
        <v>11000</v>
      </c>
      <c r="I320">
        <f t="shared" si="9"/>
        <v>16000</v>
      </c>
    </row>
    <row r="321" spans="1:9" x14ac:dyDescent="0.35">
      <c r="A321" s="4" t="s">
        <v>1231</v>
      </c>
      <c r="B321" s="4" t="s">
        <v>246</v>
      </c>
      <c r="C321" s="4" t="s">
        <v>892</v>
      </c>
      <c r="D321" s="4">
        <v>1</v>
      </c>
      <c r="E321" s="6">
        <v>9000</v>
      </c>
      <c r="F321" t="str">
        <f>VLOOKUP(C321,menu!A:B,2,FALSE)</f>
        <v>Tempe Mendoan (5pcs)</v>
      </c>
      <c r="G321">
        <f t="shared" si="8"/>
        <v>9000</v>
      </c>
      <c r="H321">
        <f>VLOOKUP(C321,menu!A:E,4,FALSE)</f>
        <v>3000</v>
      </c>
      <c r="I321">
        <f t="shared" si="9"/>
        <v>6000</v>
      </c>
    </row>
    <row r="322" spans="1:9" x14ac:dyDescent="0.35">
      <c r="A322" s="4" t="s">
        <v>1232</v>
      </c>
      <c r="B322" s="4" t="s">
        <v>777</v>
      </c>
      <c r="C322" s="4" t="s">
        <v>896</v>
      </c>
      <c r="D322" s="4">
        <v>2</v>
      </c>
      <c r="E322" s="6">
        <v>23000</v>
      </c>
      <c r="F322" t="str">
        <f>VLOOKUP(C322,menu!A:B,2,FALSE)</f>
        <v>Nasi Uduk Komplit</v>
      </c>
      <c r="G322">
        <f t="shared" si="8"/>
        <v>46000</v>
      </c>
      <c r="H322">
        <f>VLOOKUP(C322,menu!A:E,4,FALSE)</f>
        <v>9000</v>
      </c>
      <c r="I322">
        <f t="shared" si="9"/>
        <v>28000</v>
      </c>
    </row>
    <row r="323" spans="1:9" x14ac:dyDescent="0.35">
      <c r="A323" s="4" t="s">
        <v>1233</v>
      </c>
      <c r="B323" s="4" t="s">
        <v>299</v>
      </c>
      <c r="C323" s="4" t="s">
        <v>898</v>
      </c>
      <c r="D323" s="4">
        <v>1</v>
      </c>
      <c r="E323" s="6">
        <v>27000</v>
      </c>
      <c r="F323" t="str">
        <f>VLOOKUP(C323,menu!A:B,2,FALSE)</f>
        <v>Ayam Geprek Sambal Bawang</v>
      </c>
      <c r="G323">
        <f t="shared" ref="G323:G386" si="10">D323*E323</f>
        <v>27000</v>
      </c>
      <c r="H323">
        <f>VLOOKUP(C323,menu!A:E,4,FALSE)</f>
        <v>11000</v>
      </c>
      <c r="I323">
        <f t="shared" ref="I323:I386" si="11">(E323-H323)*D323</f>
        <v>16000</v>
      </c>
    </row>
    <row r="324" spans="1:9" x14ac:dyDescent="0.35">
      <c r="A324" s="4" t="s">
        <v>1234</v>
      </c>
      <c r="B324" s="4" t="s">
        <v>299</v>
      </c>
      <c r="C324" s="4" t="s">
        <v>935</v>
      </c>
      <c r="D324" s="4">
        <v>1</v>
      </c>
      <c r="E324" s="6">
        <v>22000</v>
      </c>
      <c r="F324" t="str">
        <f>VLOOKUP(C324,menu!A:B,2,FALSE)</f>
        <v>Soto Ayam Lamongan</v>
      </c>
      <c r="G324">
        <f t="shared" si="10"/>
        <v>22000</v>
      </c>
      <c r="H324">
        <f>VLOOKUP(C324,menu!A:E,4,FALSE)</f>
        <v>9500</v>
      </c>
      <c r="I324">
        <f t="shared" si="11"/>
        <v>12500</v>
      </c>
    </row>
    <row r="325" spans="1:9" x14ac:dyDescent="0.35">
      <c r="A325" s="4" t="s">
        <v>1235</v>
      </c>
      <c r="B325" s="4" t="s">
        <v>829</v>
      </c>
      <c r="C325" s="4" t="s">
        <v>955</v>
      </c>
      <c r="D325" s="4">
        <v>1</v>
      </c>
      <c r="E325" s="6">
        <v>15000</v>
      </c>
      <c r="F325" t="str">
        <f>VLOOKUP(C325,menu!A:B,2,FALSE)</f>
        <v>Es Campur</v>
      </c>
      <c r="G325">
        <f t="shared" si="10"/>
        <v>15000</v>
      </c>
      <c r="H325">
        <f>VLOOKUP(C325,menu!A:E,4,FALSE)</f>
        <v>6000</v>
      </c>
      <c r="I325">
        <f t="shared" si="11"/>
        <v>9000</v>
      </c>
    </row>
    <row r="326" spans="1:9" x14ac:dyDescent="0.35">
      <c r="A326" s="4" t="s">
        <v>1236</v>
      </c>
      <c r="B326" s="4" t="s">
        <v>829</v>
      </c>
      <c r="C326" s="4" t="s">
        <v>919</v>
      </c>
      <c r="D326" s="4">
        <v>2</v>
      </c>
      <c r="E326" s="6">
        <v>20000</v>
      </c>
      <c r="F326" t="str">
        <f>VLOOKUP(C326,menu!A:B,2,FALSE)</f>
        <v>Gado-Gado Jakarta</v>
      </c>
      <c r="G326">
        <f t="shared" si="10"/>
        <v>40000</v>
      </c>
      <c r="H326">
        <f>VLOOKUP(C326,menu!A:E,4,FALSE)</f>
        <v>8000</v>
      </c>
      <c r="I326">
        <f t="shared" si="11"/>
        <v>24000</v>
      </c>
    </row>
    <row r="327" spans="1:9" x14ac:dyDescent="0.35">
      <c r="A327" s="4" t="s">
        <v>1237</v>
      </c>
      <c r="B327" s="4" t="s">
        <v>70</v>
      </c>
      <c r="C327" s="4" t="s">
        <v>898</v>
      </c>
      <c r="D327" s="4">
        <v>1</v>
      </c>
      <c r="E327" s="6">
        <v>27000</v>
      </c>
      <c r="F327" t="str">
        <f>VLOOKUP(C327,menu!A:B,2,FALSE)</f>
        <v>Ayam Geprek Sambal Bawang</v>
      </c>
      <c r="G327">
        <f t="shared" si="10"/>
        <v>27000</v>
      </c>
      <c r="H327">
        <f>VLOOKUP(C327,menu!A:E,4,FALSE)</f>
        <v>11000</v>
      </c>
      <c r="I327">
        <f t="shared" si="11"/>
        <v>16000</v>
      </c>
    </row>
    <row r="328" spans="1:9" x14ac:dyDescent="0.35">
      <c r="A328" s="4" t="s">
        <v>1238</v>
      </c>
      <c r="B328" s="4" t="s">
        <v>646</v>
      </c>
      <c r="C328" s="4" t="s">
        <v>919</v>
      </c>
      <c r="D328" s="4">
        <v>1</v>
      </c>
      <c r="E328" s="6">
        <v>20000</v>
      </c>
      <c r="F328" t="str">
        <f>VLOOKUP(C328,menu!A:B,2,FALSE)</f>
        <v>Gado-Gado Jakarta</v>
      </c>
      <c r="G328">
        <f t="shared" si="10"/>
        <v>20000</v>
      </c>
      <c r="H328">
        <f>VLOOKUP(C328,menu!A:E,4,FALSE)</f>
        <v>8000</v>
      </c>
      <c r="I328">
        <f t="shared" si="11"/>
        <v>12000</v>
      </c>
    </row>
    <row r="329" spans="1:9" x14ac:dyDescent="0.35">
      <c r="A329" s="4" t="s">
        <v>1239</v>
      </c>
      <c r="B329" s="4" t="s">
        <v>646</v>
      </c>
      <c r="C329" s="4" t="s">
        <v>1003</v>
      </c>
      <c r="D329" s="4">
        <v>1</v>
      </c>
      <c r="E329" s="6">
        <v>29000</v>
      </c>
      <c r="F329" t="str">
        <f>VLOOKUP(C329,menu!A:B,2,FALSE)</f>
        <v>Capcay Seafood</v>
      </c>
      <c r="G329">
        <f t="shared" si="10"/>
        <v>29000</v>
      </c>
      <c r="H329">
        <f>VLOOKUP(C329,menu!A:E,4,FALSE)</f>
        <v>13000</v>
      </c>
      <c r="I329">
        <f t="shared" si="11"/>
        <v>16000</v>
      </c>
    </row>
    <row r="330" spans="1:9" x14ac:dyDescent="0.35">
      <c r="A330" s="4" t="s">
        <v>1240</v>
      </c>
      <c r="B330" s="4" t="s">
        <v>646</v>
      </c>
      <c r="C330" s="4" t="s">
        <v>898</v>
      </c>
      <c r="D330" s="4">
        <v>1</v>
      </c>
      <c r="E330" s="6">
        <v>27000</v>
      </c>
      <c r="F330" t="str">
        <f>VLOOKUP(C330,menu!A:B,2,FALSE)</f>
        <v>Ayam Geprek Sambal Bawang</v>
      </c>
      <c r="G330">
        <f t="shared" si="10"/>
        <v>27000</v>
      </c>
      <c r="H330">
        <f>VLOOKUP(C330,menu!A:E,4,FALSE)</f>
        <v>11000</v>
      </c>
      <c r="I330">
        <f t="shared" si="11"/>
        <v>16000</v>
      </c>
    </row>
    <row r="331" spans="1:9" x14ac:dyDescent="0.35">
      <c r="A331" s="4" t="s">
        <v>1241</v>
      </c>
      <c r="B331" s="4" t="s">
        <v>646</v>
      </c>
      <c r="C331" s="4" t="s">
        <v>894</v>
      </c>
      <c r="D331" s="4">
        <v>1</v>
      </c>
      <c r="E331" s="6">
        <v>5000</v>
      </c>
      <c r="F331" t="str">
        <f>VLOOKUP(C331,menu!A:B,2,FALSE)</f>
        <v>Air Mineral Botol</v>
      </c>
      <c r="G331">
        <f t="shared" si="10"/>
        <v>5000</v>
      </c>
      <c r="H331">
        <f>VLOOKUP(C331,menu!A:E,4,FALSE)</f>
        <v>2000</v>
      </c>
      <c r="I331">
        <f t="shared" si="11"/>
        <v>3000</v>
      </c>
    </row>
    <row r="332" spans="1:9" x14ac:dyDescent="0.35">
      <c r="A332" s="4" t="s">
        <v>1242</v>
      </c>
      <c r="B332" s="4" t="s">
        <v>661</v>
      </c>
      <c r="C332" s="4" t="s">
        <v>902</v>
      </c>
      <c r="D332" s="4">
        <v>2</v>
      </c>
      <c r="E332" s="6">
        <v>12000</v>
      </c>
      <c r="F332" t="str">
        <f>VLOOKUP(C332,menu!A:B,2,FALSE)</f>
        <v>Teh Tarik</v>
      </c>
      <c r="G332">
        <f t="shared" si="10"/>
        <v>24000</v>
      </c>
      <c r="H332">
        <f>VLOOKUP(C332,menu!A:E,4,FALSE)</f>
        <v>3000</v>
      </c>
      <c r="I332">
        <f t="shared" si="11"/>
        <v>18000</v>
      </c>
    </row>
    <row r="333" spans="1:9" x14ac:dyDescent="0.35">
      <c r="A333" s="4" t="s">
        <v>1243</v>
      </c>
      <c r="B333" s="4" t="s">
        <v>661</v>
      </c>
      <c r="C333" s="4" t="s">
        <v>890</v>
      </c>
      <c r="D333" s="4">
        <v>2</v>
      </c>
      <c r="E333" s="6">
        <v>18000</v>
      </c>
      <c r="F333" t="str">
        <f>VLOOKUP(C333,menu!A:B,2,FALSE)</f>
        <v>Es Kopi Susu Gula Aren</v>
      </c>
      <c r="G333">
        <f t="shared" si="10"/>
        <v>36000</v>
      </c>
      <c r="H333">
        <f>VLOOKUP(C333,menu!A:E,4,FALSE)</f>
        <v>4500</v>
      </c>
      <c r="I333">
        <f t="shared" si="11"/>
        <v>27000</v>
      </c>
    </row>
    <row r="334" spans="1:9" x14ac:dyDescent="0.35">
      <c r="A334" s="4" t="s">
        <v>1244</v>
      </c>
      <c r="B334" s="4" t="s">
        <v>567</v>
      </c>
      <c r="C334" s="4" t="s">
        <v>931</v>
      </c>
      <c r="D334" s="4">
        <v>1</v>
      </c>
      <c r="E334" s="6">
        <v>5000</v>
      </c>
      <c r="F334" t="str">
        <f>VLOOKUP(C334,menu!A:B,2,FALSE)</f>
        <v>Kerupuk Udang</v>
      </c>
      <c r="G334">
        <f t="shared" si="10"/>
        <v>5000</v>
      </c>
      <c r="H334">
        <f>VLOOKUP(C334,menu!A:E,4,FALSE)</f>
        <v>1500</v>
      </c>
      <c r="I334">
        <f t="shared" si="11"/>
        <v>3500</v>
      </c>
    </row>
    <row r="335" spans="1:9" x14ac:dyDescent="0.35">
      <c r="A335" s="4" t="s">
        <v>1245</v>
      </c>
      <c r="B335" s="4" t="s">
        <v>567</v>
      </c>
      <c r="C335" s="4" t="s">
        <v>919</v>
      </c>
      <c r="D335" s="4">
        <v>1</v>
      </c>
      <c r="E335" s="6">
        <v>20000</v>
      </c>
      <c r="F335" t="str">
        <f>VLOOKUP(C335,menu!A:B,2,FALSE)</f>
        <v>Gado-Gado Jakarta</v>
      </c>
      <c r="G335">
        <f t="shared" si="10"/>
        <v>20000</v>
      </c>
      <c r="H335">
        <f>VLOOKUP(C335,menu!A:E,4,FALSE)</f>
        <v>8000</v>
      </c>
      <c r="I335">
        <f t="shared" si="11"/>
        <v>12000</v>
      </c>
    </row>
    <row r="336" spans="1:9" x14ac:dyDescent="0.35">
      <c r="A336" s="4" t="s">
        <v>1246</v>
      </c>
      <c r="B336" s="4" t="s">
        <v>567</v>
      </c>
      <c r="C336" s="4" t="s">
        <v>928</v>
      </c>
      <c r="D336" s="4">
        <v>1</v>
      </c>
      <c r="E336" s="6">
        <v>23000</v>
      </c>
      <c r="F336" t="str">
        <f>VLOOKUP(C336,menu!A:B,2,FALSE)</f>
        <v>Mie Goreng Jawa</v>
      </c>
      <c r="G336">
        <f t="shared" si="10"/>
        <v>23000</v>
      </c>
      <c r="H336">
        <f>VLOOKUP(C336,menu!A:E,4,FALSE)</f>
        <v>8500</v>
      </c>
      <c r="I336">
        <f t="shared" si="11"/>
        <v>14500</v>
      </c>
    </row>
    <row r="337" spans="1:9" x14ac:dyDescent="0.35">
      <c r="A337" s="4" t="s">
        <v>1247</v>
      </c>
      <c r="B337" s="4" t="s">
        <v>801</v>
      </c>
      <c r="C337" s="4" t="s">
        <v>898</v>
      </c>
      <c r="D337" s="4">
        <v>2</v>
      </c>
      <c r="E337" s="6">
        <v>27000</v>
      </c>
      <c r="F337" t="str">
        <f>VLOOKUP(C337,menu!A:B,2,FALSE)</f>
        <v>Ayam Geprek Sambal Bawang</v>
      </c>
      <c r="G337">
        <f t="shared" si="10"/>
        <v>54000</v>
      </c>
      <c r="H337">
        <f>VLOOKUP(C337,menu!A:E,4,FALSE)</f>
        <v>11000</v>
      </c>
      <c r="I337">
        <f t="shared" si="11"/>
        <v>32000</v>
      </c>
    </row>
    <row r="338" spans="1:9" x14ac:dyDescent="0.35">
      <c r="A338" s="4" t="s">
        <v>1248</v>
      </c>
      <c r="B338" s="4" t="s">
        <v>801</v>
      </c>
      <c r="C338" s="4" t="s">
        <v>955</v>
      </c>
      <c r="D338" s="4">
        <v>1</v>
      </c>
      <c r="E338" s="6">
        <v>15000</v>
      </c>
      <c r="F338" t="str">
        <f>VLOOKUP(C338,menu!A:B,2,FALSE)</f>
        <v>Es Campur</v>
      </c>
      <c r="G338">
        <f t="shared" si="10"/>
        <v>15000</v>
      </c>
      <c r="H338">
        <f>VLOOKUP(C338,menu!A:E,4,FALSE)</f>
        <v>6000</v>
      </c>
      <c r="I338">
        <f t="shared" si="11"/>
        <v>9000</v>
      </c>
    </row>
    <row r="339" spans="1:9" x14ac:dyDescent="0.35">
      <c r="A339" s="4" t="s">
        <v>1249</v>
      </c>
      <c r="B339" s="4" t="s">
        <v>408</v>
      </c>
      <c r="C339" s="4" t="s">
        <v>1059</v>
      </c>
      <c r="D339" s="4">
        <v>1</v>
      </c>
      <c r="E339" s="6">
        <v>6000</v>
      </c>
      <c r="F339" t="str">
        <f>VLOOKUP(C339,menu!A:B,2,FALSE)</f>
        <v>Es Teh Manis</v>
      </c>
      <c r="G339">
        <f t="shared" si="10"/>
        <v>6000</v>
      </c>
      <c r="H339">
        <f>VLOOKUP(C339,menu!A:E,4,FALSE)</f>
        <v>1500</v>
      </c>
      <c r="I339">
        <f t="shared" si="11"/>
        <v>4500</v>
      </c>
    </row>
    <row r="340" spans="1:9" x14ac:dyDescent="0.35">
      <c r="A340" s="4" t="s">
        <v>1250</v>
      </c>
      <c r="B340" s="4" t="s">
        <v>444</v>
      </c>
      <c r="C340" s="4" t="s">
        <v>890</v>
      </c>
      <c r="D340" s="4">
        <v>3</v>
      </c>
      <c r="E340" s="6">
        <v>18000</v>
      </c>
      <c r="F340" t="str">
        <f>VLOOKUP(C340,menu!A:B,2,FALSE)</f>
        <v>Es Kopi Susu Gula Aren</v>
      </c>
      <c r="G340">
        <f t="shared" si="10"/>
        <v>54000</v>
      </c>
      <c r="H340">
        <f>VLOOKUP(C340,menu!A:E,4,FALSE)</f>
        <v>4500</v>
      </c>
      <c r="I340">
        <f t="shared" si="11"/>
        <v>40500</v>
      </c>
    </row>
    <row r="341" spans="1:9" x14ac:dyDescent="0.35">
      <c r="A341" s="4" t="s">
        <v>1251</v>
      </c>
      <c r="B341" s="4" t="s">
        <v>444</v>
      </c>
      <c r="C341" s="4" t="s">
        <v>892</v>
      </c>
      <c r="D341" s="4">
        <v>1</v>
      </c>
      <c r="E341" s="6">
        <v>9000</v>
      </c>
      <c r="F341" t="str">
        <f>VLOOKUP(C341,menu!A:B,2,FALSE)</f>
        <v>Tempe Mendoan (5pcs)</v>
      </c>
      <c r="G341">
        <f t="shared" si="10"/>
        <v>9000</v>
      </c>
      <c r="H341">
        <f>VLOOKUP(C341,menu!A:E,4,FALSE)</f>
        <v>3000</v>
      </c>
      <c r="I341">
        <f t="shared" si="11"/>
        <v>6000</v>
      </c>
    </row>
    <row r="342" spans="1:9" x14ac:dyDescent="0.35">
      <c r="A342" s="4" t="s">
        <v>1252</v>
      </c>
      <c r="B342" s="4" t="s">
        <v>444</v>
      </c>
      <c r="C342" s="4" t="s">
        <v>898</v>
      </c>
      <c r="D342" s="4">
        <v>1</v>
      </c>
      <c r="E342" s="6">
        <v>27000</v>
      </c>
      <c r="F342" t="str">
        <f>VLOOKUP(C342,menu!A:B,2,FALSE)</f>
        <v>Ayam Geprek Sambal Bawang</v>
      </c>
      <c r="G342">
        <f t="shared" si="10"/>
        <v>27000</v>
      </c>
      <c r="H342">
        <f>VLOOKUP(C342,menu!A:E,4,FALSE)</f>
        <v>11000</v>
      </c>
      <c r="I342">
        <f t="shared" si="11"/>
        <v>16000</v>
      </c>
    </row>
    <row r="343" spans="1:9" x14ac:dyDescent="0.35">
      <c r="A343" s="4" t="s">
        <v>1253</v>
      </c>
      <c r="B343" s="4" t="s">
        <v>879</v>
      </c>
      <c r="C343" s="4" t="s">
        <v>890</v>
      </c>
      <c r="D343" s="4">
        <v>1</v>
      </c>
      <c r="E343" s="6">
        <v>18000</v>
      </c>
      <c r="F343" t="str">
        <f>VLOOKUP(C343,menu!A:B,2,FALSE)</f>
        <v>Es Kopi Susu Gula Aren</v>
      </c>
      <c r="G343">
        <f t="shared" si="10"/>
        <v>18000</v>
      </c>
      <c r="H343">
        <f>VLOOKUP(C343,menu!A:E,4,FALSE)</f>
        <v>4500</v>
      </c>
      <c r="I343">
        <f t="shared" si="11"/>
        <v>13500</v>
      </c>
    </row>
    <row r="344" spans="1:9" x14ac:dyDescent="0.35">
      <c r="A344" s="4" t="s">
        <v>1254</v>
      </c>
      <c r="B344" s="4" t="s">
        <v>879</v>
      </c>
      <c r="C344" s="4" t="s">
        <v>900</v>
      </c>
      <c r="D344" s="4">
        <v>1</v>
      </c>
      <c r="E344" s="6">
        <v>8000</v>
      </c>
      <c r="F344" t="str">
        <f>VLOOKUP(C344,menu!A:B,2,FALSE)</f>
        <v>Es Jeruk Peras</v>
      </c>
      <c r="G344">
        <f t="shared" si="10"/>
        <v>8000</v>
      </c>
      <c r="H344">
        <f>VLOOKUP(C344,menu!A:E,4,FALSE)</f>
        <v>2500</v>
      </c>
      <c r="I344">
        <f t="shared" si="11"/>
        <v>5500</v>
      </c>
    </row>
    <row r="345" spans="1:9" x14ac:dyDescent="0.35">
      <c r="A345" s="4" t="s">
        <v>1255</v>
      </c>
      <c r="B345" s="4" t="s">
        <v>48</v>
      </c>
      <c r="C345" s="4" t="s">
        <v>898</v>
      </c>
      <c r="D345" s="4">
        <v>2</v>
      </c>
      <c r="E345" s="6">
        <v>27000</v>
      </c>
      <c r="F345" t="str">
        <f>VLOOKUP(C345,menu!A:B,2,FALSE)</f>
        <v>Ayam Geprek Sambal Bawang</v>
      </c>
      <c r="G345">
        <f t="shared" si="10"/>
        <v>54000</v>
      </c>
      <c r="H345">
        <f>VLOOKUP(C345,menu!A:E,4,FALSE)</f>
        <v>11000</v>
      </c>
      <c r="I345">
        <f t="shared" si="11"/>
        <v>32000</v>
      </c>
    </row>
    <row r="346" spans="1:9" x14ac:dyDescent="0.35">
      <c r="A346" s="4" t="s">
        <v>1256</v>
      </c>
      <c r="B346" s="4" t="s">
        <v>48</v>
      </c>
      <c r="C346" s="4" t="s">
        <v>892</v>
      </c>
      <c r="D346" s="4">
        <v>1</v>
      </c>
      <c r="E346" s="6">
        <v>9000</v>
      </c>
      <c r="F346" t="str">
        <f>VLOOKUP(C346,menu!A:B,2,FALSE)</f>
        <v>Tempe Mendoan (5pcs)</v>
      </c>
      <c r="G346">
        <f t="shared" si="10"/>
        <v>9000</v>
      </c>
      <c r="H346">
        <f>VLOOKUP(C346,menu!A:E,4,FALSE)</f>
        <v>3000</v>
      </c>
      <c r="I346">
        <f t="shared" si="11"/>
        <v>6000</v>
      </c>
    </row>
    <row r="347" spans="1:9" x14ac:dyDescent="0.35">
      <c r="A347" s="4" t="s">
        <v>1257</v>
      </c>
      <c r="B347" s="4" t="s">
        <v>48</v>
      </c>
      <c r="C347" s="4" t="s">
        <v>931</v>
      </c>
      <c r="D347" s="4">
        <v>1</v>
      </c>
      <c r="E347" s="6">
        <v>5000</v>
      </c>
      <c r="F347" t="str">
        <f>VLOOKUP(C347,menu!A:B,2,FALSE)</f>
        <v>Kerupuk Udang</v>
      </c>
      <c r="G347">
        <f t="shared" si="10"/>
        <v>5000</v>
      </c>
      <c r="H347">
        <f>VLOOKUP(C347,menu!A:E,4,FALSE)</f>
        <v>1500</v>
      </c>
      <c r="I347">
        <f t="shared" si="11"/>
        <v>3500</v>
      </c>
    </row>
    <row r="348" spans="1:9" x14ac:dyDescent="0.35">
      <c r="A348" s="4" t="s">
        <v>1258</v>
      </c>
      <c r="B348" s="4" t="s">
        <v>48</v>
      </c>
      <c r="C348" s="4" t="s">
        <v>890</v>
      </c>
      <c r="D348" s="4">
        <v>1</v>
      </c>
      <c r="E348" s="6">
        <v>18000</v>
      </c>
      <c r="F348" t="str">
        <f>VLOOKUP(C348,menu!A:B,2,FALSE)</f>
        <v>Es Kopi Susu Gula Aren</v>
      </c>
      <c r="G348">
        <f t="shared" si="10"/>
        <v>18000</v>
      </c>
      <c r="H348">
        <f>VLOOKUP(C348,menu!A:E,4,FALSE)</f>
        <v>4500</v>
      </c>
      <c r="I348">
        <f t="shared" si="11"/>
        <v>13500</v>
      </c>
    </row>
    <row r="349" spans="1:9" x14ac:dyDescent="0.35">
      <c r="A349" s="4" t="s">
        <v>1259</v>
      </c>
      <c r="B349" s="4" t="s">
        <v>48</v>
      </c>
      <c r="C349" s="4" t="s">
        <v>940</v>
      </c>
      <c r="D349" s="4">
        <v>1</v>
      </c>
      <c r="E349" s="6">
        <v>10000</v>
      </c>
      <c r="F349" t="str">
        <f>VLOOKUP(C349,menu!A:B,2,FALSE)</f>
        <v>Tahu Isi Goreng (5pcs)</v>
      </c>
      <c r="G349">
        <f t="shared" si="10"/>
        <v>10000</v>
      </c>
      <c r="H349">
        <f>VLOOKUP(C349,menu!A:E,4,FALSE)</f>
        <v>3500</v>
      </c>
      <c r="I349">
        <f t="shared" si="11"/>
        <v>6500</v>
      </c>
    </row>
    <row r="350" spans="1:9" x14ac:dyDescent="0.35">
      <c r="A350" s="4" t="s">
        <v>1260</v>
      </c>
      <c r="B350" s="4" t="s">
        <v>347</v>
      </c>
      <c r="C350" s="4" t="s">
        <v>937</v>
      </c>
      <c r="D350" s="4">
        <v>1</v>
      </c>
      <c r="E350" s="6">
        <v>26000</v>
      </c>
      <c r="F350" t="str">
        <f>VLOOKUP(C350,menu!A:B,2,FALSE)</f>
        <v>Nasi Campur Bali</v>
      </c>
      <c r="G350">
        <f t="shared" si="10"/>
        <v>26000</v>
      </c>
      <c r="H350">
        <f>VLOOKUP(C350,menu!A:E,4,FALSE)</f>
        <v>11500</v>
      </c>
      <c r="I350">
        <f t="shared" si="11"/>
        <v>14500</v>
      </c>
    </row>
    <row r="351" spans="1:9" x14ac:dyDescent="0.35">
      <c r="A351" s="4" t="s">
        <v>1261</v>
      </c>
      <c r="B351" s="4" t="s">
        <v>347</v>
      </c>
      <c r="C351" s="4" t="s">
        <v>892</v>
      </c>
      <c r="D351" s="4">
        <v>1</v>
      </c>
      <c r="E351" s="6">
        <v>9000</v>
      </c>
      <c r="F351" t="str">
        <f>VLOOKUP(C351,menu!A:B,2,FALSE)</f>
        <v>Tempe Mendoan (5pcs)</v>
      </c>
      <c r="G351">
        <f t="shared" si="10"/>
        <v>9000</v>
      </c>
      <c r="H351">
        <f>VLOOKUP(C351,menu!A:E,4,FALSE)</f>
        <v>3000</v>
      </c>
      <c r="I351">
        <f t="shared" si="11"/>
        <v>6000</v>
      </c>
    </row>
    <row r="352" spans="1:9" x14ac:dyDescent="0.35">
      <c r="A352" s="4" t="s">
        <v>1262</v>
      </c>
      <c r="B352" s="4" t="s">
        <v>749</v>
      </c>
      <c r="C352" s="4" t="s">
        <v>931</v>
      </c>
      <c r="D352" s="4">
        <v>1</v>
      </c>
      <c r="E352" s="6">
        <v>5000</v>
      </c>
      <c r="F352" t="str">
        <f>VLOOKUP(C352,menu!A:B,2,FALSE)</f>
        <v>Kerupuk Udang</v>
      </c>
      <c r="G352">
        <f t="shared" si="10"/>
        <v>5000</v>
      </c>
      <c r="H352">
        <f>VLOOKUP(C352,menu!A:E,4,FALSE)</f>
        <v>1500</v>
      </c>
      <c r="I352">
        <f t="shared" si="11"/>
        <v>3500</v>
      </c>
    </row>
    <row r="353" spans="1:9" x14ac:dyDescent="0.35">
      <c r="A353" s="4" t="s">
        <v>1263</v>
      </c>
      <c r="B353" s="4" t="s">
        <v>86</v>
      </c>
      <c r="C353" s="4" t="s">
        <v>898</v>
      </c>
      <c r="D353" s="4">
        <v>1</v>
      </c>
      <c r="E353" s="6">
        <v>27000</v>
      </c>
      <c r="F353" t="str">
        <f>VLOOKUP(C353,menu!A:B,2,FALSE)</f>
        <v>Ayam Geprek Sambal Bawang</v>
      </c>
      <c r="G353">
        <f t="shared" si="10"/>
        <v>27000</v>
      </c>
      <c r="H353">
        <f>VLOOKUP(C353,menu!A:E,4,FALSE)</f>
        <v>11000</v>
      </c>
      <c r="I353">
        <f t="shared" si="11"/>
        <v>16000</v>
      </c>
    </row>
    <row r="354" spans="1:9" x14ac:dyDescent="0.35">
      <c r="A354" s="4" t="s">
        <v>1264</v>
      </c>
      <c r="B354" s="4" t="s">
        <v>86</v>
      </c>
      <c r="C354" s="4" t="s">
        <v>937</v>
      </c>
      <c r="D354" s="4">
        <v>1</v>
      </c>
      <c r="E354" s="6">
        <v>26000</v>
      </c>
      <c r="F354" t="str">
        <f>VLOOKUP(C354,menu!A:B,2,FALSE)</f>
        <v>Nasi Campur Bali</v>
      </c>
      <c r="G354">
        <f t="shared" si="10"/>
        <v>26000</v>
      </c>
      <c r="H354">
        <f>VLOOKUP(C354,menu!A:E,4,FALSE)</f>
        <v>11500</v>
      </c>
      <c r="I354">
        <f t="shared" si="11"/>
        <v>14500</v>
      </c>
    </row>
    <row r="355" spans="1:9" x14ac:dyDescent="0.35">
      <c r="A355" s="4" t="s">
        <v>1265</v>
      </c>
      <c r="B355" s="4" t="s">
        <v>364</v>
      </c>
      <c r="C355" s="4" t="s">
        <v>937</v>
      </c>
      <c r="D355" s="4">
        <v>1</v>
      </c>
      <c r="E355" s="6">
        <v>26000</v>
      </c>
      <c r="F355" t="str">
        <f>VLOOKUP(C355,menu!A:B,2,FALSE)</f>
        <v>Nasi Campur Bali</v>
      </c>
      <c r="G355">
        <f t="shared" si="10"/>
        <v>26000</v>
      </c>
      <c r="H355">
        <f>VLOOKUP(C355,menu!A:E,4,FALSE)</f>
        <v>11500</v>
      </c>
      <c r="I355">
        <f t="shared" si="11"/>
        <v>14500</v>
      </c>
    </row>
    <row r="356" spans="1:9" x14ac:dyDescent="0.35">
      <c r="A356" s="4" t="s">
        <v>1266</v>
      </c>
      <c r="B356" s="4" t="s">
        <v>364</v>
      </c>
      <c r="C356" s="4" t="s">
        <v>1003</v>
      </c>
      <c r="D356" s="4">
        <v>1</v>
      </c>
      <c r="E356" s="6">
        <v>29000</v>
      </c>
      <c r="F356" t="str">
        <f>VLOOKUP(C356,menu!A:B,2,FALSE)</f>
        <v>Capcay Seafood</v>
      </c>
      <c r="G356">
        <f t="shared" si="10"/>
        <v>29000</v>
      </c>
      <c r="H356">
        <f>VLOOKUP(C356,menu!A:E,4,FALSE)</f>
        <v>13000</v>
      </c>
      <c r="I356">
        <f t="shared" si="11"/>
        <v>16000</v>
      </c>
    </row>
    <row r="357" spans="1:9" x14ac:dyDescent="0.35">
      <c r="A357" s="4" t="s">
        <v>1267</v>
      </c>
      <c r="B357" s="4" t="s">
        <v>694</v>
      </c>
      <c r="C357" s="4" t="s">
        <v>908</v>
      </c>
      <c r="D357" s="4">
        <v>1</v>
      </c>
      <c r="E357" s="6">
        <v>16000</v>
      </c>
      <c r="F357" t="str">
        <f>VLOOKUP(C357,menu!A:B,2,FALSE)</f>
        <v>Jus Alpukat</v>
      </c>
      <c r="G357">
        <f t="shared" si="10"/>
        <v>16000</v>
      </c>
      <c r="H357">
        <f>VLOOKUP(C357,menu!A:E,4,FALSE)</f>
        <v>5500</v>
      </c>
      <c r="I357">
        <f t="shared" si="11"/>
        <v>10500</v>
      </c>
    </row>
    <row r="358" spans="1:9" x14ac:dyDescent="0.35">
      <c r="A358" s="4" t="s">
        <v>1268</v>
      </c>
      <c r="B358" s="4" t="s">
        <v>694</v>
      </c>
      <c r="C358" s="4" t="s">
        <v>898</v>
      </c>
      <c r="D358" s="4">
        <v>3</v>
      </c>
      <c r="E358" s="6">
        <v>27000</v>
      </c>
      <c r="F358" t="str">
        <f>VLOOKUP(C358,menu!A:B,2,FALSE)</f>
        <v>Ayam Geprek Sambal Bawang</v>
      </c>
      <c r="G358">
        <f t="shared" si="10"/>
        <v>81000</v>
      </c>
      <c r="H358">
        <f>VLOOKUP(C358,menu!A:E,4,FALSE)</f>
        <v>11000</v>
      </c>
      <c r="I358">
        <f t="shared" si="11"/>
        <v>48000</v>
      </c>
    </row>
    <row r="359" spans="1:9" x14ac:dyDescent="0.35">
      <c r="A359" s="4" t="s">
        <v>1269</v>
      </c>
      <c r="B359" s="4" t="s">
        <v>694</v>
      </c>
      <c r="C359" s="4" t="s">
        <v>890</v>
      </c>
      <c r="D359" s="4">
        <v>1</v>
      </c>
      <c r="E359" s="6">
        <v>18000</v>
      </c>
      <c r="F359" t="str">
        <f>VLOOKUP(C359,menu!A:B,2,FALSE)</f>
        <v>Es Kopi Susu Gula Aren</v>
      </c>
      <c r="G359">
        <f t="shared" si="10"/>
        <v>18000</v>
      </c>
      <c r="H359">
        <f>VLOOKUP(C359,menu!A:E,4,FALSE)</f>
        <v>4500</v>
      </c>
      <c r="I359">
        <f t="shared" si="11"/>
        <v>13500</v>
      </c>
    </row>
    <row r="360" spans="1:9" x14ac:dyDescent="0.35">
      <c r="A360" s="4" t="s">
        <v>1270</v>
      </c>
      <c r="B360" s="4" t="s">
        <v>694</v>
      </c>
      <c r="C360" s="4" t="s">
        <v>919</v>
      </c>
      <c r="D360" s="4">
        <v>1</v>
      </c>
      <c r="E360" s="6">
        <v>20000</v>
      </c>
      <c r="F360" t="str">
        <f>VLOOKUP(C360,menu!A:B,2,FALSE)</f>
        <v>Gado-Gado Jakarta</v>
      </c>
      <c r="G360">
        <f t="shared" si="10"/>
        <v>20000</v>
      </c>
      <c r="H360">
        <f>VLOOKUP(C360,menu!A:E,4,FALSE)</f>
        <v>8000</v>
      </c>
      <c r="I360">
        <f t="shared" si="11"/>
        <v>12000</v>
      </c>
    </row>
    <row r="361" spans="1:9" x14ac:dyDescent="0.35">
      <c r="A361" s="4" t="s">
        <v>1271</v>
      </c>
      <c r="B361" s="4" t="s">
        <v>411</v>
      </c>
      <c r="C361" s="4" t="s">
        <v>898</v>
      </c>
      <c r="D361" s="4">
        <v>3</v>
      </c>
      <c r="E361" s="6">
        <v>27000</v>
      </c>
      <c r="F361" t="str">
        <f>VLOOKUP(C361,menu!A:B,2,FALSE)</f>
        <v>Ayam Geprek Sambal Bawang</v>
      </c>
      <c r="G361">
        <f t="shared" si="10"/>
        <v>81000</v>
      </c>
      <c r="H361">
        <f>VLOOKUP(C361,menu!A:E,4,FALSE)</f>
        <v>11000</v>
      </c>
      <c r="I361">
        <f t="shared" si="11"/>
        <v>48000</v>
      </c>
    </row>
    <row r="362" spans="1:9" x14ac:dyDescent="0.35">
      <c r="A362" s="4" t="s">
        <v>1272</v>
      </c>
      <c r="B362" s="4" t="s">
        <v>411</v>
      </c>
      <c r="C362" s="4" t="s">
        <v>890</v>
      </c>
      <c r="D362" s="4">
        <v>1</v>
      </c>
      <c r="E362" s="6">
        <v>18000</v>
      </c>
      <c r="F362" t="str">
        <f>VLOOKUP(C362,menu!A:B,2,FALSE)</f>
        <v>Es Kopi Susu Gula Aren</v>
      </c>
      <c r="G362">
        <f t="shared" si="10"/>
        <v>18000</v>
      </c>
      <c r="H362">
        <f>VLOOKUP(C362,menu!A:E,4,FALSE)</f>
        <v>4500</v>
      </c>
      <c r="I362">
        <f t="shared" si="11"/>
        <v>13500</v>
      </c>
    </row>
    <row r="363" spans="1:9" x14ac:dyDescent="0.35">
      <c r="A363" s="4" t="s">
        <v>1273</v>
      </c>
      <c r="B363" s="4" t="s">
        <v>26</v>
      </c>
      <c r="C363" s="4" t="s">
        <v>906</v>
      </c>
      <c r="D363" s="4">
        <v>1</v>
      </c>
      <c r="E363" s="6">
        <v>28000</v>
      </c>
      <c r="F363" t="str">
        <f>VLOOKUP(C363,menu!A:B,2,FALSE)</f>
        <v>Sate Ayam 10 Tusuk</v>
      </c>
      <c r="G363">
        <f t="shared" si="10"/>
        <v>28000</v>
      </c>
      <c r="H363">
        <f>VLOOKUP(C363,menu!A:E,4,FALSE)</f>
        <v>12000</v>
      </c>
      <c r="I363">
        <f t="shared" si="11"/>
        <v>16000</v>
      </c>
    </row>
    <row r="364" spans="1:9" x14ac:dyDescent="0.35">
      <c r="A364" s="4" t="s">
        <v>1274</v>
      </c>
      <c r="B364" s="4" t="s">
        <v>606</v>
      </c>
      <c r="C364" s="4" t="s">
        <v>896</v>
      </c>
      <c r="D364" s="4">
        <v>1</v>
      </c>
      <c r="E364" s="6">
        <v>23000</v>
      </c>
      <c r="F364" t="str">
        <f>VLOOKUP(C364,menu!A:B,2,FALSE)</f>
        <v>Nasi Uduk Komplit</v>
      </c>
      <c r="G364">
        <f t="shared" si="10"/>
        <v>23000</v>
      </c>
      <c r="H364">
        <f>VLOOKUP(C364,menu!A:E,4,FALSE)</f>
        <v>9000</v>
      </c>
      <c r="I364">
        <f t="shared" si="11"/>
        <v>14000</v>
      </c>
    </row>
    <row r="365" spans="1:9" x14ac:dyDescent="0.35">
      <c r="A365" s="4" t="s">
        <v>1275</v>
      </c>
      <c r="B365" s="4" t="s">
        <v>289</v>
      </c>
      <c r="C365" s="4" t="s">
        <v>898</v>
      </c>
      <c r="D365" s="4">
        <v>1</v>
      </c>
      <c r="E365" s="6">
        <v>27000</v>
      </c>
      <c r="F365" t="str">
        <f>VLOOKUP(C365,menu!A:B,2,FALSE)</f>
        <v>Ayam Geprek Sambal Bawang</v>
      </c>
      <c r="G365">
        <f t="shared" si="10"/>
        <v>27000</v>
      </c>
      <c r="H365">
        <f>VLOOKUP(C365,menu!A:E,4,FALSE)</f>
        <v>11000</v>
      </c>
      <c r="I365">
        <f t="shared" si="11"/>
        <v>16000</v>
      </c>
    </row>
    <row r="366" spans="1:9" x14ac:dyDescent="0.35">
      <c r="A366" s="4" t="s">
        <v>1276</v>
      </c>
      <c r="B366" s="4" t="s">
        <v>289</v>
      </c>
      <c r="C366" s="4" t="s">
        <v>931</v>
      </c>
      <c r="D366" s="4">
        <v>3</v>
      </c>
      <c r="E366" s="6">
        <v>5000</v>
      </c>
      <c r="F366" t="str">
        <f>VLOOKUP(C366,menu!A:B,2,FALSE)</f>
        <v>Kerupuk Udang</v>
      </c>
      <c r="G366">
        <f t="shared" si="10"/>
        <v>15000</v>
      </c>
      <c r="H366">
        <f>VLOOKUP(C366,menu!A:E,4,FALSE)</f>
        <v>1500</v>
      </c>
      <c r="I366">
        <f t="shared" si="11"/>
        <v>10500</v>
      </c>
    </row>
    <row r="367" spans="1:9" x14ac:dyDescent="0.35">
      <c r="A367" s="4" t="s">
        <v>1277</v>
      </c>
      <c r="B367" s="4" t="s">
        <v>32</v>
      </c>
      <c r="C367" s="4" t="s">
        <v>894</v>
      </c>
      <c r="D367" s="4">
        <v>1</v>
      </c>
      <c r="E367" s="6">
        <v>5000</v>
      </c>
      <c r="F367" t="str">
        <f>VLOOKUP(C367,menu!A:B,2,FALSE)</f>
        <v>Air Mineral Botol</v>
      </c>
      <c r="G367">
        <f t="shared" si="10"/>
        <v>5000</v>
      </c>
      <c r="H367">
        <f>VLOOKUP(C367,menu!A:E,4,FALSE)</f>
        <v>2000</v>
      </c>
      <c r="I367">
        <f t="shared" si="11"/>
        <v>3000</v>
      </c>
    </row>
    <row r="368" spans="1:9" x14ac:dyDescent="0.35">
      <c r="A368" s="4" t="s">
        <v>1278</v>
      </c>
      <c r="B368" s="4" t="s">
        <v>32</v>
      </c>
      <c r="C368" s="4" t="s">
        <v>890</v>
      </c>
      <c r="D368" s="4">
        <v>1</v>
      </c>
      <c r="E368" s="6">
        <v>18000</v>
      </c>
      <c r="F368" t="str">
        <f>VLOOKUP(C368,menu!A:B,2,FALSE)</f>
        <v>Es Kopi Susu Gula Aren</v>
      </c>
      <c r="G368">
        <f t="shared" si="10"/>
        <v>18000</v>
      </c>
      <c r="H368">
        <f>VLOOKUP(C368,menu!A:E,4,FALSE)</f>
        <v>4500</v>
      </c>
      <c r="I368">
        <f t="shared" si="11"/>
        <v>13500</v>
      </c>
    </row>
    <row r="369" spans="1:9" x14ac:dyDescent="0.35">
      <c r="A369" s="4" t="s">
        <v>1279</v>
      </c>
      <c r="B369" s="4" t="s">
        <v>140</v>
      </c>
      <c r="C369" s="4" t="s">
        <v>937</v>
      </c>
      <c r="D369" s="4">
        <v>2</v>
      </c>
      <c r="E369" s="6">
        <v>26000</v>
      </c>
      <c r="F369" t="str">
        <f>VLOOKUP(C369,menu!A:B,2,FALSE)</f>
        <v>Nasi Campur Bali</v>
      </c>
      <c r="G369">
        <f t="shared" si="10"/>
        <v>52000</v>
      </c>
      <c r="H369">
        <f>VLOOKUP(C369,menu!A:E,4,FALSE)</f>
        <v>11500</v>
      </c>
      <c r="I369">
        <f t="shared" si="11"/>
        <v>29000</v>
      </c>
    </row>
    <row r="370" spans="1:9" x14ac:dyDescent="0.35">
      <c r="A370" s="4" t="s">
        <v>1280</v>
      </c>
      <c r="B370" s="4" t="s">
        <v>79</v>
      </c>
      <c r="C370" s="4" t="s">
        <v>919</v>
      </c>
      <c r="D370" s="4">
        <v>1</v>
      </c>
      <c r="E370" s="6">
        <v>20000</v>
      </c>
      <c r="F370" t="str">
        <f>VLOOKUP(C370,menu!A:B,2,FALSE)</f>
        <v>Gado-Gado Jakarta</v>
      </c>
      <c r="G370">
        <f t="shared" si="10"/>
        <v>20000</v>
      </c>
      <c r="H370">
        <f>VLOOKUP(C370,menu!A:E,4,FALSE)</f>
        <v>8000</v>
      </c>
      <c r="I370">
        <f t="shared" si="11"/>
        <v>12000</v>
      </c>
    </row>
    <row r="371" spans="1:9" x14ac:dyDescent="0.35">
      <c r="A371" s="4" t="s">
        <v>1281</v>
      </c>
      <c r="B371" s="4" t="s">
        <v>79</v>
      </c>
      <c r="C371" s="4" t="s">
        <v>898</v>
      </c>
      <c r="D371" s="4">
        <v>1</v>
      </c>
      <c r="E371" s="6">
        <v>27000</v>
      </c>
      <c r="F371" t="str">
        <f>VLOOKUP(C371,menu!A:B,2,FALSE)</f>
        <v>Ayam Geprek Sambal Bawang</v>
      </c>
      <c r="G371">
        <f t="shared" si="10"/>
        <v>27000</v>
      </c>
      <c r="H371">
        <f>VLOOKUP(C371,menu!A:E,4,FALSE)</f>
        <v>11000</v>
      </c>
      <c r="I371">
        <f t="shared" si="11"/>
        <v>16000</v>
      </c>
    </row>
    <row r="372" spans="1:9" x14ac:dyDescent="0.35">
      <c r="A372" s="4" t="s">
        <v>1282</v>
      </c>
      <c r="B372" s="4" t="s">
        <v>79</v>
      </c>
      <c r="C372" s="4" t="s">
        <v>937</v>
      </c>
      <c r="D372" s="4">
        <v>1</v>
      </c>
      <c r="E372" s="6">
        <v>26000</v>
      </c>
      <c r="F372" t="str">
        <f>VLOOKUP(C372,menu!A:B,2,FALSE)</f>
        <v>Nasi Campur Bali</v>
      </c>
      <c r="G372">
        <f t="shared" si="10"/>
        <v>26000</v>
      </c>
      <c r="H372">
        <f>VLOOKUP(C372,menu!A:E,4,FALSE)</f>
        <v>11500</v>
      </c>
      <c r="I372">
        <f t="shared" si="11"/>
        <v>14500</v>
      </c>
    </row>
    <row r="373" spans="1:9" x14ac:dyDescent="0.35">
      <c r="A373" s="4" t="s">
        <v>1283</v>
      </c>
      <c r="B373" s="4" t="s">
        <v>134</v>
      </c>
      <c r="C373" s="4" t="s">
        <v>937</v>
      </c>
      <c r="D373" s="4">
        <v>2</v>
      </c>
      <c r="E373" s="6">
        <v>26000</v>
      </c>
      <c r="F373" t="str">
        <f>VLOOKUP(C373,menu!A:B,2,FALSE)</f>
        <v>Nasi Campur Bali</v>
      </c>
      <c r="G373">
        <f t="shared" si="10"/>
        <v>52000</v>
      </c>
      <c r="H373">
        <f>VLOOKUP(C373,menu!A:E,4,FALSE)</f>
        <v>11500</v>
      </c>
      <c r="I373">
        <f t="shared" si="11"/>
        <v>29000</v>
      </c>
    </row>
    <row r="374" spans="1:9" x14ac:dyDescent="0.35">
      <c r="A374" s="4" t="s">
        <v>1284</v>
      </c>
      <c r="B374" s="4" t="s">
        <v>134</v>
      </c>
      <c r="C374" s="4" t="s">
        <v>919</v>
      </c>
      <c r="D374" s="4">
        <v>1</v>
      </c>
      <c r="E374" s="6">
        <v>20000</v>
      </c>
      <c r="F374" t="str">
        <f>VLOOKUP(C374,menu!A:B,2,FALSE)</f>
        <v>Gado-Gado Jakarta</v>
      </c>
      <c r="G374">
        <f t="shared" si="10"/>
        <v>20000</v>
      </c>
      <c r="H374">
        <f>VLOOKUP(C374,menu!A:E,4,FALSE)</f>
        <v>8000</v>
      </c>
      <c r="I374">
        <f t="shared" si="11"/>
        <v>12000</v>
      </c>
    </row>
    <row r="375" spans="1:9" x14ac:dyDescent="0.35">
      <c r="A375" s="4" t="s">
        <v>1285</v>
      </c>
      <c r="B375" s="4" t="s">
        <v>237</v>
      </c>
      <c r="C375" s="4" t="s">
        <v>890</v>
      </c>
      <c r="D375" s="4">
        <v>1</v>
      </c>
      <c r="E375" s="6">
        <v>18000</v>
      </c>
      <c r="F375" t="str">
        <f>VLOOKUP(C375,menu!A:B,2,FALSE)</f>
        <v>Es Kopi Susu Gula Aren</v>
      </c>
      <c r="G375">
        <f t="shared" si="10"/>
        <v>18000</v>
      </c>
      <c r="H375">
        <f>VLOOKUP(C375,menu!A:E,4,FALSE)</f>
        <v>4500</v>
      </c>
      <c r="I375">
        <f t="shared" si="11"/>
        <v>13500</v>
      </c>
    </row>
    <row r="376" spans="1:9" x14ac:dyDescent="0.35">
      <c r="A376" s="4" t="s">
        <v>1286</v>
      </c>
      <c r="B376" s="4" t="s">
        <v>237</v>
      </c>
      <c r="C376" s="4" t="s">
        <v>937</v>
      </c>
      <c r="D376" s="4">
        <v>1</v>
      </c>
      <c r="E376" s="6">
        <v>26000</v>
      </c>
      <c r="F376" t="str">
        <f>VLOOKUP(C376,menu!A:B,2,FALSE)</f>
        <v>Nasi Campur Bali</v>
      </c>
      <c r="G376">
        <f t="shared" si="10"/>
        <v>26000</v>
      </c>
      <c r="H376">
        <f>VLOOKUP(C376,menu!A:E,4,FALSE)</f>
        <v>11500</v>
      </c>
      <c r="I376">
        <f t="shared" si="11"/>
        <v>14500</v>
      </c>
    </row>
    <row r="377" spans="1:9" x14ac:dyDescent="0.35">
      <c r="A377" s="4" t="s">
        <v>1287</v>
      </c>
      <c r="B377" s="4" t="s">
        <v>237</v>
      </c>
      <c r="C377" s="4" t="s">
        <v>931</v>
      </c>
      <c r="D377" s="4">
        <v>1</v>
      </c>
      <c r="E377" s="6">
        <v>5000</v>
      </c>
      <c r="F377" t="str">
        <f>VLOOKUP(C377,menu!A:B,2,FALSE)</f>
        <v>Kerupuk Udang</v>
      </c>
      <c r="G377">
        <f t="shared" si="10"/>
        <v>5000</v>
      </c>
      <c r="H377">
        <f>VLOOKUP(C377,menu!A:E,4,FALSE)</f>
        <v>1500</v>
      </c>
      <c r="I377">
        <f t="shared" si="11"/>
        <v>3500</v>
      </c>
    </row>
    <row r="378" spans="1:9" x14ac:dyDescent="0.35">
      <c r="A378" s="4" t="s">
        <v>1288</v>
      </c>
      <c r="B378" s="4" t="s">
        <v>237</v>
      </c>
      <c r="C378" s="4" t="s">
        <v>1059</v>
      </c>
      <c r="D378" s="4">
        <v>1</v>
      </c>
      <c r="E378" s="6">
        <v>6000</v>
      </c>
      <c r="F378" t="str">
        <f>VLOOKUP(C378,menu!A:B,2,FALSE)</f>
        <v>Es Teh Manis</v>
      </c>
      <c r="G378">
        <f t="shared" si="10"/>
        <v>6000</v>
      </c>
      <c r="H378">
        <f>VLOOKUP(C378,menu!A:E,4,FALSE)</f>
        <v>1500</v>
      </c>
      <c r="I378">
        <f t="shared" si="11"/>
        <v>4500</v>
      </c>
    </row>
    <row r="379" spans="1:9" x14ac:dyDescent="0.35">
      <c r="A379" s="4" t="s">
        <v>1289</v>
      </c>
      <c r="B379" s="4" t="s">
        <v>747</v>
      </c>
      <c r="C379" s="4" t="s">
        <v>937</v>
      </c>
      <c r="D379" s="4">
        <v>3</v>
      </c>
      <c r="E379" s="6">
        <v>26000</v>
      </c>
      <c r="F379" t="str">
        <f>VLOOKUP(C379,menu!A:B,2,FALSE)</f>
        <v>Nasi Campur Bali</v>
      </c>
      <c r="G379">
        <f t="shared" si="10"/>
        <v>78000</v>
      </c>
      <c r="H379">
        <f>VLOOKUP(C379,menu!A:E,4,FALSE)</f>
        <v>11500</v>
      </c>
      <c r="I379">
        <f t="shared" si="11"/>
        <v>43500</v>
      </c>
    </row>
    <row r="380" spans="1:9" x14ac:dyDescent="0.35">
      <c r="A380" s="4" t="s">
        <v>1290</v>
      </c>
      <c r="B380" s="4" t="s">
        <v>747</v>
      </c>
      <c r="C380" s="4" t="s">
        <v>940</v>
      </c>
      <c r="D380" s="4">
        <v>1</v>
      </c>
      <c r="E380" s="6">
        <v>10000</v>
      </c>
      <c r="F380" t="str">
        <f>VLOOKUP(C380,menu!A:B,2,FALSE)</f>
        <v>Tahu Isi Goreng (5pcs)</v>
      </c>
      <c r="G380">
        <f t="shared" si="10"/>
        <v>10000</v>
      </c>
      <c r="H380">
        <f>VLOOKUP(C380,menu!A:E,4,FALSE)</f>
        <v>3500</v>
      </c>
      <c r="I380">
        <f t="shared" si="11"/>
        <v>6500</v>
      </c>
    </row>
    <row r="381" spans="1:9" x14ac:dyDescent="0.35">
      <c r="A381" s="4" t="s">
        <v>1291</v>
      </c>
      <c r="B381" s="4" t="s">
        <v>635</v>
      </c>
      <c r="C381" s="4" t="s">
        <v>894</v>
      </c>
      <c r="D381" s="4">
        <v>2</v>
      </c>
      <c r="E381" s="6">
        <v>5000</v>
      </c>
      <c r="F381" t="str">
        <f>VLOOKUP(C381,menu!A:B,2,FALSE)</f>
        <v>Air Mineral Botol</v>
      </c>
      <c r="G381">
        <f t="shared" si="10"/>
        <v>10000</v>
      </c>
      <c r="H381">
        <f>VLOOKUP(C381,menu!A:E,4,FALSE)</f>
        <v>2000</v>
      </c>
      <c r="I381">
        <f t="shared" si="11"/>
        <v>6000</v>
      </c>
    </row>
    <row r="382" spans="1:9" x14ac:dyDescent="0.35">
      <c r="A382" s="4" t="s">
        <v>1292</v>
      </c>
      <c r="B382" s="4" t="s">
        <v>658</v>
      </c>
      <c r="C382" s="4" t="s">
        <v>890</v>
      </c>
      <c r="D382" s="4">
        <v>1</v>
      </c>
      <c r="E382" s="6">
        <v>18000</v>
      </c>
      <c r="F382" t="str">
        <f>VLOOKUP(C382,menu!A:B,2,FALSE)</f>
        <v>Es Kopi Susu Gula Aren</v>
      </c>
      <c r="G382">
        <f t="shared" si="10"/>
        <v>18000</v>
      </c>
      <c r="H382">
        <f>VLOOKUP(C382,menu!A:E,4,FALSE)</f>
        <v>4500</v>
      </c>
      <c r="I382">
        <f t="shared" si="11"/>
        <v>13500</v>
      </c>
    </row>
    <row r="383" spans="1:9" x14ac:dyDescent="0.35">
      <c r="A383" s="4" t="s">
        <v>1293</v>
      </c>
      <c r="B383" s="4" t="s">
        <v>658</v>
      </c>
      <c r="C383" s="4" t="s">
        <v>955</v>
      </c>
      <c r="D383" s="4">
        <v>1</v>
      </c>
      <c r="E383" s="6">
        <v>15000</v>
      </c>
      <c r="F383" t="str">
        <f>VLOOKUP(C383,menu!A:B,2,FALSE)</f>
        <v>Es Campur</v>
      </c>
      <c r="G383">
        <f t="shared" si="10"/>
        <v>15000</v>
      </c>
      <c r="H383">
        <f>VLOOKUP(C383,menu!A:E,4,FALSE)</f>
        <v>6000</v>
      </c>
      <c r="I383">
        <f t="shared" si="11"/>
        <v>9000</v>
      </c>
    </row>
    <row r="384" spans="1:9" x14ac:dyDescent="0.35">
      <c r="A384" s="4" t="s">
        <v>1294</v>
      </c>
      <c r="B384" s="4" t="s">
        <v>658</v>
      </c>
      <c r="C384" s="4" t="s">
        <v>908</v>
      </c>
      <c r="D384" s="4">
        <v>3</v>
      </c>
      <c r="E384" s="6">
        <v>16000</v>
      </c>
      <c r="F384" t="str">
        <f>VLOOKUP(C384,menu!A:B,2,FALSE)</f>
        <v>Jus Alpukat</v>
      </c>
      <c r="G384">
        <f t="shared" si="10"/>
        <v>48000</v>
      </c>
      <c r="H384">
        <f>VLOOKUP(C384,menu!A:E,4,FALSE)</f>
        <v>5500</v>
      </c>
      <c r="I384">
        <f t="shared" si="11"/>
        <v>31500</v>
      </c>
    </row>
    <row r="385" spans="1:9" x14ac:dyDescent="0.35">
      <c r="A385" s="4" t="s">
        <v>1295</v>
      </c>
      <c r="B385" s="4" t="s">
        <v>49</v>
      </c>
      <c r="C385" s="4" t="s">
        <v>898</v>
      </c>
      <c r="D385" s="4">
        <v>1</v>
      </c>
      <c r="E385" s="6">
        <v>27000</v>
      </c>
      <c r="F385" t="str">
        <f>VLOOKUP(C385,menu!A:B,2,FALSE)</f>
        <v>Ayam Geprek Sambal Bawang</v>
      </c>
      <c r="G385">
        <f t="shared" si="10"/>
        <v>27000</v>
      </c>
      <c r="H385">
        <f>VLOOKUP(C385,menu!A:E,4,FALSE)</f>
        <v>11000</v>
      </c>
      <c r="I385">
        <f t="shared" si="11"/>
        <v>16000</v>
      </c>
    </row>
    <row r="386" spans="1:9" x14ac:dyDescent="0.35">
      <c r="A386" s="4" t="s">
        <v>1296</v>
      </c>
      <c r="B386" s="4" t="s">
        <v>49</v>
      </c>
      <c r="C386" s="4" t="s">
        <v>919</v>
      </c>
      <c r="D386" s="4">
        <v>2</v>
      </c>
      <c r="E386" s="6">
        <v>20000</v>
      </c>
      <c r="F386" t="str">
        <f>VLOOKUP(C386,menu!A:B,2,FALSE)</f>
        <v>Gado-Gado Jakarta</v>
      </c>
      <c r="G386">
        <f t="shared" si="10"/>
        <v>40000</v>
      </c>
      <c r="H386">
        <f>VLOOKUP(C386,menu!A:E,4,FALSE)</f>
        <v>8000</v>
      </c>
      <c r="I386">
        <f t="shared" si="11"/>
        <v>24000</v>
      </c>
    </row>
    <row r="387" spans="1:9" x14ac:dyDescent="0.35">
      <c r="A387" s="4" t="s">
        <v>1297</v>
      </c>
      <c r="B387" s="4" t="s">
        <v>49</v>
      </c>
      <c r="C387" s="4" t="s">
        <v>937</v>
      </c>
      <c r="D387" s="4">
        <v>1</v>
      </c>
      <c r="E387" s="6">
        <v>26000</v>
      </c>
      <c r="F387" t="str">
        <f>VLOOKUP(C387,menu!A:B,2,FALSE)</f>
        <v>Nasi Campur Bali</v>
      </c>
      <c r="G387">
        <f t="shared" ref="G387:G450" si="12">D387*E387</f>
        <v>26000</v>
      </c>
      <c r="H387">
        <f>VLOOKUP(C387,menu!A:E,4,FALSE)</f>
        <v>11500</v>
      </c>
      <c r="I387">
        <f t="shared" ref="I387:I450" si="13">(E387-H387)*D387</f>
        <v>14500</v>
      </c>
    </row>
    <row r="388" spans="1:9" x14ac:dyDescent="0.35">
      <c r="A388" s="4" t="s">
        <v>1298</v>
      </c>
      <c r="B388" s="4" t="s">
        <v>856</v>
      </c>
      <c r="C388" s="4" t="s">
        <v>892</v>
      </c>
      <c r="D388" s="4">
        <v>1</v>
      </c>
      <c r="E388" s="6">
        <v>9000</v>
      </c>
      <c r="F388" t="str">
        <f>VLOOKUP(C388,menu!A:B,2,FALSE)</f>
        <v>Tempe Mendoan (5pcs)</v>
      </c>
      <c r="G388">
        <f t="shared" si="12"/>
        <v>9000</v>
      </c>
      <c r="H388">
        <f>VLOOKUP(C388,menu!A:E,4,FALSE)</f>
        <v>3000</v>
      </c>
      <c r="I388">
        <f t="shared" si="13"/>
        <v>6000</v>
      </c>
    </row>
    <row r="389" spans="1:9" x14ac:dyDescent="0.35">
      <c r="A389" s="4" t="s">
        <v>1299</v>
      </c>
      <c r="B389" s="4" t="s">
        <v>61</v>
      </c>
      <c r="C389" s="4" t="s">
        <v>890</v>
      </c>
      <c r="D389" s="4">
        <v>3</v>
      </c>
      <c r="E389" s="6">
        <v>18000</v>
      </c>
      <c r="F389" t="str">
        <f>VLOOKUP(C389,menu!A:B,2,FALSE)</f>
        <v>Es Kopi Susu Gula Aren</v>
      </c>
      <c r="G389">
        <f t="shared" si="12"/>
        <v>54000</v>
      </c>
      <c r="H389">
        <f>VLOOKUP(C389,menu!A:E,4,FALSE)</f>
        <v>4500</v>
      </c>
      <c r="I389">
        <f t="shared" si="13"/>
        <v>40500</v>
      </c>
    </row>
    <row r="390" spans="1:9" x14ac:dyDescent="0.35">
      <c r="A390" s="4" t="s">
        <v>1300</v>
      </c>
      <c r="B390" s="4" t="s">
        <v>488</v>
      </c>
      <c r="C390" s="4" t="s">
        <v>890</v>
      </c>
      <c r="D390" s="4">
        <v>2</v>
      </c>
      <c r="E390" s="6">
        <v>18000</v>
      </c>
      <c r="F390" t="str">
        <f>VLOOKUP(C390,menu!A:B,2,FALSE)</f>
        <v>Es Kopi Susu Gula Aren</v>
      </c>
      <c r="G390">
        <f t="shared" si="12"/>
        <v>36000</v>
      </c>
      <c r="H390">
        <f>VLOOKUP(C390,menu!A:E,4,FALSE)</f>
        <v>4500</v>
      </c>
      <c r="I390">
        <f t="shared" si="13"/>
        <v>27000</v>
      </c>
    </row>
    <row r="391" spans="1:9" x14ac:dyDescent="0.35">
      <c r="A391" s="4" t="s">
        <v>1301</v>
      </c>
      <c r="B391" s="4" t="s">
        <v>96</v>
      </c>
      <c r="C391" s="4" t="s">
        <v>916</v>
      </c>
      <c r="D391" s="4">
        <v>1</v>
      </c>
      <c r="E391" s="6">
        <v>9000</v>
      </c>
      <c r="F391" t="str">
        <f>VLOOKUP(C391,menu!A:B,2,FALSE)</f>
        <v>Kopi Hitam Tubruk</v>
      </c>
      <c r="G391">
        <f t="shared" si="12"/>
        <v>9000</v>
      </c>
      <c r="H391">
        <f>VLOOKUP(C391,menu!A:E,4,FALSE)</f>
        <v>2000</v>
      </c>
      <c r="I391">
        <f t="shared" si="13"/>
        <v>7000</v>
      </c>
    </row>
    <row r="392" spans="1:9" x14ac:dyDescent="0.35">
      <c r="A392" s="4" t="s">
        <v>1302</v>
      </c>
      <c r="B392" s="4" t="s">
        <v>626</v>
      </c>
      <c r="C392" s="4" t="s">
        <v>898</v>
      </c>
      <c r="D392" s="4">
        <v>1</v>
      </c>
      <c r="E392" s="6">
        <v>27000</v>
      </c>
      <c r="F392" t="str">
        <f>VLOOKUP(C392,menu!A:B,2,FALSE)</f>
        <v>Ayam Geprek Sambal Bawang</v>
      </c>
      <c r="G392">
        <f t="shared" si="12"/>
        <v>27000</v>
      </c>
      <c r="H392">
        <f>VLOOKUP(C392,menu!A:E,4,FALSE)</f>
        <v>11000</v>
      </c>
      <c r="I392">
        <f t="shared" si="13"/>
        <v>16000</v>
      </c>
    </row>
    <row r="393" spans="1:9" x14ac:dyDescent="0.35">
      <c r="A393" s="4" t="s">
        <v>1303</v>
      </c>
      <c r="B393" s="4" t="s">
        <v>626</v>
      </c>
      <c r="C393" s="4" t="s">
        <v>937</v>
      </c>
      <c r="D393" s="4">
        <v>1</v>
      </c>
      <c r="E393" s="6">
        <v>26000</v>
      </c>
      <c r="F393" t="str">
        <f>VLOOKUP(C393,menu!A:B,2,FALSE)</f>
        <v>Nasi Campur Bali</v>
      </c>
      <c r="G393">
        <f t="shared" si="12"/>
        <v>26000</v>
      </c>
      <c r="H393">
        <f>VLOOKUP(C393,menu!A:E,4,FALSE)</f>
        <v>11500</v>
      </c>
      <c r="I393">
        <f t="shared" si="13"/>
        <v>14500</v>
      </c>
    </row>
    <row r="394" spans="1:9" x14ac:dyDescent="0.35">
      <c r="A394" s="4" t="s">
        <v>1304</v>
      </c>
      <c r="B394" s="4" t="s">
        <v>626</v>
      </c>
      <c r="C394" s="4" t="s">
        <v>896</v>
      </c>
      <c r="D394" s="4">
        <v>2</v>
      </c>
      <c r="E394" s="6">
        <v>23000</v>
      </c>
      <c r="F394" t="str">
        <f>VLOOKUP(C394,menu!A:B,2,FALSE)</f>
        <v>Nasi Uduk Komplit</v>
      </c>
      <c r="G394">
        <f t="shared" si="12"/>
        <v>46000</v>
      </c>
      <c r="H394">
        <f>VLOOKUP(C394,menu!A:E,4,FALSE)</f>
        <v>9000</v>
      </c>
      <c r="I394">
        <f t="shared" si="13"/>
        <v>28000</v>
      </c>
    </row>
    <row r="395" spans="1:9" x14ac:dyDescent="0.35">
      <c r="A395" s="4" t="s">
        <v>1305</v>
      </c>
      <c r="B395" s="4" t="s">
        <v>117</v>
      </c>
      <c r="C395" s="4" t="s">
        <v>1059</v>
      </c>
      <c r="D395" s="4">
        <v>2</v>
      </c>
      <c r="E395" s="6">
        <v>6000</v>
      </c>
      <c r="F395" t="str">
        <f>VLOOKUP(C395,menu!A:B,2,FALSE)</f>
        <v>Es Teh Manis</v>
      </c>
      <c r="G395">
        <f t="shared" si="12"/>
        <v>12000</v>
      </c>
      <c r="H395">
        <f>VLOOKUP(C395,menu!A:E,4,FALSE)</f>
        <v>1500</v>
      </c>
      <c r="I395">
        <f t="shared" si="13"/>
        <v>9000</v>
      </c>
    </row>
    <row r="396" spans="1:9" x14ac:dyDescent="0.35">
      <c r="A396" s="4" t="s">
        <v>1306</v>
      </c>
      <c r="B396" s="4" t="s">
        <v>117</v>
      </c>
      <c r="C396" s="4" t="s">
        <v>935</v>
      </c>
      <c r="D396" s="4">
        <v>1</v>
      </c>
      <c r="E396" s="6">
        <v>22000</v>
      </c>
      <c r="F396" t="str">
        <f>VLOOKUP(C396,menu!A:B,2,FALSE)</f>
        <v>Soto Ayam Lamongan</v>
      </c>
      <c r="G396">
        <f t="shared" si="12"/>
        <v>22000</v>
      </c>
      <c r="H396">
        <f>VLOOKUP(C396,menu!A:E,4,FALSE)</f>
        <v>9500</v>
      </c>
      <c r="I396">
        <f t="shared" si="13"/>
        <v>12500</v>
      </c>
    </row>
    <row r="397" spans="1:9" x14ac:dyDescent="0.35">
      <c r="A397" s="4" t="s">
        <v>1307</v>
      </c>
      <c r="B397" s="4" t="s">
        <v>117</v>
      </c>
      <c r="C397" s="4" t="s">
        <v>890</v>
      </c>
      <c r="D397" s="4">
        <v>1</v>
      </c>
      <c r="E397" s="6">
        <v>18000</v>
      </c>
      <c r="F397" t="str">
        <f>VLOOKUP(C397,menu!A:B,2,FALSE)</f>
        <v>Es Kopi Susu Gula Aren</v>
      </c>
      <c r="G397">
        <f t="shared" si="12"/>
        <v>18000</v>
      </c>
      <c r="H397">
        <f>VLOOKUP(C397,menu!A:E,4,FALSE)</f>
        <v>4500</v>
      </c>
      <c r="I397">
        <f t="shared" si="13"/>
        <v>13500</v>
      </c>
    </row>
    <row r="398" spans="1:9" x14ac:dyDescent="0.35">
      <c r="A398" s="4" t="s">
        <v>1308</v>
      </c>
      <c r="B398" s="4" t="s">
        <v>342</v>
      </c>
      <c r="C398" s="4" t="s">
        <v>916</v>
      </c>
      <c r="D398" s="4">
        <v>2</v>
      </c>
      <c r="E398" s="6">
        <v>9000</v>
      </c>
      <c r="F398" t="str">
        <f>VLOOKUP(C398,menu!A:B,2,FALSE)</f>
        <v>Kopi Hitam Tubruk</v>
      </c>
      <c r="G398">
        <f t="shared" si="12"/>
        <v>18000</v>
      </c>
      <c r="H398">
        <f>VLOOKUP(C398,menu!A:E,4,FALSE)</f>
        <v>2000</v>
      </c>
      <c r="I398">
        <f t="shared" si="13"/>
        <v>14000</v>
      </c>
    </row>
    <row r="399" spans="1:9" x14ac:dyDescent="0.35">
      <c r="A399" s="4" t="s">
        <v>1309</v>
      </c>
      <c r="B399" s="4" t="s">
        <v>342</v>
      </c>
      <c r="C399" s="4" t="s">
        <v>908</v>
      </c>
      <c r="D399" s="4">
        <v>2</v>
      </c>
      <c r="E399" s="6">
        <v>16000</v>
      </c>
      <c r="F399" t="str">
        <f>VLOOKUP(C399,menu!A:B,2,FALSE)</f>
        <v>Jus Alpukat</v>
      </c>
      <c r="G399">
        <f t="shared" si="12"/>
        <v>32000</v>
      </c>
      <c r="H399">
        <f>VLOOKUP(C399,menu!A:E,4,FALSE)</f>
        <v>5500</v>
      </c>
      <c r="I399">
        <f t="shared" si="13"/>
        <v>21000</v>
      </c>
    </row>
    <row r="400" spans="1:9" x14ac:dyDescent="0.35">
      <c r="A400" s="4" t="s">
        <v>1310</v>
      </c>
      <c r="B400" s="4" t="s">
        <v>359</v>
      </c>
      <c r="C400" s="4" t="s">
        <v>898</v>
      </c>
      <c r="D400" s="4">
        <v>1</v>
      </c>
      <c r="E400" s="6">
        <v>27000</v>
      </c>
      <c r="F400" t="str">
        <f>VLOOKUP(C400,menu!A:B,2,FALSE)</f>
        <v>Ayam Geprek Sambal Bawang</v>
      </c>
      <c r="G400">
        <f t="shared" si="12"/>
        <v>27000</v>
      </c>
      <c r="H400">
        <f>VLOOKUP(C400,menu!A:E,4,FALSE)</f>
        <v>11000</v>
      </c>
      <c r="I400">
        <f t="shared" si="13"/>
        <v>16000</v>
      </c>
    </row>
    <row r="401" spans="1:9" x14ac:dyDescent="0.35">
      <c r="A401" s="4" t="s">
        <v>1311</v>
      </c>
      <c r="B401" s="4" t="s">
        <v>359</v>
      </c>
      <c r="C401" s="4" t="s">
        <v>919</v>
      </c>
      <c r="D401" s="4">
        <v>2</v>
      </c>
      <c r="E401" s="6">
        <v>20000</v>
      </c>
      <c r="F401" t="str">
        <f>VLOOKUP(C401,menu!A:B,2,FALSE)</f>
        <v>Gado-Gado Jakarta</v>
      </c>
      <c r="G401">
        <f t="shared" si="12"/>
        <v>40000</v>
      </c>
      <c r="H401">
        <f>VLOOKUP(C401,menu!A:E,4,FALSE)</f>
        <v>8000</v>
      </c>
      <c r="I401">
        <f t="shared" si="13"/>
        <v>24000</v>
      </c>
    </row>
    <row r="402" spans="1:9" x14ac:dyDescent="0.35">
      <c r="A402" s="4" t="s">
        <v>1312</v>
      </c>
      <c r="B402" s="4" t="s">
        <v>359</v>
      </c>
      <c r="C402" s="4" t="s">
        <v>890</v>
      </c>
      <c r="D402" s="4">
        <v>1</v>
      </c>
      <c r="E402" s="6">
        <v>18000</v>
      </c>
      <c r="F402" t="str">
        <f>VLOOKUP(C402,menu!A:B,2,FALSE)</f>
        <v>Es Kopi Susu Gula Aren</v>
      </c>
      <c r="G402">
        <f t="shared" si="12"/>
        <v>18000</v>
      </c>
      <c r="H402">
        <f>VLOOKUP(C402,menu!A:E,4,FALSE)</f>
        <v>4500</v>
      </c>
      <c r="I402">
        <f t="shared" si="13"/>
        <v>13500</v>
      </c>
    </row>
    <row r="403" spans="1:9" x14ac:dyDescent="0.35">
      <c r="A403" s="4" t="s">
        <v>1313</v>
      </c>
      <c r="B403" s="4" t="s">
        <v>297</v>
      </c>
      <c r="C403" s="4" t="s">
        <v>919</v>
      </c>
      <c r="D403" s="4">
        <v>1</v>
      </c>
      <c r="E403" s="6">
        <v>20000</v>
      </c>
      <c r="F403" t="str">
        <f>VLOOKUP(C403,menu!A:B,2,FALSE)</f>
        <v>Gado-Gado Jakarta</v>
      </c>
      <c r="G403">
        <f t="shared" si="12"/>
        <v>20000</v>
      </c>
      <c r="H403">
        <f>VLOOKUP(C403,menu!A:E,4,FALSE)</f>
        <v>8000</v>
      </c>
      <c r="I403">
        <f t="shared" si="13"/>
        <v>12000</v>
      </c>
    </row>
    <row r="404" spans="1:9" x14ac:dyDescent="0.35">
      <c r="A404" s="4" t="s">
        <v>1314</v>
      </c>
      <c r="B404" s="4" t="s">
        <v>297</v>
      </c>
      <c r="C404" s="4" t="s">
        <v>931</v>
      </c>
      <c r="D404" s="4">
        <v>1</v>
      </c>
      <c r="E404" s="6">
        <v>5000</v>
      </c>
      <c r="F404" t="str">
        <f>VLOOKUP(C404,menu!A:B,2,FALSE)</f>
        <v>Kerupuk Udang</v>
      </c>
      <c r="G404">
        <f t="shared" si="12"/>
        <v>5000</v>
      </c>
      <c r="H404">
        <f>VLOOKUP(C404,menu!A:E,4,FALSE)</f>
        <v>1500</v>
      </c>
      <c r="I404">
        <f t="shared" si="13"/>
        <v>3500</v>
      </c>
    </row>
    <row r="405" spans="1:9" x14ac:dyDescent="0.35">
      <c r="A405" s="4" t="s">
        <v>1315</v>
      </c>
      <c r="B405" s="4" t="s">
        <v>297</v>
      </c>
      <c r="C405" s="4" t="s">
        <v>898</v>
      </c>
      <c r="D405" s="4">
        <v>1</v>
      </c>
      <c r="E405" s="6">
        <v>27000</v>
      </c>
      <c r="F405" t="str">
        <f>VLOOKUP(C405,menu!A:B,2,FALSE)</f>
        <v>Ayam Geprek Sambal Bawang</v>
      </c>
      <c r="G405">
        <f t="shared" si="12"/>
        <v>27000</v>
      </c>
      <c r="H405">
        <f>VLOOKUP(C405,menu!A:E,4,FALSE)</f>
        <v>11000</v>
      </c>
      <c r="I405">
        <f t="shared" si="13"/>
        <v>16000</v>
      </c>
    </row>
    <row r="406" spans="1:9" x14ac:dyDescent="0.35">
      <c r="A406" s="4" t="s">
        <v>1316</v>
      </c>
      <c r="B406" s="4" t="s">
        <v>297</v>
      </c>
      <c r="C406" s="4" t="s">
        <v>896</v>
      </c>
      <c r="D406" s="4">
        <v>1</v>
      </c>
      <c r="E406" s="6">
        <v>23000</v>
      </c>
      <c r="F406" t="str">
        <f>VLOOKUP(C406,menu!A:B,2,FALSE)</f>
        <v>Nasi Uduk Komplit</v>
      </c>
      <c r="G406">
        <f t="shared" si="12"/>
        <v>23000</v>
      </c>
      <c r="H406">
        <f>VLOOKUP(C406,menu!A:E,4,FALSE)</f>
        <v>9000</v>
      </c>
      <c r="I406">
        <f t="shared" si="13"/>
        <v>14000</v>
      </c>
    </row>
    <row r="407" spans="1:9" x14ac:dyDescent="0.35">
      <c r="A407" s="4" t="s">
        <v>1317</v>
      </c>
      <c r="B407" s="4" t="s">
        <v>297</v>
      </c>
      <c r="C407" s="4" t="s">
        <v>1019</v>
      </c>
      <c r="D407" s="4">
        <v>1</v>
      </c>
      <c r="E407" s="6">
        <v>21000</v>
      </c>
      <c r="F407" t="str">
        <f>VLOOKUP(C407,menu!A:B,2,FALSE)</f>
        <v>Bakso Urat Spesial</v>
      </c>
      <c r="G407">
        <f t="shared" si="12"/>
        <v>21000</v>
      </c>
      <c r="H407">
        <f>VLOOKUP(C407,menu!A:E,4,FALSE)</f>
        <v>8500</v>
      </c>
      <c r="I407">
        <f t="shared" si="13"/>
        <v>12500</v>
      </c>
    </row>
    <row r="408" spans="1:9" x14ac:dyDescent="0.35">
      <c r="A408" s="4" t="s">
        <v>1318</v>
      </c>
      <c r="B408" s="4" t="s">
        <v>584</v>
      </c>
      <c r="C408" s="4" t="s">
        <v>898</v>
      </c>
      <c r="D408" s="4">
        <v>1</v>
      </c>
      <c r="E408" s="6">
        <v>27000</v>
      </c>
      <c r="F408" t="str">
        <f>VLOOKUP(C408,menu!A:B,2,FALSE)</f>
        <v>Ayam Geprek Sambal Bawang</v>
      </c>
      <c r="G408">
        <f t="shared" si="12"/>
        <v>27000</v>
      </c>
      <c r="H408">
        <f>VLOOKUP(C408,menu!A:E,4,FALSE)</f>
        <v>11000</v>
      </c>
      <c r="I408">
        <f t="shared" si="13"/>
        <v>16000</v>
      </c>
    </row>
    <row r="409" spans="1:9" x14ac:dyDescent="0.35">
      <c r="A409" s="4" t="s">
        <v>1319</v>
      </c>
      <c r="B409" s="4" t="s">
        <v>584</v>
      </c>
      <c r="C409" s="4" t="s">
        <v>890</v>
      </c>
      <c r="D409" s="4">
        <v>1</v>
      </c>
      <c r="E409" s="6">
        <v>18000</v>
      </c>
      <c r="F409" t="str">
        <f>VLOOKUP(C409,menu!A:B,2,FALSE)</f>
        <v>Es Kopi Susu Gula Aren</v>
      </c>
      <c r="G409">
        <f t="shared" si="12"/>
        <v>18000</v>
      </c>
      <c r="H409">
        <f>VLOOKUP(C409,menu!A:E,4,FALSE)</f>
        <v>4500</v>
      </c>
      <c r="I409">
        <f t="shared" si="13"/>
        <v>13500</v>
      </c>
    </row>
    <row r="410" spans="1:9" x14ac:dyDescent="0.35">
      <c r="A410" s="4" t="s">
        <v>1320</v>
      </c>
      <c r="B410" s="4" t="s">
        <v>124</v>
      </c>
      <c r="C410" s="4" t="s">
        <v>919</v>
      </c>
      <c r="D410" s="4">
        <v>1</v>
      </c>
      <c r="E410" s="6">
        <v>20000</v>
      </c>
      <c r="F410" t="str">
        <f>VLOOKUP(C410,menu!A:B,2,FALSE)</f>
        <v>Gado-Gado Jakarta</v>
      </c>
      <c r="G410">
        <f t="shared" si="12"/>
        <v>20000</v>
      </c>
      <c r="H410">
        <f>VLOOKUP(C410,menu!A:E,4,FALSE)</f>
        <v>8000</v>
      </c>
      <c r="I410">
        <f t="shared" si="13"/>
        <v>12000</v>
      </c>
    </row>
    <row r="411" spans="1:9" x14ac:dyDescent="0.35">
      <c r="A411" s="4" t="s">
        <v>1321</v>
      </c>
      <c r="B411" s="4" t="s">
        <v>124</v>
      </c>
      <c r="C411" s="4" t="s">
        <v>898</v>
      </c>
      <c r="D411" s="4">
        <v>1</v>
      </c>
      <c r="E411" s="6">
        <v>27000</v>
      </c>
      <c r="F411" t="str">
        <f>VLOOKUP(C411,menu!A:B,2,FALSE)</f>
        <v>Ayam Geprek Sambal Bawang</v>
      </c>
      <c r="G411">
        <f t="shared" si="12"/>
        <v>27000</v>
      </c>
      <c r="H411">
        <f>VLOOKUP(C411,menu!A:E,4,FALSE)</f>
        <v>11000</v>
      </c>
      <c r="I411">
        <f t="shared" si="13"/>
        <v>16000</v>
      </c>
    </row>
    <row r="412" spans="1:9" x14ac:dyDescent="0.35">
      <c r="A412" s="4" t="s">
        <v>1322</v>
      </c>
      <c r="B412" s="4" t="s">
        <v>287</v>
      </c>
      <c r="C412" s="4" t="s">
        <v>890</v>
      </c>
      <c r="D412" s="4">
        <v>1</v>
      </c>
      <c r="E412" s="6">
        <v>18000</v>
      </c>
      <c r="F412" t="str">
        <f>VLOOKUP(C412,menu!A:B,2,FALSE)</f>
        <v>Es Kopi Susu Gula Aren</v>
      </c>
      <c r="G412">
        <f t="shared" si="12"/>
        <v>18000</v>
      </c>
      <c r="H412">
        <f>VLOOKUP(C412,menu!A:E,4,FALSE)</f>
        <v>4500</v>
      </c>
      <c r="I412">
        <f t="shared" si="13"/>
        <v>13500</v>
      </c>
    </row>
    <row r="413" spans="1:9" x14ac:dyDescent="0.35">
      <c r="A413" s="4" t="s">
        <v>1323</v>
      </c>
      <c r="B413" s="4" t="s">
        <v>287</v>
      </c>
      <c r="C413" s="4" t="s">
        <v>955</v>
      </c>
      <c r="D413" s="4">
        <v>1</v>
      </c>
      <c r="E413" s="6">
        <v>15000</v>
      </c>
      <c r="F413" t="str">
        <f>VLOOKUP(C413,menu!A:B,2,FALSE)</f>
        <v>Es Campur</v>
      </c>
      <c r="G413">
        <f t="shared" si="12"/>
        <v>15000</v>
      </c>
      <c r="H413">
        <f>VLOOKUP(C413,menu!A:E,4,FALSE)</f>
        <v>6000</v>
      </c>
      <c r="I413">
        <f t="shared" si="13"/>
        <v>9000</v>
      </c>
    </row>
    <row r="414" spans="1:9" x14ac:dyDescent="0.35">
      <c r="A414" s="4" t="s">
        <v>1324</v>
      </c>
      <c r="B414" s="4" t="s">
        <v>287</v>
      </c>
      <c r="C414" s="4" t="s">
        <v>1003</v>
      </c>
      <c r="D414" s="4">
        <v>1</v>
      </c>
      <c r="E414" s="6">
        <v>29000</v>
      </c>
      <c r="F414" t="str">
        <f>VLOOKUP(C414,menu!A:B,2,FALSE)</f>
        <v>Capcay Seafood</v>
      </c>
      <c r="G414">
        <f t="shared" si="12"/>
        <v>29000</v>
      </c>
      <c r="H414">
        <f>VLOOKUP(C414,menu!A:E,4,FALSE)</f>
        <v>13000</v>
      </c>
      <c r="I414">
        <f t="shared" si="13"/>
        <v>16000</v>
      </c>
    </row>
    <row r="415" spans="1:9" x14ac:dyDescent="0.35">
      <c r="A415" s="4" t="s">
        <v>1325</v>
      </c>
      <c r="B415" s="4" t="s">
        <v>434</v>
      </c>
      <c r="C415" s="4" t="s">
        <v>935</v>
      </c>
      <c r="D415" s="4">
        <v>2</v>
      </c>
      <c r="E415" s="6">
        <v>22000</v>
      </c>
      <c r="F415" t="str">
        <f>VLOOKUP(C415,menu!A:B,2,FALSE)</f>
        <v>Soto Ayam Lamongan</v>
      </c>
      <c r="G415">
        <f t="shared" si="12"/>
        <v>44000</v>
      </c>
      <c r="H415">
        <f>VLOOKUP(C415,menu!A:E,4,FALSE)</f>
        <v>9500</v>
      </c>
      <c r="I415">
        <f t="shared" si="13"/>
        <v>25000</v>
      </c>
    </row>
    <row r="416" spans="1:9" x14ac:dyDescent="0.35">
      <c r="A416" s="4" t="s">
        <v>1326</v>
      </c>
      <c r="B416" s="4" t="s">
        <v>434</v>
      </c>
      <c r="C416" s="4" t="s">
        <v>898</v>
      </c>
      <c r="D416" s="4">
        <v>2</v>
      </c>
      <c r="E416" s="6">
        <v>27000</v>
      </c>
      <c r="F416" t="str">
        <f>VLOOKUP(C416,menu!A:B,2,FALSE)</f>
        <v>Ayam Geprek Sambal Bawang</v>
      </c>
      <c r="G416">
        <f t="shared" si="12"/>
        <v>54000</v>
      </c>
      <c r="H416">
        <f>VLOOKUP(C416,menu!A:E,4,FALSE)</f>
        <v>11000</v>
      </c>
      <c r="I416">
        <f t="shared" si="13"/>
        <v>32000</v>
      </c>
    </row>
    <row r="417" spans="1:9" x14ac:dyDescent="0.35">
      <c r="A417" s="4" t="s">
        <v>1327</v>
      </c>
      <c r="B417" s="4" t="s">
        <v>857</v>
      </c>
      <c r="C417" s="4" t="s">
        <v>890</v>
      </c>
      <c r="D417" s="4">
        <v>1</v>
      </c>
      <c r="E417" s="6">
        <v>18000</v>
      </c>
      <c r="F417" t="str">
        <f>VLOOKUP(C417,menu!A:B,2,FALSE)</f>
        <v>Es Kopi Susu Gula Aren</v>
      </c>
      <c r="G417">
        <f t="shared" si="12"/>
        <v>18000</v>
      </c>
      <c r="H417">
        <f>VLOOKUP(C417,menu!A:E,4,FALSE)</f>
        <v>4500</v>
      </c>
      <c r="I417">
        <f t="shared" si="13"/>
        <v>13500</v>
      </c>
    </row>
    <row r="418" spans="1:9" x14ac:dyDescent="0.35">
      <c r="A418" s="4" t="s">
        <v>1328</v>
      </c>
      <c r="B418" s="4" t="s">
        <v>857</v>
      </c>
      <c r="C418" s="4" t="s">
        <v>919</v>
      </c>
      <c r="D418" s="4">
        <v>1</v>
      </c>
      <c r="E418" s="6">
        <v>20000</v>
      </c>
      <c r="F418" t="str">
        <f>VLOOKUP(C418,menu!A:B,2,FALSE)</f>
        <v>Gado-Gado Jakarta</v>
      </c>
      <c r="G418">
        <f t="shared" si="12"/>
        <v>20000</v>
      </c>
      <c r="H418">
        <f>VLOOKUP(C418,menu!A:E,4,FALSE)</f>
        <v>8000</v>
      </c>
      <c r="I418">
        <f t="shared" si="13"/>
        <v>12000</v>
      </c>
    </row>
    <row r="419" spans="1:9" x14ac:dyDescent="0.35">
      <c r="A419" s="4" t="s">
        <v>1329</v>
      </c>
      <c r="B419" s="4" t="s">
        <v>209</v>
      </c>
      <c r="C419" s="4" t="s">
        <v>890</v>
      </c>
      <c r="D419" s="4">
        <v>1</v>
      </c>
      <c r="E419" s="6">
        <v>18000</v>
      </c>
      <c r="F419" t="str">
        <f>VLOOKUP(C419,menu!A:B,2,FALSE)</f>
        <v>Es Kopi Susu Gula Aren</v>
      </c>
      <c r="G419">
        <f t="shared" si="12"/>
        <v>18000</v>
      </c>
      <c r="H419">
        <f>VLOOKUP(C419,menu!A:E,4,FALSE)</f>
        <v>4500</v>
      </c>
      <c r="I419">
        <f t="shared" si="13"/>
        <v>13500</v>
      </c>
    </row>
    <row r="420" spans="1:9" x14ac:dyDescent="0.35">
      <c r="A420" s="4" t="s">
        <v>1330</v>
      </c>
      <c r="B420" s="4" t="s">
        <v>209</v>
      </c>
      <c r="C420" s="4" t="s">
        <v>898</v>
      </c>
      <c r="D420" s="4">
        <v>1</v>
      </c>
      <c r="E420" s="6">
        <v>27000</v>
      </c>
      <c r="F420" t="str">
        <f>VLOOKUP(C420,menu!A:B,2,FALSE)</f>
        <v>Ayam Geprek Sambal Bawang</v>
      </c>
      <c r="G420">
        <f t="shared" si="12"/>
        <v>27000</v>
      </c>
      <c r="H420">
        <f>VLOOKUP(C420,menu!A:E,4,FALSE)</f>
        <v>11000</v>
      </c>
      <c r="I420">
        <f t="shared" si="13"/>
        <v>16000</v>
      </c>
    </row>
    <row r="421" spans="1:9" x14ac:dyDescent="0.35">
      <c r="A421" s="4" t="s">
        <v>1331</v>
      </c>
      <c r="B421" s="4" t="s">
        <v>619</v>
      </c>
      <c r="C421" s="4" t="s">
        <v>890</v>
      </c>
      <c r="D421" s="4">
        <v>1</v>
      </c>
      <c r="E421" s="6">
        <v>18000</v>
      </c>
      <c r="F421" t="str">
        <f>VLOOKUP(C421,menu!A:B,2,FALSE)</f>
        <v>Es Kopi Susu Gula Aren</v>
      </c>
      <c r="G421">
        <f t="shared" si="12"/>
        <v>18000</v>
      </c>
      <c r="H421">
        <f>VLOOKUP(C421,menu!A:E,4,FALSE)</f>
        <v>4500</v>
      </c>
      <c r="I421">
        <f t="shared" si="13"/>
        <v>13500</v>
      </c>
    </row>
    <row r="422" spans="1:9" x14ac:dyDescent="0.35">
      <c r="A422" s="4" t="s">
        <v>1332</v>
      </c>
      <c r="B422" s="4" t="s">
        <v>619</v>
      </c>
      <c r="C422" s="4" t="s">
        <v>940</v>
      </c>
      <c r="D422" s="4">
        <v>1</v>
      </c>
      <c r="E422" s="6">
        <v>10000</v>
      </c>
      <c r="F422" t="str">
        <f>VLOOKUP(C422,menu!A:B,2,FALSE)</f>
        <v>Tahu Isi Goreng (5pcs)</v>
      </c>
      <c r="G422">
        <f t="shared" si="12"/>
        <v>10000</v>
      </c>
      <c r="H422">
        <f>VLOOKUP(C422,menu!A:E,4,FALSE)</f>
        <v>3500</v>
      </c>
      <c r="I422">
        <f t="shared" si="13"/>
        <v>6500</v>
      </c>
    </row>
    <row r="423" spans="1:9" x14ac:dyDescent="0.35">
      <c r="A423" s="4" t="s">
        <v>1333</v>
      </c>
      <c r="B423" s="4" t="s">
        <v>619</v>
      </c>
      <c r="C423" s="4" t="s">
        <v>896</v>
      </c>
      <c r="D423" s="4">
        <v>1</v>
      </c>
      <c r="E423" s="6">
        <v>23000</v>
      </c>
      <c r="F423" t="str">
        <f>VLOOKUP(C423,menu!A:B,2,FALSE)</f>
        <v>Nasi Uduk Komplit</v>
      </c>
      <c r="G423">
        <f t="shared" si="12"/>
        <v>23000</v>
      </c>
      <c r="H423">
        <f>VLOOKUP(C423,menu!A:E,4,FALSE)</f>
        <v>9000</v>
      </c>
      <c r="I423">
        <f t="shared" si="13"/>
        <v>14000</v>
      </c>
    </row>
    <row r="424" spans="1:9" x14ac:dyDescent="0.35">
      <c r="A424" s="4" t="s">
        <v>1334</v>
      </c>
      <c r="B424" s="4" t="s">
        <v>619</v>
      </c>
      <c r="C424" s="4" t="s">
        <v>902</v>
      </c>
      <c r="D424" s="4">
        <v>1</v>
      </c>
      <c r="E424" s="6">
        <v>12000</v>
      </c>
      <c r="F424" t="str">
        <f>VLOOKUP(C424,menu!A:B,2,FALSE)</f>
        <v>Teh Tarik</v>
      </c>
      <c r="G424">
        <f t="shared" si="12"/>
        <v>12000</v>
      </c>
      <c r="H424">
        <f>VLOOKUP(C424,menu!A:E,4,FALSE)</f>
        <v>3000</v>
      </c>
      <c r="I424">
        <f t="shared" si="13"/>
        <v>9000</v>
      </c>
    </row>
    <row r="425" spans="1:9" x14ac:dyDescent="0.35">
      <c r="A425" s="4" t="s">
        <v>1335</v>
      </c>
      <c r="B425" s="4" t="s">
        <v>835</v>
      </c>
      <c r="C425" s="4" t="s">
        <v>898</v>
      </c>
      <c r="D425" s="4">
        <v>1</v>
      </c>
      <c r="E425" s="6">
        <v>27000</v>
      </c>
      <c r="F425" t="str">
        <f>VLOOKUP(C425,menu!A:B,2,FALSE)</f>
        <v>Ayam Geprek Sambal Bawang</v>
      </c>
      <c r="G425">
        <f t="shared" si="12"/>
        <v>27000</v>
      </c>
      <c r="H425">
        <f>VLOOKUP(C425,menu!A:E,4,FALSE)</f>
        <v>11000</v>
      </c>
      <c r="I425">
        <f t="shared" si="13"/>
        <v>16000</v>
      </c>
    </row>
    <row r="426" spans="1:9" x14ac:dyDescent="0.35">
      <c r="A426" s="4" t="s">
        <v>1336</v>
      </c>
      <c r="B426" s="4" t="s">
        <v>835</v>
      </c>
      <c r="C426" s="4" t="s">
        <v>892</v>
      </c>
      <c r="D426" s="4">
        <v>1</v>
      </c>
      <c r="E426" s="6">
        <v>9000</v>
      </c>
      <c r="F426" t="str">
        <f>VLOOKUP(C426,menu!A:B,2,FALSE)</f>
        <v>Tempe Mendoan (5pcs)</v>
      </c>
      <c r="G426">
        <f t="shared" si="12"/>
        <v>9000</v>
      </c>
      <c r="H426">
        <f>VLOOKUP(C426,menu!A:E,4,FALSE)</f>
        <v>3000</v>
      </c>
      <c r="I426">
        <f t="shared" si="13"/>
        <v>6000</v>
      </c>
    </row>
    <row r="427" spans="1:9" x14ac:dyDescent="0.35">
      <c r="A427" s="4" t="s">
        <v>1337</v>
      </c>
      <c r="B427" s="4" t="s">
        <v>664</v>
      </c>
      <c r="C427" s="4" t="s">
        <v>906</v>
      </c>
      <c r="D427" s="4">
        <v>2</v>
      </c>
      <c r="E427" s="6">
        <v>28000</v>
      </c>
      <c r="F427" t="str">
        <f>VLOOKUP(C427,menu!A:B,2,FALSE)</f>
        <v>Sate Ayam 10 Tusuk</v>
      </c>
      <c r="G427">
        <f t="shared" si="12"/>
        <v>56000</v>
      </c>
      <c r="H427">
        <f>VLOOKUP(C427,menu!A:E,4,FALSE)</f>
        <v>12000</v>
      </c>
      <c r="I427">
        <f t="shared" si="13"/>
        <v>32000</v>
      </c>
    </row>
    <row r="428" spans="1:9" x14ac:dyDescent="0.35">
      <c r="A428" s="4" t="s">
        <v>1338</v>
      </c>
      <c r="B428" s="4" t="s">
        <v>664</v>
      </c>
      <c r="C428" s="4" t="s">
        <v>894</v>
      </c>
      <c r="D428" s="4">
        <v>2</v>
      </c>
      <c r="E428" s="6">
        <v>5000</v>
      </c>
      <c r="F428" t="str">
        <f>VLOOKUP(C428,menu!A:B,2,FALSE)</f>
        <v>Air Mineral Botol</v>
      </c>
      <c r="G428">
        <f t="shared" si="12"/>
        <v>10000</v>
      </c>
      <c r="H428">
        <f>VLOOKUP(C428,menu!A:E,4,FALSE)</f>
        <v>2000</v>
      </c>
      <c r="I428">
        <f t="shared" si="13"/>
        <v>6000</v>
      </c>
    </row>
    <row r="429" spans="1:9" x14ac:dyDescent="0.35">
      <c r="A429" s="4" t="s">
        <v>1339</v>
      </c>
      <c r="B429" s="4" t="s">
        <v>697</v>
      </c>
      <c r="C429" s="4" t="s">
        <v>1003</v>
      </c>
      <c r="D429" s="4">
        <v>1</v>
      </c>
      <c r="E429" s="6">
        <v>29000</v>
      </c>
      <c r="F429" t="str">
        <f>VLOOKUP(C429,menu!A:B,2,FALSE)</f>
        <v>Capcay Seafood</v>
      </c>
      <c r="G429">
        <f t="shared" si="12"/>
        <v>29000</v>
      </c>
      <c r="H429">
        <f>VLOOKUP(C429,menu!A:E,4,FALSE)</f>
        <v>13000</v>
      </c>
      <c r="I429">
        <f t="shared" si="13"/>
        <v>16000</v>
      </c>
    </row>
    <row r="430" spans="1:9" x14ac:dyDescent="0.35">
      <c r="A430" s="4" t="s">
        <v>1340</v>
      </c>
      <c r="B430" s="4" t="s">
        <v>697</v>
      </c>
      <c r="C430" s="4" t="s">
        <v>908</v>
      </c>
      <c r="D430" s="4">
        <v>3</v>
      </c>
      <c r="E430" s="6">
        <v>16000</v>
      </c>
      <c r="F430" t="str">
        <f>VLOOKUP(C430,menu!A:B,2,FALSE)</f>
        <v>Jus Alpukat</v>
      </c>
      <c r="G430">
        <f t="shared" si="12"/>
        <v>48000</v>
      </c>
      <c r="H430">
        <f>VLOOKUP(C430,menu!A:E,4,FALSE)</f>
        <v>5500</v>
      </c>
      <c r="I430">
        <f t="shared" si="13"/>
        <v>31500</v>
      </c>
    </row>
    <row r="431" spans="1:9" x14ac:dyDescent="0.35">
      <c r="A431" s="4" t="s">
        <v>1341</v>
      </c>
      <c r="B431" s="4" t="s">
        <v>697</v>
      </c>
      <c r="C431" s="4" t="s">
        <v>940</v>
      </c>
      <c r="D431" s="4">
        <v>1</v>
      </c>
      <c r="E431" s="6">
        <v>10000</v>
      </c>
      <c r="F431" t="str">
        <f>VLOOKUP(C431,menu!A:B,2,FALSE)</f>
        <v>Tahu Isi Goreng (5pcs)</v>
      </c>
      <c r="G431">
        <f t="shared" si="12"/>
        <v>10000</v>
      </c>
      <c r="H431">
        <f>VLOOKUP(C431,menu!A:E,4,FALSE)</f>
        <v>3500</v>
      </c>
      <c r="I431">
        <f t="shared" si="13"/>
        <v>6500</v>
      </c>
    </row>
    <row r="432" spans="1:9" x14ac:dyDescent="0.35">
      <c r="A432" s="4" t="s">
        <v>1342</v>
      </c>
      <c r="B432" s="4" t="s">
        <v>697</v>
      </c>
      <c r="C432" s="4" t="s">
        <v>898</v>
      </c>
      <c r="D432" s="4">
        <v>1</v>
      </c>
      <c r="E432" s="6">
        <v>27000</v>
      </c>
      <c r="F432" t="str">
        <f>VLOOKUP(C432,menu!A:B,2,FALSE)</f>
        <v>Ayam Geprek Sambal Bawang</v>
      </c>
      <c r="G432">
        <f t="shared" si="12"/>
        <v>27000</v>
      </c>
      <c r="H432">
        <f>VLOOKUP(C432,menu!A:E,4,FALSE)</f>
        <v>11000</v>
      </c>
      <c r="I432">
        <f t="shared" si="13"/>
        <v>16000</v>
      </c>
    </row>
    <row r="433" spans="1:9" x14ac:dyDescent="0.35">
      <c r="A433" s="4" t="s">
        <v>1343</v>
      </c>
      <c r="B433" s="4" t="s">
        <v>603</v>
      </c>
      <c r="C433" s="4" t="s">
        <v>890</v>
      </c>
      <c r="D433" s="4">
        <v>1</v>
      </c>
      <c r="E433" s="6">
        <v>18000</v>
      </c>
      <c r="F433" t="str">
        <f>VLOOKUP(C433,menu!A:B,2,FALSE)</f>
        <v>Es Kopi Susu Gula Aren</v>
      </c>
      <c r="G433">
        <f t="shared" si="12"/>
        <v>18000</v>
      </c>
      <c r="H433">
        <f>VLOOKUP(C433,menu!A:E,4,FALSE)</f>
        <v>4500</v>
      </c>
      <c r="I433">
        <f t="shared" si="13"/>
        <v>13500</v>
      </c>
    </row>
    <row r="434" spans="1:9" x14ac:dyDescent="0.35">
      <c r="A434" s="4" t="s">
        <v>1344</v>
      </c>
      <c r="B434" s="4" t="s">
        <v>603</v>
      </c>
      <c r="C434" s="4" t="s">
        <v>937</v>
      </c>
      <c r="D434" s="4">
        <v>1</v>
      </c>
      <c r="E434" s="6">
        <v>26000</v>
      </c>
      <c r="F434" t="str">
        <f>VLOOKUP(C434,menu!A:B,2,FALSE)</f>
        <v>Nasi Campur Bali</v>
      </c>
      <c r="G434">
        <f t="shared" si="12"/>
        <v>26000</v>
      </c>
      <c r="H434">
        <f>VLOOKUP(C434,menu!A:E,4,FALSE)</f>
        <v>11500</v>
      </c>
      <c r="I434">
        <f t="shared" si="13"/>
        <v>14500</v>
      </c>
    </row>
    <row r="435" spans="1:9" x14ac:dyDescent="0.35">
      <c r="A435" s="4" t="s">
        <v>1345</v>
      </c>
      <c r="B435" s="4" t="s">
        <v>603</v>
      </c>
      <c r="C435" s="4" t="s">
        <v>904</v>
      </c>
      <c r="D435" s="4">
        <v>1</v>
      </c>
      <c r="E435" s="6">
        <v>22000</v>
      </c>
      <c r="F435" t="str">
        <f>VLOOKUP(C435,menu!A:B,2,FALSE)</f>
        <v>Pecel Lele</v>
      </c>
      <c r="G435">
        <f t="shared" si="12"/>
        <v>22000</v>
      </c>
      <c r="H435">
        <f>VLOOKUP(C435,menu!A:E,4,FALSE)</f>
        <v>9500</v>
      </c>
      <c r="I435">
        <f t="shared" si="13"/>
        <v>12500</v>
      </c>
    </row>
    <row r="436" spans="1:9" x14ac:dyDescent="0.35">
      <c r="A436" s="4" t="s">
        <v>1346</v>
      </c>
      <c r="B436" s="4" t="s">
        <v>125</v>
      </c>
      <c r="C436" s="4" t="s">
        <v>898</v>
      </c>
      <c r="D436" s="4">
        <v>1</v>
      </c>
      <c r="E436" s="6">
        <v>27000</v>
      </c>
      <c r="F436" t="str">
        <f>VLOOKUP(C436,menu!A:B,2,FALSE)</f>
        <v>Ayam Geprek Sambal Bawang</v>
      </c>
      <c r="G436">
        <f t="shared" si="12"/>
        <v>27000</v>
      </c>
      <c r="H436">
        <f>VLOOKUP(C436,menu!A:E,4,FALSE)</f>
        <v>11000</v>
      </c>
      <c r="I436">
        <f t="shared" si="13"/>
        <v>16000</v>
      </c>
    </row>
    <row r="437" spans="1:9" x14ac:dyDescent="0.35">
      <c r="A437" s="4" t="s">
        <v>1347</v>
      </c>
      <c r="B437" s="4" t="s">
        <v>125</v>
      </c>
      <c r="C437" s="4" t="s">
        <v>942</v>
      </c>
      <c r="D437" s="4">
        <v>2</v>
      </c>
      <c r="E437" s="6">
        <v>13000</v>
      </c>
      <c r="F437" t="str">
        <f>VLOOKUP(C437,menu!A:B,2,FALSE)</f>
        <v>Pisang Goreng Keju (4pcs)</v>
      </c>
      <c r="G437">
        <f t="shared" si="12"/>
        <v>26000</v>
      </c>
      <c r="H437">
        <f>VLOOKUP(C437,menu!A:E,4,FALSE)</f>
        <v>4000</v>
      </c>
      <c r="I437">
        <f t="shared" si="13"/>
        <v>18000</v>
      </c>
    </row>
    <row r="438" spans="1:9" x14ac:dyDescent="0.35">
      <c r="A438" s="4" t="s">
        <v>1348</v>
      </c>
      <c r="B438" s="4" t="s">
        <v>125</v>
      </c>
      <c r="C438" s="4" t="s">
        <v>890</v>
      </c>
      <c r="D438" s="4">
        <v>1</v>
      </c>
      <c r="E438" s="6">
        <v>18000</v>
      </c>
      <c r="F438" t="str">
        <f>VLOOKUP(C438,menu!A:B,2,FALSE)</f>
        <v>Es Kopi Susu Gula Aren</v>
      </c>
      <c r="G438">
        <f t="shared" si="12"/>
        <v>18000</v>
      </c>
      <c r="H438">
        <f>VLOOKUP(C438,menu!A:E,4,FALSE)</f>
        <v>4500</v>
      </c>
      <c r="I438">
        <f t="shared" si="13"/>
        <v>13500</v>
      </c>
    </row>
    <row r="439" spans="1:9" x14ac:dyDescent="0.35">
      <c r="A439" s="4" t="s">
        <v>1349</v>
      </c>
      <c r="B439" s="4" t="s">
        <v>125</v>
      </c>
      <c r="C439" s="4" t="s">
        <v>919</v>
      </c>
      <c r="D439" s="4">
        <v>2</v>
      </c>
      <c r="E439" s="6">
        <v>20000</v>
      </c>
      <c r="F439" t="str">
        <f>VLOOKUP(C439,menu!A:B,2,FALSE)</f>
        <v>Gado-Gado Jakarta</v>
      </c>
      <c r="G439">
        <f t="shared" si="12"/>
        <v>40000</v>
      </c>
      <c r="H439">
        <f>VLOOKUP(C439,menu!A:E,4,FALSE)</f>
        <v>8000</v>
      </c>
      <c r="I439">
        <f t="shared" si="13"/>
        <v>24000</v>
      </c>
    </row>
    <row r="440" spans="1:9" x14ac:dyDescent="0.35">
      <c r="A440" s="4" t="s">
        <v>1350</v>
      </c>
      <c r="B440" s="4" t="s">
        <v>125</v>
      </c>
      <c r="C440" s="4" t="s">
        <v>935</v>
      </c>
      <c r="D440" s="4">
        <v>2</v>
      </c>
      <c r="E440" s="6">
        <v>22000</v>
      </c>
      <c r="F440" t="str">
        <f>VLOOKUP(C440,menu!A:B,2,FALSE)</f>
        <v>Soto Ayam Lamongan</v>
      </c>
      <c r="G440">
        <f t="shared" si="12"/>
        <v>44000</v>
      </c>
      <c r="H440">
        <f>VLOOKUP(C440,menu!A:E,4,FALSE)</f>
        <v>9500</v>
      </c>
      <c r="I440">
        <f t="shared" si="13"/>
        <v>25000</v>
      </c>
    </row>
    <row r="441" spans="1:9" x14ac:dyDescent="0.35">
      <c r="A441" s="4" t="s">
        <v>1351</v>
      </c>
      <c r="B441" s="4" t="s">
        <v>366</v>
      </c>
      <c r="C441" s="4" t="s">
        <v>931</v>
      </c>
      <c r="D441" s="4">
        <v>1</v>
      </c>
      <c r="E441" s="6">
        <v>5000</v>
      </c>
      <c r="F441" t="str">
        <f>VLOOKUP(C441,menu!A:B,2,FALSE)</f>
        <v>Kerupuk Udang</v>
      </c>
      <c r="G441">
        <f t="shared" si="12"/>
        <v>5000</v>
      </c>
      <c r="H441">
        <f>VLOOKUP(C441,menu!A:E,4,FALSE)</f>
        <v>1500</v>
      </c>
      <c r="I441">
        <f t="shared" si="13"/>
        <v>3500</v>
      </c>
    </row>
    <row r="442" spans="1:9" x14ac:dyDescent="0.35">
      <c r="A442" s="4" t="s">
        <v>1352</v>
      </c>
      <c r="B442" s="4" t="s">
        <v>366</v>
      </c>
      <c r="C442" s="4" t="s">
        <v>919</v>
      </c>
      <c r="D442" s="4">
        <v>1</v>
      </c>
      <c r="E442" s="6">
        <v>20000</v>
      </c>
      <c r="F442" t="str">
        <f>VLOOKUP(C442,menu!A:B,2,FALSE)</f>
        <v>Gado-Gado Jakarta</v>
      </c>
      <c r="G442">
        <f t="shared" si="12"/>
        <v>20000</v>
      </c>
      <c r="H442">
        <f>VLOOKUP(C442,menu!A:E,4,FALSE)</f>
        <v>8000</v>
      </c>
      <c r="I442">
        <f t="shared" si="13"/>
        <v>12000</v>
      </c>
    </row>
    <row r="443" spans="1:9" x14ac:dyDescent="0.35">
      <c r="A443" s="4" t="s">
        <v>1353</v>
      </c>
      <c r="B443" s="4" t="s">
        <v>366</v>
      </c>
      <c r="C443" s="4" t="s">
        <v>896</v>
      </c>
      <c r="D443" s="4">
        <v>1</v>
      </c>
      <c r="E443" s="6">
        <v>23000</v>
      </c>
      <c r="F443" t="str">
        <f>VLOOKUP(C443,menu!A:B,2,FALSE)</f>
        <v>Nasi Uduk Komplit</v>
      </c>
      <c r="G443">
        <f t="shared" si="12"/>
        <v>23000</v>
      </c>
      <c r="H443">
        <f>VLOOKUP(C443,menu!A:E,4,FALSE)</f>
        <v>9000</v>
      </c>
      <c r="I443">
        <f t="shared" si="13"/>
        <v>14000</v>
      </c>
    </row>
    <row r="444" spans="1:9" x14ac:dyDescent="0.35">
      <c r="A444" s="4" t="s">
        <v>1354</v>
      </c>
      <c r="B444" s="4" t="s">
        <v>366</v>
      </c>
      <c r="C444" s="4" t="s">
        <v>902</v>
      </c>
      <c r="D444" s="4">
        <v>1</v>
      </c>
      <c r="E444" s="6">
        <v>12000</v>
      </c>
      <c r="F444" t="str">
        <f>VLOOKUP(C444,menu!A:B,2,FALSE)</f>
        <v>Teh Tarik</v>
      </c>
      <c r="G444">
        <f t="shared" si="12"/>
        <v>12000</v>
      </c>
      <c r="H444">
        <f>VLOOKUP(C444,menu!A:E,4,FALSE)</f>
        <v>3000</v>
      </c>
      <c r="I444">
        <f t="shared" si="13"/>
        <v>9000</v>
      </c>
    </row>
    <row r="445" spans="1:9" x14ac:dyDescent="0.35">
      <c r="A445" s="4" t="s">
        <v>1355</v>
      </c>
      <c r="B445" s="4" t="s">
        <v>304</v>
      </c>
      <c r="C445" s="4" t="s">
        <v>906</v>
      </c>
      <c r="D445" s="4">
        <v>1</v>
      </c>
      <c r="E445" s="6">
        <v>28000</v>
      </c>
      <c r="F445" t="str">
        <f>VLOOKUP(C445,menu!A:B,2,FALSE)</f>
        <v>Sate Ayam 10 Tusuk</v>
      </c>
      <c r="G445">
        <f t="shared" si="12"/>
        <v>28000</v>
      </c>
      <c r="H445">
        <f>VLOOKUP(C445,menu!A:E,4,FALSE)</f>
        <v>12000</v>
      </c>
      <c r="I445">
        <f t="shared" si="13"/>
        <v>16000</v>
      </c>
    </row>
    <row r="446" spans="1:9" x14ac:dyDescent="0.35">
      <c r="A446" s="4" t="s">
        <v>1356</v>
      </c>
      <c r="B446" s="4" t="s">
        <v>304</v>
      </c>
      <c r="C446" s="4" t="s">
        <v>898</v>
      </c>
      <c r="D446" s="4">
        <v>1</v>
      </c>
      <c r="E446" s="6">
        <v>27000</v>
      </c>
      <c r="F446" t="str">
        <f>VLOOKUP(C446,menu!A:B,2,FALSE)</f>
        <v>Ayam Geprek Sambal Bawang</v>
      </c>
      <c r="G446">
        <f t="shared" si="12"/>
        <v>27000</v>
      </c>
      <c r="H446">
        <f>VLOOKUP(C446,menu!A:E,4,FALSE)</f>
        <v>11000</v>
      </c>
      <c r="I446">
        <f t="shared" si="13"/>
        <v>16000</v>
      </c>
    </row>
    <row r="447" spans="1:9" x14ac:dyDescent="0.35">
      <c r="A447" s="4" t="s">
        <v>1357</v>
      </c>
      <c r="B447" s="4" t="s">
        <v>304</v>
      </c>
      <c r="C447" s="4" t="s">
        <v>942</v>
      </c>
      <c r="D447" s="4">
        <v>1</v>
      </c>
      <c r="E447" s="6">
        <v>13000</v>
      </c>
      <c r="F447" t="str">
        <f>VLOOKUP(C447,menu!A:B,2,FALSE)</f>
        <v>Pisang Goreng Keju (4pcs)</v>
      </c>
      <c r="G447">
        <f t="shared" si="12"/>
        <v>13000</v>
      </c>
      <c r="H447">
        <f>VLOOKUP(C447,menu!A:E,4,FALSE)</f>
        <v>4000</v>
      </c>
      <c r="I447">
        <f t="shared" si="13"/>
        <v>9000</v>
      </c>
    </row>
    <row r="448" spans="1:9" x14ac:dyDescent="0.35">
      <c r="A448" s="4" t="s">
        <v>1358</v>
      </c>
      <c r="B448" s="4" t="s">
        <v>207</v>
      </c>
      <c r="C448" s="4" t="s">
        <v>890</v>
      </c>
      <c r="D448" s="4">
        <v>1</v>
      </c>
      <c r="E448" s="6">
        <v>18000</v>
      </c>
      <c r="F448" t="str">
        <f>VLOOKUP(C448,menu!A:B,2,FALSE)</f>
        <v>Es Kopi Susu Gula Aren</v>
      </c>
      <c r="G448">
        <f t="shared" si="12"/>
        <v>18000</v>
      </c>
      <c r="H448">
        <f>VLOOKUP(C448,menu!A:E,4,FALSE)</f>
        <v>4500</v>
      </c>
      <c r="I448">
        <f t="shared" si="13"/>
        <v>13500</v>
      </c>
    </row>
    <row r="449" spans="1:9" x14ac:dyDescent="0.35">
      <c r="A449" s="4" t="s">
        <v>1359</v>
      </c>
      <c r="B449" s="4" t="s">
        <v>207</v>
      </c>
      <c r="C449" s="4" t="s">
        <v>898</v>
      </c>
      <c r="D449" s="4">
        <v>1</v>
      </c>
      <c r="E449" s="6">
        <v>27000</v>
      </c>
      <c r="F449" t="str">
        <f>VLOOKUP(C449,menu!A:B,2,FALSE)</f>
        <v>Ayam Geprek Sambal Bawang</v>
      </c>
      <c r="G449">
        <f t="shared" si="12"/>
        <v>27000</v>
      </c>
      <c r="H449">
        <f>VLOOKUP(C449,menu!A:E,4,FALSE)</f>
        <v>11000</v>
      </c>
      <c r="I449">
        <f t="shared" si="13"/>
        <v>16000</v>
      </c>
    </row>
    <row r="450" spans="1:9" x14ac:dyDescent="0.35">
      <c r="A450" s="4" t="s">
        <v>1360</v>
      </c>
      <c r="B450" s="4" t="s">
        <v>653</v>
      </c>
      <c r="C450" s="4" t="s">
        <v>935</v>
      </c>
      <c r="D450" s="4">
        <v>1</v>
      </c>
      <c r="E450" s="6">
        <v>22000</v>
      </c>
      <c r="F450" t="str">
        <f>VLOOKUP(C450,menu!A:B,2,FALSE)</f>
        <v>Soto Ayam Lamongan</v>
      </c>
      <c r="G450">
        <f t="shared" si="12"/>
        <v>22000</v>
      </c>
      <c r="H450">
        <f>VLOOKUP(C450,menu!A:E,4,FALSE)</f>
        <v>9500</v>
      </c>
      <c r="I450">
        <f t="shared" si="13"/>
        <v>12500</v>
      </c>
    </row>
    <row r="451" spans="1:9" x14ac:dyDescent="0.35">
      <c r="A451" s="4" t="s">
        <v>1361</v>
      </c>
      <c r="B451" s="4" t="s">
        <v>653</v>
      </c>
      <c r="C451" s="4" t="s">
        <v>908</v>
      </c>
      <c r="D451" s="4">
        <v>1</v>
      </c>
      <c r="E451" s="6">
        <v>16000</v>
      </c>
      <c r="F451" t="str">
        <f>VLOOKUP(C451,menu!A:B,2,FALSE)</f>
        <v>Jus Alpukat</v>
      </c>
      <c r="G451">
        <f t="shared" ref="G451:G514" si="14">D451*E451</f>
        <v>16000</v>
      </c>
      <c r="H451">
        <f>VLOOKUP(C451,menu!A:E,4,FALSE)</f>
        <v>5500</v>
      </c>
      <c r="I451">
        <f t="shared" ref="I451:I514" si="15">(E451-H451)*D451</f>
        <v>10500</v>
      </c>
    </row>
    <row r="452" spans="1:9" x14ac:dyDescent="0.35">
      <c r="A452" s="4" t="s">
        <v>1362</v>
      </c>
      <c r="B452" s="4" t="s">
        <v>873</v>
      </c>
      <c r="C452" s="4" t="s">
        <v>935</v>
      </c>
      <c r="D452" s="4">
        <v>1</v>
      </c>
      <c r="E452" s="6">
        <v>22000</v>
      </c>
      <c r="F452" t="str">
        <f>VLOOKUP(C452,menu!A:B,2,FALSE)</f>
        <v>Soto Ayam Lamongan</v>
      </c>
      <c r="G452">
        <f t="shared" si="14"/>
        <v>22000</v>
      </c>
      <c r="H452">
        <f>VLOOKUP(C452,menu!A:E,4,FALSE)</f>
        <v>9500</v>
      </c>
      <c r="I452">
        <f t="shared" si="15"/>
        <v>12500</v>
      </c>
    </row>
    <row r="453" spans="1:9" x14ac:dyDescent="0.35">
      <c r="A453" s="4" t="s">
        <v>1363</v>
      </c>
      <c r="B453" s="4" t="s">
        <v>873</v>
      </c>
      <c r="C453" s="4" t="s">
        <v>1003</v>
      </c>
      <c r="D453" s="4">
        <v>1</v>
      </c>
      <c r="E453" s="6">
        <v>29000</v>
      </c>
      <c r="F453" t="str">
        <f>VLOOKUP(C453,menu!A:B,2,FALSE)</f>
        <v>Capcay Seafood</v>
      </c>
      <c r="G453">
        <f t="shared" si="14"/>
        <v>29000</v>
      </c>
      <c r="H453">
        <f>VLOOKUP(C453,menu!A:E,4,FALSE)</f>
        <v>13000</v>
      </c>
      <c r="I453">
        <f t="shared" si="15"/>
        <v>16000</v>
      </c>
    </row>
    <row r="454" spans="1:9" x14ac:dyDescent="0.35">
      <c r="A454" s="4" t="s">
        <v>1364</v>
      </c>
      <c r="B454" s="4" t="s">
        <v>620</v>
      </c>
      <c r="C454" s="4" t="s">
        <v>898</v>
      </c>
      <c r="D454" s="4">
        <v>1</v>
      </c>
      <c r="E454" s="6">
        <v>27000</v>
      </c>
      <c r="F454" t="str">
        <f>VLOOKUP(C454,menu!A:B,2,FALSE)</f>
        <v>Ayam Geprek Sambal Bawang</v>
      </c>
      <c r="G454">
        <f t="shared" si="14"/>
        <v>27000</v>
      </c>
      <c r="H454">
        <f>VLOOKUP(C454,menu!A:E,4,FALSE)</f>
        <v>11000</v>
      </c>
      <c r="I454">
        <f t="shared" si="15"/>
        <v>16000</v>
      </c>
    </row>
    <row r="455" spans="1:9" x14ac:dyDescent="0.35">
      <c r="A455" s="4" t="s">
        <v>1365</v>
      </c>
      <c r="B455" s="4" t="s">
        <v>845</v>
      </c>
      <c r="C455" s="4" t="s">
        <v>940</v>
      </c>
      <c r="D455" s="4">
        <v>1</v>
      </c>
      <c r="E455" s="6">
        <v>10000</v>
      </c>
      <c r="F455" t="str">
        <f>VLOOKUP(C455,menu!A:B,2,FALSE)</f>
        <v>Tahu Isi Goreng (5pcs)</v>
      </c>
      <c r="G455">
        <f t="shared" si="14"/>
        <v>10000</v>
      </c>
      <c r="H455">
        <f>VLOOKUP(C455,menu!A:E,4,FALSE)</f>
        <v>3500</v>
      </c>
      <c r="I455">
        <f t="shared" si="15"/>
        <v>6500</v>
      </c>
    </row>
    <row r="456" spans="1:9" x14ac:dyDescent="0.35">
      <c r="A456" s="4" t="s">
        <v>1366</v>
      </c>
      <c r="B456" s="4" t="s">
        <v>845</v>
      </c>
      <c r="C456" s="4" t="s">
        <v>898</v>
      </c>
      <c r="D456" s="4">
        <v>1</v>
      </c>
      <c r="E456" s="6">
        <v>27000</v>
      </c>
      <c r="F456" t="str">
        <f>VLOOKUP(C456,menu!A:B,2,FALSE)</f>
        <v>Ayam Geprek Sambal Bawang</v>
      </c>
      <c r="G456">
        <f t="shared" si="14"/>
        <v>27000</v>
      </c>
      <c r="H456">
        <f>VLOOKUP(C456,menu!A:E,4,FALSE)</f>
        <v>11000</v>
      </c>
      <c r="I456">
        <f t="shared" si="15"/>
        <v>16000</v>
      </c>
    </row>
    <row r="457" spans="1:9" x14ac:dyDescent="0.35">
      <c r="A457" s="4" t="s">
        <v>1367</v>
      </c>
      <c r="B457" s="4" t="s">
        <v>845</v>
      </c>
      <c r="C457" s="4" t="s">
        <v>935</v>
      </c>
      <c r="D457" s="4">
        <v>1</v>
      </c>
      <c r="E457" s="6">
        <v>22000</v>
      </c>
      <c r="F457" t="str">
        <f>VLOOKUP(C457,menu!A:B,2,FALSE)</f>
        <v>Soto Ayam Lamongan</v>
      </c>
      <c r="G457">
        <f t="shared" si="14"/>
        <v>22000</v>
      </c>
      <c r="H457">
        <f>VLOOKUP(C457,menu!A:E,4,FALSE)</f>
        <v>9500</v>
      </c>
      <c r="I457">
        <f t="shared" si="15"/>
        <v>12500</v>
      </c>
    </row>
    <row r="458" spans="1:9" x14ac:dyDescent="0.35">
      <c r="A458" s="4" t="s">
        <v>1368</v>
      </c>
      <c r="B458" s="4" t="s">
        <v>218</v>
      </c>
      <c r="C458" s="4" t="s">
        <v>928</v>
      </c>
      <c r="D458" s="4">
        <v>1</v>
      </c>
      <c r="E458" s="6">
        <v>23000</v>
      </c>
      <c r="F458" t="str">
        <f>VLOOKUP(C458,menu!A:B,2,FALSE)</f>
        <v>Mie Goreng Jawa</v>
      </c>
      <c r="G458">
        <f t="shared" si="14"/>
        <v>23000</v>
      </c>
      <c r="H458">
        <f>VLOOKUP(C458,menu!A:E,4,FALSE)</f>
        <v>8500</v>
      </c>
      <c r="I458">
        <f t="shared" si="15"/>
        <v>14500</v>
      </c>
    </row>
    <row r="459" spans="1:9" x14ac:dyDescent="0.35">
      <c r="A459" s="4" t="s">
        <v>1369</v>
      </c>
      <c r="B459" s="4" t="s">
        <v>218</v>
      </c>
      <c r="C459" s="4" t="s">
        <v>894</v>
      </c>
      <c r="D459" s="4">
        <v>1</v>
      </c>
      <c r="E459" s="6">
        <v>5000</v>
      </c>
      <c r="F459" t="str">
        <f>VLOOKUP(C459,menu!A:B,2,FALSE)</f>
        <v>Air Mineral Botol</v>
      </c>
      <c r="G459">
        <f t="shared" si="14"/>
        <v>5000</v>
      </c>
      <c r="H459">
        <f>VLOOKUP(C459,menu!A:E,4,FALSE)</f>
        <v>2000</v>
      </c>
      <c r="I459">
        <f t="shared" si="15"/>
        <v>3000</v>
      </c>
    </row>
    <row r="460" spans="1:9" x14ac:dyDescent="0.35">
      <c r="A460" s="4" t="s">
        <v>1370</v>
      </c>
      <c r="B460" s="4" t="s">
        <v>417</v>
      </c>
      <c r="C460" s="4" t="s">
        <v>955</v>
      </c>
      <c r="D460" s="4">
        <v>1</v>
      </c>
      <c r="E460" s="6">
        <v>15000</v>
      </c>
      <c r="F460" t="str">
        <f>VLOOKUP(C460,menu!A:B,2,FALSE)</f>
        <v>Es Campur</v>
      </c>
      <c r="G460">
        <f t="shared" si="14"/>
        <v>15000</v>
      </c>
      <c r="H460">
        <f>VLOOKUP(C460,menu!A:E,4,FALSE)</f>
        <v>6000</v>
      </c>
      <c r="I460">
        <f t="shared" si="15"/>
        <v>9000</v>
      </c>
    </row>
    <row r="461" spans="1:9" x14ac:dyDescent="0.35">
      <c r="A461" s="4" t="s">
        <v>1371</v>
      </c>
      <c r="B461" s="4" t="s">
        <v>417</v>
      </c>
      <c r="C461" s="4" t="s">
        <v>898</v>
      </c>
      <c r="D461" s="4">
        <v>1</v>
      </c>
      <c r="E461" s="6">
        <v>27000</v>
      </c>
      <c r="F461" t="str">
        <f>VLOOKUP(C461,menu!A:B,2,FALSE)</f>
        <v>Ayam Geprek Sambal Bawang</v>
      </c>
      <c r="G461">
        <f t="shared" si="14"/>
        <v>27000</v>
      </c>
      <c r="H461">
        <f>VLOOKUP(C461,menu!A:E,4,FALSE)</f>
        <v>11000</v>
      </c>
      <c r="I461">
        <f t="shared" si="15"/>
        <v>16000</v>
      </c>
    </row>
    <row r="462" spans="1:9" x14ac:dyDescent="0.35">
      <c r="A462" s="4" t="s">
        <v>1372</v>
      </c>
      <c r="B462" s="4" t="s">
        <v>417</v>
      </c>
      <c r="C462" s="4" t="s">
        <v>894</v>
      </c>
      <c r="D462" s="4">
        <v>2</v>
      </c>
      <c r="E462" s="6">
        <v>5000</v>
      </c>
      <c r="F462" t="str">
        <f>VLOOKUP(C462,menu!A:B,2,FALSE)</f>
        <v>Air Mineral Botol</v>
      </c>
      <c r="G462">
        <f t="shared" si="14"/>
        <v>10000</v>
      </c>
      <c r="H462">
        <f>VLOOKUP(C462,menu!A:E,4,FALSE)</f>
        <v>2000</v>
      </c>
      <c r="I462">
        <f t="shared" si="15"/>
        <v>6000</v>
      </c>
    </row>
    <row r="463" spans="1:9" x14ac:dyDescent="0.35">
      <c r="A463" s="4" t="s">
        <v>1373</v>
      </c>
      <c r="B463" s="4" t="s">
        <v>417</v>
      </c>
      <c r="C463" s="4" t="s">
        <v>937</v>
      </c>
      <c r="D463" s="4">
        <v>1</v>
      </c>
      <c r="E463" s="6">
        <v>26000</v>
      </c>
      <c r="F463" t="str">
        <f>VLOOKUP(C463,menu!A:B,2,FALSE)</f>
        <v>Nasi Campur Bali</v>
      </c>
      <c r="G463">
        <f t="shared" si="14"/>
        <v>26000</v>
      </c>
      <c r="H463">
        <f>VLOOKUP(C463,menu!A:E,4,FALSE)</f>
        <v>11500</v>
      </c>
      <c r="I463">
        <f t="shared" si="15"/>
        <v>14500</v>
      </c>
    </row>
    <row r="464" spans="1:9" x14ac:dyDescent="0.35">
      <c r="A464" s="4" t="s">
        <v>1374</v>
      </c>
      <c r="B464" s="4" t="s">
        <v>417</v>
      </c>
      <c r="C464" s="4" t="s">
        <v>931</v>
      </c>
      <c r="D464" s="4">
        <v>3</v>
      </c>
      <c r="E464" s="6">
        <v>5000</v>
      </c>
      <c r="F464" t="str">
        <f>VLOOKUP(C464,menu!A:B,2,FALSE)</f>
        <v>Kerupuk Udang</v>
      </c>
      <c r="G464">
        <f t="shared" si="14"/>
        <v>15000</v>
      </c>
      <c r="H464">
        <f>VLOOKUP(C464,menu!A:E,4,FALSE)</f>
        <v>1500</v>
      </c>
      <c r="I464">
        <f t="shared" si="15"/>
        <v>10500</v>
      </c>
    </row>
    <row r="465" spans="1:9" x14ac:dyDescent="0.35">
      <c r="A465" s="4" t="s">
        <v>1375</v>
      </c>
      <c r="B465" s="4" t="s">
        <v>25</v>
      </c>
      <c r="C465" s="4" t="s">
        <v>937</v>
      </c>
      <c r="D465" s="4">
        <v>1</v>
      </c>
      <c r="E465" s="6">
        <v>26000</v>
      </c>
      <c r="F465" t="str">
        <f>VLOOKUP(C465,menu!A:B,2,FALSE)</f>
        <v>Nasi Campur Bali</v>
      </c>
      <c r="G465">
        <f t="shared" si="14"/>
        <v>26000</v>
      </c>
      <c r="H465">
        <f>VLOOKUP(C465,menu!A:E,4,FALSE)</f>
        <v>11500</v>
      </c>
      <c r="I465">
        <f t="shared" si="15"/>
        <v>14500</v>
      </c>
    </row>
    <row r="466" spans="1:9" x14ac:dyDescent="0.35">
      <c r="A466" s="4" t="s">
        <v>1376</v>
      </c>
      <c r="B466" s="4" t="s">
        <v>511</v>
      </c>
      <c r="C466" s="4" t="s">
        <v>919</v>
      </c>
      <c r="D466" s="4">
        <v>3</v>
      </c>
      <c r="E466" s="6">
        <v>20000</v>
      </c>
      <c r="F466" t="str">
        <f>VLOOKUP(C466,menu!A:B,2,FALSE)</f>
        <v>Gado-Gado Jakarta</v>
      </c>
      <c r="G466">
        <f t="shared" si="14"/>
        <v>60000</v>
      </c>
      <c r="H466">
        <f>VLOOKUP(C466,menu!A:E,4,FALSE)</f>
        <v>8000</v>
      </c>
      <c r="I466">
        <f t="shared" si="15"/>
        <v>36000</v>
      </c>
    </row>
    <row r="467" spans="1:9" x14ac:dyDescent="0.35">
      <c r="A467" s="4" t="s">
        <v>1377</v>
      </c>
      <c r="B467" s="4" t="s">
        <v>511</v>
      </c>
      <c r="C467" s="4" t="s">
        <v>904</v>
      </c>
      <c r="D467" s="4">
        <v>1</v>
      </c>
      <c r="E467" s="6">
        <v>22000</v>
      </c>
      <c r="F467" t="str">
        <f>VLOOKUP(C467,menu!A:B,2,FALSE)</f>
        <v>Pecel Lele</v>
      </c>
      <c r="G467">
        <f t="shared" si="14"/>
        <v>22000</v>
      </c>
      <c r="H467">
        <f>VLOOKUP(C467,menu!A:E,4,FALSE)</f>
        <v>9500</v>
      </c>
      <c r="I467">
        <f t="shared" si="15"/>
        <v>12500</v>
      </c>
    </row>
    <row r="468" spans="1:9" x14ac:dyDescent="0.35">
      <c r="A468" s="4" t="s">
        <v>1378</v>
      </c>
      <c r="B468" s="4" t="s">
        <v>511</v>
      </c>
      <c r="C468" s="4" t="s">
        <v>935</v>
      </c>
      <c r="D468" s="4">
        <v>1</v>
      </c>
      <c r="E468" s="6">
        <v>22000</v>
      </c>
      <c r="F468" t="str">
        <f>VLOOKUP(C468,menu!A:B,2,FALSE)</f>
        <v>Soto Ayam Lamongan</v>
      </c>
      <c r="G468">
        <f t="shared" si="14"/>
        <v>22000</v>
      </c>
      <c r="H468">
        <f>VLOOKUP(C468,menu!A:E,4,FALSE)</f>
        <v>9500</v>
      </c>
      <c r="I468">
        <f t="shared" si="15"/>
        <v>12500</v>
      </c>
    </row>
    <row r="469" spans="1:9" x14ac:dyDescent="0.35">
      <c r="A469" s="4" t="s">
        <v>1379</v>
      </c>
      <c r="B469" s="4" t="s">
        <v>511</v>
      </c>
      <c r="C469" s="4" t="s">
        <v>892</v>
      </c>
      <c r="D469" s="4">
        <v>1</v>
      </c>
      <c r="E469" s="6">
        <v>9000</v>
      </c>
      <c r="F469" t="str">
        <f>VLOOKUP(C469,menu!A:B,2,FALSE)</f>
        <v>Tempe Mendoan (5pcs)</v>
      </c>
      <c r="G469">
        <f t="shared" si="14"/>
        <v>9000</v>
      </c>
      <c r="H469">
        <f>VLOOKUP(C469,menu!A:E,4,FALSE)</f>
        <v>3000</v>
      </c>
      <c r="I469">
        <f t="shared" si="15"/>
        <v>6000</v>
      </c>
    </row>
    <row r="470" spans="1:9" x14ac:dyDescent="0.35">
      <c r="A470" s="4" t="s">
        <v>1380</v>
      </c>
      <c r="B470" s="4" t="s">
        <v>511</v>
      </c>
      <c r="C470" s="4" t="s">
        <v>894</v>
      </c>
      <c r="D470" s="4">
        <v>1</v>
      </c>
      <c r="E470" s="6">
        <v>5000</v>
      </c>
      <c r="F470" t="str">
        <f>VLOOKUP(C470,menu!A:B,2,FALSE)</f>
        <v>Air Mineral Botol</v>
      </c>
      <c r="G470">
        <f t="shared" si="14"/>
        <v>5000</v>
      </c>
      <c r="H470">
        <f>VLOOKUP(C470,menu!A:E,4,FALSE)</f>
        <v>2000</v>
      </c>
      <c r="I470">
        <f t="shared" si="15"/>
        <v>3000</v>
      </c>
    </row>
    <row r="471" spans="1:9" x14ac:dyDescent="0.35">
      <c r="A471" s="4" t="s">
        <v>1381</v>
      </c>
      <c r="B471" s="4" t="s">
        <v>284</v>
      </c>
      <c r="C471" s="4" t="s">
        <v>898</v>
      </c>
      <c r="D471" s="4">
        <v>1</v>
      </c>
      <c r="E471" s="6">
        <v>27000</v>
      </c>
      <c r="F471" t="str">
        <f>VLOOKUP(C471,menu!A:B,2,FALSE)</f>
        <v>Ayam Geprek Sambal Bawang</v>
      </c>
      <c r="G471">
        <f t="shared" si="14"/>
        <v>27000</v>
      </c>
      <c r="H471">
        <f>VLOOKUP(C471,menu!A:E,4,FALSE)</f>
        <v>11000</v>
      </c>
      <c r="I471">
        <f t="shared" si="15"/>
        <v>16000</v>
      </c>
    </row>
    <row r="472" spans="1:9" x14ac:dyDescent="0.35">
      <c r="A472" s="4" t="s">
        <v>1382</v>
      </c>
      <c r="B472" s="4" t="s">
        <v>284</v>
      </c>
      <c r="C472" s="4" t="s">
        <v>916</v>
      </c>
      <c r="D472" s="4">
        <v>1</v>
      </c>
      <c r="E472" s="6">
        <v>9000</v>
      </c>
      <c r="F472" t="str">
        <f>VLOOKUP(C472,menu!A:B,2,FALSE)</f>
        <v>Kopi Hitam Tubruk</v>
      </c>
      <c r="G472">
        <f t="shared" si="14"/>
        <v>9000</v>
      </c>
      <c r="H472">
        <f>VLOOKUP(C472,menu!A:E,4,FALSE)</f>
        <v>2000</v>
      </c>
      <c r="I472">
        <f t="shared" si="15"/>
        <v>7000</v>
      </c>
    </row>
    <row r="473" spans="1:9" x14ac:dyDescent="0.35">
      <c r="A473" s="4" t="s">
        <v>1383</v>
      </c>
      <c r="B473" s="4" t="s">
        <v>284</v>
      </c>
      <c r="C473" s="4" t="s">
        <v>937</v>
      </c>
      <c r="D473" s="4">
        <v>2</v>
      </c>
      <c r="E473" s="6">
        <v>26000</v>
      </c>
      <c r="F473" t="str">
        <f>VLOOKUP(C473,menu!A:B,2,FALSE)</f>
        <v>Nasi Campur Bali</v>
      </c>
      <c r="G473">
        <f t="shared" si="14"/>
        <v>52000</v>
      </c>
      <c r="H473">
        <f>VLOOKUP(C473,menu!A:E,4,FALSE)</f>
        <v>11500</v>
      </c>
      <c r="I473">
        <f t="shared" si="15"/>
        <v>29000</v>
      </c>
    </row>
    <row r="474" spans="1:9" x14ac:dyDescent="0.35">
      <c r="A474" s="4" t="s">
        <v>1384</v>
      </c>
      <c r="B474" s="4" t="s">
        <v>284</v>
      </c>
      <c r="C474" s="4" t="s">
        <v>890</v>
      </c>
      <c r="D474" s="4">
        <v>1</v>
      </c>
      <c r="E474" s="6">
        <v>18000</v>
      </c>
      <c r="F474" t="str">
        <f>VLOOKUP(C474,menu!A:B,2,FALSE)</f>
        <v>Es Kopi Susu Gula Aren</v>
      </c>
      <c r="G474">
        <f t="shared" si="14"/>
        <v>18000</v>
      </c>
      <c r="H474">
        <f>VLOOKUP(C474,menu!A:E,4,FALSE)</f>
        <v>4500</v>
      </c>
      <c r="I474">
        <f t="shared" si="15"/>
        <v>13500</v>
      </c>
    </row>
    <row r="475" spans="1:9" x14ac:dyDescent="0.35">
      <c r="A475" s="4" t="s">
        <v>1385</v>
      </c>
      <c r="B475" s="4" t="s">
        <v>284</v>
      </c>
      <c r="C475" s="4" t="s">
        <v>894</v>
      </c>
      <c r="D475" s="4">
        <v>1</v>
      </c>
      <c r="E475" s="6">
        <v>5000</v>
      </c>
      <c r="F475" t="str">
        <f>VLOOKUP(C475,menu!A:B,2,FALSE)</f>
        <v>Air Mineral Botol</v>
      </c>
      <c r="G475">
        <f t="shared" si="14"/>
        <v>5000</v>
      </c>
      <c r="H475">
        <f>VLOOKUP(C475,menu!A:E,4,FALSE)</f>
        <v>2000</v>
      </c>
      <c r="I475">
        <f t="shared" si="15"/>
        <v>3000</v>
      </c>
    </row>
    <row r="476" spans="1:9" x14ac:dyDescent="0.35">
      <c r="A476" s="4" t="s">
        <v>1386</v>
      </c>
      <c r="B476" s="4" t="s">
        <v>384</v>
      </c>
      <c r="C476" s="4" t="s">
        <v>892</v>
      </c>
      <c r="D476" s="4">
        <v>1</v>
      </c>
      <c r="E476" s="6">
        <v>9000</v>
      </c>
      <c r="F476" t="str">
        <f>VLOOKUP(C476,menu!A:B,2,FALSE)</f>
        <v>Tempe Mendoan (5pcs)</v>
      </c>
      <c r="G476">
        <f t="shared" si="14"/>
        <v>9000</v>
      </c>
      <c r="H476">
        <f>VLOOKUP(C476,menu!A:E,4,FALSE)</f>
        <v>3000</v>
      </c>
      <c r="I476">
        <f t="shared" si="15"/>
        <v>6000</v>
      </c>
    </row>
    <row r="477" spans="1:9" x14ac:dyDescent="0.35">
      <c r="A477" s="4" t="s">
        <v>1387</v>
      </c>
      <c r="B477" s="4" t="s">
        <v>384</v>
      </c>
      <c r="C477" s="4" t="s">
        <v>906</v>
      </c>
      <c r="D477" s="4">
        <v>1</v>
      </c>
      <c r="E477" s="6">
        <v>28000</v>
      </c>
      <c r="F477" t="str">
        <f>VLOOKUP(C477,menu!A:B,2,FALSE)</f>
        <v>Sate Ayam 10 Tusuk</v>
      </c>
      <c r="G477">
        <f t="shared" si="14"/>
        <v>28000</v>
      </c>
      <c r="H477">
        <f>VLOOKUP(C477,menu!A:E,4,FALSE)</f>
        <v>12000</v>
      </c>
      <c r="I477">
        <f t="shared" si="15"/>
        <v>16000</v>
      </c>
    </row>
    <row r="478" spans="1:9" x14ac:dyDescent="0.35">
      <c r="A478" s="4" t="s">
        <v>1388</v>
      </c>
      <c r="B478" s="4" t="s">
        <v>384</v>
      </c>
      <c r="C478" s="4" t="s">
        <v>919</v>
      </c>
      <c r="D478" s="4">
        <v>1</v>
      </c>
      <c r="E478" s="6">
        <v>20000</v>
      </c>
      <c r="F478" t="str">
        <f>VLOOKUP(C478,menu!A:B,2,FALSE)</f>
        <v>Gado-Gado Jakarta</v>
      </c>
      <c r="G478">
        <f t="shared" si="14"/>
        <v>20000</v>
      </c>
      <c r="H478">
        <f>VLOOKUP(C478,menu!A:E,4,FALSE)</f>
        <v>8000</v>
      </c>
      <c r="I478">
        <f t="shared" si="15"/>
        <v>12000</v>
      </c>
    </row>
    <row r="479" spans="1:9" x14ac:dyDescent="0.35">
      <c r="A479" s="4" t="s">
        <v>1389</v>
      </c>
      <c r="B479" s="4" t="s">
        <v>384</v>
      </c>
      <c r="C479" s="4" t="s">
        <v>935</v>
      </c>
      <c r="D479" s="4">
        <v>3</v>
      </c>
      <c r="E479" s="6">
        <v>22000</v>
      </c>
      <c r="F479" t="str">
        <f>VLOOKUP(C479,menu!A:B,2,FALSE)</f>
        <v>Soto Ayam Lamongan</v>
      </c>
      <c r="G479">
        <f t="shared" si="14"/>
        <v>66000</v>
      </c>
      <c r="H479">
        <f>VLOOKUP(C479,menu!A:E,4,FALSE)</f>
        <v>9500</v>
      </c>
      <c r="I479">
        <f t="shared" si="15"/>
        <v>37500</v>
      </c>
    </row>
    <row r="480" spans="1:9" x14ac:dyDescent="0.35">
      <c r="A480" s="4" t="s">
        <v>1390</v>
      </c>
      <c r="B480" s="4" t="s">
        <v>507</v>
      </c>
      <c r="C480" s="4" t="s">
        <v>898</v>
      </c>
      <c r="D480" s="4">
        <v>1</v>
      </c>
      <c r="E480" s="6">
        <v>27000</v>
      </c>
      <c r="F480" t="str">
        <f>VLOOKUP(C480,menu!A:B,2,FALSE)</f>
        <v>Ayam Geprek Sambal Bawang</v>
      </c>
      <c r="G480">
        <f t="shared" si="14"/>
        <v>27000</v>
      </c>
      <c r="H480">
        <f>VLOOKUP(C480,menu!A:E,4,FALSE)</f>
        <v>11000</v>
      </c>
      <c r="I480">
        <f t="shared" si="15"/>
        <v>16000</v>
      </c>
    </row>
    <row r="481" spans="1:9" x14ac:dyDescent="0.35">
      <c r="A481" s="4" t="s">
        <v>1391</v>
      </c>
      <c r="B481" s="4" t="s">
        <v>740</v>
      </c>
      <c r="C481" s="4" t="s">
        <v>890</v>
      </c>
      <c r="D481" s="4">
        <v>1</v>
      </c>
      <c r="E481" s="6">
        <v>18000</v>
      </c>
      <c r="F481" t="str">
        <f>VLOOKUP(C481,menu!A:B,2,FALSE)</f>
        <v>Es Kopi Susu Gula Aren</v>
      </c>
      <c r="G481">
        <f t="shared" si="14"/>
        <v>18000</v>
      </c>
      <c r="H481">
        <f>VLOOKUP(C481,menu!A:E,4,FALSE)</f>
        <v>4500</v>
      </c>
      <c r="I481">
        <f t="shared" si="15"/>
        <v>13500</v>
      </c>
    </row>
    <row r="482" spans="1:9" x14ac:dyDescent="0.35">
      <c r="A482" s="4" t="s">
        <v>1392</v>
      </c>
      <c r="B482" s="4" t="s">
        <v>94</v>
      </c>
      <c r="C482" s="4" t="s">
        <v>937</v>
      </c>
      <c r="D482" s="4">
        <v>3</v>
      </c>
      <c r="E482" s="6">
        <v>26000</v>
      </c>
      <c r="F482" t="str">
        <f>VLOOKUP(C482,menu!A:B,2,FALSE)</f>
        <v>Nasi Campur Bali</v>
      </c>
      <c r="G482">
        <f t="shared" si="14"/>
        <v>78000</v>
      </c>
      <c r="H482">
        <f>VLOOKUP(C482,menu!A:E,4,FALSE)</f>
        <v>11500</v>
      </c>
      <c r="I482">
        <f t="shared" si="15"/>
        <v>43500</v>
      </c>
    </row>
    <row r="483" spans="1:9" x14ac:dyDescent="0.35">
      <c r="A483" s="4" t="s">
        <v>1393</v>
      </c>
      <c r="B483" s="4" t="s">
        <v>94</v>
      </c>
      <c r="C483" s="4" t="s">
        <v>898</v>
      </c>
      <c r="D483" s="4">
        <v>2</v>
      </c>
      <c r="E483" s="6">
        <v>27000</v>
      </c>
      <c r="F483" t="str">
        <f>VLOOKUP(C483,menu!A:B,2,FALSE)</f>
        <v>Ayam Geprek Sambal Bawang</v>
      </c>
      <c r="G483">
        <f t="shared" si="14"/>
        <v>54000</v>
      </c>
      <c r="H483">
        <f>VLOOKUP(C483,menu!A:E,4,FALSE)</f>
        <v>11000</v>
      </c>
      <c r="I483">
        <f t="shared" si="15"/>
        <v>32000</v>
      </c>
    </row>
    <row r="484" spans="1:9" x14ac:dyDescent="0.35">
      <c r="A484" s="4" t="s">
        <v>1394</v>
      </c>
      <c r="B484" s="4" t="s">
        <v>815</v>
      </c>
      <c r="C484" s="4" t="s">
        <v>896</v>
      </c>
      <c r="D484" s="4">
        <v>1</v>
      </c>
      <c r="E484" s="6">
        <v>23000</v>
      </c>
      <c r="F484" t="str">
        <f>VLOOKUP(C484,menu!A:B,2,FALSE)</f>
        <v>Nasi Uduk Komplit</v>
      </c>
      <c r="G484">
        <f t="shared" si="14"/>
        <v>23000</v>
      </c>
      <c r="H484">
        <f>VLOOKUP(C484,menu!A:E,4,FALSE)</f>
        <v>9000</v>
      </c>
      <c r="I484">
        <f t="shared" si="15"/>
        <v>14000</v>
      </c>
    </row>
    <row r="485" spans="1:9" x14ac:dyDescent="0.35">
      <c r="A485" s="4" t="s">
        <v>1395</v>
      </c>
      <c r="B485" s="4" t="s">
        <v>815</v>
      </c>
      <c r="C485" s="4" t="s">
        <v>928</v>
      </c>
      <c r="D485" s="4">
        <v>2</v>
      </c>
      <c r="E485" s="6">
        <v>23000</v>
      </c>
      <c r="F485" t="str">
        <f>VLOOKUP(C485,menu!A:B,2,FALSE)</f>
        <v>Mie Goreng Jawa</v>
      </c>
      <c r="G485">
        <f t="shared" si="14"/>
        <v>46000</v>
      </c>
      <c r="H485">
        <f>VLOOKUP(C485,menu!A:E,4,FALSE)</f>
        <v>8500</v>
      </c>
      <c r="I485">
        <f t="shared" si="15"/>
        <v>29000</v>
      </c>
    </row>
    <row r="486" spans="1:9" x14ac:dyDescent="0.35">
      <c r="A486" s="4" t="s">
        <v>1396</v>
      </c>
      <c r="B486" s="4" t="s">
        <v>815</v>
      </c>
      <c r="C486" s="4" t="s">
        <v>937</v>
      </c>
      <c r="D486" s="4">
        <v>1</v>
      </c>
      <c r="E486" s="6">
        <v>26000</v>
      </c>
      <c r="F486" t="str">
        <f>VLOOKUP(C486,menu!A:B,2,FALSE)</f>
        <v>Nasi Campur Bali</v>
      </c>
      <c r="G486">
        <f t="shared" si="14"/>
        <v>26000</v>
      </c>
      <c r="H486">
        <f>VLOOKUP(C486,menu!A:E,4,FALSE)</f>
        <v>11500</v>
      </c>
      <c r="I486">
        <f t="shared" si="15"/>
        <v>14500</v>
      </c>
    </row>
    <row r="487" spans="1:9" x14ac:dyDescent="0.35">
      <c r="A487" s="4" t="s">
        <v>1397</v>
      </c>
      <c r="B487" s="4" t="s">
        <v>230</v>
      </c>
      <c r="C487" s="4" t="s">
        <v>898</v>
      </c>
      <c r="D487" s="4">
        <v>2</v>
      </c>
      <c r="E487" s="6">
        <v>27000</v>
      </c>
      <c r="F487" t="str">
        <f>VLOOKUP(C487,menu!A:B,2,FALSE)</f>
        <v>Ayam Geprek Sambal Bawang</v>
      </c>
      <c r="G487">
        <f t="shared" si="14"/>
        <v>54000</v>
      </c>
      <c r="H487">
        <f>VLOOKUP(C487,menu!A:E,4,FALSE)</f>
        <v>11000</v>
      </c>
      <c r="I487">
        <f t="shared" si="15"/>
        <v>32000</v>
      </c>
    </row>
    <row r="488" spans="1:9" x14ac:dyDescent="0.35">
      <c r="A488" s="4" t="s">
        <v>1398</v>
      </c>
      <c r="B488" s="4" t="s">
        <v>230</v>
      </c>
      <c r="C488" s="4" t="s">
        <v>919</v>
      </c>
      <c r="D488" s="4">
        <v>1</v>
      </c>
      <c r="E488" s="6">
        <v>20000</v>
      </c>
      <c r="F488" t="str">
        <f>VLOOKUP(C488,menu!A:B,2,FALSE)</f>
        <v>Gado-Gado Jakarta</v>
      </c>
      <c r="G488">
        <f t="shared" si="14"/>
        <v>20000</v>
      </c>
      <c r="H488">
        <f>VLOOKUP(C488,menu!A:E,4,FALSE)</f>
        <v>8000</v>
      </c>
      <c r="I488">
        <f t="shared" si="15"/>
        <v>12000</v>
      </c>
    </row>
    <row r="489" spans="1:9" x14ac:dyDescent="0.35">
      <c r="A489" s="4" t="s">
        <v>1399</v>
      </c>
      <c r="B489" s="4" t="s">
        <v>555</v>
      </c>
      <c r="C489" s="4" t="s">
        <v>919</v>
      </c>
      <c r="D489" s="4">
        <v>1</v>
      </c>
      <c r="E489" s="6">
        <v>20000</v>
      </c>
      <c r="F489" t="str">
        <f>VLOOKUP(C489,menu!A:B,2,FALSE)</f>
        <v>Gado-Gado Jakarta</v>
      </c>
      <c r="G489">
        <f t="shared" si="14"/>
        <v>20000</v>
      </c>
      <c r="H489">
        <f>VLOOKUP(C489,menu!A:E,4,FALSE)</f>
        <v>8000</v>
      </c>
      <c r="I489">
        <f t="shared" si="15"/>
        <v>12000</v>
      </c>
    </row>
    <row r="490" spans="1:9" x14ac:dyDescent="0.35">
      <c r="A490" s="4" t="s">
        <v>1400</v>
      </c>
      <c r="B490" s="4" t="s">
        <v>555</v>
      </c>
      <c r="C490" s="4" t="s">
        <v>898</v>
      </c>
      <c r="D490" s="4">
        <v>1</v>
      </c>
      <c r="E490" s="6">
        <v>27000</v>
      </c>
      <c r="F490" t="str">
        <f>VLOOKUP(C490,menu!A:B,2,FALSE)</f>
        <v>Ayam Geprek Sambal Bawang</v>
      </c>
      <c r="G490">
        <f t="shared" si="14"/>
        <v>27000</v>
      </c>
      <c r="H490">
        <f>VLOOKUP(C490,menu!A:E,4,FALSE)</f>
        <v>11000</v>
      </c>
      <c r="I490">
        <f t="shared" si="15"/>
        <v>16000</v>
      </c>
    </row>
    <row r="491" spans="1:9" x14ac:dyDescent="0.35">
      <c r="A491" s="4" t="s">
        <v>1401</v>
      </c>
      <c r="B491" s="4" t="s">
        <v>555</v>
      </c>
      <c r="C491" s="4" t="s">
        <v>944</v>
      </c>
      <c r="D491" s="4">
        <v>1</v>
      </c>
      <c r="E491" s="6">
        <v>32000</v>
      </c>
      <c r="F491" t="str">
        <f>VLOOKUP(C491,menu!A:B,2,FALSE)</f>
        <v>Nasi Padang Rendang</v>
      </c>
      <c r="G491">
        <f t="shared" si="14"/>
        <v>32000</v>
      </c>
      <c r="H491">
        <f>VLOOKUP(C491,menu!A:E,4,FALSE)</f>
        <v>14000</v>
      </c>
      <c r="I491">
        <f t="shared" si="15"/>
        <v>18000</v>
      </c>
    </row>
    <row r="492" spans="1:9" x14ac:dyDescent="0.35">
      <c r="A492" s="4" t="s">
        <v>1402</v>
      </c>
      <c r="B492" s="4" t="s">
        <v>780</v>
      </c>
      <c r="C492" s="4" t="s">
        <v>898</v>
      </c>
      <c r="D492" s="4">
        <v>1</v>
      </c>
      <c r="E492" s="6">
        <v>27000</v>
      </c>
      <c r="F492" t="str">
        <f>VLOOKUP(C492,menu!A:B,2,FALSE)</f>
        <v>Ayam Geprek Sambal Bawang</v>
      </c>
      <c r="G492">
        <f t="shared" si="14"/>
        <v>27000</v>
      </c>
      <c r="H492">
        <f>VLOOKUP(C492,menu!A:E,4,FALSE)</f>
        <v>11000</v>
      </c>
      <c r="I492">
        <f t="shared" si="15"/>
        <v>16000</v>
      </c>
    </row>
    <row r="493" spans="1:9" x14ac:dyDescent="0.35">
      <c r="A493" s="4" t="s">
        <v>1403</v>
      </c>
      <c r="B493" s="4" t="s">
        <v>780</v>
      </c>
      <c r="C493" s="4" t="s">
        <v>892</v>
      </c>
      <c r="D493" s="4">
        <v>1</v>
      </c>
      <c r="E493" s="6">
        <v>9000</v>
      </c>
      <c r="F493" t="str">
        <f>VLOOKUP(C493,menu!A:B,2,FALSE)</f>
        <v>Tempe Mendoan (5pcs)</v>
      </c>
      <c r="G493">
        <f t="shared" si="14"/>
        <v>9000</v>
      </c>
      <c r="H493">
        <f>VLOOKUP(C493,menu!A:E,4,FALSE)</f>
        <v>3000</v>
      </c>
      <c r="I493">
        <f t="shared" si="15"/>
        <v>6000</v>
      </c>
    </row>
    <row r="494" spans="1:9" x14ac:dyDescent="0.35">
      <c r="A494" s="4" t="s">
        <v>1404</v>
      </c>
      <c r="B494" s="4" t="s">
        <v>702</v>
      </c>
      <c r="C494" s="4" t="s">
        <v>898</v>
      </c>
      <c r="D494" s="4">
        <v>1</v>
      </c>
      <c r="E494" s="6">
        <v>27000</v>
      </c>
      <c r="F494" t="str">
        <f>VLOOKUP(C494,menu!A:B,2,FALSE)</f>
        <v>Ayam Geprek Sambal Bawang</v>
      </c>
      <c r="G494">
        <f t="shared" si="14"/>
        <v>27000</v>
      </c>
      <c r="H494">
        <f>VLOOKUP(C494,menu!A:E,4,FALSE)</f>
        <v>11000</v>
      </c>
      <c r="I494">
        <f t="shared" si="15"/>
        <v>16000</v>
      </c>
    </row>
    <row r="495" spans="1:9" x14ac:dyDescent="0.35">
      <c r="A495" s="4" t="s">
        <v>1405</v>
      </c>
      <c r="B495" s="4" t="s">
        <v>129</v>
      </c>
      <c r="C495" s="4" t="s">
        <v>898</v>
      </c>
      <c r="D495" s="4">
        <v>1</v>
      </c>
      <c r="E495" s="6">
        <v>27000</v>
      </c>
      <c r="F495" t="str">
        <f>VLOOKUP(C495,menu!A:B,2,FALSE)</f>
        <v>Ayam Geprek Sambal Bawang</v>
      </c>
      <c r="G495">
        <f t="shared" si="14"/>
        <v>27000</v>
      </c>
      <c r="H495">
        <f>VLOOKUP(C495,menu!A:E,4,FALSE)</f>
        <v>11000</v>
      </c>
      <c r="I495">
        <f t="shared" si="15"/>
        <v>16000</v>
      </c>
    </row>
    <row r="496" spans="1:9" x14ac:dyDescent="0.35">
      <c r="A496" s="4" t="s">
        <v>1406</v>
      </c>
      <c r="B496" s="4" t="s">
        <v>129</v>
      </c>
      <c r="C496" s="4" t="s">
        <v>937</v>
      </c>
      <c r="D496" s="4">
        <v>2</v>
      </c>
      <c r="E496" s="6">
        <v>26000</v>
      </c>
      <c r="F496" t="str">
        <f>VLOOKUP(C496,menu!A:B,2,FALSE)</f>
        <v>Nasi Campur Bali</v>
      </c>
      <c r="G496">
        <f t="shared" si="14"/>
        <v>52000</v>
      </c>
      <c r="H496">
        <f>VLOOKUP(C496,menu!A:E,4,FALSE)</f>
        <v>11500</v>
      </c>
      <c r="I496">
        <f t="shared" si="15"/>
        <v>29000</v>
      </c>
    </row>
    <row r="497" spans="1:9" x14ac:dyDescent="0.35">
      <c r="A497" s="4" t="s">
        <v>1407</v>
      </c>
      <c r="B497" s="4" t="s">
        <v>531</v>
      </c>
      <c r="C497" s="4" t="s">
        <v>919</v>
      </c>
      <c r="D497" s="4">
        <v>1</v>
      </c>
      <c r="E497" s="6">
        <v>20000</v>
      </c>
      <c r="F497" t="str">
        <f>VLOOKUP(C497,menu!A:B,2,FALSE)</f>
        <v>Gado-Gado Jakarta</v>
      </c>
      <c r="G497">
        <f t="shared" si="14"/>
        <v>20000</v>
      </c>
      <c r="H497">
        <f>VLOOKUP(C497,menu!A:E,4,FALSE)</f>
        <v>8000</v>
      </c>
      <c r="I497">
        <f t="shared" si="15"/>
        <v>12000</v>
      </c>
    </row>
    <row r="498" spans="1:9" x14ac:dyDescent="0.35">
      <c r="A498" s="4" t="s">
        <v>1408</v>
      </c>
      <c r="B498" s="4" t="s">
        <v>531</v>
      </c>
      <c r="C498" s="4" t="s">
        <v>898</v>
      </c>
      <c r="D498" s="4">
        <v>1</v>
      </c>
      <c r="E498" s="6">
        <v>27000</v>
      </c>
      <c r="F498" t="str">
        <f>VLOOKUP(C498,menu!A:B,2,FALSE)</f>
        <v>Ayam Geprek Sambal Bawang</v>
      </c>
      <c r="G498">
        <f t="shared" si="14"/>
        <v>27000</v>
      </c>
      <c r="H498">
        <f>VLOOKUP(C498,menu!A:E,4,FALSE)</f>
        <v>11000</v>
      </c>
      <c r="I498">
        <f t="shared" si="15"/>
        <v>16000</v>
      </c>
    </row>
    <row r="499" spans="1:9" x14ac:dyDescent="0.35">
      <c r="A499" s="4" t="s">
        <v>1409</v>
      </c>
      <c r="B499" s="4" t="s">
        <v>531</v>
      </c>
      <c r="C499" s="4" t="s">
        <v>900</v>
      </c>
      <c r="D499" s="4">
        <v>1</v>
      </c>
      <c r="E499" s="6">
        <v>8000</v>
      </c>
      <c r="F499" t="str">
        <f>VLOOKUP(C499,menu!A:B,2,FALSE)</f>
        <v>Es Jeruk Peras</v>
      </c>
      <c r="G499">
        <f t="shared" si="14"/>
        <v>8000</v>
      </c>
      <c r="H499">
        <f>VLOOKUP(C499,menu!A:E,4,FALSE)</f>
        <v>2500</v>
      </c>
      <c r="I499">
        <f t="shared" si="15"/>
        <v>5500</v>
      </c>
    </row>
    <row r="500" spans="1:9" x14ac:dyDescent="0.35">
      <c r="A500" s="4" t="s">
        <v>1410</v>
      </c>
      <c r="B500" s="4" t="s">
        <v>381</v>
      </c>
      <c r="C500" s="4" t="s">
        <v>928</v>
      </c>
      <c r="D500" s="4">
        <v>1</v>
      </c>
      <c r="E500" s="6">
        <v>23000</v>
      </c>
      <c r="F500" t="str">
        <f>VLOOKUP(C500,menu!A:B,2,FALSE)</f>
        <v>Mie Goreng Jawa</v>
      </c>
      <c r="G500">
        <f t="shared" si="14"/>
        <v>23000</v>
      </c>
      <c r="H500">
        <f>VLOOKUP(C500,menu!A:E,4,FALSE)</f>
        <v>8500</v>
      </c>
      <c r="I500">
        <f t="shared" si="15"/>
        <v>14500</v>
      </c>
    </row>
    <row r="501" spans="1:9" x14ac:dyDescent="0.35">
      <c r="A501" s="4" t="s">
        <v>1411</v>
      </c>
      <c r="B501" s="4" t="s">
        <v>381</v>
      </c>
      <c r="C501" s="4" t="s">
        <v>890</v>
      </c>
      <c r="D501" s="4">
        <v>1</v>
      </c>
      <c r="E501" s="6">
        <v>18000</v>
      </c>
      <c r="F501" t="str">
        <f>VLOOKUP(C501,menu!A:B,2,FALSE)</f>
        <v>Es Kopi Susu Gula Aren</v>
      </c>
      <c r="G501">
        <f t="shared" si="14"/>
        <v>18000</v>
      </c>
      <c r="H501">
        <f>VLOOKUP(C501,menu!A:E,4,FALSE)</f>
        <v>4500</v>
      </c>
      <c r="I501">
        <f t="shared" si="15"/>
        <v>13500</v>
      </c>
    </row>
    <row r="502" spans="1:9" x14ac:dyDescent="0.35">
      <c r="A502" s="4" t="s">
        <v>1412</v>
      </c>
      <c r="B502" s="4" t="s">
        <v>381</v>
      </c>
      <c r="C502" s="4" t="s">
        <v>935</v>
      </c>
      <c r="D502" s="4">
        <v>2</v>
      </c>
      <c r="E502" s="6">
        <v>22000</v>
      </c>
      <c r="F502" t="str">
        <f>VLOOKUP(C502,menu!A:B,2,FALSE)</f>
        <v>Soto Ayam Lamongan</v>
      </c>
      <c r="G502">
        <f t="shared" si="14"/>
        <v>44000</v>
      </c>
      <c r="H502">
        <f>VLOOKUP(C502,menu!A:E,4,FALSE)</f>
        <v>9500</v>
      </c>
      <c r="I502">
        <f t="shared" si="15"/>
        <v>25000</v>
      </c>
    </row>
    <row r="503" spans="1:9" x14ac:dyDescent="0.35">
      <c r="A503" s="4" t="s">
        <v>1413</v>
      </c>
      <c r="B503" s="4" t="s">
        <v>381</v>
      </c>
      <c r="C503" s="4" t="s">
        <v>896</v>
      </c>
      <c r="D503" s="4">
        <v>2</v>
      </c>
      <c r="E503" s="6">
        <v>23000</v>
      </c>
      <c r="F503" t="str">
        <f>VLOOKUP(C503,menu!A:B,2,FALSE)</f>
        <v>Nasi Uduk Komplit</v>
      </c>
      <c r="G503">
        <f t="shared" si="14"/>
        <v>46000</v>
      </c>
      <c r="H503">
        <f>VLOOKUP(C503,menu!A:E,4,FALSE)</f>
        <v>9000</v>
      </c>
      <c r="I503">
        <f t="shared" si="15"/>
        <v>28000</v>
      </c>
    </row>
    <row r="504" spans="1:9" x14ac:dyDescent="0.35">
      <c r="A504" s="4" t="s">
        <v>1414</v>
      </c>
      <c r="B504" s="4" t="s">
        <v>381</v>
      </c>
      <c r="C504" s="4" t="s">
        <v>898</v>
      </c>
      <c r="D504" s="4">
        <v>3</v>
      </c>
      <c r="E504" s="6">
        <v>27000</v>
      </c>
      <c r="F504" t="str">
        <f>VLOOKUP(C504,menu!A:B,2,FALSE)</f>
        <v>Ayam Geprek Sambal Bawang</v>
      </c>
      <c r="G504">
        <f t="shared" si="14"/>
        <v>81000</v>
      </c>
      <c r="H504">
        <f>VLOOKUP(C504,menu!A:E,4,FALSE)</f>
        <v>11000</v>
      </c>
      <c r="I504">
        <f t="shared" si="15"/>
        <v>48000</v>
      </c>
    </row>
    <row r="505" spans="1:9" x14ac:dyDescent="0.35">
      <c r="A505" s="4" t="s">
        <v>1415</v>
      </c>
      <c r="B505" s="4" t="s">
        <v>699</v>
      </c>
      <c r="C505" s="4" t="s">
        <v>890</v>
      </c>
      <c r="D505" s="4">
        <v>1</v>
      </c>
      <c r="E505" s="6">
        <v>18000</v>
      </c>
      <c r="F505" t="str">
        <f>VLOOKUP(C505,menu!A:B,2,FALSE)</f>
        <v>Es Kopi Susu Gula Aren</v>
      </c>
      <c r="G505">
        <f t="shared" si="14"/>
        <v>18000</v>
      </c>
      <c r="H505">
        <f>VLOOKUP(C505,menu!A:E,4,FALSE)</f>
        <v>4500</v>
      </c>
      <c r="I505">
        <f t="shared" si="15"/>
        <v>13500</v>
      </c>
    </row>
    <row r="506" spans="1:9" x14ac:dyDescent="0.35">
      <c r="A506" s="4" t="s">
        <v>1416</v>
      </c>
      <c r="B506" s="4" t="s">
        <v>538</v>
      </c>
      <c r="C506" s="4" t="s">
        <v>942</v>
      </c>
      <c r="D506" s="4">
        <v>1</v>
      </c>
      <c r="E506" s="6">
        <v>13000</v>
      </c>
      <c r="F506" t="str">
        <f>VLOOKUP(C506,menu!A:B,2,FALSE)</f>
        <v>Pisang Goreng Keju (4pcs)</v>
      </c>
      <c r="G506">
        <f t="shared" si="14"/>
        <v>13000</v>
      </c>
      <c r="H506">
        <f>VLOOKUP(C506,menu!A:E,4,FALSE)</f>
        <v>4000</v>
      </c>
      <c r="I506">
        <f t="shared" si="15"/>
        <v>9000</v>
      </c>
    </row>
    <row r="507" spans="1:9" x14ac:dyDescent="0.35">
      <c r="A507" s="4" t="s">
        <v>1417</v>
      </c>
      <c r="B507" s="4" t="s">
        <v>349</v>
      </c>
      <c r="C507" s="4" t="s">
        <v>916</v>
      </c>
      <c r="D507" s="4">
        <v>1</v>
      </c>
      <c r="E507" s="6">
        <v>9000</v>
      </c>
      <c r="F507" t="str">
        <f>VLOOKUP(C507,menu!A:B,2,FALSE)</f>
        <v>Kopi Hitam Tubruk</v>
      </c>
      <c r="G507">
        <f t="shared" si="14"/>
        <v>9000</v>
      </c>
      <c r="H507">
        <f>VLOOKUP(C507,menu!A:E,4,FALSE)</f>
        <v>2000</v>
      </c>
      <c r="I507">
        <f t="shared" si="15"/>
        <v>7000</v>
      </c>
    </row>
    <row r="508" spans="1:9" x14ac:dyDescent="0.35">
      <c r="A508" s="4" t="s">
        <v>1418</v>
      </c>
      <c r="B508" s="4" t="s">
        <v>349</v>
      </c>
      <c r="C508" s="4" t="s">
        <v>944</v>
      </c>
      <c r="D508" s="4">
        <v>1</v>
      </c>
      <c r="E508" s="6">
        <v>32000</v>
      </c>
      <c r="F508" t="str">
        <f>VLOOKUP(C508,menu!A:B,2,FALSE)</f>
        <v>Nasi Padang Rendang</v>
      </c>
      <c r="G508">
        <f t="shared" si="14"/>
        <v>32000</v>
      </c>
      <c r="H508">
        <f>VLOOKUP(C508,menu!A:E,4,FALSE)</f>
        <v>14000</v>
      </c>
      <c r="I508">
        <f t="shared" si="15"/>
        <v>18000</v>
      </c>
    </row>
    <row r="509" spans="1:9" x14ac:dyDescent="0.35">
      <c r="A509" s="4" t="s">
        <v>1419</v>
      </c>
      <c r="B509" s="4" t="s">
        <v>349</v>
      </c>
      <c r="C509" s="4" t="s">
        <v>890</v>
      </c>
      <c r="D509" s="4">
        <v>1</v>
      </c>
      <c r="E509" s="6">
        <v>18000</v>
      </c>
      <c r="F509" t="str">
        <f>VLOOKUP(C509,menu!A:B,2,FALSE)</f>
        <v>Es Kopi Susu Gula Aren</v>
      </c>
      <c r="G509">
        <f t="shared" si="14"/>
        <v>18000</v>
      </c>
      <c r="H509">
        <f>VLOOKUP(C509,menu!A:E,4,FALSE)</f>
        <v>4500</v>
      </c>
      <c r="I509">
        <f t="shared" si="15"/>
        <v>13500</v>
      </c>
    </row>
    <row r="510" spans="1:9" x14ac:dyDescent="0.35">
      <c r="A510" s="4" t="s">
        <v>1420</v>
      </c>
      <c r="B510" s="4" t="s">
        <v>352</v>
      </c>
      <c r="C510" s="4" t="s">
        <v>916</v>
      </c>
      <c r="D510" s="4">
        <v>1</v>
      </c>
      <c r="E510" s="6">
        <v>9000</v>
      </c>
      <c r="F510" t="str">
        <f>VLOOKUP(C510,menu!A:B,2,FALSE)</f>
        <v>Kopi Hitam Tubruk</v>
      </c>
      <c r="G510">
        <f t="shared" si="14"/>
        <v>9000</v>
      </c>
      <c r="H510">
        <f>VLOOKUP(C510,menu!A:E,4,FALSE)</f>
        <v>2000</v>
      </c>
      <c r="I510">
        <f t="shared" si="15"/>
        <v>7000</v>
      </c>
    </row>
    <row r="511" spans="1:9" x14ac:dyDescent="0.35">
      <c r="A511" s="4" t="s">
        <v>1421</v>
      </c>
      <c r="B511" s="4" t="s">
        <v>352</v>
      </c>
      <c r="C511" s="4" t="s">
        <v>890</v>
      </c>
      <c r="D511" s="4">
        <v>3</v>
      </c>
      <c r="E511" s="6">
        <v>18000</v>
      </c>
      <c r="F511" t="str">
        <f>VLOOKUP(C511,menu!A:B,2,FALSE)</f>
        <v>Es Kopi Susu Gula Aren</v>
      </c>
      <c r="G511">
        <f t="shared" si="14"/>
        <v>54000</v>
      </c>
      <c r="H511">
        <f>VLOOKUP(C511,menu!A:E,4,FALSE)</f>
        <v>4500</v>
      </c>
      <c r="I511">
        <f t="shared" si="15"/>
        <v>40500</v>
      </c>
    </row>
    <row r="512" spans="1:9" x14ac:dyDescent="0.35">
      <c r="A512" s="4" t="s">
        <v>1422</v>
      </c>
      <c r="B512" s="4" t="s">
        <v>352</v>
      </c>
      <c r="C512" s="4" t="s">
        <v>898</v>
      </c>
      <c r="D512" s="4">
        <v>1</v>
      </c>
      <c r="E512" s="6">
        <v>27000</v>
      </c>
      <c r="F512" t="str">
        <f>VLOOKUP(C512,menu!A:B,2,FALSE)</f>
        <v>Ayam Geprek Sambal Bawang</v>
      </c>
      <c r="G512">
        <f t="shared" si="14"/>
        <v>27000</v>
      </c>
      <c r="H512">
        <f>VLOOKUP(C512,menu!A:E,4,FALSE)</f>
        <v>11000</v>
      </c>
      <c r="I512">
        <f t="shared" si="15"/>
        <v>16000</v>
      </c>
    </row>
    <row r="513" spans="1:9" x14ac:dyDescent="0.35">
      <c r="A513" s="4" t="s">
        <v>1423</v>
      </c>
      <c r="B513" s="4" t="s">
        <v>352</v>
      </c>
      <c r="C513" s="4" t="s">
        <v>931</v>
      </c>
      <c r="D513" s="4">
        <v>1</v>
      </c>
      <c r="E513" s="6">
        <v>5000</v>
      </c>
      <c r="F513" t="str">
        <f>VLOOKUP(C513,menu!A:B,2,FALSE)</f>
        <v>Kerupuk Udang</v>
      </c>
      <c r="G513">
        <f t="shared" si="14"/>
        <v>5000</v>
      </c>
      <c r="H513">
        <f>VLOOKUP(C513,menu!A:E,4,FALSE)</f>
        <v>1500</v>
      </c>
      <c r="I513">
        <f t="shared" si="15"/>
        <v>3500</v>
      </c>
    </row>
    <row r="514" spans="1:9" x14ac:dyDescent="0.35">
      <c r="A514" s="4" t="s">
        <v>1424</v>
      </c>
      <c r="B514" s="4" t="s">
        <v>402</v>
      </c>
      <c r="C514" s="4" t="s">
        <v>896</v>
      </c>
      <c r="D514" s="4">
        <v>2</v>
      </c>
      <c r="E514" s="6">
        <v>23000</v>
      </c>
      <c r="F514" t="str">
        <f>VLOOKUP(C514,menu!A:B,2,FALSE)</f>
        <v>Nasi Uduk Komplit</v>
      </c>
      <c r="G514">
        <f t="shared" si="14"/>
        <v>46000</v>
      </c>
      <c r="H514">
        <f>VLOOKUP(C514,menu!A:E,4,FALSE)</f>
        <v>9000</v>
      </c>
      <c r="I514">
        <f t="shared" si="15"/>
        <v>28000</v>
      </c>
    </row>
    <row r="515" spans="1:9" x14ac:dyDescent="0.35">
      <c r="A515" s="4" t="s">
        <v>1425</v>
      </c>
      <c r="B515" s="4" t="s">
        <v>402</v>
      </c>
      <c r="C515" s="4" t="s">
        <v>898</v>
      </c>
      <c r="D515" s="4">
        <v>1</v>
      </c>
      <c r="E515" s="6">
        <v>27000</v>
      </c>
      <c r="F515" t="str">
        <f>VLOOKUP(C515,menu!A:B,2,FALSE)</f>
        <v>Ayam Geprek Sambal Bawang</v>
      </c>
      <c r="G515">
        <f t="shared" ref="G515:G578" si="16">D515*E515</f>
        <v>27000</v>
      </c>
      <c r="H515">
        <f>VLOOKUP(C515,menu!A:E,4,FALSE)</f>
        <v>11000</v>
      </c>
      <c r="I515">
        <f t="shared" ref="I515:I578" si="17">(E515-H515)*D515</f>
        <v>16000</v>
      </c>
    </row>
    <row r="516" spans="1:9" x14ac:dyDescent="0.35">
      <c r="A516" s="4" t="s">
        <v>1426</v>
      </c>
      <c r="B516" s="4" t="s">
        <v>506</v>
      </c>
      <c r="C516" s="4" t="s">
        <v>955</v>
      </c>
      <c r="D516" s="4">
        <v>1</v>
      </c>
      <c r="E516" s="6">
        <v>15000</v>
      </c>
      <c r="F516" t="str">
        <f>VLOOKUP(C516,menu!A:B,2,FALSE)</f>
        <v>Es Campur</v>
      </c>
      <c r="G516">
        <f t="shared" si="16"/>
        <v>15000</v>
      </c>
      <c r="H516">
        <f>VLOOKUP(C516,menu!A:E,4,FALSE)</f>
        <v>6000</v>
      </c>
      <c r="I516">
        <f t="shared" si="17"/>
        <v>9000</v>
      </c>
    </row>
    <row r="517" spans="1:9" x14ac:dyDescent="0.35">
      <c r="A517" s="4" t="s">
        <v>1427</v>
      </c>
      <c r="B517" s="4" t="s">
        <v>247</v>
      </c>
      <c r="C517" s="4" t="s">
        <v>919</v>
      </c>
      <c r="D517" s="4">
        <v>1</v>
      </c>
      <c r="E517" s="6">
        <v>20000</v>
      </c>
      <c r="F517" t="str">
        <f>VLOOKUP(C517,menu!A:B,2,FALSE)</f>
        <v>Gado-Gado Jakarta</v>
      </c>
      <c r="G517">
        <f t="shared" si="16"/>
        <v>20000</v>
      </c>
      <c r="H517">
        <f>VLOOKUP(C517,menu!A:E,4,FALSE)</f>
        <v>8000</v>
      </c>
      <c r="I517">
        <f t="shared" si="17"/>
        <v>12000</v>
      </c>
    </row>
    <row r="518" spans="1:9" x14ac:dyDescent="0.35">
      <c r="A518" s="4" t="s">
        <v>1428</v>
      </c>
      <c r="B518" s="4" t="s">
        <v>247</v>
      </c>
      <c r="C518" s="4" t="s">
        <v>937</v>
      </c>
      <c r="D518" s="4">
        <v>1</v>
      </c>
      <c r="E518" s="6">
        <v>26000</v>
      </c>
      <c r="F518" t="str">
        <f>VLOOKUP(C518,menu!A:B,2,FALSE)</f>
        <v>Nasi Campur Bali</v>
      </c>
      <c r="G518">
        <f t="shared" si="16"/>
        <v>26000</v>
      </c>
      <c r="H518">
        <f>VLOOKUP(C518,menu!A:E,4,FALSE)</f>
        <v>11500</v>
      </c>
      <c r="I518">
        <f t="shared" si="17"/>
        <v>14500</v>
      </c>
    </row>
    <row r="519" spans="1:9" x14ac:dyDescent="0.35">
      <c r="A519" s="4" t="s">
        <v>1429</v>
      </c>
      <c r="B519" s="4" t="s">
        <v>637</v>
      </c>
      <c r="C519" s="4" t="s">
        <v>892</v>
      </c>
      <c r="D519" s="4">
        <v>2</v>
      </c>
      <c r="E519" s="6">
        <v>9000</v>
      </c>
      <c r="F519" t="str">
        <f>VLOOKUP(C519,menu!A:B,2,FALSE)</f>
        <v>Tempe Mendoan (5pcs)</v>
      </c>
      <c r="G519">
        <f t="shared" si="16"/>
        <v>18000</v>
      </c>
      <c r="H519">
        <f>VLOOKUP(C519,menu!A:E,4,FALSE)</f>
        <v>3000</v>
      </c>
      <c r="I519">
        <f t="shared" si="17"/>
        <v>12000</v>
      </c>
    </row>
    <row r="520" spans="1:9" x14ac:dyDescent="0.35">
      <c r="A520" s="4" t="s">
        <v>1430</v>
      </c>
      <c r="B520" s="4" t="s">
        <v>637</v>
      </c>
      <c r="C520" s="4" t="s">
        <v>898</v>
      </c>
      <c r="D520" s="4">
        <v>1</v>
      </c>
      <c r="E520" s="6">
        <v>27000</v>
      </c>
      <c r="F520" t="str">
        <f>VLOOKUP(C520,menu!A:B,2,FALSE)</f>
        <v>Ayam Geprek Sambal Bawang</v>
      </c>
      <c r="G520">
        <f t="shared" si="16"/>
        <v>27000</v>
      </c>
      <c r="H520">
        <f>VLOOKUP(C520,menu!A:E,4,FALSE)</f>
        <v>11000</v>
      </c>
      <c r="I520">
        <f t="shared" si="17"/>
        <v>16000</v>
      </c>
    </row>
    <row r="521" spans="1:9" x14ac:dyDescent="0.35">
      <c r="A521" s="4" t="s">
        <v>1431</v>
      </c>
      <c r="B521" s="4" t="s">
        <v>637</v>
      </c>
      <c r="C521" s="4" t="s">
        <v>890</v>
      </c>
      <c r="D521" s="4">
        <v>3</v>
      </c>
      <c r="E521" s="6">
        <v>18000</v>
      </c>
      <c r="F521" t="str">
        <f>VLOOKUP(C521,menu!A:B,2,FALSE)</f>
        <v>Es Kopi Susu Gula Aren</v>
      </c>
      <c r="G521">
        <f t="shared" si="16"/>
        <v>54000</v>
      </c>
      <c r="H521">
        <f>VLOOKUP(C521,menu!A:E,4,FALSE)</f>
        <v>4500</v>
      </c>
      <c r="I521">
        <f t="shared" si="17"/>
        <v>40500</v>
      </c>
    </row>
    <row r="522" spans="1:9" x14ac:dyDescent="0.35">
      <c r="A522" s="4" t="s">
        <v>1432</v>
      </c>
      <c r="B522" s="4" t="s">
        <v>637</v>
      </c>
      <c r="C522" s="4" t="s">
        <v>894</v>
      </c>
      <c r="D522" s="4">
        <v>1</v>
      </c>
      <c r="E522" s="6">
        <v>5000</v>
      </c>
      <c r="F522" t="str">
        <f>VLOOKUP(C522,menu!A:B,2,FALSE)</f>
        <v>Air Mineral Botol</v>
      </c>
      <c r="G522">
        <f t="shared" si="16"/>
        <v>5000</v>
      </c>
      <c r="H522">
        <f>VLOOKUP(C522,menu!A:E,4,FALSE)</f>
        <v>2000</v>
      </c>
      <c r="I522">
        <f t="shared" si="17"/>
        <v>3000</v>
      </c>
    </row>
    <row r="523" spans="1:9" x14ac:dyDescent="0.35">
      <c r="A523" s="4" t="s">
        <v>1433</v>
      </c>
      <c r="B523" s="4" t="s">
        <v>570</v>
      </c>
      <c r="C523" s="4" t="s">
        <v>919</v>
      </c>
      <c r="D523" s="4">
        <v>1</v>
      </c>
      <c r="E523" s="6">
        <v>20000</v>
      </c>
      <c r="F523" t="str">
        <f>VLOOKUP(C523,menu!A:B,2,FALSE)</f>
        <v>Gado-Gado Jakarta</v>
      </c>
      <c r="G523">
        <f t="shared" si="16"/>
        <v>20000</v>
      </c>
      <c r="H523">
        <f>VLOOKUP(C523,menu!A:E,4,FALSE)</f>
        <v>8000</v>
      </c>
      <c r="I523">
        <f t="shared" si="17"/>
        <v>12000</v>
      </c>
    </row>
    <row r="524" spans="1:9" x14ac:dyDescent="0.35">
      <c r="A524" s="4" t="s">
        <v>1434</v>
      </c>
      <c r="B524" s="4" t="s">
        <v>570</v>
      </c>
      <c r="C524" s="4" t="s">
        <v>908</v>
      </c>
      <c r="D524" s="4">
        <v>1</v>
      </c>
      <c r="E524" s="6">
        <v>16000</v>
      </c>
      <c r="F524" t="str">
        <f>VLOOKUP(C524,menu!A:B,2,FALSE)</f>
        <v>Jus Alpukat</v>
      </c>
      <c r="G524">
        <f t="shared" si="16"/>
        <v>16000</v>
      </c>
      <c r="H524">
        <f>VLOOKUP(C524,menu!A:E,4,FALSE)</f>
        <v>5500</v>
      </c>
      <c r="I524">
        <f t="shared" si="17"/>
        <v>10500</v>
      </c>
    </row>
    <row r="525" spans="1:9" x14ac:dyDescent="0.35">
      <c r="A525" s="4" t="s">
        <v>1435</v>
      </c>
      <c r="B525" s="4" t="s">
        <v>277</v>
      </c>
      <c r="C525" s="4" t="s">
        <v>898</v>
      </c>
      <c r="D525" s="4">
        <v>1</v>
      </c>
      <c r="E525" s="6">
        <v>27000</v>
      </c>
      <c r="F525" t="str">
        <f>VLOOKUP(C525,menu!A:B,2,FALSE)</f>
        <v>Ayam Geprek Sambal Bawang</v>
      </c>
      <c r="G525">
        <f t="shared" si="16"/>
        <v>27000</v>
      </c>
      <c r="H525">
        <f>VLOOKUP(C525,menu!A:E,4,FALSE)</f>
        <v>11000</v>
      </c>
      <c r="I525">
        <f t="shared" si="17"/>
        <v>16000</v>
      </c>
    </row>
    <row r="526" spans="1:9" x14ac:dyDescent="0.35">
      <c r="A526" s="4" t="s">
        <v>1436</v>
      </c>
      <c r="B526" s="4" t="s">
        <v>277</v>
      </c>
      <c r="C526" s="4" t="s">
        <v>1003</v>
      </c>
      <c r="D526" s="4">
        <v>2</v>
      </c>
      <c r="E526" s="6">
        <v>29000</v>
      </c>
      <c r="F526" t="str">
        <f>VLOOKUP(C526,menu!A:B,2,FALSE)</f>
        <v>Capcay Seafood</v>
      </c>
      <c r="G526">
        <f t="shared" si="16"/>
        <v>58000</v>
      </c>
      <c r="H526">
        <f>VLOOKUP(C526,menu!A:E,4,FALSE)</f>
        <v>13000</v>
      </c>
      <c r="I526">
        <f t="shared" si="17"/>
        <v>32000</v>
      </c>
    </row>
    <row r="527" spans="1:9" x14ac:dyDescent="0.35">
      <c r="A527" s="4" t="s">
        <v>1437</v>
      </c>
      <c r="B527" s="4" t="s">
        <v>277</v>
      </c>
      <c r="C527" s="4" t="s">
        <v>928</v>
      </c>
      <c r="D527" s="4">
        <v>1</v>
      </c>
      <c r="E527" s="6">
        <v>23000</v>
      </c>
      <c r="F527" t="str">
        <f>VLOOKUP(C527,menu!A:B,2,FALSE)</f>
        <v>Mie Goreng Jawa</v>
      </c>
      <c r="G527">
        <f t="shared" si="16"/>
        <v>23000</v>
      </c>
      <c r="H527">
        <f>VLOOKUP(C527,menu!A:E,4,FALSE)</f>
        <v>8500</v>
      </c>
      <c r="I527">
        <f t="shared" si="17"/>
        <v>14500</v>
      </c>
    </row>
    <row r="528" spans="1:9" x14ac:dyDescent="0.35">
      <c r="A528" s="4" t="s">
        <v>1438</v>
      </c>
      <c r="B528" s="4" t="s">
        <v>277</v>
      </c>
      <c r="C528" s="4" t="s">
        <v>935</v>
      </c>
      <c r="D528" s="4">
        <v>1</v>
      </c>
      <c r="E528" s="6">
        <v>22000</v>
      </c>
      <c r="F528" t="str">
        <f>VLOOKUP(C528,menu!A:B,2,FALSE)</f>
        <v>Soto Ayam Lamongan</v>
      </c>
      <c r="G528">
        <f t="shared" si="16"/>
        <v>22000</v>
      </c>
      <c r="H528">
        <f>VLOOKUP(C528,menu!A:E,4,FALSE)</f>
        <v>9500</v>
      </c>
      <c r="I528">
        <f t="shared" si="17"/>
        <v>12500</v>
      </c>
    </row>
    <row r="529" spans="1:9" x14ac:dyDescent="0.35">
      <c r="A529" s="4" t="s">
        <v>1439</v>
      </c>
      <c r="B529" s="4" t="s">
        <v>277</v>
      </c>
      <c r="C529" s="4" t="s">
        <v>890</v>
      </c>
      <c r="D529" s="4">
        <v>1</v>
      </c>
      <c r="E529" s="6">
        <v>18000</v>
      </c>
      <c r="F529" t="str">
        <f>VLOOKUP(C529,menu!A:B,2,FALSE)</f>
        <v>Es Kopi Susu Gula Aren</v>
      </c>
      <c r="G529">
        <f t="shared" si="16"/>
        <v>18000</v>
      </c>
      <c r="H529">
        <f>VLOOKUP(C529,menu!A:E,4,FALSE)</f>
        <v>4500</v>
      </c>
      <c r="I529">
        <f t="shared" si="17"/>
        <v>13500</v>
      </c>
    </row>
    <row r="530" spans="1:9" x14ac:dyDescent="0.35">
      <c r="A530" s="4" t="s">
        <v>1440</v>
      </c>
      <c r="B530" s="4" t="s">
        <v>446</v>
      </c>
      <c r="C530" s="4" t="s">
        <v>898</v>
      </c>
      <c r="D530" s="4">
        <v>1</v>
      </c>
      <c r="E530" s="6">
        <v>27000</v>
      </c>
      <c r="F530" t="str">
        <f>VLOOKUP(C530,menu!A:B,2,FALSE)</f>
        <v>Ayam Geprek Sambal Bawang</v>
      </c>
      <c r="G530">
        <f t="shared" si="16"/>
        <v>27000</v>
      </c>
      <c r="H530">
        <f>VLOOKUP(C530,menu!A:E,4,FALSE)</f>
        <v>11000</v>
      </c>
      <c r="I530">
        <f t="shared" si="17"/>
        <v>16000</v>
      </c>
    </row>
    <row r="531" spans="1:9" x14ac:dyDescent="0.35">
      <c r="A531" s="4" t="s">
        <v>1441</v>
      </c>
      <c r="B531" s="4" t="s">
        <v>328</v>
      </c>
      <c r="C531" s="4" t="s">
        <v>898</v>
      </c>
      <c r="D531" s="4">
        <v>1</v>
      </c>
      <c r="E531" s="6">
        <v>27000</v>
      </c>
      <c r="F531" t="str">
        <f>VLOOKUP(C531,menu!A:B,2,FALSE)</f>
        <v>Ayam Geprek Sambal Bawang</v>
      </c>
      <c r="G531">
        <f t="shared" si="16"/>
        <v>27000</v>
      </c>
      <c r="H531">
        <f>VLOOKUP(C531,menu!A:E,4,FALSE)</f>
        <v>11000</v>
      </c>
      <c r="I531">
        <f t="shared" si="17"/>
        <v>16000</v>
      </c>
    </row>
    <row r="532" spans="1:9" x14ac:dyDescent="0.35">
      <c r="A532" s="4" t="s">
        <v>1442</v>
      </c>
      <c r="B532" s="4" t="s">
        <v>328</v>
      </c>
      <c r="C532" s="4" t="s">
        <v>937</v>
      </c>
      <c r="D532" s="4">
        <v>1</v>
      </c>
      <c r="E532" s="6">
        <v>26000</v>
      </c>
      <c r="F532" t="str">
        <f>VLOOKUP(C532,menu!A:B,2,FALSE)</f>
        <v>Nasi Campur Bali</v>
      </c>
      <c r="G532">
        <f t="shared" si="16"/>
        <v>26000</v>
      </c>
      <c r="H532">
        <f>VLOOKUP(C532,menu!A:E,4,FALSE)</f>
        <v>11500</v>
      </c>
      <c r="I532">
        <f t="shared" si="17"/>
        <v>14500</v>
      </c>
    </row>
    <row r="533" spans="1:9" x14ac:dyDescent="0.35">
      <c r="A533" s="4" t="s">
        <v>1443</v>
      </c>
      <c r="B533" s="4" t="s">
        <v>328</v>
      </c>
      <c r="C533" s="4" t="s">
        <v>902</v>
      </c>
      <c r="D533" s="4">
        <v>1</v>
      </c>
      <c r="E533" s="6">
        <v>12000</v>
      </c>
      <c r="F533" t="str">
        <f>VLOOKUP(C533,menu!A:B,2,FALSE)</f>
        <v>Teh Tarik</v>
      </c>
      <c r="G533">
        <f t="shared" si="16"/>
        <v>12000</v>
      </c>
      <c r="H533">
        <f>VLOOKUP(C533,menu!A:E,4,FALSE)</f>
        <v>3000</v>
      </c>
      <c r="I533">
        <f t="shared" si="17"/>
        <v>9000</v>
      </c>
    </row>
    <row r="534" spans="1:9" x14ac:dyDescent="0.35">
      <c r="A534" s="4" t="s">
        <v>1444</v>
      </c>
      <c r="B534" s="4" t="s">
        <v>717</v>
      </c>
      <c r="C534" s="4" t="s">
        <v>902</v>
      </c>
      <c r="D534" s="4">
        <v>3</v>
      </c>
      <c r="E534" s="6">
        <v>12000</v>
      </c>
      <c r="F534" t="str">
        <f>VLOOKUP(C534,menu!A:B,2,FALSE)</f>
        <v>Teh Tarik</v>
      </c>
      <c r="G534">
        <f t="shared" si="16"/>
        <v>36000</v>
      </c>
      <c r="H534">
        <f>VLOOKUP(C534,menu!A:E,4,FALSE)</f>
        <v>3000</v>
      </c>
      <c r="I534">
        <f t="shared" si="17"/>
        <v>27000</v>
      </c>
    </row>
    <row r="535" spans="1:9" x14ac:dyDescent="0.35">
      <c r="A535" s="4" t="s">
        <v>1445</v>
      </c>
      <c r="B535" s="4" t="s">
        <v>717</v>
      </c>
      <c r="C535" s="4" t="s">
        <v>898</v>
      </c>
      <c r="D535" s="4">
        <v>1</v>
      </c>
      <c r="E535" s="6">
        <v>27000</v>
      </c>
      <c r="F535" t="str">
        <f>VLOOKUP(C535,menu!A:B,2,FALSE)</f>
        <v>Ayam Geprek Sambal Bawang</v>
      </c>
      <c r="G535">
        <f t="shared" si="16"/>
        <v>27000</v>
      </c>
      <c r="H535">
        <f>VLOOKUP(C535,menu!A:E,4,FALSE)</f>
        <v>11000</v>
      </c>
      <c r="I535">
        <f t="shared" si="17"/>
        <v>16000</v>
      </c>
    </row>
    <row r="536" spans="1:9" x14ac:dyDescent="0.35">
      <c r="A536" s="4" t="s">
        <v>1446</v>
      </c>
      <c r="B536" s="4" t="s">
        <v>532</v>
      </c>
      <c r="C536" s="4" t="s">
        <v>890</v>
      </c>
      <c r="D536" s="4">
        <v>1</v>
      </c>
      <c r="E536" s="6">
        <v>18000</v>
      </c>
      <c r="F536" t="str">
        <f>VLOOKUP(C536,menu!A:B,2,FALSE)</f>
        <v>Es Kopi Susu Gula Aren</v>
      </c>
      <c r="G536">
        <f t="shared" si="16"/>
        <v>18000</v>
      </c>
      <c r="H536">
        <f>VLOOKUP(C536,menu!A:E,4,FALSE)</f>
        <v>4500</v>
      </c>
      <c r="I536">
        <f t="shared" si="17"/>
        <v>13500</v>
      </c>
    </row>
    <row r="537" spans="1:9" x14ac:dyDescent="0.35">
      <c r="A537" s="4" t="s">
        <v>1447</v>
      </c>
      <c r="B537" s="4" t="s">
        <v>532</v>
      </c>
      <c r="C537" s="4" t="s">
        <v>898</v>
      </c>
      <c r="D537" s="4">
        <v>3</v>
      </c>
      <c r="E537" s="6">
        <v>27000</v>
      </c>
      <c r="F537" t="str">
        <f>VLOOKUP(C537,menu!A:B,2,FALSE)</f>
        <v>Ayam Geprek Sambal Bawang</v>
      </c>
      <c r="G537">
        <f t="shared" si="16"/>
        <v>81000</v>
      </c>
      <c r="H537">
        <f>VLOOKUP(C537,menu!A:E,4,FALSE)</f>
        <v>11000</v>
      </c>
      <c r="I537">
        <f t="shared" si="17"/>
        <v>48000</v>
      </c>
    </row>
    <row r="538" spans="1:9" x14ac:dyDescent="0.35">
      <c r="A538" s="4" t="s">
        <v>1448</v>
      </c>
      <c r="B538" s="4" t="s">
        <v>532</v>
      </c>
      <c r="C538" s="4" t="s">
        <v>937</v>
      </c>
      <c r="D538" s="4">
        <v>1</v>
      </c>
      <c r="E538" s="6">
        <v>26000</v>
      </c>
      <c r="F538" t="str">
        <f>VLOOKUP(C538,menu!A:B,2,FALSE)</f>
        <v>Nasi Campur Bali</v>
      </c>
      <c r="G538">
        <f t="shared" si="16"/>
        <v>26000</v>
      </c>
      <c r="H538">
        <f>VLOOKUP(C538,menu!A:E,4,FALSE)</f>
        <v>11500</v>
      </c>
      <c r="I538">
        <f t="shared" si="17"/>
        <v>14500</v>
      </c>
    </row>
    <row r="539" spans="1:9" x14ac:dyDescent="0.35">
      <c r="A539" s="4" t="s">
        <v>1449</v>
      </c>
      <c r="B539" s="4" t="s">
        <v>532</v>
      </c>
      <c r="C539" s="4" t="s">
        <v>1019</v>
      </c>
      <c r="D539" s="4">
        <v>1</v>
      </c>
      <c r="E539" s="6">
        <v>21000</v>
      </c>
      <c r="F539" t="str">
        <f>VLOOKUP(C539,menu!A:B,2,FALSE)</f>
        <v>Bakso Urat Spesial</v>
      </c>
      <c r="G539">
        <f t="shared" si="16"/>
        <v>21000</v>
      </c>
      <c r="H539">
        <f>VLOOKUP(C539,menu!A:E,4,FALSE)</f>
        <v>8500</v>
      </c>
      <c r="I539">
        <f t="shared" si="17"/>
        <v>12500</v>
      </c>
    </row>
    <row r="540" spans="1:9" x14ac:dyDescent="0.35">
      <c r="A540" s="4" t="s">
        <v>1450</v>
      </c>
      <c r="B540" s="4" t="s">
        <v>674</v>
      </c>
      <c r="C540" s="4" t="s">
        <v>890</v>
      </c>
      <c r="D540" s="4">
        <v>1</v>
      </c>
      <c r="E540" s="6">
        <v>18000</v>
      </c>
      <c r="F540" t="str">
        <f>VLOOKUP(C540,menu!A:B,2,FALSE)</f>
        <v>Es Kopi Susu Gula Aren</v>
      </c>
      <c r="G540">
        <f t="shared" si="16"/>
        <v>18000</v>
      </c>
      <c r="H540">
        <f>VLOOKUP(C540,menu!A:E,4,FALSE)</f>
        <v>4500</v>
      </c>
      <c r="I540">
        <f t="shared" si="17"/>
        <v>13500</v>
      </c>
    </row>
    <row r="541" spans="1:9" x14ac:dyDescent="0.35">
      <c r="A541" s="4" t="s">
        <v>1451</v>
      </c>
      <c r="B541" s="4" t="s">
        <v>641</v>
      </c>
      <c r="C541" s="4" t="s">
        <v>898</v>
      </c>
      <c r="D541" s="4">
        <v>1</v>
      </c>
      <c r="E541" s="6">
        <v>27000</v>
      </c>
      <c r="F541" t="str">
        <f>VLOOKUP(C541,menu!A:B,2,FALSE)</f>
        <v>Ayam Geprek Sambal Bawang</v>
      </c>
      <c r="G541">
        <f t="shared" si="16"/>
        <v>27000</v>
      </c>
      <c r="H541">
        <f>VLOOKUP(C541,menu!A:E,4,FALSE)</f>
        <v>11000</v>
      </c>
      <c r="I541">
        <f t="shared" si="17"/>
        <v>16000</v>
      </c>
    </row>
    <row r="542" spans="1:9" x14ac:dyDescent="0.35">
      <c r="A542" s="4" t="s">
        <v>1452</v>
      </c>
      <c r="B542" s="4" t="s">
        <v>641</v>
      </c>
      <c r="C542" s="4" t="s">
        <v>894</v>
      </c>
      <c r="D542" s="4">
        <v>1</v>
      </c>
      <c r="E542" s="6">
        <v>5000</v>
      </c>
      <c r="F542" t="str">
        <f>VLOOKUP(C542,menu!A:B,2,FALSE)</f>
        <v>Air Mineral Botol</v>
      </c>
      <c r="G542">
        <f t="shared" si="16"/>
        <v>5000</v>
      </c>
      <c r="H542">
        <f>VLOOKUP(C542,menu!A:E,4,FALSE)</f>
        <v>2000</v>
      </c>
      <c r="I542">
        <f t="shared" si="17"/>
        <v>3000</v>
      </c>
    </row>
    <row r="543" spans="1:9" x14ac:dyDescent="0.35">
      <c r="A543" s="4" t="s">
        <v>1453</v>
      </c>
      <c r="B543" s="4" t="s">
        <v>684</v>
      </c>
      <c r="C543" s="4" t="s">
        <v>900</v>
      </c>
      <c r="D543" s="4">
        <v>3</v>
      </c>
      <c r="E543" s="6">
        <v>8000</v>
      </c>
      <c r="F543" t="str">
        <f>VLOOKUP(C543,menu!A:B,2,FALSE)</f>
        <v>Es Jeruk Peras</v>
      </c>
      <c r="G543">
        <f t="shared" si="16"/>
        <v>24000</v>
      </c>
      <c r="H543">
        <f>VLOOKUP(C543,menu!A:E,4,FALSE)</f>
        <v>2500</v>
      </c>
      <c r="I543">
        <f t="shared" si="17"/>
        <v>16500</v>
      </c>
    </row>
    <row r="544" spans="1:9" x14ac:dyDescent="0.35">
      <c r="A544" s="4" t="s">
        <v>1454</v>
      </c>
      <c r="B544" s="4" t="s">
        <v>684</v>
      </c>
      <c r="C544" s="4" t="s">
        <v>898</v>
      </c>
      <c r="D544" s="4">
        <v>1</v>
      </c>
      <c r="E544" s="6">
        <v>27000</v>
      </c>
      <c r="F544" t="str">
        <f>VLOOKUP(C544,menu!A:B,2,FALSE)</f>
        <v>Ayam Geprek Sambal Bawang</v>
      </c>
      <c r="G544">
        <f t="shared" si="16"/>
        <v>27000</v>
      </c>
      <c r="H544">
        <f>VLOOKUP(C544,menu!A:E,4,FALSE)</f>
        <v>11000</v>
      </c>
      <c r="I544">
        <f t="shared" si="17"/>
        <v>16000</v>
      </c>
    </row>
    <row r="545" spans="1:9" x14ac:dyDescent="0.35">
      <c r="A545" s="4" t="s">
        <v>1455</v>
      </c>
      <c r="B545" s="4" t="s">
        <v>309</v>
      </c>
      <c r="C545" s="4" t="s">
        <v>898</v>
      </c>
      <c r="D545" s="4">
        <v>1</v>
      </c>
      <c r="E545" s="6">
        <v>27000</v>
      </c>
      <c r="F545" t="str">
        <f>VLOOKUP(C545,menu!A:B,2,FALSE)</f>
        <v>Ayam Geprek Sambal Bawang</v>
      </c>
      <c r="G545">
        <f t="shared" si="16"/>
        <v>27000</v>
      </c>
      <c r="H545">
        <f>VLOOKUP(C545,menu!A:E,4,FALSE)</f>
        <v>11000</v>
      </c>
      <c r="I545">
        <f t="shared" si="17"/>
        <v>16000</v>
      </c>
    </row>
    <row r="546" spans="1:9" x14ac:dyDescent="0.35">
      <c r="A546" s="4" t="s">
        <v>1456</v>
      </c>
      <c r="B546" s="4" t="s">
        <v>340</v>
      </c>
      <c r="C546" s="4" t="s">
        <v>894</v>
      </c>
      <c r="D546" s="4">
        <v>1</v>
      </c>
      <c r="E546" s="6">
        <v>5000</v>
      </c>
      <c r="F546" t="str">
        <f>VLOOKUP(C546,menu!A:B,2,FALSE)</f>
        <v>Air Mineral Botol</v>
      </c>
      <c r="G546">
        <f t="shared" si="16"/>
        <v>5000</v>
      </c>
      <c r="H546">
        <f>VLOOKUP(C546,menu!A:E,4,FALSE)</f>
        <v>2000</v>
      </c>
      <c r="I546">
        <f t="shared" si="17"/>
        <v>3000</v>
      </c>
    </row>
    <row r="547" spans="1:9" x14ac:dyDescent="0.35">
      <c r="A547" s="4" t="s">
        <v>1457</v>
      </c>
      <c r="B547" s="4" t="s">
        <v>340</v>
      </c>
      <c r="C547" s="4" t="s">
        <v>1059</v>
      </c>
      <c r="D547" s="4">
        <v>1</v>
      </c>
      <c r="E547" s="6">
        <v>6000</v>
      </c>
      <c r="F547" t="str">
        <f>VLOOKUP(C547,menu!A:B,2,FALSE)</f>
        <v>Es Teh Manis</v>
      </c>
      <c r="G547">
        <f t="shared" si="16"/>
        <v>6000</v>
      </c>
      <c r="H547">
        <f>VLOOKUP(C547,menu!A:E,4,FALSE)</f>
        <v>1500</v>
      </c>
      <c r="I547">
        <f t="shared" si="17"/>
        <v>4500</v>
      </c>
    </row>
    <row r="548" spans="1:9" x14ac:dyDescent="0.35">
      <c r="A548" s="4" t="s">
        <v>1458</v>
      </c>
      <c r="B548" s="4" t="s">
        <v>563</v>
      </c>
      <c r="C548" s="4" t="s">
        <v>898</v>
      </c>
      <c r="D548" s="4">
        <v>3</v>
      </c>
      <c r="E548" s="6">
        <v>27000</v>
      </c>
      <c r="F548" t="str">
        <f>VLOOKUP(C548,menu!A:B,2,FALSE)</f>
        <v>Ayam Geprek Sambal Bawang</v>
      </c>
      <c r="G548">
        <f t="shared" si="16"/>
        <v>81000</v>
      </c>
      <c r="H548">
        <f>VLOOKUP(C548,menu!A:E,4,FALSE)</f>
        <v>11000</v>
      </c>
      <c r="I548">
        <f t="shared" si="17"/>
        <v>48000</v>
      </c>
    </row>
    <row r="549" spans="1:9" x14ac:dyDescent="0.35">
      <c r="A549" s="4" t="s">
        <v>1459</v>
      </c>
      <c r="B549" s="4" t="s">
        <v>563</v>
      </c>
      <c r="C549" s="4" t="s">
        <v>896</v>
      </c>
      <c r="D549" s="4">
        <v>1</v>
      </c>
      <c r="E549" s="6">
        <v>23000</v>
      </c>
      <c r="F549" t="str">
        <f>VLOOKUP(C549,menu!A:B,2,FALSE)</f>
        <v>Nasi Uduk Komplit</v>
      </c>
      <c r="G549">
        <f t="shared" si="16"/>
        <v>23000</v>
      </c>
      <c r="H549">
        <f>VLOOKUP(C549,menu!A:E,4,FALSE)</f>
        <v>9000</v>
      </c>
      <c r="I549">
        <f t="shared" si="17"/>
        <v>14000</v>
      </c>
    </row>
    <row r="550" spans="1:9" x14ac:dyDescent="0.35">
      <c r="A550" s="4" t="s">
        <v>1460</v>
      </c>
      <c r="B550" s="4" t="s">
        <v>563</v>
      </c>
      <c r="C550" s="4" t="s">
        <v>928</v>
      </c>
      <c r="D550" s="4">
        <v>1</v>
      </c>
      <c r="E550" s="6">
        <v>23000</v>
      </c>
      <c r="F550" t="str">
        <f>VLOOKUP(C550,menu!A:B,2,FALSE)</f>
        <v>Mie Goreng Jawa</v>
      </c>
      <c r="G550">
        <f t="shared" si="16"/>
        <v>23000</v>
      </c>
      <c r="H550">
        <f>VLOOKUP(C550,menu!A:E,4,FALSE)</f>
        <v>8500</v>
      </c>
      <c r="I550">
        <f t="shared" si="17"/>
        <v>14500</v>
      </c>
    </row>
    <row r="551" spans="1:9" x14ac:dyDescent="0.35">
      <c r="A551" s="4" t="s">
        <v>1461</v>
      </c>
      <c r="B551" s="4" t="s">
        <v>56</v>
      </c>
      <c r="C551" s="4" t="s">
        <v>919</v>
      </c>
      <c r="D551" s="4">
        <v>1</v>
      </c>
      <c r="E551" s="6">
        <v>20000</v>
      </c>
      <c r="F551" t="str">
        <f>VLOOKUP(C551,menu!A:B,2,FALSE)</f>
        <v>Gado-Gado Jakarta</v>
      </c>
      <c r="G551">
        <f t="shared" si="16"/>
        <v>20000</v>
      </c>
      <c r="H551">
        <f>VLOOKUP(C551,menu!A:E,4,FALSE)</f>
        <v>8000</v>
      </c>
      <c r="I551">
        <f t="shared" si="17"/>
        <v>12000</v>
      </c>
    </row>
    <row r="552" spans="1:9" x14ac:dyDescent="0.35">
      <c r="A552" s="4" t="s">
        <v>1462</v>
      </c>
      <c r="B552" s="4" t="s">
        <v>56</v>
      </c>
      <c r="C552" s="4" t="s">
        <v>898</v>
      </c>
      <c r="D552" s="4">
        <v>2</v>
      </c>
      <c r="E552" s="6">
        <v>27000</v>
      </c>
      <c r="F552" t="str">
        <f>VLOOKUP(C552,menu!A:B,2,FALSE)</f>
        <v>Ayam Geprek Sambal Bawang</v>
      </c>
      <c r="G552">
        <f t="shared" si="16"/>
        <v>54000</v>
      </c>
      <c r="H552">
        <f>VLOOKUP(C552,menu!A:E,4,FALSE)</f>
        <v>11000</v>
      </c>
      <c r="I552">
        <f t="shared" si="17"/>
        <v>32000</v>
      </c>
    </row>
    <row r="553" spans="1:9" x14ac:dyDescent="0.35">
      <c r="A553" s="4" t="s">
        <v>1463</v>
      </c>
      <c r="B553" s="4" t="s">
        <v>627</v>
      </c>
      <c r="C553" s="4" t="s">
        <v>928</v>
      </c>
      <c r="D553" s="4">
        <v>1</v>
      </c>
      <c r="E553" s="6">
        <v>23000</v>
      </c>
      <c r="F553" t="str">
        <f>VLOOKUP(C553,menu!A:B,2,FALSE)</f>
        <v>Mie Goreng Jawa</v>
      </c>
      <c r="G553">
        <f t="shared" si="16"/>
        <v>23000</v>
      </c>
      <c r="H553">
        <f>VLOOKUP(C553,menu!A:E,4,FALSE)</f>
        <v>8500</v>
      </c>
      <c r="I553">
        <f t="shared" si="17"/>
        <v>14500</v>
      </c>
    </row>
    <row r="554" spans="1:9" x14ac:dyDescent="0.35">
      <c r="A554" s="4" t="s">
        <v>1464</v>
      </c>
      <c r="B554" s="4" t="s">
        <v>627</v>
      </c>
      <c r="C554" s="4" t="s">
        <v>1059</v>
      </c>
      <c r="D554" s="4">
        <v>3</v>
      </c>
      <c r="E554" s="6">
        <v>6000</v>
      </c>
      <c r="F554" t="str">
        <f>VLOOKUP(C554,menu!A:B,2,FALSE)</f>
        <v>Es Teh Manis</v>
      </c>
      <c r="G554">
        <f t="shared" si="16"/>
        <v>18000</v>
      </c>
      <c r="H554">
        <f>VLOOKUP(C554,menu!A:E,4,FALSE)</f>
        <v>1500</v>
      </c>
      <c r="I554">
        <f t="shared" si="17"/>
        <v>13500</v>
      </c>
    </row>
    <row r="555" spans="1:9" x14ac:dyDescent="0.35">
      <c r="A555" s="4" t="s">
        <v>1465</v>
      </c>
      <c r="B555" s="4" t="s">
        <v>682</v>
      </c>
      <c r="C555" s="4" t="s">
        <v>1019</v>
      </c>
      <c r="D555" s="4">
        <v>1</v>
      </c>
      <c r="E555" s="6">
        <v>21000</v>
      </c>
      <c r="F555" t="str">
        <f>VLOOKUP(C555,menu!A:B,2,FALSE)</f>
        <v>Bakso Urat Spesial</v>
      </c>
      <c r="G555">
        <f t="shared" si="16"/>
        <v>21000</v>
      </c>
      <c r="H555">
        <f>VLOOKUP(C555,menu!A:E,4,FALSE)</f>
        <v>8500</v>
      </c>
      <c r="I555">
        <f t="shared" si="17"/>
        <v>12500</v>
      </c>
    </row>
    <row r="556" spans="1:9" x14ac:dyDescent="0.35">
      <c r="A556" s="4" t="s">
        <v>1466</v>
      </c>
      <c r="B556" s="4" t="s">
        <v>316</v>
      </c>
      <c r="C556" s="4" t="s">
        <v>898</v>
      </c>
      <c r="D556" s="4">
        <v>1</v>
      </c>
      <c r="E556" s="6">
        <v>27000</v>
      </c>
      <c r="F556" t="str">
        <f>VLOOKUP(C556,menu!A:B,2,FALSE)</f>
        <v>Ayam Geprek Sambal Bawang</v>
      </c>
      <c r="G556">
        <f t="shared" si="16"/>
        <v>27000</v>
      </c>
      <c r="H556">
        <f>VLOOKUP(C556,menu!A:E,4,FALSE)</f>
        <v>11000</v>
      </c>
      <c r="I556">
        <f t="shared" si="17"/>
        <v>16000</v>
      </c>
    </row>
    <row r="557" spans="1:9" x14ac:dyDescent="0.35">
      <c r="A557" s="4" t="s">
        <v>1467</v>
      </c>
      <c r="B557" s="4" t="s">
        <v>847</v>
      </c>
      <c r="C557" s="4" t="s">
        <v>904</v>
      </c>
      <c r="D557" s="4">
        <v>1</v>
      </c>
      <c r="E557" s="6">
        <v>22000</v>
      </c>
      <c r="F557" t="str">
        <f>VLOOKUP(C557,menu!A:B,2,FALSE)</f>
        <v>Pecel Lele</v>
      </c>
      <c r="G557">
        <f t="shared" si="16"/>
        <v>22000</v>
      </c>
      <c r="H557">
        <f>VLOOKUP(C557,menu!A:E,4,FALSE)</f>
        <v>9500</v>
      </c>
      <c r="I557">
        <f t="shared" si="17"/>
        <v>12500</v>
      </c>
    </row>
    <row r="558" spans="1:9" x14ac:dyDescent="0.35">
      <c r="A558" s="4" t="s">
        <v>1468</v>
      </c>
      <c r="B558" s="4" t="s">
        <v>847</v>
      </c>
      <c r="C558" s="4" t="s">
        <v>894</v>
      </c>
      <c r="D558" s="4">
        <v>1</v>
      </c>
      <c r="E558" s="6">
        <v>5000</v>
      </c>
      <c r="F558" t="str">
        <f>VLOOKUP(C558,menu!A:B,2,FALSE)</f>
        <v>Air Mineral Botol</v>
      </c>
      <c r="G558">
        <f t="shared" si="16"/>
        <v>5000</v>
      </c>
      <c r="H558">
        <f>VLOOKUP(C558,menu!A:E,4,FALSE)</f>
        <v>2000</v>
      </c>
      <c r="I558">
        <f t="shared" si="17"/>
        <v>3000</v>
      </c>
    </row>
    <row r="559" spans="1:9" x14ac:dyDescent="0.35">
      <c r="A559" s="4" t="s">
        <v>1469</v>
      </c>
      <c r="B559" s="4" t="s">
        <v>582</v>
      </c>
      <c r="C559" s="4" t="s">
        <v>898</v>
      </c>
      <c r="D559" s="4">
        <v>1</v>
      </c>
      <c r="E559" s="6">
        <v>27000</v>
      </c>
      <c r="F559" t="str">
        <f>VLOOKUP(C559,menu!A:B,2,FALSE)</f>
        <v>Ayam Geprek Sambal Bawang</v>
      </c>
      <c r="G559">
        <f t="shared" si="16"/>
        <v>27000</v>
      </c>
      <c r="H559">
        <f>VLOOKUP(C559,menu!A:E,4,FALSE)</f>
        <v>11000</v>
      </c>
      <c r="I559">
        <f t="shared" si="17"/>
        <v>16000</v>
      </c>
    </row>
    <row r="560" spans="1:9" x14ac:dyDescent="0.35">
      <c r="A560" s="4" t="s">
        <v>1470</v>
      </c>
      <c r="B560" s="4" t="s">
        <v>582</v>
      </c>
      <c r="C560" s="4" t="s">
        <v>940</v>
      </c>
      <c r="D560" s="4">
        <v>1</v>
      </c>
      <c r="E560" s="6">
        <v>10000</v>
      </c>
      <c r="F560" t="str">
        <f>VLOOKUP(C560,menu!A:B,2,FALSE)</f>
        <v>Tahu Isi Goreng (5pcs)</v>
      </c>
      <c r="G560">
        <f t="shared" si="16"/>
        <v>10000</v>
      </c>
      <c r="H560">
        <f>VLOOKUP(C560,menu!A:E,4,FALSE)</f>
        <v>3500</v>
      </c>
      <c r="I560">
        <f t="shared" si="17"/>
        <v>6500</v>
      </c>
    </row>
    <row r="561" spans="1:9" x14ac:dyDescent="0.35">
      <c r="A561" s="4" t="s">
        <v>1471</v>
      </c>
      <c r="B561" s="4" t="s">
        <v>77</v>
      </c>
      <c r="C561" s="4" t="s">
        <v>919</v>
      </c>
      <c r="D561" s="4">
        <v>2</v>
      </c>
      <c r="E561" s="6">
        <v>20000</v>
      </c>
      <c r="F561" t="str">
        <f>VLOOKUP(C561,menu!A:B,2,FALSE)</f>
        <v>Gado-Gado Jakarta</v>
      </c>
      <c r="G561">
        <f t="shared" si="16"/>
        <v>40000</v>
      </c>
      <c r="H561">
        <f>VLOOKUP(C561,menu!A:E,4,FALSE)</f>
        <v>8000</v>
      </c>
      <c r="I561">
        <f t="shared" si="17"/>
        <v>24000</v>
      </c>
    </row>
    <row r="562" spans="1:9" x14ac:dyDescent="0.35">
      <c r="A562" s="4" t="s">
        <v>1472</v>
      </c>
      <c r="B562" s="4" t="s">
        <v>776</v>
      </c>
      <c r="C562" s="4" t="s">
        <v>908</v>
      </c>
      <c r="D562" s="4">
        <v>1</v>
      </c>
      <c r="E562" s="6">
        <v>16000</v>
      </c>
      <c r="F562" t="str">
        <f>VLOOKUP(C562,menu!A:B,2,FALSE)</f>
        <v>Jus Alpukat</v>
      </c>
      <c r="G562">
        <f t="shared" si="16"/>
        <v>16000</v>
      </c>
      <c r="H562">
        <f>VLOOKUP(C562,menu!A:E,4,FALSE)</f>
        <v>5500</v>
      </c>
      <c r="I562">
        <f t="shared" si="17"/>
        <v>10500</v>
      </c>
    </row>
    <row r="563" spans="1:9" x14ac:dyDescent="0.35">
      <c r="A563" s="4" t="s">
        <v>1473</v>
      </c>
      <c r="B563" s="4" t="s">
        <v>776</v>
      </c>
      <c r="C563" s="4" t="s">
        <v>898</v>
      </c>
      <c r="D563" s="4">
        <v>3</v>
      </c>
      <c r="E563" s="6">
        <v>27000</v>
      </c>
      <c r="F563" t="str">
        <f>VLOOKUP(C563,menu!A:B,2,FALSE)</f>
        <v>Ayam Geprek Sambal Bawang</v>
      </c>
      <c r="G563">
        <f t="shared" si="16"/>
        <v>81000</v>
      </c>
      <c r="H563">
        <f>VLOOKUP(C563,menu!A:E,4,FALSE)</f>
        <v>11000</v>
      </c>
      <c r="I563">
        <f t="shared" si="17"/>
        <v>48000</v>
      </c>
    </row>
    <row r="564" spans="1:9" x14ac:dyDescent="0.35">
      <c r="A564" s="4" t="s">
        <v>1474</v>
      </c>
      <c r="B564" s="4" t="s">
        <v>186</v>
      </c>
      <c r="C564" s="4" t="s">
        <v>898</v>
      </c>
      <c r="D564" s="4">
        <v>1</v>
      </c>
      <c r="E564" s="6">
        <v>27000</v>
      </c>
      <c r="F564" t="str">
        <f>VLOOKUP(C564,menu!A:B,2,FALSE)</f>
        <v>Ayam Geprek Sambal Bawang</v>
      </c>
      <c r="G564">
        <f t="shared" si="16"/>
        <v>27000</v>
      </c>
      <c r="H564">
        <f>VLOOKUP(C564,menu!A:E,4,FALSE)</f>
        <v>11000</v>
      </c>
      <c r="I564">
        <f t="shared" si="17"/>
        <v>16000</v>
      </c>
    </row>
    <row r="565" spans="1:9" x14ac:dyDescent="0.35">
      <c r="A565" s="4" t="s">
        <v>1475</v>
      </c>
      <c r="B565" s="4" t="s">
        <v>186</v>
      </c>
      <c r="C565" s="4" t="s">
        <v>890</v>
      </c>
      <c r="D565" s="4">
        <v>1</v>
      </c>
      <c r="E565" s="6">
        <v>18000</v>
      </c>
      <c r="F565" t="str">
        <f>VLOOKUP(C565,menu!A:B,2,FALSE)</f>
        <v>Es Kopi Susu Gula Aren</v>
      </c>
      <c r="G565">
        <f t="shared" si="16"/>
        <v>18000</v>
      </c>
      <c r="H565">
        <f>VLOOKUP(C565,menu!A:E,4,FALSE)</f>
        <v>4500</v>
      </c>
      <c r="I565">
        <f t="shared" si="17"/>
        <v>13500</v>
      </c>
    </row>
    <row r="566" spans="1:9" x14ac:dyDescent="0.35">
      <c r="A566" s="4" t="s">
        <v>1476</v>
      </c>
      <c r="B566" s="4" t="s">
        <v>278</v>
      </c>
      <c r="C566" s="4" t="s">
        <v>898</v>
      </c>
      <c r="D566" s="4">
        <v>2</v>
      </c>
      <c r="E566" s="6">
        <v>27000</v>
      </c>
      <c r="F566" t="str">
        <f>VLOOKUP(C566,menu!A:B,2,FALSE)</f>
        <v>Ayam Geprek Sambal Bawang</v>
      </c>
      <c r="G566">
        <f t="shared" si="16"/>
        <v>54000</v>
      </c>
      <c r="H566">
        <f>VLOOKUP(C566,menu!A:E,4,FALSE)</f>
        <v>11000</v>
      </c>
      <c r="I566">
        <f t="shared" si="17"/>
        <v>32000</v>
      </c>
    </row>
    <row r="567" spans="1:9" x14ac:dyDescent="0.35">
      <c r="A567" s="4" t="s">
        <v>1477</v>
      </c>
      <c r="B567" s="4" t="s">
        <v>278</v>
      </c>
      <c r="C567" s="4" t="s">
        <v>900</v>
      </c>
      <c r="D567" s="4">
        <v>1</v>
      </c>
      <c r="E567" s="6">
        <v>8000</v>
      </c>
      <c r="F567" t="str">
        <f>VLOOKUP(C567,menu!A:B,2,FALSE)</f>
        <v>Es Jeruk Peras</v>
      </c>
      <c r="G567">
        <f t="shared" si="16"/>
        <v>8000</v>
      </c>
      <c r="H567">
        <f>VLOOKUP(C567,menu!A:E,4,FALSE)</f>
        <v>2500</v>
      </c>
      <c r="I567">
        <f t="shared" si="17"/>
        <v>5500</v>
      </c>
    </row>
    <row r="568" spans="1:9" x14ac:dyDescent="0.35">
      <c r="A568" s="4" t="s">
        <v>1478</v>
      </c>
      <c r="B568" s="4" t="s">
        <v>278</v>
      </c>
      <c r="C568" s="4" t="s">
        <v>908</v>
      </c>
      <c r="D568" s="4">
        <v>1</v>
      </c>
      <c r="E568" s="6">
        <v>16000</v>
      </c>
      <c r="F568" t="str">
        <f>VLOOKUP(C568,menu!A:B,2,FALSE)</f>
        <v>Jus Alpukat</v>
      </c>
      <c r="G568">
        <f t="shared" si="16"/>
        <v>16000</v>
      </c>
      <c r="H568">
        <f>VLOOKUP(C568,menu!A:E,4,FALSE)</f>
        <v>5500</v>
      </c>
      <c r="I568">
        <f t="shared" si="17"/>
        <v>10500</v>
      </c>
    </row>
    <row r="569" spans="1:9" x14ac:dyDescent="0.35">
      <c r="A569" s="4" t="s">
        <v>1479</v>
      </c>
      <c r="B569" s="4" t="s">
        <v>278</v>
      </c>
      <c r="C569" s="4" t="s">
        <v>937</v>
      </c>
      <c r="D569" s="4">
        <v>1</v>
      </c>
      <c r="E569" s="6">
        <v>26000</v>
      </c>
      <c r="F569" t="str">
        <f>VLOOKUP(C569,menu!A:B,2,FALSE)</f>
        <v>Nasi Campur Bali</v>
      </c>
      <c r="G569">
        <f t="shared" si="16"/>
        <v>26000</v>
      </c>
      <c r="H569">
        <f>VLOOKUP(C569,menu!A:E,4,FALSE)</f>
        <v>11500</v>
      </c>
      <c r="I569">
        <f t="shared" si="17"/>
        <v>14500</v>
      </c>
    </row>
    <row r="570" spans="1:9" x14ac:dyDescent="0.35">
      <c r="A570" s="4" t="s">
        <v>1480</v>
      </c>
      <c r="B570" s="4" t="s">
        <v>750</v>
      </c>
      <c r="C570" s="4" t="s">
        <v>898</v>
      </c>
      <c r="D570" s="4">
        <v>1</v>
      </c>
      <c r="E570" s="6">
        <v>27000</v>
      </c>
      <c r="F570" t="str">
        <f>VLOOKUP(C570,menu!A:B,2,FALSE)</f>
        <v>Ayam Geprek Sambal Bawang</v>
      </c>
      <c r="G570">
        <f t="shared" si="16"/>
        <v>27000</v>
      </c>
      <c r="H570">
        <f>VLOOKUP(C570,menu!A:E,4,FALSE)</f>
        <v>11000</v>
      </c>
      <c r="I570">
        <f t="shared" si="17"/>
        <v>16000</v>
      </c>
    </row>
    <row r="571" spans="1:9" x14ac:dyDescent="0.35">
      <c r="A571" s="4" t="s">
        <v>1481</v>
      </c>
      <c r="B571" s="4" t="s">
        <v>334</v>
      </c>
      <c r="C571" s="4" t="s">
        <v>955</v>
      </c>
      <c r="D571" s="4">
        <v>1</v>
      </c>
      <c r="E571" s="6">
        <v>15000</v>
      </c>
      <c r="F571" t="str">
        <f>VLOOKUP(C571,menu!A:B,2,FALSE)</f>
        <v>Es Campur</v>
      </c>
      <c r="G571">
        <f t="shared" si="16"/>
        <v>15000</v>
      </c>
      <c r="H571">
        <f>VLOOKUP(C571,menu!A:E,4,FALSE)</f>
        <v>6000</v>
      </c>
      <c r="I571">
        <f t="shared" si="17"/>
        <v>9000</v>
      </c>
    </row>
    <row r="572" spans="1:9" x14ac:dyDescent="0.35">
      <c r="A572" s="4" t="s">
        <v>1482</v>
      </c>
      <c r="B572" s="4" t="s">
        <v>690</v>
      </c>
      <c r="C572" s="4" t="s">
        <v>898</v>
      </c>
      <c r="D572" s="4">
        <v>1</v>
      </c>
      <c r="E572" s="6">
        <v>27000</v>
      </c>
      <c r="F572" t="str">
        <f>VLOOKUP(C572,menu!A:B,2,FALSE)</f>
        <v>Ayam Geprek Sambal Bawang</v>
      </c>
      <c r="G572">
        <f t="shared" si="16"/>
        <v>27000</v>
      </c>
      <c r="H572">
        <f>VLOOKUP(C572,menu!A:E,4,FALSE)</f>
        <v>11000</v>
      </c>
      <c r="I572">
        <f t="shared" si="17"/>
        <v>16000</v>
      </c>
    </row>
    <row r="573" spans="1:9" x14ac:dyDescent="0.35">
      <c r="A573" s="4" t="s">
        <v>1483</v>
      </c>
      <c r="B573" s="4" t="s">
        <v>875</v>
      </c>
      <c r="C573" s="4" t="s">
        <v>896</v>
      </c>
      <c r="D573" s="4">
        <v>1</v>
      </c>
      <c r="E573" s="6">
        <v>23000</v>
      </c>
      <c r="F573" t="str">
        <f>VLOOKUP(C573,menu!A:B,2,FALSE)</f>
        <v>Nasi Uduk Komplit</v>
      </c>
      <c r="G573">
        <f t="shared" si="16"/>
        <v>23000</v>
      </c>
      <c r="H573">
        <f>VLOOKUP(C573,menu!A:E,4,FALSE)</f>
        <v>9000</v>
      </c>
      <c r="I573">
        <f t="shared" si="17"/>
        <v>14000</v>
      </c>
    </row>
    <row r="574" spans="1:9" x14ac:dyDescent="0.35">
      <c r="A574" s="4" t="s">
        <v>1484</v>
      </c>
      <c r="B574" s="4" t="s">
        <v>58</v>
      </c>
      <c r="C574" s="4" t="s">
        <v>890</v>
      </c>
      <c r="D574" s="4">
        <v>1</v>
      </c>
      <c r="E574" s="6">
        <v>18000</v>
      </c>
      <c r="F574" t="str">
        <f>VLOOKUP(C574,menu!A:B,2,FALSE)</f>
        <v>Es Kopi Susu Gula Aren</v>
      </c>
      <c r="G574">
        <f t="shared" si="16"/>
        <v>18000</v>
      </c>
      <c r="H574">
        <f>VLOOKUP(C574,menu!A:E,4,FALSE)</f>
        <v>4500</v>
      </c>
      <c r="I574">
        <f t="shared" si="17"/>
        <v>13500</v>
      </c>
    </row>
    <row r="575" spans="1:9" x14ac:dyDescent="0.35">
      <c r="A575" s="4" t="s">
        <v>1485</v>
      </c>
      <c r="B575" s="4" t="s">
        <v>58</v>
      </c>
      <c r="C575" s="4" t="s">
        <v>898</v>
      </c>
      <c r="D575" s="4">
        <v>1</v>
      </c>
      <c r="E575" s="6">
        <v>27000</v>
      </c>
      <c r="F575" t="str">
        <f>VLOOKUP(C575,menu!A:B,2,FALSE)</f>
        <v>Ayam Geprek Sambal Bawang</v>
      </c>
      <c r="G575">
        <f t="shared" si="16"/>
        <v>27000</v>
      </c>
      <c r="H575">
        <f>VLOOKUP(C575,menu!A:E,4,FALSE)</f>
        <v>11000</v>
      </c>
      <c r="I575">
        <f t="shared" si="17"/>
        <v>16000</v>
      </c>
    </row>
    <row r="576" spans="1:9" x14ac:dyDescent="0.35">
      <c r="A576" s="4" t="s">
        <v>1486</v>
      </c>
      <c r="B576" s="4" t="s">
        <v>58</v>
      </c>
      <c r="C576" s="4" t="s">
        <v>937</v>
      </c>
      <c r="D576" s="4">
        <v>1</v>
      </c>
      <c r="E576" s="6">
        <v>26000</v>
      </c>
      <c r="F576" t="str">
        <f>VLOOKUP(C576,menu!A:B,2,FALSE)</f>
        <v>Nasi Campur Bali</v>
      </c>
      <c r="G576">
        <f t="shared" si="16"/>
        <v>26000</v>
      </c>
      <c r="H576">
        <f>VLOOKUP(C576,menu!A:E,4,FALSE)</f>
        <v>11500</v>
      </c>
      <c r="I576">
        <f t="shared" si="17"/>
        <v>14500</v>
      </c>
    </row>
    <row r="577" spans="1:9" x14ac:dyDescent="0.35">
      <c r="A577" s="4" t="s">
        <v>1487</v>
      </c>
      <c r="B577" s="4" t="s">
        <v>832</v>
      </c>
      <c r="C577" s="4" t="s">
        <v>898</v>
      </c>
      <c r="D577" s="4">
        <v>1</v>
      </c>
      <c r="E577" s="6">
        <v>27000</v>
      </c>
      <c r="F577" t="str">
        <f>VLOOKUP(C577,menu!A:B,2,FALSE)</f>
        <v>Ayam Geprek Sambal Bawang</v>
      </c>
      <c r="G577">
        <f t="shared" si="16"/>
        <v>27000</v>
      </c>
      <c r="H577">
        <f>VLOOKUP(C577,menu!A:E,4,FALSE)</f>
        <v>11000</v>
      </c>
      <c r="I577">
        <f t="shared" si="17"/>
        <v>16000</v>
      </c>
    </row>
    <row r="578" spans="1:9" x14ac:dyDescent="0.35">
      <c r="A578" s="4" t="s">
        <v>1488</v>
      </c>
      <c r="B578" s="4" t="s">
        <v>832</v>
      </c>
      <c r="C578" s="4" t="s">
        <v>894</v>
      </c>
      <c r="D578" s="4">
        <v>1</v>
      </c>
      <c r="E578" s="6">
        <v>5000</v>
      </c>
      <c r="F578" t="str">
        <f>VLOOKUP(C578,menu!A:B,2,FALSE)</f>
        <v>Air Mineral Botol</v>
      </c>
      <c r="G578">
        <f t="shared" si="16"/>
        <v>5000</v>
      </c>
      <c r="H578">
        <f>VLOOKUP(C578,menu!A:E,4,FALSE)</f>
        <v>2000</v>
      </c>
      <c r="I578">
        <f t="shared" si="17"/>
        <v>3000</v>
      </c>
    </row>
    <row r="579" spans="1:9" x14ac:dyDescent="0.35">
      <c r="A579" s="4" t="s">
        <v>1489</v>
      </c>
      <c r="B579" s="4" t="s">
        <v>832</v>
      </c>
      <c r="C579" s="4" t="s">
        <v>944</v>
      </c>
      <c r="D579" s="4">
        <v>2</v>
      </c>
      <c r="E579" s="6">
        <v>32000</v>
      </c>
      <c r="F579" t="str">
        <f>VLOOKUP(C579,menu!A:B,2,FALSE)</f>
        <v>Nasi Padang Rendang</v>
      </c>
      <c r="G579">
        <f t="shared" ref="G579:G642" si="18">D579*E579</f>
        <v>64000</v>
      </c>
      <c r="H579">
        <f>VLOOKUP(C579,menu!A:E,4,FALSE)</f>
        <v>14000</v>
      </c>
      <c r="I579">
        <f t="shared" ref="I579:I642" si="19">(E579-H579)*D579</f>
        <v>36000</v>
      </c>
    </row>
    <row r="580" spans="1:9" x14ac:dyDescent="0.35">
      <c r="A580" s="4" t="s">
        <v>1490</v>
      </c>
      <c r="B580" s="4" t="s">
        <v>832</v>
      </c>
      <c r="C580" s="4" t="s">
        <v>919</v>
      </c>
      <c r="D580" s="4">
        <v>2</v>
      </c>
      <c r="E580" s="6">
        <v>20000</v>
      </c>
      <c r="F580" t="str">
        <f>VLOOKUP(C580,menu!A:B,2,FALSE)</f>
        <v>Gado-Gado Jakarta</v>
      </c>
      <c r="G580">
        <f t="shared" si="18"/>
        <v>40000</v>
      </c>
      <c r="H580">
        <f>VLOOKUP(C580,menu!A:E,4,FALSE)</f>
        <v>8000</v>
      </c>
      <c r="I580">
        <f t="shared" si="19"/>
        <v>24000</v>
      </c>
    </row>
    <row r="581" spans="1:9" x14ac:dyDescent="0.35">
      <c r="A581" s="4" t="s">
        <v>1491</v>
      </c>
      <c r="B581" s="4" t="s">
        <v>351</v>
      </c>
      <c r="C581" s="4" t="s">
        <v>937</v>
      </c>
      <c r="D581" s="4">
        <v>1</v>
      </c>
      <c r="E581" s="6">
        <v>26000</v>
      </c>
      <c r="F581" t="str">
        <f>VLOOKUP(C581,menu!A:B,2,FALSE)</f>
        <v>Nasi Campur Bali</v>
      </c>
      <c r="G581">
        <f t="shared" si="18"/>
        <v>26000</v>
      </c>
      <c r="H581">
        <f>VLOOKUP(C581,menu!A:E,4,FALSE)</f>
        <v>11500</v>
      </c>
      <c r="I581">
        <f t="shared" si="19"/>
        <v>14500</v>
      </c>
    </row>
    <row r="582" spans="1:9" x14ac:dyDescent="0.35">
      <c r="A582" s="4" t="s">
        <v>1492</v>
      </c>
      <c r="B582" s="4" t="s">
        <v>351</v>
      </c>
      <c r="C582" s="4" t="s">
        <v>916</v>
      </c>
      <c r="D582" s="4">
        <v>1</v>
      </c>
      <c r="E582" s="6">
        <v>9000</v>
      </c>
      <c r="F582" t="str">
        <f>VLOOKUP(C582,menu!A:B,2,FALSE)</f>
        <v>Kopi Hitam Tubruk</v>
      </c>
      <c r="G582">
        <f t="shared" si="18"/>
        <v>9000</v>
      </c>
      <c r="H582">
        <f>VLOOKUP(C582,menu!A:E,4,FALSE)</f>
        <v>2000</v>
      </c>
      <c r="I582">
        <f t="shared" si="19"/>
        <v>7000</v>
      </c>
    </row>
    <row r="583" spans="1:9" x14ac:dyDescent="0.35">
      <c r="A583" s="4" t="s">
        <v>1493</v>
      </c>
      <c r="B583" s="4" t="s">
        <v>477</v>
      </c>
      <c r="C583" s="4" t="s">
        <v>928</v>
      </c>
      <c r="D583" s="4">
        <v>1</v>
      </c>
      <c r="E583" s="6">
        <v>23000</v>
      </c>
      <c r="F583" t="str">
        <f>VLOOKUP(C583,menu!A:B,2,FALSE)</f>
        <v>Mie Goreng Jawa</v>
      </c>
      <c r="G583">
        <f t="shared" si="18"/>
        <v>23000</v>
      </c>
      <c r="H583">
        <f>VLOOKUP(C583,menu!A:E,4,FALSE)</f>
        <v>8500</v>
      </c>
      <c r="I583">
        <f t="shared" si="19"/>
        <v>14500</v>
      </c>
    </row>
    <row r="584" spans="1:9" x14ac:dyDescent="0.35">
      <c r="A584" s="4" t="s">
        <v>1494</v>
      </c>
      <c r="B584" s="4" t="s">
        <v>477</v>
      </c>
      <c r="C584" s="4" t="s">
        <v>940</v>
      </c>
      <c r="D584" s="4">
        <v>1</v>
      </c>
      <c r="E584" s="6">
        <v>10000</v>
      </c>
      <c r="F584" t="str">
        <f>VLOOKUP(C584,menu!A:B,2,FALSE)</f>
        <v>Tahu Isi Goreng (5pcs)</v>
      </c>
      <c r="G584">
        <f t="shared" si="18"/>
        <v>10000</v>
      </c>
      <c r="H584">
        <f>VLOOKUP(C584,menu!A:E,4,FALSE)</f>
        <v>3500</v>
      </c>
      <c r="I584">
        <f t="shared" si="19"/>
        <v>6500</v>
      </c>
    </row>
    <row r="585" spans="1:9" x14ac:dyDescent="0.35">
      <c r="A585" s="4" t="s">
        <v>1495</v>
      </c>
      <c r="B585" s="4" t="s">
        <v>863</v>
      </c>
      <c r="C585" s="4" t="s">
        <v>898</v>
      </c>
      <c r="D585" s="4">
        <v>1</v>
      </c>
      <c r="E585" s="6">
        <v>27000</v>
      </c>
      <c r="F585" t="str">
        <f>VLOOKUP(C585,menu!A:B,2,FALSE)</f>
        <v>Ayam Geprek Sambal Bawang</v>
      </c>
      <c r="G585">
        <f t="shared" si="18"/>
        <v>27000</v>
      </c>
      <c r="H585">
        <f>VLOOKUP(C585,menu!A:E,4,FALSE)</f>
        <v>11000</v>
      </c>
      <c r="I585">
        <f t="shared" si="19"/>
        <v>16000</v>
      </c>
    </row>
    <row r="586" spans="1:9" x14ac:dyDescent="0.35">
      <c r="A586" s="4" t="s">
        <v>1496</v>
      </c>
      <c r="B586" s="4" t="s">
        <v>863</v>
      </c>
      <c r="C586" s="4" t="s">
        <v>955</v>
      </c>
      <c r="D586" s="4">
        <v>1</v>
      </c>
      <c r="E586" s="6">
        <v>15000</v>
      </c>
      <c r="F586" t="str">
        <f>VLOOKUP(C586,menu!A:B,2,FALSE)</f>
        <v>Es Campur</v>
      </c>
      <c r="G586">
        <f t="shared" si="18"/>
        <v>15000</v>
      </c>
      <c r="H586">
        <f>VLOOKUP(C586,menu!A:E,4,FALSE)</f>
        <v>6000</v>
      </c>
      <c r="I586">
        <f t="shared" si="19"/>
        <v>9000</v>
      </c>
    </row>
    <row r="587" spans="1:9" x14ac:dyDescent="0.35">
      <c r="A587" s="4" t="s">
        <v>1497</v>
      </c>
      <c r="B587" s="4" t="s">
        <v>466</v>
      </c>
      <c r="C587" s="4" t="s">
        <v>896</v>
      </c>
      <c r="D587" s="4">
        <v>1</v>
      </c>
      <c r="E587" s="6">
        <v>23000</v>
      </c>
      <c r="F587" t="str">
        <f>VLOOKUP(C587,menu!A:B,2,FALSE)</f>
        <v>Nasi Uduk Komplit</v>
      </c>
      <c r="G587">
        <f t="shared" si="18"/>
        <v>23000</v>
      </c>
      <c r="H587">
        <f>VLOOKUP(C587,menu!A:E,4,FALSE)</f>
        <v>9000</v>
      </c>
      <c r="I587">
        <f t="shared" si="19"/>
        <v>14000</v>
      </c>
    </row>
    <row r="588" spans="1:9" x14ac:dyDescent="0.35">
      <c r="A588" s="4" t="s">
        <v>1498</v>
      </c>
      <c r="B588" s="4" t="s">
        <v>466</v>
      </c>
      <c r="C588" s="4" t="s">
        <v>908</v>
      </c>
      <c r="D588" s="4">
        <v>2</v>
      </c>
      <c r="E588" s="6">
        <v>16000</v>
      </c>
      <c r="F588" t="str">
        <f>VLOOKUP(C588,menu!A:B,2,FALSE)</f>
        <v>Jus Alpukat</v>
      </c>
      <c r="G588">
        <f t="shared" si="18"/>
        <v>32000</v>
      </c>
      <c r="H588">
        <f>VLOOKUP(C588,menu!A:E,4,FALSE)</f>
        <v>5500</v>
      </c>
      <c r="I588">
        <f t="shared" si="19"/>
        <v>21000</v>
      </c>
    </row>
    <row r="589" spans="1:9" x14ac:dyDescent="0.35">
      <c r="A589" s="4" t="s">
        <v>1499</v>
      </c>
      <c r="B589" s="4" t="s">
        <v>466</v>
      </c>
      <c r="C589" s="4" t="s">
        <v>898</v>
      </c>
      <c r="D589" s="4">
        <v>1</v>
      </c>
      <c r="E589" s="6">
        <v>27000</v>
      </c>
      <c r="F589" t="str">
        <f>VLOOKUP(C589,menu!A:B,2,FALSE)</f>
        <v>Ayam Geprek Sambal Bawang</v>
      </c>
      <c r="G589">
        <f t="shared" si="18"/>
        <v>27000</v>
      </c>
      <c r="H589">
        <f>VLOOKUP(C589,menu!A:E,4,FALSE)</f>
        <v>11000</v>
      </c>
      <c r="I589">
        <f t="shared" si="19"/>
        <v>16000</v>
      </c>
    </row>
    <row r="590" spans="1:9" x14ac:dyDescent="0.35">
      <c r="A590" s="4" t="s">
        <v>1500</v>
      </c>
      <c r="B590" s="4" t="s">
        <v>37</v>
      </c>
      <c r="C590" s="4" t="s">
        <v>1059</v>
      </c>
      <c r="D590" s="4">
        <v>1</v>
      </c>
      <c r="E590" s="6">
        <v>6000</v>
      </c>
      <c r="F590" t="str">
        <f>VLOOKUP(C590,menu!A:B,2,FALSE)</f>
        <v>Es Teh Manis</v>
      </c>
      <c r="G590">
        <f t="shared" si="18"/>
        <v>6000</v>
      </c>
      <c r="H590">
        <f>VLOOKUP(C590,menu!A:E,4,FALSE)</f>
        <v>1500</v>
      </c>
      <c r="I590">
        <f t="shared" si="19"/>
        <v>4500</v>
      </c>
    </row>
    <row r="591" spans="1:9" x14ac:dyDescent="0.35">
      <c r="A591" s="4" t="s">
        <v>1501</v>
      </c>
      <c r="B591" s="4" t="s">
        <v>37</v>
      </c>
      <c r="C591" s="4" t="s">
        <v>898</v>
      </c>
      <c r="D591" s="4">
        <v>2</v>
      </c>
      <c r="E591" s="6">
        <v>27000</v>
      </c>
      <c r="F591" t="str">
        <f>VLOOKUP(C591,menu!A:B,2,FALSE)</f>
        <v>Ayam Geprek Sambal Bawang</v>
      </c>
      <c r="G591">
        <f t="shared" si="18"/>
        <v>54000</v>
      </c>
      <c r="H591">
        <f>VLOOKUP(C591,menu!A:E,4,FALSE)</f>
        <v>11000</v>
      </c>
      <c r="I591">
        <f t="shared" si="19"/>
        <v>32000</v>
      </c>
    </row>
    <row r="592" spans="1:9" x14ac:dyDescent="0.35">
      <c r="A592" s="4" t="s">
        <v>1502</v>
      </c>
      <c r="B592" s="4" t="s">
        <v>647</v>
      </c>
      <c r="C592" s="4" t="s">
        <v>898</v>
      </c>
      <c r="D592" s="4">
        <v>1</v>
      </c>
      <c r="E592" s="6">
        <v>27000</v>
      </c>
      <c r="F592" t="str">
        <f>VLOOKUP(C592,menu!A:B,2,FALSE)</f>
        <v>Ayam Geprek Sambal Bawang</v>
      </c>
      <c r="G592">
        <f t="shared" si="18"/>
        <v>27000</v>
      </c>
      <c r="H592">
        <f>VLOOKUP(C592,menu!A:E,4,FALSE)</f>
        <v>11000</v>
      </c>
      <c r="I592">
        <f t="shared" si="19"/>
        <v>16000</v>
      </c>
    </row>
    <row r="593" spans="1:9" x14ac:dyDescent="0.35">
      <c r="A593" s="4" t="s">
        <v>1503</v>
      </c>
      <c r="B593" s="4" t="s">
        <v>647</v>
      </c>
      <c r="C593" s="4" t="s">
        <v>900</v>
      </c>
      <c r="D593" s="4">
        <v>1</v>
      </c>
      <c r="E593" s="6">
        <v>8000</v>
      </c>
      <c r="F593" t="str">
        <f>VLOOKUP(C593,menu!A:B,2,FALSE)</f>
        <v>Es Jeruk Peras</v>
      </c>
      <c r="G593">
        <f t="shared" si="18"/>
        <v>8000</v>
      </c>
      <c r="H593">
        <f>VLOOKUP(C593,menu!A:E,4,FALSE)</f>
        <v>2500</v>
      </c>
      <c r="I593">
        <f t="shared" si="19"/>
        <v>5500</v>
      </c>
    </row>
    <row r="594" spans="1:9" x14ac:dyDescent="0.35">
      <c r="A594" s="4" t="s">
        <v>1504</v>
      </c>
      <c r="B594" s="4" t="s">
        <v>288</v>
      </c>
      <c r="C594" s="4" t="s">
        <v>955</v>
      </c>
      <c r="D594" s="4">
        <v>1</v>
      </c>
      <c r="E594" s="6">
        <v>15000</v>
      </c>
      <c r="F594" t="str">
        <f>VLOOKUP(C594,menu!A:B,2,FALSE)</f>
        <v>Es Campur</v>
      </c>
      <c r="G594">
        <f t="shared" si="18"/>
        <v>15000</v>
      </c>
      <c r="H594">
        <f>VLOOKUP(C594,menu!A:E,4,FALSE)</f>
        <v>6000</v>
      </c>
      <c r="I594">
        <f t="shared" si="19"/>
        <v>9000</v>
      </c>
    </row>
    <row r="595" spans="1:9" x14ac:dyDescent="0.35">
      <c r="A595" s="4" t="s">
        <v>1505</v>
      </c>
      <c r="B595" s="4" t="s">
        <v>288</v>
      </c>
      <c r="C595" s="4" t="s">
        <v>919</v>
      </c>
      <c r="D595" s="4">
        <v>1</v>
      </c>
      <c r="E595" s="6">
        <v>20000</v>
      </c>
      <c r="F595" t="str">
        <f>VLOOKUP(C595,menu!A:B,2,FALSE)</f>
        <v>Gado-Gado Jakarta</v>
      </c>
      <c r="G595">
        <f t="shared" si="18"/>
        <v>20000</v>
      </c>
      <c r="H595">
        <f>VLOOKUP(C595,menu!A:E,4,FALSE)</f>
        <v>8000</v>
      </c>
      <c r="I595">
        <f t="shared" si="19"/>
        <v>12000</v>
      </c>
    </row>
    <row r="596" spans="1:9" x14ac:dyDescent="0.35">
      <c r="A596" s="4" t="s">
        <v>1506</v>
      </c>
      <c r="B596" s="4" t="s">
        <v>288</v>
      </c>
      <c r="C596" s="4" t="s">
        <v>898</v>
      </c>
      <c r="D596" s="4">
        <v>1</v>
      </c>
      <c r="E596" s="6">
        <v>27000</v>
      </c>
      <c r="F596" t="str">
        <f>VLOOKUP(C596,menu!A:B,2,FALSE)</f>
        <v>Ayam Geprek Sambal Bawang</v>
      </c>
      <c r="G596">
        <f t="shared" si="18"/>
        <v>27000</v>
      </c>
      <c r="H596">
        <f>VLOOKUP(C596,menu!A:E,4,FALSE)</f>
        <v>11000</v>
      </c>
      <c r="I596">
        <f t="shared" si="19"/>
        <v>16000</v>
      </c>
    </row>
    <row r="597" spans="1:9" x14ac:dyDescent="0.35">
      <c r="A597" s="4" t="s">
        <v>1507</v>
      </c>
      <c r="B597" s="4" t="s">
        <v>280</v>
      </c>
      <c r="C597" s="4" t="s">
        <v>890</v>
      </c>
      <c r="D597" s="4">
        <v>1</v>
      </c>
      <c r="E597" s="6">
        <v>18000</v>
      </c>
      <c r="F597" t="str">
        <f>VLOOKUP(C597,menu!A:B,2,FALSE)</f>
        <v>Es Kopi Susu Gula Aren</v>
      </c>
      <c r="G597">
        <f t="shared" si="18"/>
        <v>18000</v>
      </c>
      <c r="H597">
        <f>VLOOKUP(C597,menu!A:E,4,FALSE)</f>
        <v>4500</v>
      </c>
      <c r="I597">
        <f t="shared" si="19"/>
        <v>13500</v>
      </c>
    </row>
    <row r="598" spans="1:9" x14ac:dyDescent="0.35">
      <c r="A598" s="4" t="s">
        <v>1508</v>
      </c>
      <c r="B598" s="4" t="s">
        <v>280</v>
      </c>
      <c r="C598" s="4" t="s">
        <v>940</v>
      </c>
      <c r="D598" s="4">
        <v>1</v>
      </c>
      <c r="E598" s="6">
        <v>10000</v>
      </c>
      <c r="F598" t="str">
        <f>VLOOKUP(C598,menu!A:B,2,FALSE)</f>
        <v>Tahu Isi Goreng (5pcs)</v>
      </c>
      <c r="G598">
        <f t="shared" si="18"/>
        <v>10000</v>
      </c>
      <c r="H598">
        <f>VLOOKUP(C598,menu!A:E,4,FALSE)</f>
        <v>3500</v>
      </c>
      <c r="I598">
        <f t="shared" si="19"/>
        <v>6500</v>
      </c>
    </row>
    <row r="599" spans="1:9" x14ac:dyDescent="0.35">
      <c r="A599" s="4" t="s">
        <v>1509</v>
      </c>
      <c r="B599" s="4" t="s">
        <v>391</v>
      </c>
      <c r="C599" s="4" t="s">
        <v>931</v>
      </c>
      <c r="D599" s="4">
        <v>1</v>
      </c>
      <c r="E599" s="6">
        <v>5000</v>
      </c>
      <c r="F599" t="str">
        <f>VLOOKUP(C599,menu!A:B,2,FALSE)</f>
        <v>Kerupuk Udang</v>
      </c>
      <c r="G599">
        <f t="shared" si="18"/>
        <v>5000</v>
      </c>
      <c r="H599">
        <f>VLOOKUP(C599,menu!A:E,4,FALSE)</f>
        <v>1500</v>
      </c>
      <c r="I599">
        <f t="shared" si="19"/>
        <v>3500</v>
      </c>
    </row>
    <row r="600" spans="1:9" x14ac:dyDescent="0.35">
      <c r="A600" s="4" t="s">
        <v>1510</v>
      </c>
      <c r="B600" s="4" t="s">
        <v>319</v>
      </c>
      <c r="C600" s="4" t="s">
        <v>937</v>
      </c>
      <c r="D600" s="4">
        <v>1</v>
      </c>
      <c r="E600" s="6">
        <v>26000</v>
      </c>
      <c r="F600" t="str">
        <f>VLOOKUP(C600,menu!A:B,2,FALSE)</f>
        <v>Nasi Campur Bali</v>
      </c>
      <c r="G600">
        <f t="shared" si="18"/>
        <v>26000</v>
      </c>
      <c r="H600">
        <f>VLOOKUP(C600,menu!A:E,4,FALSE)</f>
        <v>11500</v>
      </c>
      <c r="I600">
        <f t="shared" si="19"/>
        <v>14500</v>
      </c>
    </row>
    <row r="601" spans="1:9" x14ac:dyDescent="0.35">
      <c r="A601" s="4" t="s">
        <v>1511</v>
      </c>
      <c r="B601" s="4" t="s">
        <v>319</v>
      </c>
      <c r="C601" s="4" t="s">
        <v>898</v>
      </c>
      <c r="D601" s="4">
        <v>2</v>
      </c>
      <c r="E601" s="6">
        <v>27000</v>
      </c>
      <c r="F601" t="str">
        <f>VLOOKUP(C601,menu!A:B,2,FALSE)</f>
        <v>Ayam Geprek Sambal Bawang</v>
      </c>
      <c r="G601">
        <f t="shared" si="18"/>
        <v>54000</v>
      </c>
      <c r="H601">
        <f>VLOOKUP(C601,menu!A:E,4,FALSE)</f>
        <v>11000</v>
      </c>
      <c r="I601">
        <f t="shared" si="19"/>
        <v>32000</v>
      </c>
    </row>
    <row r="602" spans="1:9" x14ac:dyDescent="0.35">
      <c r="A602" s="4" t="s">
        <v>1512</v>
      </c>
      <c r="B602" s="4" t="s">
        <v>319</v>
      </c>
      <c r="C602" s="4" t="s">
        <v>906</v>
      </c>
      <c r="D602" s="4">
        <v>1</v>
      </c>
      <c r="E602" s="6">
        <v>28000</v>
      </c>
      <c r="F602" t="str">
        <f>VLOOKUP(C602,menu!A:B,2,FALSE)</f>
        <v>Sate Ayam 10 Tusuk</v>
      </c>
      <c r="G602">
        <f t="shared" si="18"/>
        <v>28000</v>
      </c>
      <c r="H602">
        <f>VLOOKUP(C602,menu!A:E,4,FALSE)</f>
        <v>12000</v>
      </c>
      <c r="I602">
        <f t="shared" si="19"/>
        <v>16000</v>
      </c>
    </row>
    <row r="603" spans="1:9" x14ac:dyDescent="0.35">
      <c r="A603" s="4" t="s">
        <v>1513</v>
      </c>
      <c r="B603" s="4" t="s">
        <v>820</v>
      </c>
      <c r="C603" s="4" t="s">
        <v>890</v>
      </c>
      <c r="D603" s="4">
        <v>3</v>
      </c>
      <c r="E603" s="6">
        <v>18000</v>
      </c>
      <c r="F603" t="str">
        <f>VLOOKUP(C603,menu!A:B,2,FALSE)</f>
        <v>Es Kopi Susu Gula Aren</v>
      </c>
      <c r="G603">
        <f t="shared" si="18"/>
        <v>54000</v>
      </c>
      <c r="H603">
        <f>VLOOKUP(C603,menu!A:E,4,FALSE)</f>
        <v>4500</v>
      </c>
      <c r="I603">
        <f t="shared" si="19"/>
        <v>40500</v>
      </c>
    </row>
    <row r="604" spans="1:9" x14ac:dyDescent="0.35">
      <c r="A604" s="4" t="s">
        <v>1514</v>
      </c>
      <c r="B604" s="4" t="s">
        <v>820</v>
      </c>
      <c r="C604" s="4" t="s">
        <v>937</v>
      </c>
      <c r="D604" s="4">
        <v>1</v>
      </c>
      <c r="E604" s="6">
        <v>26000</v>
      </c>
      <c r="F604" t="str">
        <f>VLOOKUP(C604,menu!A:B,2,FALSE)</f>
        <v>Nasi Campur Bali</v>
      </c>
      <c r="G604">
        <f t="shared" si="18"/>
        <v>26000</v>
      </c>
      <c r="H604">
        <f>VLOOKUP(C604,menu!A:E,4,FALSE)</f>
        <v>11500</v>
      </c>
      <c r="I604">
        <f t="shared" si="19"/>
        <v>14500</v>
      </c>
    </row>
    <row r="605" spans="1:9" x14ac:dyDescent="0.35">
      <c r="A605" s="4" t="s">
        <v>1515</v>
      </c>
      <c r="B605" s="4" t="s">
        <v>227</v>
      </c>
      <c r="C605" s="4" t="s">
        <v>898</v>
      </c>
      <c r="D605" s="4">
        <v>1</v>
      </c>
      <c r="E605" s="6">
        <v>27000</v>
      </c>
      <c r="F605" t="str">
        <f>VLOOKUP(C605,menu!A:B,2,FALSE)</f>
        <v>Ayam Geprek Sambal Bawang</v>
      </c>
      <c r="G605">
        <f t="shared" si="18"/>
        <v>27000</v>
      </c>
      <c r="H605">
        <f>VLOOKUP(C605,menu!A:E,4,FALSE)</f>
        <v>11000</v>
      </c>
      <c r="I605">
        <f t="shared" si="19"/>
        <v>16000</v>
      </c>
    </row>
    <row r="606" spans="1:9" x14ac:dyDescent="0.35">
      <c r="A606" s="4" t="s">
        <v>1516</v>
      </c>
      <c r="B606" s="4" t="s">
        <v>306</v>
      </c>
      <c r="C606" s="4" t="s">
        <v>940</v>
      </c>
      <c r="D606" s="4">
        <v>1</v>
      </c>
      <c r="E606" s="6">
        <v>10000</v>
      </c>
      <c r="F606" t="str">
        <f>VLOOKUP(C606,menu!A:B,2,FALSE)</f>
        <v>Tahu Isi Goreng (5pcs)</v>
      </c>
      <c r="G606">
        <f t="shared" si="18"/>
        <v>10000</v>
      </c>
      <c r="H606">
        <f>VLOOKUP(C606,menu!A:E,4,FALSE)</f>
        <v>3500</v>
      </c>
      <c r="I606">
        <f t="shared" si="19"/>
        <v>6500</v>
      </c>
    </row>
    <row r="607" spans="1:9" x14ac:dyDescent="0.35">
      <c r="A607" s="4" t="s">
        <v>1517</v>
      </c>
      <c r="B607" s="4" t="s">
        <v>306</v>
      </c>
      <c r="C607" s="4" t="s">
        <v>892</v>
      </c>
      <c r="D607" s="4">
        <v>3</v>
      </c>
      <c r="E607" s="6">
        <v>9000</v>
      </c>
      <c r="F607" t="str">
        <f>VLOOKUP(C607,menu!A:B,2,FALSE)</f>
        <v>Tempe Mendoan (5pcs)</v>
      </c>
      <c r="G607">
        <f t="shared" si="18"/>
        <v>27000</v>
      </c>
      <c r="H607">
        <f>VLOOKUP(C607,menu!A:E,4,FALSE)</f>
        <v>3000</v>
      </c>
      <c r="I607">
        <f t="shared" si="19"/>
        <v>18000</v>
      </c>
    </row>
    <row r="608" spans="1:9" x14ac:dyDescent="0.35">
      <c r="A608" s="4" t="s">
        <v>1518</v>
      </c>
      <c r="B608" s="4" t="s">
        <v>219</v>
      </c>
      <c r="C608" s="4" t="s">
        <v>898</v>
      </c>
      <c r="D608" s="4">
        <v>1</v>
      </c>
      <c r="E608" s="6">
        <v>27000</v>
      </c>
      <c r="F608" t="str">
        <f>VLOOKUP(C608,menu!A:B,2,FALSE)</f>
        <v>Ayam Geprek Sambal Bawang</v>
      </c>
      <c r="G608">
        <f t="shared" si="18"/>
        <v>27000</v>
      </c>
      <c r="H608">
        <f>VLOOKUP(C608,menu!A:E,4,FALSE)</f>
        <v>11000</v>
      </c>
      <c r="I608">
        <f t="shared" si="19"/>
        <v>16000</v>
      </c>
    </row>
    <row r="609" spans="1:9" x14ac:dyDescent="0.35">
      <c r="A609" s="4" t="s">
        <v>1519</v>
      </c>
      <c r="B609" s="4" t="s">
        <v>103</v>
      </c>
      <c r="C609" s="4" t="s">
        <v>935</v>
      </c>
      <c r="D609" s="4">
        <v>1</v>
      </c>
      <c r="E609" s="6">
        <v>22000</v>
      </c>
      <c r="F609" t="str">
        <f>VLOOKUP(C609,menu!A:B,2,FALSE)</f>
        <v>Soto Ayam Lamongan</v>
      </c>
      <c r="G609">
        <f t="shared" si="18"/>
        <v>22000</v>
      </c>
      <c r="H609">
        <f>VLOOKUP(C609,menu!A:E,4,FALSE)</f>
        <v>9500</v>
      </c>
      <c r="I609">
        <f t="shared" si="19"/>
        <v>12500</v>
      </c>
    </row>
    <row r="610" spans="1:9" x14ac:dyDescent="0.35">
      <c r="A610" s="4" t="s">
        <v>1520</v>
      </c>
      <c r="B610" s="4" t="s">
        <v>103</v>
      </c>
      <c r="C610" s="4" t="s">
        <v>898</v>
      </c>
      <c r="D610" s="4">
        <v>1</v>
      </c>
      <c r="E610" s="6">
        <v>27000</v>
      </c>
      <c r="F610" t="str">
        <f>VLOOKUP(C610,menu!A:B,2,FALSE)</f>
        <v>Ayam Geprek Sambal Bawang</v>
      </c>
      <c r="G610">
        <f t="shared" si="18"/>
        <v>27000</v>
      </c>
      <c r="H610">
        <f>VLOOKUP(C610,menu!A:E,4,FALSE)</f>
        <v>11000</v>
      </c>
      <c r="I610">
        <f t="shared" si="19"/>
        <v>16000</v>
      </c>
    </row>
    <row r="611" spans="1:9" x14ac:dyDescent="0.35">
      <c r="A611" s="4" t="s">
        <v>1521</v>
      </c>
      <c r="B611" s="4" t="s">
        <v>103</v>
      </c>
      <c r="C611" s="4" t="s">
        <v>908</v>
      </c>
      <c r="D611" s="4">
        <v>1</v>
      </c>
      <c r="E611" s="6">
        <v>16000</v>
      </c>
      <c r="F611" t="str">
        <f>VLOOKUP(C611,menu!A:B,2,FALSE)</f>
        <v>Jus Alpukat</v>
      </c>
      <c r="G611">
        <f t="shared" si="18"/>
        <v>16000</v>
      </c>
      <c r="H611">
        <f>VLOOKUP(C611,menu!A:E,4,FALSE)</f>
        <v>5500</v>
      </c>
      <c r="I611">
        <f t="shared" si="19"/>
        <v>10500</v>
      </c>
    </row>
    <row r="612" spans="1:9" x14ac:dyDescent="0.35">
      <c r="A612" s="4" t="s">
        <v>1522</v>
      </c>
      <c r="B612" s="4" t="s">
        <v>255</v>
      </c>
      <c r="C612" s="4" t="s">
        <v>916</v>
      </c>
      <c r="D612" s="4">
        <v>2</v>
      </c>
      <c r="E612" s="6">
        <v>9000</v>
      </c>
      <c r="F612" t="str">
        <f>VLOOKUP(C612,menu!A:B,2,FALSE)</f>
        <v>Kopi Hitam Tubruk</v>
      </c>
      <c r="G612">
        <f t="shared" si="18"/>
        <v>18000</v>
      </c>
      <c r="H612">
        <f>VLOOKUP(C612,menu!A:E,4,FALSE)</f>
        <v>2000</v>
      </c>
      <c r="I612">
        <f t="shared" si="19"/>
        <v>14000</v>
      </c>
    </row>
    <row r="613" spans="1:9" x14ac:dyDescent="0.35">
      <c r="A613" s="4" t="s">
        <v>1523</v>
      </c>
      <c r="B613" s="4" t="s">
        <v>255</v>
      </c>
      <c r="C613" s="4" t="s">
        <v>898</v>
      </c>
      <c r="D613" s="4">
        <v>1</v>
      </c>
      <c r="E613" s="6">
        <v>27000</v>
      </c>
      <c r="F613" t="str">
        <f>VLOOKUP(C613,menu!A:B,2,FALSE)</f>
        <v>Ayam Geprek Sambal Bawang</v>
      </c>
      <c r="G613">
        <f t="shared" si="18"/>
        <v>27000</v>
      </c>
      <c r="H613">
        <f>VLOOKUP(C613,menu!A:E,4,FALSE)</f>
        <v>11000</v>
      </c>
      <c r="I613">
        <f t="shared" si="19"/>
        <v>16000</v>
      </c>
    </row>
    <row r="614" spans="1:9" x14ac:dyDescent="0.35">
      <c r="A614" s="4" t="s">
        <v>1524</v>
      </c>
      <c r="B614" s="4" t="s">
        <v>593</v>
      </c>
      <c r="C614" s="4" t="s">
        <v>892</v>
      </c>
      <c r="D614" s="4">
        <v>1</v>
      </c>
      <c r="E614" s="6">
        <v>9000</v>
      </c>
      <c r="F614" t="str">
        <f>VLOOKUP(C614,menu!A:B,2,FALSE)</f>
        <v>Tempe Mendoan (5pcs)</v>
      </c>
      <c r="G614">
        <f t="shared" si="18"/>
        <v>9000</v>
      </c>
      <c r="H614">
        <f>VLOOKUP(C614,menu!A:E,4,FALSE)</f>
        <v>3000</v>
      </c>
      <c r="I614">
        <f t="shared" si="19"/>
        <v>6000</v>
      </c>
    </row>
    <row r="615" spans="1:9" x14ac:dyDescent="0.35">
      <c r="A615" s="4" t="s">
        <v>1525</v>
      </c>
      <c r="B615" s="4" t="s">
        <v>593</v>
      </c>
      <c r="C615" s="4" t="s">
        <v>890</v>
      </c>
      <c r="D615" s="4">
        <v>1</v>
      </c>
      <c r="E615" s="6">
        <v>18000</v>
      </c>
      <c r="F615" t="str">
        <f>VLOOKUP(C615,menu!A:B,2,FALSE)</f>
        <v>Es Kopi Susu Gula Aren</v>
      </c>
      <c r="G615">
        <f t="shared" si="18"/>
        <v>18000</v>
      </c>
      <c r="H615">
        <f>VLOOKUP(C615,menu!A:E,4,FALSE)</f>
        <v>4500</v>
      </c>
      <c r="I615">
        <f t="shared" si="19"/>
        <v>13500</v>
      </c>
    </row>
    <row r="616" spans="1:9" x14ac:dyDescent="0.35">
      <c r="A616" s="4" t="s">
        <v>1526</v>
      </c>
      <c r="B616" s="4" t="s">
        <v>593</v>
      </c>
      <c r="C616" s="4" t="s">
        <v>916</v>
      </c>
      <c r="D616" s="4">
        <v>1</v>
      </c>
      <c r="E616" s="6">
        <v>9000</v>
      </c>
      <c r="F616" t="str">
        <f>VLOOKUP(C616,menu!A:B,2,FALSE)</f>
        <v>Kopi Hitam Tubruk</v>
      </c>
      <c r="G616">
        <f t="shared" si="18"/>
        <v>9000</v>
      </c>
      <c r="H616">
        <f>VLOOKUP(C616,menu!A:E,4,FALSE)</f>
        <v>2000</v>
      </c>
      <c r="I616">
        <f t="shared" si="19"/>
        <v>7000</v>
      </c>
    </row>
    <row r="617" spans="1:9" x14ac:dyDescent="0.35">
      <c r="A617" s="4" t="s">
        <v>1527</v>
      </c>
      <c r="B617" s="4" t="s">
        <v>491</v>
      </c>
      <c r="C617" s="4" t="s">
        <v>935</v>
      </c>
      <c r="D617" s="4">
        <v>1</v>
      </c>
      <c r="E617" s="6">
        <v>22000</v>
      </c>
      <c r="F617" t="str">
        <f>VLOOKUP(C617,menu!A:B,2,FALSE)</f>
        <v>Soto Ayam Lamongan</v>
      </c>
      <c r="G617">
        <f t="shared" si="18"/>
        <v>22000</v>
      </c>
      <c r="H617">
        <f>VLOOKUP(C617,menu!A:E,4,FALSE)</f>
        <v>9500</v>
      </c>
      <c r="I617">
        <f t="shared" si="19"/>
        <v>12500</v>
      </c>
    </row>
    <row r="618" spans="1:9" x14ac:dyDescent="0.35">
      <c r="A618" s="4" t="s">
        <v>1528</v>
      </c>
      <c r="B618" s="4" t="s">
        <v>491</v>
      </c>
      <c r="C618" s="4" t="s">
        <v>892</v>
      </c>
      <c r="D618" s="4">
        <v>1</v>
      </c>
      <c r="E618" s="6">
        <v>9000</v>
      </c>
      <c r="F618" t="str">
        <f>VLOOKUP(C618,menu!A:B,2,FALSE)</f>
        <v>Tempe Mendoan (5pcs)</v>
      </c>
      <c r="G618">
        <f t="shared" si="18"/>
        <v>9000</v>
      </c>
      <c r="H618">
        <f>VLOOKUP(C618,menu!A:E,4,FALSE)</f>
        <v>3000</v>
      </c>
      <c r="I618">
        <f t="shared" si="19"/>
        <v>6000</v>
      </c>
    </row>
    <row r="619" spans="1:9" x14ac:dyDescent="0.35">
      <c r="A619" s="4" t="s">
        <v>1529</v>
      </c>
      <c r="B619" s="4" t="s">
        <v>491</v>
      </c>
      <c r="C619" s="4" t="s">
        <v>898</v>
      </c>
      <c r="D619" s="4">
        <v>2</v>
      </c>
      <c r="E619" s="6">
        <v>27000</v>
      </c>
      <c r="F619" t="str">
        <f>VLOOKUP(C619,menu!A:B,2,FALSE)</f>
        <v>Ayam Geprek Sambal Bawang</v>
      </c>
      <c r="G619">
        <f t="shared" si="18"/>
        <v>54000</v>
      </c>
      <c r="H619">
        <f>VLOOKUP(C619,menu!A:E,4,FALSE)</f>
        <v>11000</v>
      </c>
      <c r="I619">
        <f t="shared" si="19"/>
        <v>32000</v>
      </c>
    </row>
    <row r="620" spans="1:9" x14ac:dyDescent="0.35">
      <c r="A620" s="4" t="s">
        <v>1530</v>
      </c>
      <c r="B620" s="4" t="s">
        <v>491</v>
      </c>
      <c r="C620" s="4" t="s">
        <v>1003</v>
      </c>
      <c r="D620" s="4">
        <v>2</v>
      </c>
      <c r="E620" s="6">
        <v>29000</v>
      </c>
      <c r="F620" t="str">
        <f>VLOOKUP(C620,menu!A:B,2,FALSE)</f>
        <v>Capcay Seafood</v>
      </c>
      <c r="G620">
        <f t="shared" si="18"/>
        <v>58000</v>
      </c>
      <c r="H620">
        <f>VLOOKUP(C620,menu!A:E,4,FALSE)</f>
        <v>13000</v>
      </c>
      <c r="I620">
        <f t="shared" si="19"/>
        <v>32000</v>
      </c>
    </row>
    <row r="621" spans="1:9" x14ac:dyDescent="0.35">
      <c r="A621" s="4" t="s">
        <v>1531</v>
      </c>
      <c r="B621" s="4" t="s">
        <v>561</v>
      </c>
      <c r="C621" s="4" t="s">
        <v>890</v>
      </c>
      <c r="D621" s="4">
        <v>1</v>
      </c>
      <c r="E621" s="6">
        <v>18000</v>
      </c>
      <c r="F621" t="str">
        <f>VLOOKUP(C621,menu!A:B,2,FALSE)</f>
        <v>Es Kopi Susu Gula Aren</v>
      </c>
      <c r="G621">
        <f t="shared" si="18"/>
        <v>18000</v>
      </c>
      <c r="H621">
        <f>VLOOKUP(C621,menu!A:E,4,FALSE)</f>
        <v>4500</v>
      </c>
      <c r="I621">
        <f t="shared" si="19"/>
        <v>13500</v>
      </c>
    </row>
    <row r="622" spans="1:9" x14ac:dyDescent="0.35">
      <c r="A622" s="4" t="s">
        <v>1532</v>
      </c>
      <c r="B622" s="4" t="s">
        <v>128</v>
      </c>
      <c r="C622" s="4" t="s">
        <v>908</v>
      </c>
      <c r="D622" s="4">
        <v>1</v>
      </c>
      <c r="E622" s="6">
        <v>16000</v>
      </c>
      <c r="F622" t="str">
        <f>VLOOKUP(C622,menu!A:B,2,FALSE)</f>
        <v>Jus Alpukat</v>
      </c>
      <c r="G622">
        <f t="shared" si="18"/>
        <v>16000</v>
      </c>
      <c r="H622">
        <f>VLOOKUP(C622,menu!A:E,4,FALSE)</f>
        <v>5500</v>
      </c>
      <c r="I622">
        <f t="shared" si="19"/>
        <v>10500</v>
      </c>
    </row>
    <row r="623" spans="1:9" x14ac:dyDescent="0.35">
      <c r="A623" s="4" t="s">
        <v>1533</v>
      </c>
      <c r="B623" s="4" t="s">
        <v>128</v>
      </c>
      <c r="C623" s="4" t="s">
        <v>931</v>
      </c>
      <c r="D623" s="4">
        <v>1</v>
      </c>
      <c r="E623" s="6">
        <v>5000</v>
      </c>
      <c r="F623" t="str">
        <f>VLOOKUP(C623,menu!A:B,2,FALSE)</f>
        <v>Kerupuk Udang</v>
      </c>
      <c r="G623">
        <f t="shared" si="18"/>
        <v>5000</v>
      </c>
      <c r="H623">
        <f>VLOOKUP(C623,menu!A:E,4,FALSE)</f>
        <v>1500</v>
      </c>
      <c r="I623">
        <f t="shared" si="19"/>
        <v>3500</v>
      </c>
    </row>
    <row r="624" spans="1:9" x14ac:dyDescent="0.35">
      <c r="A624" s="4" t="s">
        <v>1534</v>
      </c>
      <c r="B624" s="4" t="s">
        <v>128</v>
      </c>
      <c r="C624" s="4" t="s">
        <v>919</v>
      </c>
      <c r="D624" s="4">
        <v>1</v>
      </c>
      <c r="E624" s="6">
        <v>20000</v>
      </c>
      <c r="F624" t="str">
        <f>VLOOKUP(C624,menu!A:B,2,FALSE)</f>
        <v>Gado-Gado Jakarta</v>
      </c>
      <c r="G624">
        <f t="shared" si="18"/>
        <v>20000</v>
      </c>
      <c r="H624">
        <f>VLOOKUP(C624,menu!A:E,4,FALSE)</f>
        <v>8000</v>
      </c>
      <c r="I624">
        <f t="shared" si="19"/>
        <v>12000</v>
      </c>
    </row>
    <row r="625" spans="1:9" x14ac:dyDescent="0.35">
      <c r="A625" s="4" t="s">
        <v>1535</v>
      </c>
      <c r="B625" s="4" t="s">
        <v>128</v>
      </c>
      <c r="C625" s="4" t="s">
        <v>935</v>
      </c>
      <c r="D625" s="4">
        <v>1</v>
      </c>
      <c r="E625" s="6">
        <v>22000</v>
      </c>
      <c r="F625" t="str">
        <f>VLOOKUP(C625,menu!A:B,2,FALSE)</f>
        <v>Soto Ayam Lamongan</v>
      </c>
      <c r="G625">
        <f t="shared" si="18"/>
        <v>22000</v>
      </c>
      <c r="H625">
        <f>VLOOKUP(C625,menu!A:E,4,FALSE)</f>
        <v>9500</v>
      </c>
      <c r="I625">
        <f t="shared" si="19"/>
        <v>12500</v>
      </c>
    </row>
    <row r="626" spans="1:9" x14ac:dyDescent="0.35">
      <c r="A626" s="4" t="s">
        <v>1536</v>
      </c>
      <c r="B626" s="4" t="s">
        <v>198</v>
      </c>
      <c r="C626" s="4" t="s">
        <v>919</v>
      </c>
      <c r="D626" s="4">
        <v>2</v>
      </c>
      <c r="E626" s="6">
        <v>20000</v>
      </c>
      <c r="F626" t="str">
        <f>VLOOKUP(C626,menu!A:B,2,FALSE)</f>
        <v>Gado-Gado Jakarta</v>
      </c>
      <c r="G626">
        <f t="shared" si="18"/>
        <v>40000</v>
      </c>
      <c r="H626">
        <f>VLOOKUP(C626,menu!A:E,4,FALSE)</f>
        <v>8000</v>
      </c>
      <c r="I626">
        <f t="shared" si="19"/>
        <v>24000</v>
      </c>
    </row>
    <row r="627" spans="1:9" x14ac:dyDescent="0.35">
      <c r="A627" s="4" t="s">
        <v>1537</v>
      </c>
      <c r="B627" s="4" t="s">
        <v>300</v>
      </c>
      <c r="C627" s="4" t="s">
        <v>892</v>
      </c>
      <c r="D627" s="4">
        <v>1</v>
      </c>
      <c r="E627" s="6">
        <v>9000</v>
      </c>
      <c r="F627" t="str">
        <f>VLOOKUP(C627,menu!A:B,2,FALSE)</f>
        <v>Tempe Mendoan (5pcs)</v>
      </c>
      <c r="G627">
        <f t="shared" si="18"/>
        <v>9000</v>
      </c>
      <c r="H627">
        <f>VLOOKUP(C627,menu!A:E,4,FALSE)</f>
        <v>3000</v>
      </c>
      <c r="I627">
        <f t="shared" si="19"/>
        <v>6000</v>
      </c>
    </row>
    <row r="628" spans="1:9" x14ac:dyDescent="0.35">
      <c r="A628" s="4" t="s">
        <v>1538</v>
      </c>
      <c r="B628" s="4" t="s">
        <v>300</v>
      </c>
      <c r="C628" s="4" t="s">
        <v>916</v>
      </c>
      <c r="D628" s="4">
        <v>2</v>
      </c>
      <c r="E628" s="6">
        <v>9000</v>
      </c>
      <c r="F628" t="str">
        <f>VLOOKUP(C628,menu!A:B,2,FALSE)</f>
        <v>Kopi Hitam Tubruk</v>
      </c>
      <c r="G628">
        <f t="shared" si="18"/>
        <v>18000</v>
      </c>
      <c r="H628">
        <f>VLOOKUP(C628,menu!A:E,4,FALSE)</f>
        <v>2000</v>
      </c>
      <c r="I628">
        <f t="shared" si="19"/>
        <v>14000</v>
      </c>
    </row>
    <row r="629" spans="1:9" x14ac:dyDescent="0.35">
      <c r="A629" s="4" t="s">
        <v>1539</v>
      </c>
      <c r="B629" s="4" t="s">
        <v>410</v>
      </c>
      <c r="C629" s="4" t="s">
        <v>890</v>
      </c>
      <c r="D629" s="4">
        <v>1</v>
      </c>
      <c r="E629" s="6">
        <v>18000</v>
      </c>
      <c r="F629" t="str">
        <f>VLOOKUP(C629,menu!A:B,2,FALSE)</f>
        <v>Es Kopi Susu Gula Aren</v>
      </c>
      <c r="G629">
        <f t="shared" si="18"/>
        <v>18000</v>
      </c>
      <c r="H629">
        <f>VLOOKUP(C629,menu!A:E,4,FALSE)</f>
        <v>4500</v>
      </c>
      <c r="I629">
        <f t="shared" si="19"/>
        <v>13500</v>
      </c>
    </row>
    <row r="630" spans="1:9" x14ac:dyDescent="0.35">
      <c r="A630" s="4" t="s">
        <v>1540</v>
      </c>
      <c r="B630" s="4" t="s">
        <v>410</v>
      </c>
      <c r="C630" s="4" t="s">
        <v>908</v>
      </c>
      <c r="D630" s="4">
        <v>3</v>
      </c>
      <c r="E630" s="6">
        <v>16000</v>
      </c>
      <c r="F630" t="str">
        <f>VLOOKUP(C630,menu!A:B,2,FALSE)</f>
        <v>Jus Alpukat</v>
      </c>
      <c r="G630">
        <f t="shared" si="18"/>
        <v>48000</v>
      </c>
      <c r="H630">
        <f>VLOOKUP(C630,menu!A:E,4,FALSE)</f>
        <v>5500</v>
      </c>
      <c r="I630">
        <f t="shared" si="19"/>
        <v>31500</v>
      </c>
    </row>
    <row r="631" spans="1:9" x14ac:dyDescent="0.35">
      <c r="A631" s="4" t="s">
        <v>1541</v>
      </c>
      <c r="B631" s="4" t="s">
        <v>410</v>
      </c>
      <c r="C631" s="4" t="s">
        <v>898</v>
      </c>
      <c r="D631" s="4">
        <v>2</v>
      </c>
      <c r="E631" s="6">
        <v>27000</v>
      </c>
      <c r="F631" t="str">
        <f>VLOOKUP(C631,menu!A:B,2,FALSE)</f>
        <v>Ayam Geprek Sambal Bawang</v>
      </c>
      <c r="G631">
        <f t="shared" si="18"/>
        <v>54000</v>
      </c>
      <c r="H631">
        <f>VLOOKUP(C631,menu!A:E,4,FALSE)</f>
        <v>11000</v>
      </c>
      <c r="I631">
        <f t="shared" si="19"/>
        <v>32000</v>
      </c>
    </row>
    <row r="632" spans="1:9" x14ac:dyDescent="0.35">
      <c r="A632" s="4" t="s">
        <v>1542</v>
      </c>
      <c r="B632" s="4" t="s">
        <v>410</v>
      </c>
      <c r="C632" s="4" t="s">
        <v>902</v>
      </c>
      <c r="D632" s="4">
        <v>1</v>
      </c>
      <c r="E632" s="6">
        <v>12000</v>
      </c>
      <c r="F632" t="str">
        <f>VLOOKUP(C632,menu!A:B,2,FALSE)</f>
        <v>Teh Tarik</v>
      </c>
      <c r="G632">
        <f t="shared" si="18"/>
        <v>12000</v>
      </c>
      <c r="H632">
        <f>VLOOKUP(C632,menu!A:E,4,FALSE)</f>
        <v>3000</v>
      </c>
      <c r="I632">
        <f t="shared" si="19"/>
        <v>9000</v>
      </c>
    </row>
    <row r="633" spans="1:9" x14ac:dyDescent="0.35">
      <c r="A633" s="4" t="s">
        <v>1543</v>
      </c>
      <c r="B633" s="4" t="s">
        <v>138</v>
      </c>
      <c r="C633" s="4" t="s">
        <v>898</v>
      </c>
      <c r="D633" s="4">
        <v>1</v>
      </c>
      <c r="E633" s="6">
        <v>27000</v>
      </c>
      <c r="F633" t="str">
        <f>VLOOKUP(C633,menu!A:B,2,FALSE)</f>
        <v>Ayam Geprek Sambal Bawang</v>
      </c>
      <c r="G633">
        <f t="shared" si="18"/>
        <v>27000</v>
      </c>
      <c r="H633">
        <f>VLOOKUP(C633,menu!A:E,4,FALSE)</f>
        <v>11000</v>
      </c>
      <c r="I633">
        <f t="shared" si="19"/>
        <v>16000</v>
      </c>
    </row>
    <row r="634" spans="1:9" x14ac:dyDescent="0.35">
      <c r="A634" s="4" t="s">
        <v>1544</v>
      </c>
      <c r="B634" s="4" t="s">
        <v>138</v>
      </c>
      <c r="C634" s="4" t="s">
        <v>937</v>
      </c>
      <c r="D634" s="4">
        <v>1</v>
      </c>
      <c r="E634" s="6">
        <v>26000</v>
      </c>
      <c r="F634" t="str">
        <f>VLOOKUP(C634,menu!A:B,2,FALSE)</f>
        <v>Nasi Campur Bali</v>
      </c>
      <c r="G634">
        <f t="shared" si="18"/>
        <v>26000</v>
      </c>
      <c r="H634">
        <f>VLOOKUP(C634,menu!A:E,4,FALSE)</f>
        <v>11500</v>
      </c>
      <c r="I634">
        <f t="shared" si="19"/>
        <v>14500</v>
      </c>
    </row>
    <row r="635" spans="1:9" x14ac:dyDescent="0.35">
      <c r="A635" s="4" t="s">
        <v>1545</v>
      </c>
      <c r="B635" s="4" t="s">
        <v>282</v>
      </c>
      <c r="C635" s="4" t="s">
        <v>896</v>
      </c>
      <c r="D635" s="4">
        <v>2</v>
      </c>
      <c r="E635" s="6">
        <v>23000</v>
      </c>
      <c r="F635" t="str">
        <f>VLOOKUP(C635,menu!A:B,2,FALSE)</f>
        <v>Nasi Uduk Komplit</v>
      </c>
      <c r="G635">
        <f t="shared" si="18"/>
        <v>46000</v>
      </c>
      <c r="H635">
        <f>VLOOKUP(C635,menu!A:E,4,FALSE)</f>
        <v>9000</v>
      </c>
      <c r="I635">
        <f t="shared" si="19"/>
        <v>28000</v>
      </c>
    </row>
    <row r="636" spans="1:9" x14ac:dyDescent="0.35">
      <c r="A636" s="4" t="s">
        <v>1546</v>
      </c>
      <c r="B636" s="4" t="s">
        <v>282</v>
      </c>
      <c r="C636" s="4" t="s">
        <v>955</v>
      </c>
      <c r="D636" s="4">
        <v>1</v>
      </c>
      <c r="E636" s="6">
        <v>15000</v>
      </c>
      <c r="F636" t="str">
        <f>VLOOKUP(C636,menu!A:B,2,FALSE)</f>
        <v>Es Campur</v>
      </c>
      <c r="G636">
        <f t="shared" si="18"/>
        <v>15000</v>
      </c>
      <c r="H636">
        <f>VLOOKUP(C636,menu!A:E,4,FALSE)</f>
        <v>6000</v>
      </c>
      <c r="I636">
        <f t="shared" si="19"/>
        <v>9000</v>
      </c>
    </row>
    <row r="637" spans="1:9" x14ac:dyDescent="0.35">
      <c r="A637" s="4" t="s">
        <v>1547</v>
      </c>
      <c r="B637" s="4" t="s">
        <v>282</v>
      </c>
      <c r="C637" s="4" t="s">
        <v>898</v>
      </c>
      <c r="D637" s="4">
        <v>1</v>
      </c>
      <c r="E637" s="6">
        <v>27000</v>
      </c>
      <c r="F637" t="str">
        <f>VLOOKUP(C637,menu!A:B,2,FALSE)</f>
        <v>Ayam Geprek Sambal Bawang</v>
      </c>
      <c r="G637">
        <f t="shared" si="18"/>
        <v>27000</v>
      </c>
      <c r="H637">
        <f>VLOOKUP(C637,menu!A:E,4,FALSE)</f>
        <v>11000</v>
      </c>
      <c r="I637">
        <f t="shared" si="19"/>
        <v>16000</v>
      </c>
    </row>
    <row r="638" spans="1:9" x14ac:dyDescent="0.35">
      <c r="A638" s="4" t="s">
        <v>1548</v>
      </c>
      <c r="B638" s="4" t="s">
        <v>564</v>
      </c>
      <c r="C638" s="4" t="s">
        <v>904</v>
      </c>
      <c r="D638" s="4">
        <v>2</v>
      </c>
      <c r="E638" s="6">
        <v>22000</v>
      </c>
      <c r="F638" t="str">
        <f>VLOOKUP(C638,menu!A:B,2,FALSE)</f>
        <v>Pecel Lele</v>
      </c>
      <c r="G638">
        <f t="shared" si="18"/>
        <v>44000</v>
      </c>
      <c r="H638">
        <f>VLOOKUP(C638,menu!A:E,4,FALSE)</f>
        <v>9500</v>
      </c>
      <c r="I638">
        <f t="shared" si="19"/>
        <v>25000</v>
      </c>
    </row>
    <row r="639" spans="1:9" x14ac:dyDescent="0.35">
      <c r="A639" s="4" t="s">
        <v>1549</v>
      </c>
      <c r="B639" s="4" t="s">
        <v>564</v>
      </c>
      <c r="C639" s="4" t="s">
        <v>898</v>
      </c>
      <c r="D639" s="4">
        <v>1</v>
      </c>
      <c r="E639" s="6">
        <v>27000</v>
      </c>
      <c r="F639" t="str">
        <f>VLOOKUP(C639,menu!A:B,2,FALSE)</f>
        <v>Ayam Geprek Sambal Bawang</v>
      </c>
      <c r="G639">
        <f t="shared" si="18"/>
        <v>27000</v>
      </c>
      <c r="H639">
        <f>VLOOKUP(C639,menu!A:E,4,FALSE)</f>
        <v>11000</v>
      </c>
      <c r="I639">
        <f t="shared" si="19"/>
        <v>16000</v>
      </c>
    </row>
    <row r="640" spans="1:9" x14ac:dyDescent="0.35">
      <c r="A640" s="4" t="s">
        <v>1550</v>
      </c>
      <c r="B640" s="4" t="s">
        <v>602</v>
      </c>
      <c r="C640" s="4" t="s">
        <v>898</v>
      </c>
      <c r="D640" s="4">
        <v>1</v>
      </c>
      <c r="E640" s="6">
        <v>27000</v>
      </c>
      <c r="F640" t="str">
        <f>VLOOKUP(C640,menu!A:B,2,FALSE)</f>
        <v>Ayam Geprek Sambal Bawang</v>
      </c>
      <c r="G640">
        <f t="shared" si="18"/>
        <v>27000</v>
      </c>
      <c r="H640">
        <f>VLOOKUP(C640,menu!A:E,4,FALSE)</f>
        <v>11000</v>
      </c>
      <c r="I640">
        <f t="shared" si="19"/>
        <v>16000</v>
      </c>
    </row>
    <row r="641" spans="1:9" x14ac:dyDescent="0.35">
      <c r="A641" s="4" t="s">
        <v>1551</v>
      </c>
      <c r="B641" s="4" t="s">
        <v>602</v>
      </c>
      <c r="C641" s="4" t="s">
        <v>894</v>
      </c>
      <c r="D641" s="4">
        <v>1</v>
      </c>
      <c r="E641" s="6">
        <v>5000</v>
      </c>
      <c r="F641" t="str">
        <f>VLOOKUP(C641,menu!A:B,2,FALSE)</f>
        <v>Air Mineral Botol</v>
      </c>
      <c r="G641">
        <f t="shared" si="18"/>
        <v>5000</v>
      </c>
      <c r="H641">
        <f>VLOOKUP(C641,menu!A:E,4,FALSE)</f>
        <v>2000</v>
      </c>
      <c r="I641">
        <f t="shared" si="19"/>
        <v>3000</v>
      </c>
    </row>
    <row r="642" spans="1:9" x14ac:dyDescent="0.35">
      <c r="A642" s="4" t="s">
        <v>1552</v>
      </c>
      <c r="B642" s="4" t="s">
        <v>602</v>
      </c>
      <c r="C642" s="4" t="s">
        <v>890</v>
      </c>
      <c r="D642" s="4">
        <v>1</v>
      </c>
      <c r="E642" s="6">
        <v>18000</v>
      </c>
      <c r="F642" t="str">
        <f>VLOOKUP(C642,menu!A:B,2,FALSE)</f>
        <v>Es Kopi Susu Gula Aren</v>
      </c>
      <c r="G642">
        <f t="shared" si="18"/>
        <v>18000</v>
      </c>
      <c r="H642">
        <f>VLOOKUP(C642,menu!A:E,4,FALSE)</f>
        <v>4500</v>
      </c>
      <c r="I642">
        <f t="shared" si="19"/>
        <v>13500</v>
      </c>
    </row>
    <row r="643" spans="1:9" x14ac:dyDescent="0.35">
      <c r="A643" s="4" t="s">
        <v>1553</v>
      </c>
      <c r="B643" s="4" t="s">
        <v>522</v>
      </c>
      <c r="C643" s="4" t="s">
        <v>898</v>
      </c>
      <c r="D643" s="4">
        <v>2</v>
      </c>
      <c r="E643" s="6">
        <v>27000</v>
      </c>
      <c r="F643" t="str">
        <f>VLOOKUP(C643,menu!A:B,2,FALSE)</f>
        <v>Ayam Geprek Sambal Bawang</v>
      </c>
      <c r="G643">
        <f t="shared" ref="G643:G706" si="20">D643*E643</f>
        <v>54000</v>
      </c>
      <c r="H643">
        <f>VLOOKUP(C643,menu!A:E,4,FALSE)</f>
        <v>11000</v>
      </c>
      <c r="I643">
        <f t="shared" ref="I643:I706" si="21">(E643-H643)*D643</f>
        <v>32000</v>
      </c>
    </row>
    <row r="644" spans="1:9" x14ac:dyDescent="0.35">
      <c r="A644" s="4" t="s">
        <v>1554</v>
      </c>
      <c r="B644" s="4" t="s">
        <v>522</v>
      </c>
      <c r="C644" s="4" t="s">
        <v>919</v>
      </c>
      <c r="D644" s="4">
        <v>1</v>
      </c>
      <c r="E644" s="6">
        <v>20000</v>
      </c>
      <c r="F644" t="str">
        <f>VLOOKUP(C644,menu!A:B,2,FALSE)</f>
        <v>Gado-Gado Jakarta</v>
      </c>
      <c r="G644">
        <f t="shared" si="20"/>
        <v>20000</v>
      </c>
      <c r="H644">
        <f>VLOOKUP(C644,menu!A:E,4,FALSE)</f>
        <v>8000</v>
      </c>
      <c r="I644">
        <f t="shared" si="21"/>
        <v>12000</v>
      </c>
    </row>
    <row r="645" spans="1:9" x14ac:dyDescent="0.35">
      <c r="A645" s="4" t="s">
        <v>1555</v>
      </c>
      <c r="B645" s="4" t="s">
        <v>586</v>
      </c>
      <c r="C645" s="4" t="s">
        <v>898</v>
      </c>
      <c r="D645" s="4">
        <v>2</v>
      </c>
      <c r="E645" s="6">
        <v>27000</v>
      </c>
      <c r="F645" t="str">
        <f>VLOOKUP(C645,menu!A:B,2,FALSE)</f>
        <v>Ayam Geprek Sambal Bawang</v>
      </c>
      <c r="G645">
        <f t="shared" si="20"/>
        <v>54000</v>
      </c>
      <c r="H645">
        <f>VLOOKUP(C645,menu!A:E,4,FALSE)</f>
        <v>11000</v>
      </c>
      <c r="I645">
        <f t="shared" si="21"/>
        <v>32000</v>
      </c>
    </row>
    <row r="646" spans="1:9" x14ac:dyDescent="0.35">
      <c r="A646" s="4" t="s">
        <v>1556</v>
      </c>
      <c r="B646" s="4" t="s">
        <v>586</v>
      </c>
      <c r="C646" s="4" t="s">
        <v>894</v>
      </c>
      <c r="D646" s="4">
        <v>1</v>
      </c>
      <c r="E646" s="6">
        <v>5000</v>
      </c>
      <c r="F646" t="str">
        <f>VLOOKUP(C646,menu!A:B,2,FALSE)</f>
        <v>Air Mineral Botol</v>
      </c>
      <c r="G646">
        <f t="shared" si="20"/>
        <v>5000</v>
      </c>
      <c r="H646">
        <f>VLOOKUP(C646,menu!A:E,4,FALSE)</f>
        <v>2000</v>
      </c>
      <c r="I646">
        <f t="shared" si="21"/>
        <v>3000</v>
      </c>
    </row>
    <row r="647" spans="1:9" x14ac:dyDescent="0.35">
      <c r="A647" s="4" t="s">
        <v>1557</v>
      </c>
      <c r="B647" s="4" t="s">
        <v>586</v>
      </c>
      <c r="C647" s="4" t="s">
        <v>931</v>
      </c>
      <c r="D647" s="4">
        <v>3</v>
      </c>
      <c r="E647" s="6">
        <v>5000</v>
      </c>
      <c r="F647" t="str">
        <f>VLOOKUP(C647,menu!A:B,2,FALSE)</f>
        <v>Kerupuk Udang</v>
      </c>
      <c r="G647">
        <f t="shared" si="20"/>
        <v>15000</v>
      </c>
      <c r="H647">
        <f>VLOOKUP(C647,menu!A:E,4,FALSE)</f>
        <v>1500</v>
      </c>
      <c r="I647">
        <f t="shared" si="21"/>
        <v>10500</v>
      </c>
    </row>
    <row r="648" spans="1:9" x14ac:dyDescent="0.35">
      <c r="A648" s="4" t="s">
        <v>1558</v>
      </c>
      <c r="B648" s="4" t="s">
        <v>586</v>
      </c>
      <c r="C648" s="4" t="s">
        <v>1003</v>
      </c>
      <c r="D648" s="4">
        <v>1</v>
      </c>
      <c r="E648" s="6">
        <v>29000</v>
      </c>
      <c r="F648" t="str">
        <f>VLOOKUP(C648,menu!A:B,2,FALSE)</f>
        <v>Capcay Seafood</v>
      </c>
      <c r="G648">
        <f t="shared" si="20"/>
        <v>29000</v>
      </c>
      <c r="H648">
        <f>VLOOKUP(C648,menu!A:E,4,FALSE)</f>
        <v>13000</v>
      </c>
      <c r="I648">
        <f t="shared" si="21"/>
        <v>16000</v>
      </c>
    </row>
    <row r="649" spans="1:9" x14ac:dyDescent="0.35">
      <c r="A649" s="4" t="s">
        <v>1559</v>
      </c>
      <c r="B649" s="4" t="s">
        <v>110</v>
      </c>
      <c r="C649" s="4" t="s">
        <v>902</v>
      </c>
      <c r="D649" s="4">
        <v>1</v>
      </c>
      <c r="E649" s="6">
        <v>12000</v>
      </c>
      <c r="F649" t="str">
        <f>VLOOKUP(C649,menu!A:B,2,FALSE)</f>
        <v>Teh Tarik</v>
      </c>
      <c r="G649">
        <f t="shared" si="20"/>
        <v>12000</v>
      </c>
      <c r="H649">
        <f>VLOOKUP(C649,menu!A:E,4,FALSE)</f>
        <v>3000</v>
      </c>
      <c r="I649">
        <f t="shared" si="21"/>
        <v>9000</v>
      </c>
    </row>
    <row r="650" spans="1:9" x14ac:dyDescent="0.35">
      <c r="A650" s="4" t="s">
        <v>1560</v>
      </c>
      <c r="B650" s="4" t="s">
        <v>110</v>
      </c>
      <c r="C650" s="4" t="s">
        <v>1003</v>
      </c>
      <c r="D650" s="4">
        <v>1</v>
      </c>
      <c r="E650" s="6">
        <v>29000</v>
      </c>
      <c r="F650" t="str">
        <f>VLOOKUP(C650,menu!A:B,2,FALSE)</f>
        <v>Capcay Seafood</v>
      </c>
      <c r="G650">
        <f t="shared" si="20"/>
        <v>29000</v>
      </c>
      <c r="H650">
        <f>VLOOKUP(C650,menu!A:E,4,FALSE)</f>
        <v>13000</v>
      </c>
      <c r="I650">
        <f t="shared" si="21"/>
        <v>16000</v>
      </c>
    </row>
    <row r="651" spans="1:9" x14ac:dyDescent="0.35">
      <c r="A651" s="4" t="s">
        <v>1561</v>
      </c>
      <c r="B651" s="4" t="s">
        <v>114</v>
      </c>
      <c r="C651" s="4" t="s">
        <v>898</v>
      </c>
      <c r="D651" s="4">
        <v>1</v>
      </c>
      <c r="E651" s="6">
        <v>27000</v>
      </c>
      <c r="F651" t="str">
        <f>VLOOKUP(C651,menu!A:B,2,FALSE)</f>
        <v>Ayam Geprek Sambal Bawang</v>
      </c>
      <c r="G651">
        <f t="shared" si="20"/>
        <v>27000</v>
      </c>
      <c r="H651">
        <f>VLOOKUP(C651,menu!A:E,4,FALSE)</f>
        <v>11000</v>
      </c>
      <c r="I651">
        <f t="shared" si="21"/>
        <v>16000</v>
      </c>
    </row>
    <row r="652" spans="1:9" x14ac:dyDescent="0.35">
      <c r="A652" s="4" t="s">
        <v>1562</v>
      </c>
      <c r="B652" s="4" t="s">
        <v>467</v>
      </c>
      <c r="C652" s="4" t="s">
        <v>937</v>
      </c>
      <c r="D652" s="4">
        <v>1</v>
      </c>
      <c r="E652" s="6">
        <v>26000</v>
      </c>
      <c r="F652" t="str">
        <f>VLOOKUP(C652,menu!A:B,2,FALSE)</f>
        <v>Nasi Campur Bali</v>
      </c>
      <c r="G652">
        <f t="shared" si="20"/>
        <v>26000</v>
      </c>
      <c r="H652">
        <f>VLOOKUP(C652,menu!A:E,4,FALSE)</f>
        <v>11500</v>
      </c>
      <c r="I652">
        <f t="shared" si="21"/>
        <v>14500</v>
      </c>
    </row>
    <row r="653" spans="1:9" x14ac:dyDescent="0.35">
      <c r="A653" s="4" t="s">
        <v>1563</v>
      </c>
      <c r="B653" s="4" t="s">
        <v>467</v>
      </c>
      <c r="C653" s="4" t="s">
        <v>894</v>
      </c>
      <c r="D653" s="4">
        <v>1</v>
      </c>
      <c r="E653" s="6">
        <v>5000</v>
      </c>
      <c r="F653" t="str">
        <f>VLOOKUP(C653,menu!A:B,2,FALSE)</f>
        <v>Air Mineral Botol</v>
      </c>
      <c r="G653">
        <f t="shared" si="20"/>
        <v>5000</v>
      </c>
      <c r="H653">
        <f>VLOOKUP(C653,menu!A:E,4,FALSE)</f>
        <v>2000</v>
      </c>
      <c r="I653">
        <f t="shared" si="21"/>
        <v>3000</v>
      </c>
    </row>
    <row r="654" spans="1:9" x14ac:dyDescent="0.35">
      <c r="A654" s="4" t="s">
        <v>1564</v>
      </c>
      <c r="B654" s="4" t="s">
        <v>467</v>
      </c>
      <c r="C654" s="4" t="s">
        <v>935</v>
      </c>
      <c r="D654" s="4">
        <v>1</v>
      </c>
      <c r="E654" s="6">
        <v>22000</v>
      </c>
      <c r="F654" t="str">
        <f>VLOOKUP(C654,menu!A:B,2,FALSE)</f>
        <v>Soto Ayam Lamongan</v>
      </c>
      <c r="G654">
        <f t="shared" si="20"/>
        <v>22000</v>
      </c>
      <c r="H654">
        <f>VLOOKUP(C654,menu!A:E,4,FALSE)</f>
        <v>9500</v>
      </c>
      <c r="I654">
        <f t="shared" si="21"/>
        <v>12500</v>
      </c>
    </row>
    <row r="655" spans="1:9" x14ac:dyDescent="0.35">
      <c r="A655" s="4" t="s">
        <v>1565</v>
      </c>
      <c r="B655" s="4" t="s">
        <v>467</v>
      </c>
      <c r="C655" s="4" t="s">
        <v>898</v>
      </c>
      <c r="D655" s="4">
        <v>1</v>
      </c>
      <c r="E655" s="6">
        <v>27000</v>
      </c>
      <c r="F655" t="str">
        <f>VLOOKUP(C655,menu!A:B,2,FALSE)</f>
        <v>Ayam Geprek Sambal Bawang</v>
      </c>
      <c r="G655">
        <f t="shared" si="20"/>
        <v>27000</v>
      </c>
      <c r="H655">
        <f>VLOOKUP(C655,menu!A:E,4,FALSE)</f>
        <v>11000</v>
      </c>
      <c r="I655">
        <f t="shared" si="21"/>
        <v>16000</v>
      </c>
    </row>
    <row r="656" spans="1:9" x14ac:dyDescent="0.35">
      <c r="A656" s="4" t="s">
        <v>1566</v>
      </c>
      <c r="B656" s="4" t="s">
        <v>467</v>
      </c>
      <c r="C656" s="4" t="s">
        <v>955</v>
      </c>
      <c r="D656" s="4">
        <v>1</v>
      </c>
      <c r="E656" s="6">
        <v>15000</v>
      </c>
      <c r="F656" t="str">
        <f>VLOOKUP(C656,menu!A:B,2,FALSE)</f>
        <v>Es Campur</v>
      </c>
      <c r="G656">
        <f t="shared" si="20"/>
        <v>15000</v>
      </c>
      <c r="H656">
        <f>VLOOKUP(C656,menu!A:E,4,FALSE)</f>
        <v>6000</v>
      </c>
      <c r="I656">
        <f t="shared" si="21"/>
        <v>9000</v>
      </c>
    </row>
    <row r="657" spans="1:9" x14ac:dyDescent="0.35">
      <c r="A657" s="4" t="s">
        <v>1567</v>
      </c>
      <c r="B657" s="4" t="s">
        <v>82</v>
      </c>
      <c r="C657" s="4" t="s">
        <v>898</v>
      </c>
      <c r="D657" s="4">
        <v>1</v>
      </c>
      <c r="E657" s="6">
        <v>27000</v>
      </c>
      <c r="F657" t="str">
        <f>VLOOKUP(C657,menu!A:B,2,FALSE)</f>
        <v>Ayam Geprek Sambal Bawang</v>
      </c>
      <c r="G657">
        <f t="shared" si="20"/>
        <v>27000</v>
      </c>
      <c r="H657">
        <f>VLOOKUP(C657,menu!A:E,4,FALSE)</f>
        <v>11000</v>
      </c>
      <c r="I657">
        <f t="shared" si="21"/>
        <v>16000</v>
      </c>
    </row>
    <row r="658" spans="1:9" x14ac:dyDescent="0.35">
      <c r="A658" s="4" t="s">
        <v>1568</v>
      </c>
      <c r="B658" s="4" t="s">
        <v>82</v>
      </c>
      <c r="C658" s="4" t="s">
        <v>937</v>
      </c>
      <c r="D658" s="4">
        <v>1</v>
      </c>
      <c r="E658" s="6">
        <v>26000</v>
      </c>
      <c r="F658" t="str">
        <f>VLOOKUP(C658,menu!A:B,2,FALSE)</f>
        <v>Nasi Campur Bali</v>
      </c>
      <c r="G658">
        <f t="shared" si="20"/>
        <v>26000</v>
      </c>
      <c r="H658">
        <f>VLOOKUP(C658,menu!A:E,4,FALSE)</f>
        <v>11500</v>
      </c>
      <c r="I658">
        <f t="shared" si="21"/>
        <v>14500</v>
      </c>
    </row>
    <row r="659" spans="1:9" x14ac:dyDescent="0.35">
      <c r="A659" s="4" t="s">
        <v>1569</v>
      </c>
      <c r="B659" s="4" t="s">
        <v>854</v>
      </c>
      <c r="C659" s="4" t="s">
        <v>898</v>
      </c>
      <c r="D659" s="4">
        <v>1</v>
      </c>
      <c r="E659" s="6">
        <v>27000</v>
      </c>
      <c r="F659" t="str">
        <f>VLOOKUP(C659,menu!A:B,2,FALSE)</f>
        <v>Ayam Geprek Sambal Bawang</v>
      </c>
      <c r="G659">
        <f t="shared" si="20"/>
        <v>27000</v>
      </c>
      <c r="H659">
        <f>VLOOKUP(C659,menu!A:E,4,FALSE)</f>
        <v>11000</v>
      </c>
      <c r="I659">
        <f t="shared" si="21"/>
        <v>16000</v>
      </c>
    </row>
    <row r="660" spans="1:9" x14ac:dyDescent="0.35">
      <c r="A660" s="4" t="s">
        <v>1570</v>
      </c>
      <c r="B660" s="4" t="s">
        <v>854</v>
      </c>
      <c r="C660" s="4" t="s">
        <v>896</v>
      </c>
      <c r="D660" s="4">
        <v>1</v>
      </c>
      <c r="E660" s="6">
        <v>23000</v>
      </c>
      <c r="F660" t="str">
        <f>VLOOKUP(C660,menu!A:B,2,FALSE)</f>
        <v>Nasi Uduk Komplit</v>
      </c>
      <c r="G660">
        <f t="shared" si="20"/>
        <v>23000</v>
      </c>
      <c r="H660">
        <f>VLOOKUP(C660,menu!A:E,4,FALSE)</f>
        <v>9000</v>
      </c>
      <c r="I660">
        <f t="shared" si="21"/>
        <v>14000</v>
      </c>
    </row>
    <row r="661" spans="1:9" x14ac:dyDescent="0.35">
      <c r="A661" s="4" t="s">
        <v>1571</v>
      </c>
      <c r="B661" s="4" t="s">
        <v>396</v>
      </c>
      <c r="C661" s="4" t="s">
        <v>892</v>
      </c>
      <c r="D661" s="4">
        <v>1</v>
      </c>
      <c r="E661" s="6">
        <v>9000</v>
      </c>
      <c r="F661" t="str">
        <f>VLOOKUP(C661,menu!A:B,2,FALSE)</f>
        <v>Tempe Mendoan (5pcs)</v>
      </c>
      <c r="G661">
        <f t="shared" si="20"/>
        <v>9000</v>
      </c>
      <c r="H661">
        <f>VLOOKUP(C661,menu!A:E,4,FALSE)</f>
        <v>3000</v>
      </c>
      <c r="I661">
        <f t="shared" si="21"/>
        <v>6000</v>
      </c>
    </row>
    <row r="662" spans="1:9" x14ac:dyDescent="0.35">
      <c r="A662" s="4" t="s">
        <v>1572</v>
      </c>
      <c r="B662" s="4" t="s">
        <v>396</v>
      </c>
      <c r="C662" s="4" t="s">
        <v>896</v>
      </c>
      <c r="D662" s="4">
        <v>1</v>
      </c>
      <c r="E662" s="6">
        <v>23000</v>
      </c>
      <c r="F662" t="str">
        <f>VLOOKUP(C662,menu!A:B,2,FALSE)</f>
        <v>Nasi Uduk Komplit</v>
      </c>
      <c r="G662">
        <f t="shared" si="20"/>
        <v>23000</v>
      </c>
      <c r="H662">
        <f>VLOOKUP(C662,menu!A:E,4,FALSE)</f>
        <v>9000</v>
      </c>
      <c r="I662">
        <f t="shared" si="21"/>
        <v>14000</v>
      </c>
    </row>
    <row r="663" spans="1:9" x14ac:dyDescent="0.35">
      <c r="A663" s="4" t="s">
        <v>1573</v>
      </c>
      <c r="B663" s="4" t="s">
        <v>396</v>
      </c>
      <c r="C663" s="4" t="s">
        <v>894</v>
      </c>
      <c r="D663" s="4">
        <v>1</v>
      </c>
      <c r="E663" s="6">
        <v>5000</v>
      </c>
      <c r="F663" t="str">
        <f>VLOOKUP(C663,menu!A:B,2,FALSE)</f>
        <v>Air Mineral Botol</v>
      </c>
      <c r="G663">
        <f t="shared" si="20"/>
        <v>5000</v>
      </c>
      <c r="H663">
        <f>VLOOKUP(C663,menu!A:E,4,FALSE)</f>
        <v>2000</v>
      </c>
      <c r="I663">
        <f t="shared" si="21"/>
        <v>3000</v>
      </c>
    </row>
    <row r="664" spans="1:9" x14ac:dyDescent="0.35">
      <c r="A664" s="4" t="s">
        <v>1574</v>
      </c>
      <c r="B664" s="4" t="s">
        <v>396</v>
      </c>
      <c r="C664" s="4" t="s">
        <v>1059</v>
      </c>
      <c r="D664" s="4">
        <v>1</v>
      </c>
      <c r="E664" s="6">
        <v>6000</v>
      </c>
      <c r="F664" t="str">
        <f>VLOOKUP(C664,menu!A:B,2,FALSE)</f>
        <v>Es Teh Manis</v>
      </c>
      <c r="G664">
        <f t="shared" si="20"/>
        <v>6000</v>
      </c>
      <c r="H664">
        <f>VLOOKUP(C664,menu!A:E,4,FALSE)</f>
        <v>1500</v>
      </c>
      <c r="I664">
        <f t="shared" si="21"/>
        <v>4500</v>
      </c>
    </row>
    <row r="665" spans="1:9" x14ac:dyDescent="0.35">
      <c r="A665" s="4" t="s">
        <v>1575</v>
      </c>
      <c r="B665" s="4" t="s">
        <v>744</v>
      </c>
      <c r="C665" s="4" t="s">
        <v>898</v>
      </c>
      <c r="D665" s="4">
        <v>1</v>
      </c>
      <c r="E665" s="6">
        <v>27000</v>
      </c>
      <c r="F665" t="str">
        <f>VLOOKUP(C665,menu!A:B,2,FALSE)</f>
        <v>Ayam Geprek Sambal Bawang</v>
      </c>
      <c r="G665">
        <f t="shared" si="20"/>
        <v>27000</v>
      </c>
      <c r="H665">
        <f>VLOOKUP(C665,menu!A:E,4,FALSE)</f>
        <v>11000</v>
      </c>
      <c r="I665">
        <f t="shared" si="21"/>
        <v>16000</v>
      </c>
    </row>
    <row r="666" spans="1:9" x14ac:dyDescent="0.35">
      <c r="A666" s="4" t="s">
        <v>1576</v>
      </c>
      <c r="B666" s="4" t="s">
        <v>744</v>
      </c>
      <c r="C666" s="4" t="s">
        <v>896</v>
      </c>
      <c r="D666" s="4">
        <v>1</v>
      </c>
      <c r="E666" s="6">
        <v>23000</v>
      </c>
      <c r="F666" t="str">
        <f>VLOOKUP(C666,menu!A:B,2,FALSE)</f>
        <v>Nasi Uduk Komplit</v>
      </c>
      <c r="G666">
        <f t="shared" si="20"/>
        <v>23000</v>
      </c>
      <c r="H666">
        <f>VLOOKUP(C666,menu!A:E,4,FALSE)</f>
        <v>9000</v>
      </c>
      <c r="I666">
        <f t="shared" si="21"/>
        <v>14000</v>
      </c>
    </row>
    <row r="667" spans="1:9" x14ac:dyDescent="0.35">
      <c r="A667" s="4" t="s">
        <v>1577</v>
      </c>
      <c r="B667" s="4" t="s">
        <v>744</v>
      </c>
      <c r="C667" s="4" t="s">
        <v>890</v>
      </c>
      <c r="D667" s="4">
        <v>2</v>
      </c>
      <c r="E667" s="6">
        <v>18000</v>
      </c>
      <c r="F667" t="str">
        <f>VLOOKUP(C667,menu!A:B,2,FALSE)</f>
        <v>Es Kopi Susu Gula Aren</v>
      </c>
      <c r="G667">
        <f t="shared" si="20"/>
        <v>36000</v>
      </c>
      <c r="H667">
        <f>VLOOKUP(C667,menu!A:E,4,FALSE)</f>
        <v>4500</v>
      </c>
      <c r="I667">
        <f t="shared" si="21"/>
        <v>27000</v>
      </c>
    </row>
    <row r="668" spans="1:9" x14ac:dyDescent="0.35">
      <c r="A668" s="4" t="s">
        <v>1578</v>
      </c>
      <c r="B668" s="4" t="s">
        <v>118</v>
      </c>
      <c r="C668" s="4" t="s">
        <v>955</v>
      </c>
      <c r="D668" s="4">
        <v>1</v>
      </c>
      <c r="E668" s="6">
        <v>15000</v>
      </c>
      <c r="F668" t="str">
        <f>VLOOKUP(C668,menu!A:B,2,FALSE)</f>
        <v>Es Campur</v>
      </c>
      <c r="G668">
        <f t="shared" si="20"/>
        <v>15000</v>
      </c>
      <c r="H668">
        <f>VLOOKUP(C668,menu!A:E,4,FALSE)</f>
        <v>6000</v>
      </c>
      <c r="I668">
        <f t="shared" si="21"/>
        <v>9000</v>
      </c>
    </row>
    <row r="669" spans="1:9" x14ac:dyDescent="0.35">
      <c r="A669" s="4" t="s">
        <v>1579</v>
      </c>
      <c r="B669" s="4" t="s">
        <v>176</v>
      </c>
      <c r="C669" s="4" t="s">
        <v>896</v>
      </c>
      <c r="D669" s="4">
        <v>1</v>
      </c>
      <c r="E669" s="6">
        <v>23000</v>
      </c>
      <c r="F669" t="str">
        <f>VLOOKUP(C669,menu!A:B,2,FALSE)</f>
        <v>Nasi Uduk Komplit</v>
      </c>
      <c r="G669">
        <f t="shared" si="20"/>
        <v>23000</v>
      </c>
      <c r="H669">
        <f>VLOOKUP(C669,menu!A:E,4,FALSE)</f>
        <v>9000</v>
      </c>
      <c r="I669">
        <f t="shared" si="21"/>
        <v>14000</v>
      </c>
    </row>
    <row r="670" spans="1:9" x14ac:dyDescent="0.35">
      <c r="A670" s="4" t="s">
        <v>1580</v>
      </c>
      <c r="B670" s="4" t="s">
        <v>176</v>
      </c>
      <c r="C670" s="4" t="s">
        <v>892</v>
      </c>
      <c r="D670" s="4">
        <v>1</v>
      </c>
      <c r="E670" s="6">
        <v>9000</v>
      </c>
      <c r="F670" t="str">
        <f>VLOOKUP(C670,menu!A:B,2,FALSE)</f>
        <v>Tempe Mendoan (5pcs)</v>
      </c>
      <c r="G670">
        <f t="shared" si="20"/>
        <v>9000</v>
      </c>
      <c r="H670">
        <f>VLOOKUP(C670,menu!A:E,4,FALSE)</f>
        <v>3000</v>
      </c>
      <c r="I670">
        <f t="shared" si="21"/>
        <v>6000</v>
      </c>
    </row>
    <row r="671" spans="1:9" x14ac:dyDescent="0.35">
      <c r="A671" s="4" t="s">
        <v>1581</v>
      </c>
      <c r="B671" s="4" t="s">
        <v>176</v>
      </c>
      <c r="C671" s="4" t="s">
        <v>900</v>
      </c>
      <c r="D671" s="4">
        <v>2</v>
      </c>
      <c r="E671" s="6">
        <v>8000</v>
      </c>
      <c r="F671" t="str">
        <f>VLOOKUP(C671,menu!A:B,2,FALSE)</f>
        <v>Es Jeruk Peras</v>
      </c>
      <c r="G671">
        <f t="shared" si="20"/>
        <v>16000</v>
      </c>
      <c r="H671">
        <f>VLOOKUP(C671,menu!A:E,4,FALSE)</f>
        <v>2500</v>
      </c>
      <c r="I671">
        <f t="shared" si="21"/>
        <v>11000</v>
      </c>
    </row>
    <row r="672" spans="1:9" x14ac:dyDescent="0.35">
      <c r="A672" s="4" t="s">
        <v>1582</v>
      </c>
      <c r="B672" s="4" t="s">
        <v>176</v>
      </c>
      <c r="C672" s="4" t="s">
        <v>937</v>
      </c>
      <c r="D672" s="4">
        <v>1</v>
      </c>
      <c r="E672" s="6">
        <v>26000</v>
      </c>
      <c r="F672" t="str">
        <f>VLOOKUP(C672,menu!A:B,2,FALSE)</f>
        <v>Nasi Campur Bali</v>
      </c>
      <c r="G672">
        <f t="shared" si="20"/>
        <v>26000</v>
      </c>
      <c r="H672">
        <f>VLOOKUP(C672,menu!A:E,4,FALSE)</f>
        <v>11500</v>
      </c>
      <c r="I672">
        <f t="shared" si="21"/>
        <v>14500</v>
      </c>
    </row>
    <row r="673" spans="1:9" x14ac:dyDescent="0.35">
      <c r="A673" s="4" t="s">
        <v>1583</v>
      </c>
      <c r="B673" s="4" t="s">
        <v>552</v>
      </c>
      <c r="C673" s="4" t="s">
        <v>906</v>
      </c>
      <c r="D673" s="4">
        <v>2</v>
      </c>
      <c r="E673" s="6">
        <v>28000</v>
      </c>
      <c r="F673" t="str">
        <f>VLOOKUP(C673,menu!A:B,2,FALSE)</f>
        <v>Sate Ayam 10 Tusuk</v>
      </c>
      <c r="G673">
        <f t="shared" si="20"/>
        <v>56000</v>
      </c>
      <c r="H673">
        <f>VLOOKUP(C673,menu!A:E,4,FALSE)</f>
        <v>12000</v>
      </c>
      <c r="I673">
        <f t="shared" si="21"/>
        <v>32000</v>
      </c>
    </row>
    <row r="674" spans="1:9" x14ac:dyDescent="0.35">
      <c r="A674" s="4" t="s">
        <v>1584</v>
      </c>
      <c r="B674" s="4" t="s">
        <v>552</v>
      </c>
      <c r="C674" s="4" t="s">
        <v>890</v>
      </c>
      <c r="D674" s="4">
        <v>1</v>
      </c>
      <c r="E674" s="6">
        <v>18000</v>
      </c>
      <c r="F674" t="str">
        <f>VLOOKUP(C674,menu!A:B,2,FALSE)</f>
        <v>Es Kopi Susu Gula Aren</v>
      </c>
      <c r="G674">
        <f t="shared" si="20"/>
        <v>18000</v>
      </c>
      <c r="H674">
        <f>VLOOKUP(C674,menu!A:E,4,FALSE)</f>
        <v>4500</v>
      </c>
      <c r="I674">
        <f t="shared" si="21"/>
        <v>13500</v>
      </c>
    </row>
    <row r="675" spans="1:9" x14ac:dyDescent="0.35">
      <c r="A675" s="4" t="s">
        <v>1585</v>
      </c>
      <c r="B675" s="4" t="s">
        <v>636</v>
      </c>
      <c r="C675" s="4" t="s">
        <v>892</v>
      </c>
      <c r="D675" s="4">
        <v>2</v>
      </c>
      <c r="E675" s="6">
        <v>9000</v>
      </c>
      <c r="F675" t="str">
        <f>VLOOKUP(C675,menu!A:B,2,FALSE)</f>
        <v>Tempe Mendoan (5pcs)</v>
      </c>
      <c r="G675">
        <f t="shared" si="20"/>
        <v>18000</v>
      </c>
      <c r="H675">
        <f>VLOOKUP(C675,menu!A:E,4,FALSE)</f>
        <v>3000</v>
      </c>
      <c r="I675">
        <f t="shared" si="21"/>
        <v>12000</v>
      </c>
    </row>
    <row r="676" spans="1:9" x14ac:dyDescent="0.35">
      <c r="A676" s="4" t="s">
        <v>1586</v>
      </c>
      <c r="B676" s="4" t="s">
        <v>636</v>
      </c>
      <c r="C676" s="4" t="s">
        <v>955</v>
      </c>
      <c r="D676" s="4">
        <v>1</v>
      </c>
      <c r="E676" s="6">
        <v>15000</v>
      </c>
      <c r="F676" t="str">
        <f>VLOOKUP(C676,menu!A:B,2,FALSE)</f>
        <v>Es Campur</v>
      </c>
      <c r="G676">
        <f t="shared" si="20"/>
        <v>15000</v>
      </c>
      <c r="H676">
        <f>VLOOKUP(C676,menu!A:E,4,FALSE)</f>
        <v>6000</v>
      </c>
      <c r="I676">
        <f t="shared" si="21"/>
        <v>9000</v>
      </c>
    </row>
    <row r="677" spans="1:9" x14ac:dyDescent="0.35">
      <c r="A677" s="4" t="s">
        <v>1587</v>
      </c>
      <c r="B677" s="4" t="s">
        <v>636</v>
      </c>
      <c r="C677" s="4" t="s">
        <v>937</v>
      </c>
      <c r="D677" s="4">
        <v>1</v>
      </c>
      <c r="E677" s="6">
        <v>26000</v>
      </c>
      <c r="F677" t="str">
        <f>VLOOKUP(C677,menu!A:B,2,FALSE)</f>
        <v>Nasi Campur Bali</v>
      </c>
      <c r="G677">
        <f t="shared" si="20"/>
        <v>26000</v>
      </c>
      <c r="H677">
        <f>VLOOKUP(C677,menu!A:E,4,FALSE)</f>
        <v>11500</v>
      </c>
      <c r="I677">
        <f t="shared" si="21"/>
        <v>14500</v>
      </c>
    </row>
    <row r="678" spans="1:9" x14ac:dyDescent="0.35">
      <c r="A678" s="4" t="s">
        <v>1588</v>
      </c>
      <c r="B678" s="4" t="s">
        <v>636</v>
      </c>
      <c r="C678" s="4" t="s">
        <v>890</v>
      </c>
      <c r="D678" s="4">
        <v>1</v>
      </c>
      <c r="E678" s="6">
        <v>18000</v>
      </c>
      <c r="F678" t="str">
        <f>VLOOKUP(C678,menu!A:B,2,FALSE)</f>
        <v>Es Kopi Susu Gula Aren</v>
      </c>
      <c r="G678">
        <f t="shared" si="20"/>
        <v>18000</v>
      </c>
      <c r="H678">
        <f>VLOOKUP(C678,menu!A:E,4,FALSE)</f>
        <v>4500</v>
      </c>
      <c r="I678">
        <f t="shared" si="21"/>
        <v>13500</v>
      </c>
    </row>
    <row r="679" spans="1:9" x14ac:dyDescent="0.35">
      <c r="A679" s="4" t="s">
        <v>1589</v>
      </c>
      <c r="B679" s="4" t="s">
        <v>585</v>
      </c>
      <c r="C679" s="4" t="s">
        <v>908</v>
      </c>
      <c r="D679" s="4">
        <v>1</v>
      </c>
      <c r="E679" s="6">
        <v>16000</v>
      </c>
      <c r="F679" t="str">
        <f>VLOOKUP(C679,menu!A:B,2,FALSE)</f>
        <v>Jus Alpukat</v>
      </c>
      <c r="G679">
        <f t="shared" si="20"/>
        <v>16000</v>
      </c>
      <c r="H679">
        <f>VLOOKUP(C679,menu!A:E,4,FALSE)</f>
        <v>5500</v>
      </c>
      <c r="I679">
        <f t="shared" si="21"/>
        <v>10500</v>
      </c>
    </row>
    <row r="680" spans="1:9" x14ac:dyDescent="0.35">
      <c r="A680" s="4" t="s">
        <v>1590</v>
      </c>
      <c r="B680" s="4" t="s">
        <v>746</v>
      </c>
      <c r="C680" s="4" t="s">
        <v>890</v>
      </c>
      <c r="D680" s="4">
        <v>1</v>
      </c>
      <c r="E680" s="6">
        <v>18000</v>
      </c>
      <c r="F680" t="str">
        <f>VLOOKUP(C680,menu!A:B,2,FALSE)</f>
        <v>Es Kopi Susu Gula Aren</v>
      </c>
      <c r="G680">
        <f t="shared" si="20"/>
        <v>18000</v>
      </c>
      <c r="H680">
        <f>VLOOKUP(C680,menu!A:E,4,FALSE)</f>
        <v>4500</v>
      </c>
      <c r="I680">
        <f t="shared" si="21"/>
        <v>13500</v>
      </c>
    </row>
    <row r="681" spans="1:9" x14ac:dyDescent="0.35">
      <c r="A681" s="4" t="s">
        <v>1591</v>
      </c>
      <c r="B681" s="4" t="s">
        <v>746</v>
      </c>
      <c r="C681" s="4" t="s">
        <v>898</v>
      </c>
      <c r="D681" s="4">
        <v>3</v>
      </c>
      <c r="E681" s="6">
        <v>27000</v>
      </c>
      <c r="F681" t="str">
        <f>VLOOKUP(C681,menu!A:B,2,FALSE)</f>
        <v>Ayam Geprek Sambal Bawang</v>
      </c>
      <c r="G681">
        <f t="shared" si="20"/>
        <v>81000</v>
      </c>
      <c r="H681">
        <f>VLOOKUP(C681,menu!A:E,4,FALSE)</f>
        <v>11000</v>
      </c>
      <c r="I681">
        <f t="shared" si="21"/>
        <v>48000</v>
      </c>
    </row>
    <row r="682" spans="1:9" x14ac:dyDescent="0.35">
      <c r="A682" s="4" t="s">
        <v>1592</v>
      </c>
      <c r="B682" s="4" t="s">
        <v>746</v>
      </c>
      <c r="C682" s="4" t="s">
        <v>1003</v>
      </c>
      <c r="D682" s="4">
        <v>1</v>
      </c>
      <c r="E682" s="6">
        <v>29000</v>
      </c>
      <c r="F682" t="str">
        <f>VLOOKUP(C682,menu!A:B,2,FALSE)</f>
        <v>Capcay Seafood</v>
      </c>
      <c r="G682">
        <f t="shared" si="20"/>
        <v>29000</v>
      </c>
      <c r="H682">
        <f>VLOOKUP(C682,menu!A:E,4,FALSE)</f>
        <v>13000</v>
      </c>
      <c r="I682">
        <f t="shared" si="21"/>
        <v>16000</v>
      </c>
    </row>
    <row r="683" spans="1:9" x14ac:dyDescent="0.35">
      <c r="A683" s="4" t="s">
        <v>1593</v>
      </c>
      <c r="B683" s="4" t="s">
        <v>504</v>
      </c>
      <c r="C683" s="4" t="s">
        <v>1019</v>
      </c>
      <c r="D683" s="4">
        <v>2</v>
      </c>
      <c r="E683" s="6">
        <v>21000</v>
      </c>
      <c r="F683" t="str">
        <f>VLOOKUP(C683,menu!A:B,2,FALSE)</f>
        <v>Bakso Urat Spesial</v>
      </c>
      <c r="G683">
        <f t="shared" si="20"/>
        <v>42000</v>
      </c>
      <c r="H683">
        <f>VLOOKUP(C683,menu!A:E,4,FALSE)</f>
        <v>8500</v>
      </c>
      <c r="I683">
        <f t="shared" si="21"/>
        <v>25000</v>
      </c>
    </row>
    <row r="684" spans="1:9" x14ac:dyDescent="0.35">
      <c r="A684" s="4" t="s">
        <v>1594</v>
      </c>
      <c r="B684" s="4" t="s">
        <v>504</v>
      </c>
      <c r="C684" s="4" t="s">
        <v>898</v>
      </c>
      <c r="D684" s="4">
        <v>1</v>
      </c>
      <c r="E684" s="6">
        <v>27000</v>
      </c>
      <c r="F684" t="str">
        <f>VLOOKUP(C684,menu!A:B,2,FALSE)</f>
        <v>Ayam Geprek Sambal Bawang</v>
      </c>
      <c r="G684">
        <f t="shared" si="20"/>
        <v>27000</v>
      </c>
      <c r="H684">
        <f>VLOOKUP(C684,menu!A:E,4,FALSE)</f>
        <v>11000</v>
      </c>
      <c r="I684">
        <f t="shared" si="21"/>
        <v>16000</v>
      </c>
    </row>
    <row r="685" spans="1:9" x14ac:dyDescent="0.35">
      <c r="A685" s="4" t="s">
        <v>1595</v>
      </c>
      <c r="B685" s="4" t="s">
        <v>504</v>
      </c>
      <c r="C685" s="4" t="s">
        <v>937</v>
      </c>
      <c r="D685" s="4">
        <v>1</v>
      </c>
      <c r="E685" s="6">
        <v>26000</v>
      </c>
      <c r="F685" t="str">
        <f>VLOOKUP(C685,menu!A:B,2,FALSE)</f>
        <v>Nasi Campur Bali</v>
      </c>
      <c r="G685">
        <f t="shared" si="20"/>
        <v>26000</v>
      </c>
      <c r="H685">
        <f>VLOOKUP(C685,menu!A:E,4,FALSE)</f>
        <v>11500</v>
      </c>
      <c r="I685">
        <f t="shared" si="21"/>
        <v>14500</v>
      </c>
    </row>
    <row r="686" spans="1:9" x14ac:dyDescent="0.35">
      <c r="A686" s="4" t="s">
        <v>1596</v>
      </c>
      <c r="B686" s="4" t="s">
        <v>528</v>
      </c>
      <c r="C686" s="4" t="s">
        <v>890</v>
      </c>
      <c r="D686" s="4">
        <v>1</v>
      </c>
      <c r="E686" s="6">
        <v>18000</v>
      </c>
      <c r="F686" t="str">
        <f>VLOOKUP(C686,menu!A:B,2,FALSE)</f>
        <v>Es Kopi Susu Gula Aren</v>
      </c>
      <c r="G686">
        <f t="shared" si="20"/>
        <v>18000</v>
      </c>
      <c r="H686">
        <f>VLOOKUP(C686,menu!A:E,4,FALSE)</f>
        <v>4500</v>
      </c>
      <c r="I686">
        <f t="shared" si="21"/>
        <v>13500</v>
      </c>
    </row>
    <row r="687" spans="1:9" x14ac:dyDescent="0.35">
      <c r="A687" s="4" t="s">
        <v>1597</v>
      </c>
      <c r="B687" s="4" t="s">
        <v>528</v>
      </c>
      <c r="C687" s="4" t="s">
        <v>898</v>
      </c>
      <c r="D687" s="4">
        <v>1</v>
      </c>
      <c r="E687" s="6">
        <v>27000</v>
      </c>
      <c r="F687" t="str">
        <f>VLOOKUP(C687,menu!A:B,2,FALSE)</f>
        <v>Ayam Geprek Sambal Bawang</v>
      </c>
      <c r="G687">
        <f t="shared" si="20"/>
        <v>27000</v>
      </c>
      <c r="H687">
        <f>VLOOKUP(C687,menu!A:E,4,FALSE)</f>
        <v>11000</v>
      </c>
      <c r="I687">
        <f t="shared" si="21"/>
        <v>16000</v>
      </c>
    </row>
    <row r="688" spans="1:9" x14ac:dyDescent="0.35">
      <c r="A688" s="4" t="s">
        <v>1598</v>
      </c>
      <c r="B688" s="4" t="s">
        <v>613</v>
      </c>
      <c r="C688" s="4" t="s">
        <v>898</v>
      </c>
      <c r="D688" s="4">
        <v>1</v>
      </c>
      <c r="E688" s="6">
        <v>27000</v>
      </c>
      <c r="F688" t="str">
        <f>VLOOKUP(C688,menu!A:B,2,FALSE)</f>
        <v>Ayam Geprek Sambal Bawang</v>
      </c>
      <c r="G688">
        <f t="shared" si="20"/>
        <v>27000</v>
      </c>
      <c r="H688">
        <f>VLOOKUP(C688,menu!A:E,4,FALSE)</f>
        <v>11000</v>
      </c>
      <c r="I688">
        <f t="shared" si="21"/>
        <v>16000</v>
      </c>
    </row>
    <row r="689" spans="1:9" x14ac:dyDescent="0.35">
      <c r="A689" s="4" t="s">
        <v>1599</v>
      </c>
      <c r="B689" s="4" t="s">
        <v>358</v>
      </c>
      <c r="C689" s="4" t="s">
        <v>908</v>
      </c>
      <c r="D689" s="4">
        <v>1</v>
      </c>
      <c r="E689" s="6">
        <v>16000</v>
      </c>
      <c r="F689" t="str">
        <f>VLOOKUP(C689,menu!A:B,2,FALSE)</f>
        <v>Jus Alpukat</v>
      </c>
      <c r="G689">
        <f t="shared" si="20"/>
        <v>16000</v>
      </c>
      <c r="H689">
        <f>VLOOKUP(C689,menu!A:E,4,FALSE)</f>
        <v>5500</v>
      </c>
      <c r="I689">
        <f t="shared" si="21"/>
        <v>10500</v>
      </c>
    </row>
    <row r="690" spans="1:9" x14ac:dyDescent="0.35">
      <c r="A690" s="4" t="s">
        <v>1600</v>
      </c>
      <c r="B690" s="4" t="s">
        <v>156</v>
      </c>
      <c r="C690" s="4" t="s">
        <v>892</v>
      </c>
      <c r="D690" s="4">
        <v>1</v>
      </c>
      <c r="E690" s="6">
        <v>9000</v>
      </c>
      <c r="F690" t="str">
        <f>VLOOKUP(C690,menu!A:B,2,FALSE)</f>
        <v>Tempe Mendoan (5pcs)</v>
      </c>
      <c r="G690">
        <f t="shared" si="20"/>
        <v>9000</v>
      </c>
      <c r="H690">
        <f>VLOOKUP(C690,menu!A:E,4,FALSE)</f>
        <v>3000</v>
      </c>
      <c r="I690">
        <f t="shared" si="21"/>
        <v>6000</v>
      </c>
    </row>
    <row r="691" spans="1:9" x14ac:dyDescent="0.35">
      <c r="A691" s="4" t="s">
        <v>1601</v>
      </c>
      <c r="B691" s="4" t="s">
        <v>565</v>
      </c>
      <c r="C691" s="4" t="s">
        <v>1003</v>
      </c>
      <c r="D691" s="4">
        <v>1</v>
      </c>
      <c r="E691" s="6">
        <v>29000</v>
      </c>
      <c r="F691" t="str">
        <f>VLOOKUP(C691,menu!A:B,2,FALSE)</f>
        <v>Capcay Seafood</v>
      </c>
      <c r="G691">
        <f t="shared" si="20"/>
        <v>29000</v>
      </c>
      <c r="H691">
        <f>VLOOKUP(C691,menu!A:E,4,FALSE)</f>
        <v>13000</v>
      </c>
      <c r="I691">
        <f t="shared" si="21"/>
        <v>16000</v>
      </c>
    </row>
    <row r="692" spans="1:9" x14ac:dyDescent="0.35">
      <c r="A692" s="4" t="s">
        <v>1602</v>
      </c>
      <c r="B692" s="4" t="s">
        <v>565</v>
      </c>
      <c r="C692" s="4" t="s">
        <v>955</v>
      </c>
      <c r="D692" s="4">
        <v>1</v>
      </c>
      <c r="E692" s="6">
        <v>15000</v>
      </c>
      <c r="F692" t="str">
        <f>VLOOKUP(C692,menu!A:B,2,FALSE)</f>
        <v>Es Campur</v>
      </c>
      <c r="G692">
        <f t="shared" si="20"/>
        <v>15000</v>
      </c>
      <c r="H692">
        <f>VLOOKUP(C692,menu!A:E,4,FALSE)</f>
        <v>6000</v>
      </c>
      <c r="I692">
        <f t="shared" si="21"/>
        <v>9000</v>
      </c>
    </row>
    <row r="693" spans="1:9" x14ac:dyDescent="0.35">
      <c r="A693" s="4" t="s">
        <v>1603</v>
      </c>
      <c r="B693" s="4" t="s">
        <v>541</v>
      </c>
      <c r="C693" s="4" t="s">
        <v>898</v>
      </c>
      <c r="D693" s="4">
        <v>1</v>
      </c>
      <c r="E693" s="6">
        <v>27000</v>
      </c>
      <c r="F693" t="str">
        <f>VLOOKUP(C693,menu!A:B,2,FALSE)</f>
        <v>Ayam Geprek Sambal Bawang</v>
      </c>
      <c r="G693">
        <f t="shared" si="20"/>
        <v>27000</v>
      </c>
      <c r="H693">
        <f>VLOOKUP(C693,menu!A:E,4,FALSE)</f>
        <v>11000</v>
      </c>
      <c r="I693">
        <f t="shared" si="21"/>
        <v>16000</v>
      </c>
    </row>
    <row r="694" spans="1:9" x14ac:dyDescent="0.35">
      <c r="A694" s="4" t="s">
        <v>1604</v>
      </c>
      <c r="B694" s="4" t="s">
        <v>541</v>
      </c>
      <c r="C694" s="4" t="s">
        <v>894</v>
      </c>
      <c r="D694" s="4">
        <v>2</v>
      </c>
      <c r="E694" s="6">
        <v>5000</v>
      </c>
      <c r="F694" t="str">
        <f>VLOOKUP(C694,menu!A:B,2,FALSE)</f>
        <v>Air Mineral Botol</v>
      </c>
      <c r="G694">
        <f t="shared" si="20"/>
        <v>10000</v>
      </c>
      <c r="H694">
        <f>VLOOKUP(C694,menu!A:E,4,FALSE)</f>
        <v>2000</v>
      </c>
      <c r="I694">
        <f t="shared" si="21"/>
        <v>6000</v>
      </c>
    </row>
    <row r="695" spans="1:9" x14ac:dyDescent="0.35">
      <c r="A695" s="4" t="s">
        <v>1605</v>
      </c>
      <c r="B695" s="4" t="s">
        <v>541</v>
      </c>
      <c r="C695" s="4" t="s">
        <v>1059</v>
      </c>
      <c r="D695" s="4">
        <v>1</v>
      </c>
      <c r="E695" s="6">
        <v>6000</v>
      </c>
      <c r="F695" t="str">
        <f>VLOOKUP(C695,menu!A:B,2,FALSE)</f>
        <v>Es Teh Manis</v>
      </c>
      <c r="G695">
        <f t="shared" si="20"/>
        <v>6000</v>
      </c>
      <c r="H695">
        <f>VLOOKUP(C695,menu!A:E,4,FALSE)</f>
        <v>1500</v>
      </c>
      <c r="I695">
        <f t="shared" si="21"/>
        <v>4500</v>
      </c>
    </row>
    <row r="696" spans="1:9" x14ac:dyDescent="0.35">
      <c r="A696" s="4" t="s">
        <v>1606</v>
      </c>
      <c r="B696" s="4" t="s">
        <v>541</v>
      </c>
      <c r="C696" s="4" t="s">
        <v>892</v>
      </c>
      <c r="D696" s="4">
        <v>2</v>
      </c>
      <c r="E696" s="6">
        <v>9000</v>
      </c>
      <c r="F696" t="str">
        <f>VLOOKUP(C696,menu!A:B,2,FALSE)</f>
        <v>Tempe Mendoan (5pcs)</v>
      </c>
      <c r="G696">
        <f t="shared" si="20"/>
        <v>18000</v>
      </c>
      <c r="H696">
        <f>VLOOKUP(C696,menu!A:E,4,FALSE)</f>
        <v>3000</v>
      </c>
      <c r="I696">
        <f t="shared" si="21"/>
        <v>12000</v>
      </c>
    </row>
    <row r="697" spans="1:9" x14ac:dyDescent="0.35">
      <c r="A697" s="4" t="s">
        <v>1607</v>
      </c>
      <c r="B697" s="4" t="s">
        <v>831</v>
      </c>
      <c r="C697" s="4" t="s">
        <v>898</v>
      </c>
      <c r="D697" s="4">
        <v>1</v>
      </c>
      <c r="E697" s="6">
        <v>27000</v>
      </c>
      <c r="F697" t="str">
        <f>VLOOKUP(C697,menu!A:B,2,FALSE)</f>
        <v>Ayam Geprek Sambal Bawang</v>
      </c>
      <c r="G697">
        <f t="shared" si="20"/>
        <v>27000</v>
      </c>
      <c r="H697">
        <f>VLOOKUP(C697,menu!A:E,4,FALSE)</f>
        <v>11000</v>
      </c>
      <c r="I697">
        <f t="shared" si="21"/>
        <v>16000</v>
      </c>
    </row>
    <row r="698" spans="1:9" x14ac:dyDescent="0.35">
      <c r="A698" s="4" t="s">
        <v>1608</v>
      </c>
      <c r="B698" s="4" t="s">
        <v>831</v>
      </c>
      <c r="C698" s="4" t="s">
        <v>908</v>
      </c>
      <c r="D698" s="4">
        <v>1</v>
      </c>
      <c r="E698" s="6">
        <v>16000</v>
      </c>
      <c r="F698" t="str">
        <f>VLOOKUP(C698,menu!A:B,2,FALSE)</f>
        <v>Jus Alpukat</v>
      </c>
      <c r="G698">
        <f t="shared" si="20"/>
        <v>16000</v>
      </c>
      <c r="H698">
        <f>VLOOKUP(C698,menu!A:E,4,FALSE)</f>
        <v>5500</v>
      </c>
      <c r="I698">
        <f t="shared" si="21"/>
        <v>10500</v>
      </c>
    </row>
    <row r="699" spans="1:9" x14ac:dyDescent="0.35">
      <c r="A699" s="4" t="s">
        <v>1609</v>
      </c>
      <c r="B699" s="4" t="s">
        <v>821</v>
      </c>
      <c r="C699" s="4" t="s">
        <v>937</v>
      </c>
      <c r="D699" s="4">
        <v>1</v>
      </c>
      <c r="E699" s="6">
        <v>26000</v>
      </c>
      <c r="F699" t="str">
        <f>VLOOKUP(C699,menu!A:B,2,FALSE)</f>
        <v>Nasi Campur Bali</v>
      </c>
      <c r="G699">
        <f t="shared" si="20"/>
        <v>26000</v>
      </c>
      <c r="H699">
        <f>VLOOKUP(C699,menu!A:E,4,FALSE)</f>
        <v>11500</v>
      </c>
      <c r="I699">
        <f t="shared" si="21"/>
        <v>14500</v>
      </c>
    </row>
    <row r="700" spans="1:9" x14ac:dyDescent="0.35">
      <c r="A700" s="4" t="s">
        <v>1610</v>
      </c>
      <c r="B700" s="4" t="s">
        <v>821</v>
      </c>
      <c r="C700" s="4" t="s">
        <v>919</v>
      </c>
      <c r="D700" s="4">
        <v>1</v>
      </c>
      <c r="E700" s="6">
        <v>20000</v>
      </c>
      <c r="F700" t="str">
        <f>VLOOKUP(C700,menu!A:B,2,FALSE)</f>
        <v>Gado-Gado Jakarta</v>
      </c>
      <c r="G700">
        <f t="shared" si="20"/>
        <v>20000</v>
      </c>
      <c r="H700">
        <f>VLOOKUP(C700,menu!A:E,4,FALSE)</f>
        <v>8000</v>
      </c>
      <c r="I700">
        <f t="shared" si="21"/>
        <v>12000</v>
      </c>
    </row>
    <row r="701" spans="1:9" x14ac:dyDescent="0.35">
      <c r="A701" s="4" t="s">
        <v>1611</v>
      </c>
      <c r="B701" s="4" t="s">
        <v>821</v>
      </c>
      <c r="C701" s="4" t="s">
        <v>898</v>
      </c>
      <c r="D701" s="4">
        <v>1</v>
      </c>
      <c r="E701" s="6">
        <v>27000</v>
      </c>
      <c r="F701" t="str">
        <f>VLOOKUP(C701,menu!A:B,2,FALSE)</f>
        <v>Ayam Geprek Sambal Bawang</v>
      </c>
      <c r="G701">
        <f t="shared" si="20"/>
        <v>27000</v>
      </c>
      <c r="H701">
        <f>VLOOKUP(C701,menu!A:E,4,FALSE)</f>
        <v>11000</v>
      </c>
      <c r="I701">
        <f t="shared" si="21"/>
        <v>16000</v>
      </c>
    </row>
    <row r="702" spans="1:9" x14ac:dyDescent="0.35">
      <c r="A702" s="4" t="s">
        <v>1612</v>
      </c>
      <c r="B702" s="4" t="s">
        <v>389</v>
      </c>
      <c r="C702" s="4" t="s">
        <v>898</v>
      </c>
      <c r="D702" s="4">
        <v>1</v>
      </c>
      <c r="E702" s="6">
        <v>27000</v>
      </c>
      <c r="F702" t="str">
        <f>VLOOKUP(C702,menu!A:B,2,FALSE)</f>
        <v>Ayam Geprek Sambal Bawang</v>
      </c>
      <c r="G702">
        <f t="shared" si="20"/>
        <v>27000</v>
      </c>
      <c r="H702">
        <f>VLOOKUP(C702,menu!A:E,4,FALSE)</f>
        <v>11000</v>
      </c>
      <c r="I702">
        <f t="shared" si="21"/>
        <v>16000</v>
      </c>
    </row>
    <row r="703" spans="1:9" x14ac:dyDescent="0.35">
      <c r="A703" s="4" t="s">
        <v>1613</v>
      </c>
      <c r="B703" s="4" t="s">
        <v>389</v>
      </c>
      <c r="C703" s="4" t="s">
        <v>955</v>
      </c>
      <c r="D703" s="4">
        <v>3</v>
      </c>
      <c r="E703" s="6">
        <v>15000</v>
      </c>
      <c r="F703" t="str">
        <f>VLOOKUP(C703,menu!A:B,2,FALSE)</f>
        <v>Es Campur</v>
      </c>
      <c r="G703">
        <f t="shared" si="20"/>
        <v>45000</v>
      </c>
      <c r="H703">
        <f>VLOOKUP(C703,menu!A:E,4,FALSE)</f>
        <v>6000</v>
      </c>
      <c r="I703">
        <f t="shared" si="21"/>
        <v>27000</v>
      </c>
    </row>
    <row r="704" spans="1:9" x14ac:dyDescent="0.35">
      <c r="A704" s="4" t="s">
        <v>1614</v>
      </c>
      <c r="B704" s="4" t="s">
        <v>389</v>
      </c>
      <c r="C704" s="4" t="s">
        <v>935</v>
      </c>
      <c r="D704" s="4">
        <v>1</v>
      </c>
      <c r="E704" s="6">
        <v>22000</v>
      </c>
      <c r="F704" t="str">
        <f>VLOOKUP(C704,menu!A:B,2,FALSE)</f>
        <v>Soto Ayam Lamongan</v>
      </c>
      <c r="G704">
        <f t="shared" si="20"/>
        <v>22000</v>
      </c>
      <c r="H704">
        <f>VLOOKUP(C704,menu!A:E,4,FALSE)</f>
        <v>9500</v>
      </c>
      <c r="I704">
        <f t="shared" si="21"/>
        <v>12500</v>
      </c>
    </row>
    <row r="705" spans="1:9" x14ac:dyDescent="0.35">
      <c r="A705" s="4" t="s">
        <v>1615</v>
      </c>
      <c r="B705" s="4" t="s">
        <v>365</v>
      </c>
      <c r="C705" s="4" t="s">
        <v>898</v>
      </c>
      <c r="D705" s="4">
        <v>1</v>
      </c>
      <c r="E705" s="6">
        <v>27000</v>
      </c>
      <c r="F705" t="str">
        <f>VLOOKUP(C705,menu!A:B,2,FALSE)</f>
        <v>Ayam Geprek Sambal Bawang</v>
      </c>
      <c r="G705">
        <f t="shared" si="20"/>
        <v>27000</v>
      </c>
      <c r="H705">
        <f>VLOOKUP(C705,menu!A:E,4,FALSE)</f>
        <v>11000</v>
      </c>
      <c r="I705">
        <f t="shared" si="21"/>
        <v>16000</v>
      </c>
    </row>
    <row r="706" spans="1:9" x14ac:dyDescent="0.35">
      <c r="A706" s="4" t="s">
        <v>1616</v>
      </c>
      <c r="B706" s="4" t="s">
        <v>365</v>
      </c>
      <c r="C706" s="4" t="s">
        <v>1003</v>
      </c>
      <c r="D706" s="4">
        <v>3</v>
      </c>
      <c r="E706" s="6">
        <v>29000</v>
      </c>
      <c r="F706" t="str">
        <f>VLOOKUP(C706,menu!A:B,2,FALSE)</f>
        <v>Capcay Seafood</v>
      </c>
      <c r="G706">
        <f t="shared" si="20"/>
        <v>87000</v>
      </c>
      <c r="H706">
        <f>VLOOKUP(C706,menu!A:E,4,FALSE)</f>
        <v>13000</v>
      </c>
      <c r="I706">
        <f t="shared" si="21"/>
        <v>48000</v>
      </c>
    </row>
    <row r="707" spans="1:9" x14ac:dyDescent="0.35">
      <c r="A707" s="4" t="s">
        <v>1617</v>
      </c>
      <c r="B707" s="4" t="s">
        <v>365</v>
      </c>
      <c r="C707" s="4" t="s">
        <v>908</v>
      </c>
      <c r="D707" s="4">
        <v>1</v>
      </c>
      <c r="E707" s="6">
        <v>16000</v>
      </c>
      <c r="F707" t="str">
        <f>VLOOKUP(C707,menu!A:B,2,FALSE)</f>
        <v>Jus Alpukat</v>
      </c>
      <c r="G707">
        <f t="shared" ref="G707:G770" si="22">D707*E707</f>
        <v>16000</v>
      </c>
      <c r="H707">
        <f>VLOOKUP(C707,menu!A:E,4,FALSE)</f>
        <v>5500</v>
      </c>
      <c r="I707">
        <f t="shared" ref="I707:I770" si="23">(E707-H707)*D707</f>
        <v>10500</v>
      </c>
    </row>
    <row r="708" spans="1:9" x14ac:dyDescent="0.35">
      <c r="A708" s="4" t="s">
        <v>1618</v>
      </c>
      <c r="B708" s="4" t="s">
        <v>365</v>
      </c>
      <c r="C708" s="4" t="s">
        <v>919</v>
      </c>
      <c r="D708" s="4">
        <v>1</v>
      </c>
      <c r="E708" s="6">
        <v>20000</v>
      </c>
      <c r="F708" t="str">
        <f>VLOOKUP(C708,menu!A:B,2,FALSE)</f>
        <v>Gado-Gado Jakarta</v>
      </c>
      <c r="G708">
        <f t="shared" si="22"/>
        <v>20000</v>
      </c>
      <c r="H708">
        <f>VLOOKUP(C708,menu!A:E,4,FALSE)</f>
        <v>8000</v>
      </c>
      <c r="I708">
        <f t="shared" si="23"/>
        <v>12000</v>
      </c>
    </row>
    <row r="709" spans="1:9" x14ac:dyDescent="0.35">
      <c r="A709" s="4" t="s">
        <v>1619</v>
      </c>
      <c r="B709" s="4" t="s">
        <v>355</v>
      </c>
      <c r="C709" s="4" t="s">
        <v>898</v>
      </c>
      <c r="D709" s="4">
        <v>2</v>
      </c>
      <c r="E709" s="6">
        <v>27000</v>
      </c>
      <c r="F709" t="str">
        <f>VLOOKUP(C709,menu!A:B,2,FALSE)</f>
        <v>Ayam Geprek Sambal Bawang</v>
      </c>
      <c r="G709">
        <f t="shared" si="22"/>
        <v>54000</v>
      </c>
      <c r="H709">
        <f>VLOOKUP(C709,menu!A:E,4,FALSE)</f>
        <v>11000</v>
      </c>
      <c r="I709">
        <f t="shared" si="23"/>
        <v>32000</v>
      </c>
    </row>
    <row r="710" spans="1:9" x14ac:dyDescent="0.35">
      <c r="A710" s="4" t="s">
        <v>1620</v>
      </c>
      <c r="B710" s="4" t="s">
        <v>272</v>
      </c>
      <c r="C710" s="4" t="s">
        <v>935</v>
      </c>
      <c r="D710" s="4">
        <v>1</v>
      </c>
      <c r="E710" s="6">
        <v>22000</v>
      </c>
      <c r="F710" t="str">
        <f>VLOOKUP(C710,menu!A:B,2,FALSE)</f>
        <v>Soto Ayam Lamongan</v>
      </c>
      <c r="G710">
        <f t="shared" si="22"/>
        <v>22000</v>
      </c>
      <c r="H710">
        <f>VLOOKUP(C710,menu!A:E,4,FALSE)</f>
        <v>9500</v>
      </c>
      <c r="I710">
        <f t="shared" si="23"/>
        <v>12500</v>
      </c>
    </row>
    <row r="711" spans="1:9" x14ac:dyDescent="0.35">
      <c r="A711" s="4" t="s">
        <v>1621</v>
      </c>
      <c r="B711" s="4" t="s">
        <v>272</v>
      </c>
      <c r="C711" s="4" t="s">
        <v>898</v>
      </c>
      <c r="D711" s="4">
        <v>2</v>
      </c>
      <c r="E711" s="6">
        <v>27000</v>
      </c>
      <c r="F711" t="str">
        <f>VLOOKUP(C711,menu!A:B,2,FALSE)</f>
        <v>Ayam Geprek Sambal Bawang</v>
      </c>
      <c r="G711">
        <f t="shared" si="22"/>
        <v>54000</v>
      </c>
      <c r="H711">
        <f>VLOOKUP(C711,menu!A:E,4,FALSE)</f>
        <v>11000</v>
      </c>
      <c r="I711">
        <f t="shared" si="23"/>
        <v>32000</v>
      </c>
    </row>
    <row r="712" spans="1:9" x14ac:dyDescent="0.35">
      <c r="A712" s="4" t="s">
        <v>1622</v>
      </c>
      <c r="B712" s="4" t="s">
        <v>272</v>
      </c>
      <c r="C712" s="4" t="s">
        <v>890</v>
      </c>
      <c r="D712" s="4">
        <v>1</v>
      </c>
      <c r="E712" s="6">
        <v>18000</v>
      </c>
      <c r="F712" t="str">
        <f>VLOOKUP(C712,menu!A:B,2,FALSE)</f>
        <v>Es Kopi Susu Gula Aren</v>
      </c>
      <c r="G712">
        <f t="shared" si="22"/>
        <v>18000</v>
      </c>
      <c r="H712">
        <f>VLOOKUP(C712,menu!A:E,4,FALSE)</f>
        <v>4500</v>
      </c>
      <c r="I712">
        <f t="shared" si="23"/>
        <v>13500</v>
      </c>
    </row>
    <row r="713" spans="1:9" x14ac:dyDescent="0.35">
      <c r="A713" s="4" t="s">
        <v>1623</v>
      </c>
      <c r="B713" s="4" t="s">
        <v>380</v>
      </c>
      <c r="C713" s="4" t="s">
        <v>890</v>
      </c>
      <c r="D713" s="4">
        <v>1</v>
      </c>
      <c r="E713" s="6">
        <v>18000</v>
      </c>
      <c r="F713" t="str">
        <f>VLOOKUP(C713,menu!A:B,2,FALSE)</f>
        <v>Es Kopi Susu Gula Aren</v>
      </c>
      <c r="G713">
        <f t="shared" si="22"/>
        <v>18000</v>
      </c>
      <c r="H713">
        <f>VLOOKUP(C713,menu!A:E,4,FALSE)</f>
        <v>4500</v>
      </c>
      <c r="I713">
        <f t="shared" si="23"/>
        <v>13500</v>
      </c>
    </row>
    <row r="714" spans="1:9" x14ac:dyDescent="0.35">
      <c r="A714" s="4" t="s">
        <v>1624</v>
      </c>
      <c r="B714" s="4" t="s">
        <v>380</v>
      </c>
      <c r="C714" s="4" t="s">
        <v>898</v>
      </c>
      <c r="D714" s="4">
        <v>1</v>
      </c>
      <c r="E714" s="6">
        <v>27000</v>
      </c>
      <c r="F714" t="str">
        <f>VLOOKUP(C714,menu!A:B,2,FALSE)</f>
        <v>Ayam Geprek Sambal Bawang</v>
      </c>
      <c r="G714">
        <f t="shared" si="22"/>
        <v>27000</v>
      </c>
      <c r="H714">
        <f>VLOOKUP(C714,menu!A:E,4,FALSE)</f>
        <v>11000</v>
      </c>
      <c r="I714">
        <f t="shared" si="23"/>
        <v>16000</v>
      </c>
    </row>
    <row r="715" spans="1:9" x14ac:dyDescent="0.35">
      <c r="A715" s="4" t="s">
        <v>1625</v>
      </c>
      <c r="B715" s="4" t="s">
        <v>380</v>
      </c>
      <c r="C715" s="4" t="s">
        <v>1019</v>
      </c>
      <c r="D715" s="4">
        <v>2</v>
      </c>
      <c r="E715" s="6">
        <v>21000</v>
      </c>
      <c r="F715" t="str">
        <f>VLOOKUP(C715,menu!A:B,2,FALSE)</f>
        <v>Bakso Urat Spesial</v>
      </c>
      <c r="G715">
        <f t="shared" si="22"/>
        <v>42000</v>
      </c>
      <c r="H715">
        <f>VLOOKUP(C715,menu!A:E,4,FALSE)</f>
        <v>8500</v>
      </c>
      <c r="I715">
        <f t="shared" si="23"/>
        <v>25000</v>
      </c>
    </row>
    <row r="716" spans="1:9" x14ac:dyDescent="0.35">
      <c r="A716" s="4" t="s">
        <v>1626</v>
      </c>
      <c r="B716" s="4" t="s">
        <v>380</v>
      </c>
      <c r="C716" s="4" t="s">
        <v>916</v>
      </c>
      <c r="D716" s="4">
        <v>3</v>
      </c>
      <c r="E716" s="6">
        <v>9000</v>
      </c>
      <c r="F716" t="str">
        <f>VLOOKUP(C716,menu!A:B,2,FALSE)</f>
        <v>Kopi Hitam Tubruk</v>
      </c>
      <c r="G716">
        <f t="shared" si="22"/>
        <v>27000</v>
      </c>
      <c r="H716">
        <f>VLOOKUP(C716,menu!A:E,4,FALSE)</f>
        <v>2000</v>
      </c>
      <c r="I716">
        <f t="shared" si="23"/>
        <v>21000</v>
      </c>
    </row>
    <row r="717" spans="1:9" x14ac:dyDescent="0.35">
      <c r="A717" s="4" t="s">
        <v>1627</v>
      </c>
      <c r="B717" s="4" t="s">
        <v>273</v>
      </c>
      <c r="C717" s="4" t="s">
        <v>1059</v>
      </c>
      <c r="D717" s="4">
        <v>1</v>
      </c>
      <c r="E717" s="6">
        <v>6000</v>
      </c>
      <c r="F717" t="str">
        <f>VLOOKUP(C717,menu!A:B,2,FALSE)</f>
        <v>Es Teh Manis</v>
      </c>
      <c r="G717">
        <f t="shared" si="22"/>
        <v>6000</v>
      </c>
      <c r="H717">
        <f>VLOOKUP(C717,menu!A:E,4,FALSE)</f>
        <v>1500</v>
      </c>
      <c r="I717">
        <f t="shared" si="23"/>
        <v>4500</v>
      </c>
    </row>
    <row r="718" spans="1:9" x14ac:dyDescent="0.35">
      <c r="A718" s="4" t="s">
        <v>1628</v>
      </c>
      <c r="B718" s="4" t="s">
        <v>650</v>
      </c>
      <c r="C718" s="4" t="s">
        <v>894</v>
      </c>
      <c r="D718" s="4">
        <v>1</v>
      </c>
      <c r="E718" s="6">
        <v>5000</v>
      </c>
      <c r="F718" t="str">
        <f>VLOOKUP(C718,menu!A:B,2,FALSE)</f>
        <v>Air Mineral Botol</v>
      </c>
      <c r="G718">
        <f t="shared" si="22"/>
        <v>5000</v>
      </c>
      <c r="H718">
        <f>VLOOKUP(C718,menu!A:E,4,FALSE)</f>
        <v>2000</v>
      </c>
      <c r="I718">
        <f t="shared" si="23"/>
        <v>3000</v>
      </c>
    </row>
    <row r="719" spans="1:9" x14ac:dyDescent="0.35">
      <c r="A719" s="4" t="s">
        <v>1629</v>
      </c>
      <c r="B719" s="4" t="s">
        <v>650</v>
      </c>
      <c r="C719" s="4" t="s">
        <v>919</v>
      </c>
      <c r="D719" s="4">
        <v>1</v>
      </c>
      <c r="E719" s="6">
        <v>20000</v>
      </c>
      <c r="F719" t="str">
        <f>VLOOKUP(C719,menu!A:B,2,FALSE)</f>
        <v>Gado-Gado Jakarta</v>
      </c>
      <c r="G719">
        <f t="shared" si="22"/>
        <v>20000</v>
      </c>
      <c r="H719">
        <f>VLOOKUP(C719,menu!A:E,4,FALSE)</f>
        <v>8000</v>
      </c>
      <c r="I719">
        <f t="shared" si="23"/>
        <v>12000</v>
      </c>
    </row>
    <row r="720" spans="1:9" x14ac:dyDescent="0.35">
      <c r="A720" s="4" t="s">
        <v>1630</v>
      </c>
      <c r="B720" s="4" t="s">
        <v>162</v>
      </c>
      <c r="C720" s="4" t="s">
        <v>937</v>
      </c>
      <c r="D720" s="4">
        <v>1</v>
      </c>
      <c r="E720" s="6">
        <v>26000</v>
      </c>
      <c r="F720" t="str">
        <f>VLOOKUP(C720,menu!A:B,2,FALSE)</f>
        <v>Nasi Campur Bali</v>
      </c>
      <c r="G720">
        <f t="shared" si="22"/>
        <v>26000</v>
      </c>
      <c r="H720">
        <f>VLOOKUP(C720,menu!A:E,4,FALSE)</f>
        <v>11500</v>
      </c>
      <c r="I720">
        <f t="shared" si="23"/>
        <v>14500</v>
      </c>
    </row>
    <row r="721" spans="1:9" x14ac:dyDescent="0.35">
      <c r="A721" s="4" t="s">
        <v>1631</v>
      </c>
      <c r="B721" s="4" t="s">
        <v>162</v>
      </c>
      <c r="C721" s="4" t="s">
        <v>892</v>
      </c>
      <c r="D721" s="4">
        <v>1</v>
      </c>
      <c r="E721" s="6">
        <v>9000</v>
      </c>
      <c r="F721" t="str">
        <f>VLOOKUP(C721,menu!A:B,2,FALSE)</f>
        <v>Tempe Mendoan (5pcs)</v>
      </c>
      <c r="G721">
        <f t="shared" si="22"/>
        <v>9000</v>
      </c>
      <c r="H721">
        <f>VLOOKUP(C721,menu!A:E,4,FALSE)</f>
        <v>3000</v>
      </c>
      <c r="I721">
        <f t="shared" si="23"/>
        <v>6000</v>
      </c>
    </row>
    <row r="722" spans="1:9" x14ac:dyDescent="0.35">
      <c r="A722" s="4" t="s">
        <v>1632</v>
      </c>
      <c r="B722" s="4" t="s">
        <v>168</v>
      </c>
      <c r="C722" s="4" t="s">
        <v>898</v>
      </c>
      <c r="D722" s="4">
        <v>1</v>
      </c>
      <c r="E722" s="6">
        <v>27000</v>
      </c>
      <c r="F722" t="str">
        <f>VLOOKUP(C722,menu!A:B,2,FALSE)</f>
        <v>Ayam Geprek Sambal Bawang</v>
      </c>
      <c r="G722">
        <f t="shared" si="22"/>
        <v>27000</v>
      </c>
      <c r="H722">
        <f>VLOOKUP(C722,menu!A:E,4,FALSE)</f>
        <v>11000</v>
      </c>
      <c r="I722">
        <f t="shared" si="23"/>
        <v>16000</v>
      </c>
    </row>
    <row r="723" spans="1:9" x14ac:dyDescent="0.35">
      <c r="A723" s="4" t="s">
        <v>1633</v>
      </c>
      <c r="B723" s="4" t="s">
        <v>486</v>
      </c>
      <c r="C723" s="4" t="s">
        <v>919</v>
      </c>
      <c r="D723" s="4">
        <v>3</v>
      </c>
      <c r="E723" s="6">
        <v>20000</v>
      </c>
      <c r="F723" t="str">
        <f>VLOOKUP(C723,menu!A:B,2,FALSE)</f>
        <v>Gado-Gado Jakarta</v>
      </c>
      <c r="G723">
        <f t="shared" si="22"/>
        <v>60000</v>
      </c>
      <c r="H723">
        <f>VLOOKUP(C723,menu!A:E,4,FALSE)</f>
        <v>8000</v>
      </c>
      <c r="I723">
        <f t="shared" si="23"/>
        <v>36000</v>
      </c>
    </row>
    <row r="724" spans="1:9" x14ac:dyDescent="0.35">
      <c r="A724" s="4" t="s">
        <v>1634</v>
      </c>
      <c r="B724" s="4" t="s">
        <v>486</v>
      </c>
      <c r="C724" s="4" t="s">
        <v>931</v>
      </c>
      <c r="D724" s="4">
        <v>1</v>
      </c>
      <c r="E724" s="6">
        <v>5000</v>
      </c>
      <c r="F724" t="str">
        <f>VLOOKUP(C724,menu!A:B,2,FALSE)</f>
        <v>Kerupuk Udang</v>
      </c>
      <c r="G724">
        <f t="shared" si="22"/>
        <v>5000</v>
      </c>
      <c r="H724">
        <f>VLOOKUP(C724,menu!A:E,4,FALSE)</f>
        <v>1500</v>
      </c>
      <c r="I724">
        <f t="shared" si="23"/>
        <v>3500</v>
      </c>
    </row>
    <row r="725" spans="1:9" x14ac:dyDescent="0.35">
      <c r="A725" s="4" t="s">
        <v>1635</v>
      </c>
      <c r="B725" s="4" t="s">
        <v>322</v>
      </c>
      <c r="C725" s="4" t="s">
        <v>898</v>
      </c>
      <c r="D725" s="4">
        <v>2</v>
      </c>
      <c r="E725" s="6">
        <v>27000</v>
      </c>
      <c r="F725" t="str">
        <f>VLOOKUP(C725,menu!A:B,2,FALSE)</f>
        <v>Ayam Geprek Sambal Bawang</v>
      </c>
      <c r="G725">
        <f t="shared" si="22"/>
        <v>54000</v>
      </c>
      <c r="H725">
        <f>VLOOKUP(C725,menu!A:E,4,FALSE)</f>
        <v>11000</v>
      </c>
      <c r="I725">
        <f t="shared" si="23"/>
        <v>32000</v>
      </c>
    </row>
    <row r="726" spans="1:9" x14ac:dyDescent="0.35">
      <c r="A726" s="4" t="s">
        <v>1636</v>
      </c>
      <c r="B726" s="4" t="s">
        <v>322</v>
      </c>
      <c r="C726" s="4" t="s">
        <v>937</v>
      </c>
      <c r="D726" s="4">
        <v>2</v>
      </c>
      <c r="E726" s="6">
        <v>26000</v>
      </c>
      <c r="F726" t="str">
        <f>VLOOKUP(C726,menu!A:B,2,FALSE)</f>
        <v>Nasi Campur Bali</v>
      </c>
      <c r="G726">
        <f t="shared" si="22"/>
        <v>52000</v>
      </c>
      <c r="H726">
        <f>VLOOKUP(C726,menu!A:E,4,FALSE)</f>
        <v>11500</v>
      </c>
      <c r="I726">
        <f t="shared" si="23"/>
        <v>29000</v>
      </c>
    </row>
    <row r="727" spans="1:9" x14ac:dyDescent="0.35">
      <c r="A727" s="4" t="s">
        <v>1637</v>
      </c>
      <c r="B727" s="4" t="s">
        <v>322</v>
      </c>
      <c r="C727" s="4" t="s">
        <v>890</v>
      </c>
      <c r="D727" s="4">
        <v>1</v>
      </c>
      <c r="E727" s="6">
        <v>18000</v>
      </c>
      <c r="F727" t="str">
        <f>VLOOKUP(C727,menu!A:B,2,FALSE)</f>
        <v>Es Kopi Susu Gula Aren</v>
      </c>
      <c r="G727">
        <f t="shared" si="22"/>
        <v>18000</v>
      </c>
      <c r="H727">
        <f>VLOOKUP(C727,menu!A:E,4,FALSE)</f>
        <v>4500</v>
      </c>
      <c r="I727">
        <f t="shared" si="23"/>
        <v>13500</v>
      </c>
    </row>
    <row r="728" spans="1:9" x14ac:dyDescent="0.35">
      <c r="A728" s="4" t="s">
        <v>1638</v>
      </c>
      <c r="B728" s="4" t="s">
        <v>734</v>
      </c>
      <c r="C728" s="4" t="s">
        <v>944</v>
      </c>
      <c r="D728" s="4">
        <v>1</v>
      </c>
      <c r="E728" s="6">
        <v>32000</v>
      </c>
      <c r="F728" t="str">
        <f>VLOOKUP(C728,menu!A:B,2,FALSE)</f>
        <v>Nasi Padang Rendang</v>
      </c>
      <c r="G728">
        <f t="shared" si="22"/>
        <v>32000</v>
      </c>
      <c r="H728">
        <f>VLOOKUP(C728,menu!A:E,4,FALSE)</f>
        <v>14000</v>
      </c>
      <c r="I728">
        <f t="shared" si="23"/>
        <v>18000</v>
      </c>
    </row>
    <row r="729" spans="1:9" x14ac:dyDescent="0.35">
      <c r="A729" s="4" t="s">
        <v>1639</v>
      </c>
      <c r="B729" s="4" t="s">
        <v>734</v>
      </c>
      <c r="C729" s="4" t="s">
        <v>898</v>
      </c>
      <c r="D729" s="4">
        <v>1</v>
      </c>
      <c r="E729" s="6">
        <v>27000</v>
      </c>
      <c r="F729" t="str">
        <f>VLOOKUP(C729,menu!A:B,2,FALSE)</f>
        <v>Ayam Geprek Sambal Bawang</v>
      </c>
      <c r="G729">
        <f t="shared" si="22"/>
        <v>27000</v>
      </c>
      <c r="H729">
        <f>VLOOKUP(C729,menu!A:E,4,FALSE)</f>
        <v>11000</v>
      </c>
      <c r="I729">
        <f t="shared" si="23"/>
        <v>16000</v>
      </c>
    </row>
    <row r="730" spans="1:9" x14ac:dyDescent="0.35">
      <c r="A730" s="4" t="s">
        <v>1640</v>
      </c>
      <c r="B730" s="4" t="s">
        <v>482</v>
      </c>
      <c r="C730" s="4" t="s">
        <v>937</v>
      </c>
      <c r="D730" s="4">
        <v>2</v>
      </c>
      <c r="E730" s="6">
        <v>26000</v>
      </c>
      <c r="F730" t="str">
        <f>VLOOKUP(C730,menu!A:B,2,FALSE)</f>
        <v>Nasi Campur Bali</v>
      </c>
      <c r="G730">
        <f t="shared" si="22"/>
        <v>52000</v>
      </c>
      <c r="H730">
        <f>VLOOKUP(C730,menu!A:E,4,FALSE)</f>
        <v>11500</v>
      </c>
      <c r="I730">
        <f t="shared" si="23"/>
        <v>29000</v>
      </c>
    </row>
    <row r="731" spans="1:9" x14ac:dyDescent="0.35">
      <c r="A731" s="4" t="s">
        <v>1641</v>
      </c>
      <c r="B731" s="4" t="s">
        <v>482</v>
      </c>
      <c r="C731" s="4" t="s">
        <v>896</v>
      </c>
      <c r="D731" s="4">
        <v>1</v>
      </c>
      <c r="E731" s="6">
        <v>23000</v>
      </c>
      <c r="F731" t="str">
        <f>VLOOKUP(C731,menu!A:B,2,FALSE)</f>
        <v>Nasi Uduk Komplit</v>
      </c>
      <c r="G731">
        <f t="shared" si="22"/>
        <v>23000</v>
      </c>
      <c r="H731">
        <f>VLOOKUP(C731,menu!A:E,4,FALSE)</f>
        <v>9000</v>
      </c>
      <c r="I731">
        <f t="shared" si="23"/>
        <v>14000</v>
      </c>
    </row>
    <row r="732" spans="1:9" x14ac:dyDescent="0.35">
      <c r="A732" s="4" t="s">
        <v>1642</v>
      </c>
      <c r="B732" s="4" t="s">
        <v>482</v>
      </c>
      <c r="C732" s="4" t="s">
        <v>890</v>
      </c>
      <c r="D732" s="4">
        <v>2</v>
      </c>
      <c r="E732" s="6">
        <v>18000</v>
      </c>
      <c r="F732" t="str">
        <f>VLOOKUP(C732,menu!A:B,2,FALSE)</f>
        <v>Es Kopi Susu Gula Aren</v>
      </c>
      <c r="G732">
        <f t="shared" si="22"/>
        <v>36000</v>
      </c>
      <c r="H732">
        <f>VLOOKUP(C732,menu!A:E,4,FALSE)</f>
        <v>4500</v>
      </c>
      <c r="I732">
        <f t="shared" si="23"/>
        <v>27000</v>
      </c>
    </row>
    <row r="733" spans="1:9" x14ac:dyDescent="0.35">
      <c r="A733" s="4" t="s">
        <v>1643</v>
      </c>
      <c r="B733" s="4" t="s">
        <v>880</v>
      </c>
      <c r="C733" s="4" t="s">
        <v>935</v>
      </c>
      <c r="D733" s="4">
        <v>3</v>
      </c>
      <c r="E733" s="6">
        <v>22000</v>
      </c>
      <c r="F733" t="str">
        <f>VLOOKUP(C733,menu!A:B,2,FALSE)</f>
        <v>Soto Ayam Lamongan</v>
      </c>
      <c r="G733">
        <f t="shared" si="22"/>
        <v>66000</v>
      </c>
      <c r="H733">
        <f>VLOOKUP(C733,menu!A:E,4,FALSE)</f>
        <v>9500</v>
      </c>
      <c r="I733">
        <f t="shared" si="23"/>
        <v>37500</v>
      </c>
    </row>
    <row r="734" spans="1:9" x14ac:dyDescent="0.35">
      <c r="A734" s="4" t="s">
        <v>1644</v>
      </c>
      <c r="B734" s="4" t="s">
        <v>880</v>
      </c>
      <c r="C734" s="4" t="s">
        <v>894</v>
      </c>
      <c r="D734" s="4">
        <v>1</v>
      </c>
      <c r="E734" s="6">
        <v>5000</v>
      </c>
      <c r="F734" t="str">
        <f>VLOOKUP(C734,menu!A:B,2,FALSE)</f>
        <v>Air Mineral Botol</v>
      </c>
      <c r="G734">
        <f t="shared" si="22"/>
        <v>5000</v>
      </c>
      <c r="H734">
        <f>VLOOKUP(C734,menu!A:E,4,FALSE)</f>
        <v>2000</v>
      </c>
      <c r="I734">
        <f t="shared" si="23"/>
        <v>3000</v>
      </c>
    </row>
    <row r="735" spans="1:9" x14ac:dyDescent="0.35">
      <c r="A735" s="4" t="s">
        <v>1645</v>
      </c>
      <c r="B735" s="4" t="s">
        <v>880</v>
      </c>
      <c r="C735" s="4" t="s">
        <v>908</v>
      </c>
      <c r="D735" s="4">
        <v>1</v>
      </c>
      <c r="E735" s="6">
        <v>16000</v>
      </c>
      <c r="F735" t="str">
        <f>VLOOKUP(C735,menu!A:B,2,FALSE)</f>
        <v>Jus Alpukat</v>
      </c>
      <c r="G735">
        <f t="shared" si="22"/>
        <v>16000</v>
      </c>
      <c r="H735">
        <f>VLOOKUP(C735,menu!A:E,4,FALSE)</f>
        <v>5500</v>
      </c>
      <c r="I735">
        <f t="shared" si="23"/>
        <v>10500</v>
      </c>
    </row>
    <row r="736" spans="1:9" x14ac:dyDescent="0.35">
      <c r="A736" s="4" t="s">
        <v>1646</v>
      </c>
      <c r="B736" s="4" t="s">
        <v>880</v>
      </c>
      <c r="C736" s="4" t="s">
        <v>898</v>
      </c>
      <c r="D736" s="4">
        <v>3</v>
      </c>
      <c r="E736" s="6">
        <v>27000</v>
      </c>
      <c r="F736" t="str">
        <f>VLOOKUP(C736,menu!A:B,2,FALSE)</f>
        <v>Ayam Geprek Sambal Bawang</v>
      </c>
      <c r="G736">
        <f t="shared" si="22"/>
        <v>81000</v>
      </c>
      <c r="H736">
        <f>VLOOKUP(C736,menu!A:E,4,FALSE)</f>
        <v>11000</v>
      </c>
      <c r="I736">
        <f t="shared" si="23"/>
        <v>48000</v>
      </c>
    </row>
    <row r="737" spans="1:9" x14ac:dyDescent="0.35">
      <c r="A737" s="4" t="s">
        <v>1647</v>
      </c>
      <c r="B737" s="4" t="s">
        <v>72</v>
      </c>
      <c r="C737" s="4" t="s">
        <v>892</v>
      </c>
      <c r="D737" s="4">
        <v>1</v>
      </c>
      <c r="E737" s="6">
        <v>9000</v>
      </c>
      <c r="F737" t="str">
        <f>VLOOKUP(C737,menu!A:B,2,FALSE)</f>
        <v>Tempe Mendoan (5pcs)</v>
      </c>
      <c r="G737">
        <f t="shared" si="22"/>
        <v>9000</v>
      </c>
      <c r="H737">
        <f>VLOOKUP(C737,menu!A:E,4,FALSE)</f>
        <v>3000</v>
      </c>
      <c r="I737">
        <f t="shared" si="23"/>
        <v>6000</v>
      </c>
    </row>
    <row r="738" spans="1:9" x14ac:dyDescent="0.35">
      <c r="A738" s="4" t="s">
        <v>1648</v>
      </c>
      <c r="B738" s="4" t="s">
        <v>81</v>
      </c>
      <c r="C738" s="4" t="s">
        <v>898</v>
      </c>
      <c r="D738" s="4">
        <v>1</v>
      </c>
      <c r="E738" s="6">
        <v>27000</v>
      </c>
      <c r="F738" t="str">
        <f>VLOOKUP(C738,menu!A:B,2,FALSE)</f>
        <v>Ayam Geprek Sambal Bawang</v>
      </c>
      <c r="G738">
        <f t="shared" si="22"/>
        <v>27000</v>
      </c>
      <c r="H738">
        <f>VLOOKUP(C738,menu!A:E,4,FALSE)</f>
        <v>11000</v>
      </c>
      <c r="I738">
        <f t="shared" si="23"/>
        <v>16000</v>
      </c>
    </row>
    <row r="739" spans="1:9" x14ac:dyDescent="0.35">
      <c r="A739" s="4" t="s">
        <v>1649</v>
      </c>
      <c r="B739" s="4" t="s">
        <v>81</v>
      </c>
      <c r="C739" s="4" t="s">
        <v>919</v>
      </c>
      <c r="D739" s="4">
        <v>1</v>
      </c>
      <c r="E739" s="6">
        <v>20000</v>
      </c>
      <c r="F739" t="str">
        <f>VLOOKUP(C739,menu!A:B,2,FALSE)</f>
        <v>Gado-Gado Jakarta</v>
      </c>
      <c r="G739">
        <f t="shared" si="22"/>
        <v>20000</v>
      </c>
      <c r="H739">
        <f>VLOOKUP(C739,menu!A:E,4,FALSE)</f>
        <v>8000</v>
      </c>
      <c r="I739">
        <f t="shared" si="23"/>
        <v>12000</v>
      </c>
    </row>
    <row r="740" spans="1:9" x14ac:dyDescent="0.35">
      <c r="A740" s="4" t="s">
        <v>1650</v>
      </c>
      <c r="B740" s="4" t="s">
        <v>81</v>
      </c>
      <c r="C740" s="4" t="s">
        <v>931</v>
      </c>
      <c r="D740" s="4">
        <v>1</v>
      </c>
      <c r="E740" s="6">
        <v>5000</v>
      </c>
      <c r="F740" t="str">
        <f>VLOOKUP(C740,menu!A:B,2,FALSE)</f>
        <v>Kerupuk Udang</v>
      </c>
      <c r="G740">
        <f t="shared" si="22"/>
        <v>5000</v>
      </c>
      <c r="H740">
        <f>VLOOKUP(C740,menu!A:E,4,FALSE)</f>
        <v>1500</v>
      </c>
      <c r="I740">
        <f t="shared" si="23"/>
        <v>3500</v>
      </c>
    </row>
    <row r="741" spans="1:9" x14ac:dyDescent="0.35">
      <c r="A741" s="4" t="s">
        <v>1651</v>
      </c>
      <c r="B741" s="4" t="s">
        <v>804</v>
      </c>
      <c r="C741" s="4" t="s">
        <v>902</v>
      </c>
      <c r="D741" s="4">
        <v>1</v>
      </c>
      <c r="E741" s="6">
        <v>12000</v>
      </c>
      <c r="F741" t="str">
        <f>VLOOKUP(C741,menu!A:B,2,FALSE)</f>
        <v>Teh Tarik</v>
      </c>
      <c r="G741">
        <f t="shared" si="22"/>
        <v>12000</v>
      </c>
      <c r="H741">
        <f>VLOOKUP(C741,menu!A:E,4,FALSE)</f>
        <v>3000</v>
      </c>
      <c r="I741">
        <f t="shared" si="23"/>
        <v>9000</v>
      </c>
    </row>
    <row r="742" spans="1:9" x14ac:dyDescent="0.35">
      <c r="A742" s="4" t="s">
        <v>1652</v>
      </c>
      <c r="B742" s="4" t="s">
        <v>269</v>
      </c>
      <c r="C742" s="4" t="s">
        <v>919</v>
      </c>
      <c r="D742" s="4">
        <v>2</v>
      </c>
      <c r="E742" s="6">
        <v>20000</v>
      </c>
      <c r="F742" t="str">
        <f>VLOOKUP(C742,menu!A:B,2,FALSE)</f>
        <v>Gado-Gado Jakarta</v>
      </c>
      <c r="G742">
        <f t="shared" si="22"/>
        <v>40000</v>
      </c>
      <c r="H742">
        <f>VLOOKUP(C742,menu!A:E,4,FALSE)</f>
        <v>8000</v>
      </c>
      <c r="I742">
        <f t="shared" si="23"/>
        <v>24000</v>
      </c>
    </row>
    <row r="743" spans="1:9" x14ac:dyDescent="0.35">
      <c r="A743" s="4" t="s">
        <v>1653</v>
      </c>
      <c r="B743" s="4" t="s">
        <v>269</v>
      </c>
      <c r="C743" s="4" t="s">
        <v>898</v>
      </c>
      <c r="D743" s="4">
        <v>1</v>
      </c>
      <c r="E743" s="6">
        <v>27000</v>
      </c>
      <c r="F743" t="str">
        <f>VLOOKUP(C743,menu!A:B,2,FALSE)</f>
        <v>Ayam Geprek Sambal Bawang</v>
      </c>
      <c r="G743">
        <f t="shared" si="22"/>
        <v>27000</v>
      </c>
      <c r="H743">
        <f>VLOOKUP(C743,menu!A:E,4,FALSE)</f>
        <v>11000</v>
      </c>
      <c r="I743">
        <f t="shared" si="23"/>
        <v>16000</v>
      </c>
    </row>
    <row r="744" spans="1:9" x14ac:dyDescent="0.35">
      <c r="A744" s="4" t="s">
        <v>1654</v>
      </c>
      <c r="B744" s="4" t="s">
        <v>269</v>
      </c>
      <c r="C744" s="4" t="s">
        <v>937</v>
      </c>
      <c r="D744" s="4">
        <v>1</v>
      </c>
      <c r="E744" s="6">
        <v>26000</v>
      </c>
      <c r="F744" t="str">
        <f>VLOOKUP(C744,menu!A:B,2,FALSE)</f>
        <v>Nasi Campur Bali</v>
      </c>
      <c r="G744">
        <f t="shared" si="22"/>
        <v>26000</v>
      </c>
      <c r="H744">
        <f>VLOOKUP(C744,menu!A:E,4,FALSE)</f>
        <v>11500</v>
      </c>
      <c r="I744">
        <f t="shared" si="23"/>
        <v>14500</v>
      </c>
    </row>
    <row r="745" spans="1:9" x14ac:dyDescent="0.35">
      <c r="A745" s="4" t="s">
        <v>1655</v>
      </c>
      <c r="B745" s="4" t="s">
        <v>269</v>
      </c>
      <c r="C745" s="4" t="s">
        <v>935</v>
      </c>
      <c r="D745" s="4">
        <v>2</v>
      </c>
      <c r="E745" s="6">
        <v>22000</v>
      </c>
      <c r="F745" t="str">
        <f>VLOOKUP(C745,menu!A:B,2,FALSE)</f>
        <v>Soto Ayam Lamongan</v>
      </c>
      <c r="G745">
        <f t="shared" si="22"/>
        <v>44000</v>
      </c>
      <c r="H745">
        <f>VLOOKUP(C745,menu!A:E,4,FALSE)</f>
        <v>9500</v>
      </c>
      <c r="I745">
        <f t="shared" si="23"/>
        <v>25000</v>
      </c>
    </row>
    <row r="746" spans="1:9" x14ac:dyDescent="0.35">
      <c r="A746" s="4" t="s">
        <v>1656</v>
      </c>
      <c r="B746" s="4" t="s">
        <v>269</v>
      </c>
      <c r="C746" s="4" t="s">
        <v>890</v>
      </c>
      <c r="D746" s="4">
        <v>1</v>
      </c>
      <c r="E746" s="6">
        <v>18000</v>
      </c>
      <c r="F746" t="str">
        <f>VLOOKUP(C746,menu!A:B,2,FALSE)</f>
        <v>Es Kopi Susu Gula Aren</v>
      </c>
      <c r="G746">
        <f t="shared" si="22"/>
        <v>18000</v>
      </c>
      <c r="H746">
        <f>VLOOKUP(C746,menu!A:E,4,FALSE)</f>
        <v>4500</v>
      </c>
      <c r="I746">
        <f t="shared" si="23"/>
        <v>13500</v>
      </c>
    </row>
    <row r="747" spans="1:9" x14ac:dyDescent="0.35">
      <c r="A747" s="4" t="s">
        <v>1657</v>
      </c>
      <c r="B747" s="4" t="s">
        <v>294</v>
      </c>
      <c r="C747" s="4" t="s">
        <v>898</v>
      </c>
      <c r="D747" s="4">
        <v>3</v>
      </c>
      <c r="E747" s="6">
        <v>27000</v>
      </c>
      <c r="F747" t="str">
        <f>VLOOKUP(C747,menu!A:B,2,FALSE)</f>
        <v>Ayam Geprek Sambal Bawang</v>
      </c>
      <c r="G747">
        <f t="shared" si="22"/>
        <v>81000</v>
      </c>
      <c r="H747">
        <f>VLOOKUP(C747,menu!A:E,4,FALSE)</f>
        <v>11000</v>
      </c>
      <c r="I747">
        <f t="shared" si="23"/>
        <v>48000</v>
      </c>
    </row>
    <row r="748" spans="1:9" x14ac:dyDescent="0.35">
      <c r="A748" s="4" t="s">
        <v>1658</v>
      </c>
      <c r="B748" s="4" t="s">
        <v>294</v>
      </c>
      <c r="C748" s="4" t="s">
        <v>940</v>
      </c>
      <c r="D748" s="4">
        <v>2</v>
      </c>
      <c r="E748" s="6">
        <v>10000</v>
      </c>
      <c r="F748" t="str">
        <f>VLOOKUP(C748,menu!A:B,2,FALSE)</f>
        <v>Tahu Isi Goreng (5pcs)</v>
      </c>
      <c r="G748">
        <f t="shared" si="22"/>
        <v>20000</v>
      </c>
      <c r="H748">
        <f>VLOOKUP(C748,menu!A:E,4,FALSE)</f>
        <v>3500</v>
      </c>
      <c r="I748">
        <f t="shared" si="23"/>
        <v>13000</v>
      </c>
    </row>
    <row r="749" spans="1:9" x14ac:dyDescent="0.35">
      <c r="A749" s="4" t="s">
        <v>1659</v>
      </c>
      <c r="B749" s="4" t="s">
        <v>294</v>
      </c>
      <c r="C749" s="4" t="s">
        <v>896</v>
      </c>
      <c r="D749" s="4">
        <v>1</v>
      </c>
      <c r="E749" s="6">
        <v>23000</v>
      </c>
      <c r="F749" t="str">
        <f>VLOOKUP(C749,menu!A:B,2,FALSE)</f>
        <v>Nasi Uduk Komplit</v>
      </c>
      <c r="G749">
        <f t="shared" si="22"/>
        <v>23000</v>
      </c>
      <c r="H749">
        <f>VLOOKUP(C749,menu!A:E,4,FALSE)</f>
        <v>9000</v>
      </c>
      <c r="I749">
        <f t="shared" si="23"/>
        <v>14000</v>
      </c>
    </row>
    <row r="750" spans="1:9" x14ac:dyDescent="0.35">
      <c r="A750" s="4" t="s">
        <v>1660</v>
      </c>
      <c r="B750" s="4" t="s">
        <v>294</v>
      </c>
      <c r="C750" s="4" t="s">
        <v>1003</v>
      </c>
      <c r="D750" s="4">
        <v>1</v>
      </c>
      <c r="E750" s="6">
        <v>29000</v>
      </c>
      <c r="F750" t="str">
        <f>VLOOKUP(C750,menu!A:B,2,FALSE)</f>
        <v>Capcay Seafood</v>
      </c>
      <c r="G750">
        <f t="shared" si="22"/>
        <v>29000</v>
      </c>
      <c r="H750">
        <f>VLOOKUP(C750,menu!A:E,4,FALSE)</f>
        <v>13000</v>
      </c>
      <c r="I750">
        <f t="shared" si="23"/>
        <v>16000</v>
      </c>
    </row>
    <row r="751" spans="1:9" x14ac:dyDescent="0.35">
      <c r="A751" s="4" t="s">
        <v>1661</v>
      </c>
      <c r="B751" s="4" t="s">
        <v>294</v>
      </c>
      <c r="C751" s="4" t="s">
        <v>916</v>
      </c>
      <c r="D751" s="4">
        <v>2</v>
      </c>
      <c r="E751" s="6">
        <v>9000</v>
      </c>
      <c r="F751" t="str">
        <f>VLOOKUP(C751,menu!A:B,2,FALSE)</f>
        <v>Kopi Hitam Tubruk</v>
      </c>
      <c r="G751">
        <f t="shared" si="22"/>
        <v>18000</v>
      </c>
      <c r="H751">
        <f>VLOOKUP(C751,menu!A:E,4,FALSE)</f>
        <v>2000</v>
      </c>
      <c r="I751">
        <f t="shared" si="23"/>
        <v>14000</v>
      </c>
    </row>
    <row r="752" spans="1:9" x14ac:dyDescent="0.35">
      <c r="A752" s="4" t="s">
        <v>1662</v>
      </c>
      <c r="B752" s="4" t="s">
        <v>691</v>
      </c>
      <c r="C752" s="4" t="s">
        <v>898</v>
      </c>
      <c r="D752" s="4">
        <v>2</v>
      </c>
      <c r="E752" s="6">
        <v>27000</v>
      </c>
      <c r="F752" t="str">
        <f>VLOOKUP(C752,menu!A:B,2,FALSE)</f>
        <v>Ayam Geprek Sambal Bawang</v>
      </c>
      <c r="G752">
        <f t="shared" si="22"/>
        <v>54000</v>
      </c>
      <c r="H752">
        <f>VLOOKUP(C752,menu!A:E,4,FALSE)</f>
        <v>11000</v>
      </c>
      <c r="I752">
        <f t="shared" si="23"/>
        <v>32000</v>
      </c>
    </row>
    <row r="753" spans="1:9" x14ac:dyDescent="0.35">
      <c r="A753" s="4" t="s">
        <v>1663</v>
      </c>
      <c r="B753" s="4" t="s">
        <v>691</v>
      </c>
      <c r="C753" s="4" t="s">
        <v>892</v>
      </c>
      <c r="D753" s="4">
        <v>2</v>
      </c>
      <c r="E753" s="6">
        <v>9000</v>
      </c>
      <c r="F753" t="str">
        <f>VLOOKUP(C753,menu!A:B,2,FALSE)</f>
        <v>Tempe Mendoan (5pcs)</v>
      </c>
      <c r="G753">
        <f t="shared" si="22"/>
        <v>18000</v>
      </c>
      <c r="H753">
        <f>VLOOKUP(C753,menu!A:E,4,FALSE)</f>
        <v>3000</v>
      </c>
      <c r="I753">
        <f t="shared" si="23"/>
        <v>12000</v>
      </c>
    </row>
    <row r="754" spans="1:9" x14ac:dyDescent="0.35">
      <c r="A754" s="4" t="s">
        <v>1664</v>
      </c>
      <c r="B754" s="4" t="s">
        <v>691</v>
      </c>
      <c r="C754" s="4" t="s">
        <v>919</v>
      </c>
      <c r="D754" s="4">
        <v>1</v>
      </c>
      <c r="E754" s="6">
        <v>20000</v>
      </c>
      <c r="F754" t="str">
        <f>VLOOKUP(C754,menu!A:B,2,FALSE)</f>
        <v>Gado-Gado Jakarta</v>
      </c>
      <c r="G754">
        <f t="shared" si="22"/>
        <v>20000</v>
      </c>
      <c r="H754">
        <f>VLOOKUP(C754,menu!A:E,4,FALSE)</f>
        <v>8000</v>
      </c>
      <c r="I754">
        <f t="shared" si="23"/>
        <v>12000</v>
      </c>
    </row>
    <row r="755" spans="1:9" x14ac:dyDescent="0.35">
      <c r="A755" s="4" t="s">
        <v>1665</v>
      </c>
      <c r="B755" s="4" t="s">
        <v>691</v>
      </c>
      <c r="C755" s="4" t="s">
        <v>916</v>
      </c>
      <c r="D755" s="4">
        <v>1</v>
      </c>
      <c r="E755" s="6">
        <v>9000</v>
      </c>
      <c r="F755" t="str">
        <f>VLOOKUP(C755,menu!A:B,2,FALSE)</f>
        <v>Kopi Hitam Tubruk</v>
      </c>
      <c r="G755">
        <f t="shared" si="22"/>
        <v>9000</v>
      </c>
      <c r="H755">
        <f>VLOOKUP(C755,menu!A:E,4,FALSE)</f>
        <v>2000</v>
      </c>
      <c r="I755">
        <f t="shared" si="23"/>
        <v>7000</v>
      </c>
    </row>
    <row r="756" spans="1:9" x14ac:dyDescent="0.35">
      <c r="A756" s="4" t="s">
        <v>1666</v>
      </c>
      <c r="B756" s="4" t="s">
        <v>819</v>
      </c>
      <c r="C756" s="4" t="s">
        <v>890</v>
      </c>
      <c r="D756" s="4">
        <v>2</v>
      </c>
      <c r="E756" s="6">
        <v>18000</v>
      </c>
      <c r="F756" t="str">
        <f>VLOOKUP(C756,menu!A:B,2,FALSE)</f>
        <v>Es Kopi Susu Gula Aren</v>
      </c>
      <c r="G756">
        <f t="shared" si="22"/>
        <v>36000</v>
      </c>
      <c r="H756">
        <f>VLOOKUP(C756,menu!A:E,4,FALSE)</f>
        <v>4500</v>
      </c>
      <c r="I756">
        <f t="shared" si="23"/>
        <v>27000</v>
      </c>
    </row>
    <row r="757" spans="1:9" x14ac:dyDescent="0.35">
      <c r="A757" s="4" t="s">
        <v>1667</v>
      </c>
      <c r="B757" s="4" t="s">
        <v>819</v>
      </c>
      <c r="C757" s="4" t="s">
        <v>937</v>
      </c>
      <c r="D757" s="4">
        <v>1</v>
      </c>
      <c r="E757" s="6">
        <v>26000</v>
      </c>
      <c r="F757" t="str">
        <f>VLOOKUP(C757,menu!A:B,2,FALSE)</f>
        <v>Nasi Campur Bali</v>
      </c>
      <c r="G757">
        <f t="shared" si="22"/>
        <v>26000</v>
      </c>
      <c r="H757">
        <f>VLOOKUP(C757,menu!A:E,4,FALSE)</f>
        <v>11500</v>
      </c>
      <c r="I757">
        <f t="shared" si="23"/>
        <v>14500</v>
      </c>
    </row>
    <row r="758" spans="1:9" x14ac:dyDescent="0.35">
      <c r="A758" s="4" t="s">
        <v>1668</v>
      </c>
      <c r="B758" s="4" t="s">
        <v>819</v>
      </c>
      <c r="C758" s="4" t="s">
        <v>898</v>
      </c>
      <c r="D758" s="4">
        <v>1</v>
      </c>
      <c r="E758" s="6">
        <v>27000</v>
      </c>
      <c r="F758" t="str">
        <f>VLOOKUP(C758,menu!A:B,2,FALSE)</f>
        <v>Ayam Geprek Sambal Bawang</v>
      </c>
      <c r="G758">
        <f t="shared" si="22"/>
        <v>27000</v>
      </c>
      <c r="H758">
        <f>VLOOKUP(C758,menu!A:E,4,FALSE)</f>
        <v>11000</v>
      </c>
      <c r="I758">
        <f t="shared" si="23"/>
        <v>16000</v>
      </c>
    </row>
    <row r="759" spans="1:9" x14ac:dyDescent="0.35">
      <c r="A759" s="4" t="s">
        <v>1669</v>
      </c>
      <c r="B759" s="4" t="s">
        <v>686</v>
      </c>
      <c r="C759" s="4" t="s">
        <v>908</v>
      </c>
      <c r="D759" s="4">
        <v>1</v>
      </c>
      <c r="E759" s="6">
        <v>16000</v>
      </c>
      <c r="F759" t="str">
        <f>VLOOKUP(C759,menu!A:B,2,FALSE)</f>
        <v>Jus Alpukat</v>
      </c>
      <c r="G759">
        <f t="shared" si="22"/>
        <v>16000</v>
      </c>
      <c r="H759">
        <f>VLOOKUP(C759,menu!A:E,4,FALSE)</f>
        <v>5500</v>
      </c>
      <c r="I759">
        <f t="shared" si="23"/>
        <v>10500</v>
      </c>
    </row>
    <row r="760" spans="1:9" x14ac:dyDescent="0.35">
      <c r="A760" s="4" t="s">
        <v>1670</v>
      </c>
      <c r="B760" s="4" t="s">
        <v>686</v>
      </c>
      <c r="C760" s="4" t="s">
        <v>1671</v>
      </c>
      <c r="D760" s="4">
        <v>1</v>
      </c>
      <c r="E760" s="6">
        <v>25000</v>
      </c>
      <c r="F760" t="str">
        <f>VLOOKUP(C760,menu!A:B,2,FALSE)</f>
        <v>Nasi Goreng Spesial</v>
      </c>
      <c r="G760">
        <f t="shared" si="22"/>
        <v>25000</v>
      </c>
      <c r="H760">
        <f>VLOOKUP(C760,menu!A:E,4,FALSE)</f>
        <v>9000</v>
      </c>
      <c r="I760">
        <f t="shared" si="23"/>
        <v>16000</v>
      </c>
    </row>
    <row r="761" spans="1:9" x14ac:dyDescent="0.35">
      <c r="A761" s="4" t="s">
        <v>1672</v>
      </c>
      <c r="B761" s="4" t="s">
        <v>824</v>
      </c>
      <c r="C761" s="4" t="s">
        <v>919</v>
      </c>
      <c r="D761" s="4">
        <v>1</v>
      </c>
      <c r="E761" s="6">
        <v>20000</v>
      </c>
      <c r="F761" t="str">
        <f>VLOOKUP(C761,menu!A:B,2,FALSE)</f>
        <v>Gado-Gado Jakarta</v>
      </c>
      <c r="G761">
        <f t="shared" si="22"/>
        <v>20000</v>
      </c>
      <c r="H761">
        <f>VLOOKUP(C761,menu!A:E,4,FALSE)</f>
        <v>8000</v>
      </c>
      <c r="I761">
        <f t="shared" si="23"/>
        <v>12000</v>
      </c>
    </row>
    <row r="762" spans="1:9" x14ac:dyDescent="0.35">
      <c r="A762" s="4" t="s">
        <v>1673</v>
      </c>
      <c r="B762" s="4" t="s">
        <v>824</v>
      </c>
      <c r="C762" s="4" t="s">
        <v>935</v>
      </c>
      <c r="D762" s="4">
        <v>2</v>
      </c>
      <c r="E762" s="6">
        <v>22000</v>
      </c>
      <c r="F762" t="str">
        <f>VLOOKUP(C762,menu!A:B,2,FALSE)</f>
        <v>Soto Ayam Lamongan</v>
      </c>
      <c r="G762">
        <f t="shared" si="22"/>
        <v>44000</v>
      </c>
      <c r="H762">
        <f>VLOOKUP(C762,menu!A:E,4,FALSE)</f>
        <v>9500</v>
      </c>
      <c r="I762">
        <f t="shared" si="23"/>
        <v>25000</v>
      </c>
    </row>
    <row r="763" spans="1:9" x14ac:dyDescent="0.35">
      <c r="A763" s="4" t="s">
        <v>1674</v>
      </c>
      <c r="B763" s="4" t="s">
        <v>824</v>
      </c>
      <c r="C763" s="4" t="s">
        <v>908</v>
      </c>
      <c r="D763" s="4">
        <v>1</v>
      </c>
      <c r="E763" s="6">
        <v>16000</v>
      </c>
      <c r="F763" t="str">
        <f>VLOOKUP(C763,menu!A:B,2,FALSE)</f>
        <v>Jus Alpukat</v>
      </c>
      <c r="G763">
        <f t="shared" si="22"/>
        <v>16000</v>
      </c>
      <c r="H763">
        <f>VLOOKUP(C763,menu!A:E,4,FALSE)</f>
        <v>5500</v>
      </c>
      <c r="I763">
        <f t="shared" si="23"/>
        <v>10500</v>
      </c>
    </row>
    <row r="764" spans="1:9" x14ac:dyDescent="0.35">
      <c r="A764" s="4" t="s">
        <v>1675</v>
      </c>
      <c r="B764" s="4" t="s">
        <v>461</v>
      </c>
      <c r="C764" s="4" t="s">
        <v>937</v>
      </c>
      <c r="D764" s="4">
        <v>1</v>
      </c>
      <c r="E764" s="6">
        <v>26000</v>
      </c>
      <c r="F764" t="str">
        <f>VLOOKUP(C764,menu!A:B,2,FALSE)</f>
        <v>Nasi Campur Bali</v>
      </c>
      <c r="G764">
        <f t="shared" si="22"/>
        <v>26000</v>
      </c>
      <c r="H764">
        <f>VLOOKUP(C764,menu!A:E,4,FALSE)</f>
        <v>11500</v>
      </c>
      <c r="I764">
        <f t="shared" si="23"/>
        <v>14500</v>
      </c>
    </row>
    <row r="765" spans="1:9" x14ac:dyDescent="0.35">
      <c r="A765" s="4" t="s">
        <v>1676</v>
      </c>
      <c r="B765" s="4" t="s">
        <v>461</v>
      </c>
      <c r="C765" s="4" t="s">
        <v>935</v>
      </c>
      <c r="D765" s="4">
        <v>3</v>
      </c>
      <c r="E765" s="6">
        <v>22000</v>
      </c>
      <c r="F765" t="str">
        <f>VLOOKUP(C765,menu!A:B,2,FALSE)</f>
        <v>Soto Ayam Lamongan</v>
      </c>
      <c r="G765">
        <f t="shared" si="22"/>
        <v>66000</v>
      </c>
      <c r="H765">
        <f>VLOOKUP(C765,menu!A:E,4,FALSE)</f>
        <v>9500</v>
      </c>
      <c r="I765">
        <f t="shared" si="23"/>
        <v>37500</v>
      </c>
    </row>
    <row r="766" spans="1:9" x14ac:dyDescent="0.35">
      <c r="A766" s="4" t="s">
        <v>1677</v>
      </c>
      <c r="B766" s="4" t="s">
        <v>461</v>
      </c>
      <c r="C766" s="4" t="s">
        <v>902</v>
      </c>
      <c r="D766" s="4">
        <v>1</v>
      </c>
      <c r="E766" s="6">
        <v>12000</v>
      </c>
      <c r="F766" t="str">
        <f>VLOOKUP(C766,menu!A:B,2,FALSE)</f>
        <v>Teh Tarik</v>
      </c>
      <c r="G766">
        <f t="shared" si="22"/>
        <v>12000</v>
      </c>
      <c r="H766">
        <f>VLOOKUP(C766,menu!A:E,4,FALSE)</f>
        <v>3000</v>
      </c>
      <c r="I766">
        <f t="shared" si="23"/>
        <v>9000</v>
      </c>
    </row>
    <row r="767" spans="1:9" x14ac:dyDescent="0.35">
      <c r="A767" s="4" t="s">
        <v>1678</v>
      </c>
      <c r="B767" s="4" t="s">
        <v>472</v>
      </c>
      <c r="C767" s="4" t="s">
        <v>896</v>
      </c>
      <c r="D767" s="4">
        <v>1</v>
      </c>
      <c r="E767" s="6">
        <v>23000</v>
      </c>
      <c r="F767" t="str">
        <f>VLOOKUP(C767,menu!A:B,2,FALSE)</f>
        <v>Nasi Uduk Komplit</v>
      </c>
      <c r="G767">
        <f t="shared" si="22"/>
        <v>23000</v>
      </c>
      <c r="H767">
        <f>VLOOKUP(C767,menu!A:E,4,FALSE)</f>
        <v>9000</v>
      </c>
      <c r="I767">
        <f t="shared" si="23"/>
        <v>14000</v>
      </c>
    </row>
    <row r="768" spans="1:9" x14ac:dyDescent="0.35">
      <c r="A768" s="4" t="s">
        <v>1679</v>
      </c>
      <c r="B768" s="4" t="s">
        <v>472</v>
      </c>
      <c r="C768" s="4" t="s">
        <v>892</v>
      </c>
      <c r="D768" s="4">
        <v>3</v>
      </c>
      <c r="E768" s="6">
        <v>9000</v>
      </c>
      <c r="F768" t="str">
        <f>VLOOKUP(C768,menu!A:B,2,FALSE)</f>
        <v>Tempe Mendoan (5pcs)</v>
      </c>
      <c r="G768">
        <f t="shared" si="22"/>
        <v>27000</v>
      </c>
      <c r="H768">
        <f>VLOOKUP(C768,menu!A:E,4,FALSE)</f>
        <v>3000</v>
      </c>
      <c r="I768">
        <f t="shared" si="23"/>
        <v>18000</v>
      </c>
    </row>
    <row r="769" spans="1:9" x14ac:dyDescent="0.35">
      <c r="A769" s="4" t="s">
        <v>1680</v>
      </c>
      <c r="B769" s="4" t="s">
        <v>472</v>
      </c>
      <c r="C769" s="4" t="s">
        <v>890</v>
      </c>
      <c r="D769" s="4">
        <v>1</v>
      </c>
      <c r="E769" s="6">
        <v>18000</v>
      </c>
      <c r="F769" t="str">
        <f>VLOOKUP(C769,menu!A:B,2,FALSE)</f>
        <v>Es Kopi Susu Gula Aren</v>
      </c>
      <c r="G769">
        <f t="shared" si="22"/>
        <v>18000</v>
      </c>
      <c r="H769">
        <f>VLOOKUP(C769,menu!A:E,4,FALSE)</f>
        <v>4500</v>
      </c>
      <c r="I769">
        <f t="shared" si="23"/>
        <v>13500</v>
      </c>
    </row>
    <row r="770" spans="1:9" x14ac:dyDescent="0.35">
      <c r="A770" s="4" t="s">
        <v>1681</v>
      </c>
      <c r="B770" s="4" t="s">
        <v>519</v>
      </c>
      <c r="C770" s="4" t="s">
        <v>890</v>
      </c>
      <c r="D770" s="4">
        <v>1</v>
      </c>
      <c r="E770" s="6">
        <v>18000</v>
      </c>
      <c r="F770" t="str">
        <f>VLOOKUP(C770,menu!A:B,2,FALSE)</f>
        <v>Es Kopi Susu Gula Aren</v>
      </c>
      <c r="G770">
        <f t="shared" si="22"/>
        <v>18000</v>
      </c>
      <c r="H770">
        <f>VLOOKUP(C770,menu!A:E,4,FALSE)</f>
        <v>4500</v>
      </c>
      <c r="I770">
        <f t="shared" si="23"/>
        <v>13500</v>
      </c>
    </row>
    <row r="771" spans="1:9" x14ac:dyDescent="0.35">
      <c r="A771" s="4" t="s">
        <v>1682</v>
      </c>
      <c r="B771" s="4" t="s">
        <v>519</v>
      </c>
      <c r="C771" s="4" t="s">
        <v>892</v>
      </c>
      <c r="D771" s="4">
        <v>2</v>
      </c>
      <c r="E771" s="6">
        <v>9000</v>
      </c>
      <c r="F771" t="str">
        <f>VLOOKUP(C771,menu!A:B,2,FALSE)</f>
        <v>Tempe Mendoan (5pcs)</v>
      </c>
      <c r="G771">
        <f t="shared" ref="G771:G834" si="24">D771*E771</f>
        <v>18000</v>
      </c>
      <c r="H771">
        <f>VLOOKUP(C771,menu!A:E,4,FALSE)</f>
        <v>3000</v>
      </c>
      <c r="I771">
        <f t="shared" ref="I771:I834" si="25">(E771-H771)*D771</f>
        <v>12000</v>
      </c>
    </row>
    <row r="772" spans="1:9" x14ac:dyDescent="0.35">
      <c r="A772" s="4" t="s">
        <v>1683</v>
      </c>
      <c r="B772" s="4" t="s">
        <v>519</v>
      </c>
      <c r="C772" s="4" t="s">
        <v>908</v>
      </c>
      <c r="D772" s="4">
        <v>2</v>
      </c>
      <c r="E772" s="6">
        <v>16000</v>
      </c>
      <c r="F772" t="str">
        <f>VLOOKUP(C772,menu!A:B,2,FALSE)</f>
        <v>Jus Alpukat</v>
      </c>
      <c r="G772">
        <f t="shared" si="24"/>
        <v>32000</v>
      </c>
      <c r="H772">
        <f>VLOOKUP(C772,menu!A:E,4,FALSE)</f>
        <v>5500</v>
      </c>
      <c r="I772">
        <f t="shared" si="25"/>
        <v>21000</v>
      </c>
    </row>
    <row r="773" spans="1:9" x14ac:dyDescent="0.35">
      <c r="A773" s="4" t="s">
        <v>1684</v>
      </c>
      <c r="B773" s="4" t="s">
        <v>519</v>
      </c>
      <c r="C773" s="4" t="s">
        <v>919</v>
      </c>
      <c r="D773" s="4">
        <v>1</v>
      </c>
      <c r="E773" s="6">
        <v>20000</v>
      </c>
      <c r="F773" t="str">
        <f>VLOOKUP(C773,menu!A:B,2,FALSE)</f>
        <v>Gado-Gado Jakarta</v>
      </c>
      <c r="G773">
        <f t="shared" si="24"/>
        <v>20000</v>
      </c>
      <c r="H773">
        <f>VLOOKUP(C773,menu!A:E,4,FALSE)</f>
        <v>8000</v>
      </c>
      <c r="I773">
        <f t="shared" si="25"/>
        <v>12000</v>
      </c>
    </row>
    <row r="774" spans="1:9" x14ac:dyDescent="0.35">
      <c r="A774" s="4" t="s">
        <v>1685</v>
      </c>
      <c r="B774" s="4" t="s">
        <v>519</v>
      </c>
      <c r="C774" s="4" t="s">
        <v>898</v>
      </c>
      <c r="D774" s="4">
        <v>1</v>
      </c>
      <c r="E774" s="6">
        <v>27000</v>
      </c>
      <c r="F774" t="str">
        <f>VLOOKUP(C774,menu!A:B,2,FALSE)</f>
        <v>Ayam Geprek Sambal Bawang</v>
      </c>
      <c r="G774">
        <f t="shared" si="24"/>
        <v>27000</v>
      </c>
      <c r="H774">
        <f>VLOOKUP(C774,menu!A:E,4,FALSE)</f>
        <v>11000</v>
      </c>
      <c r="I774">
        <f t="shared" si="25"/>
        <v>16000</v>
      </c>
    </row>
    <row r="775" spans="1:9" x14ac:dyDescent="0.35">
      <c r="A775" s="4" t="s">
        <v>1686</v>
      </c>
      <c r="B775" s="4" t="s">
        <v>547</v>
      </c>
      <c r="C775" s="4" t="s">
        <v>937</v>
      </c>
      <c r="D775" s="4">
        <v>1</v>
      </c>
      <c r="E775" s="6">
        <v>26000</v>
      </c>
      <c r="F775" t="str">
        <f>VLOOKUP(C775,menu!A:B,2,FALSE)</f>
        <v>Nasi Campur Bali</v>
      </c>
      <c r="G775">
        <f t="shared" si="24"/>
        <v>26000</v>
      </c>
      <c r="H775">
        <f>VLOOKUP(C775,menu!A:E,4,FALSE)</f>
        <v>11500</v>
      </c>
      <c r="I775">
        <f t="shared" si="25"/>
        <v>14500</v>
      </c>
    </row>
    <row r="776" spans="1:9" x14ac:dyDescent="0.35">
      <c r="A776" s="4" t="s">
        <v>1687</v>
      </c>
      <c r="B776" s="4" t="s">
        <v>547</v>
      </c>
      <c r="C776" s="4" t="s">
        <v>1019</v>
      </c>
      <c r="D776" s="4">
        <v>3</v>
      </c>
      <c r="E776" s="6">
        <v>21000</v>
      </c>
      <c r="F776" t="str">
        <f>VLOOKUP(C776,menu!A:B,2,FALSE)</f>
        <v>Bakso Urat Spesial</v>
      </c>
      <c r="G776">
        <f t="shared" si="24"/>
        <v>63000</v>
      </c>
      <c r="H776">
        <f>VLOOKUP(C776,menu!A:E,4,FALSE)</f>
        <v>8500</v>
      </c>
      <c r="I776">
        <f t="shared" si="25"/>
        <v>37500</v>
      </c>
    </row>
    <row r="777" spans="1:9" x14ac:dyDescent="0.35">
      <c r="A777" s="4" t="s">
        <v>1688</v>
      </c>
      <c r="B777" s="4" t="s">
        <v>547</v>
      </c>
      <c r="C777" s="4" t="s">
        <v>928</v>
      </c>
      <c r="D777" s="4">
        <v>1</v>
      </c>
      <c r="E777" s="6">
        <v>23000</v>
      </c>
      <c r="F777" t="str">
        <f>VLOOKUP(C777,menu!A:B,2,FALSE)</f>
        <v>Mie Goreng Jawa</v>
      </c>
      <c r="G777">
        <f t="shared" si="24"/>
        <v>23000</v>
      </c>
      <c r="H777">
        <f>VLOOKUP(C777,menu!A:E,4,FALSE)</f>
        <v>8500</v>
      </c>
      <c r="I777">
        <f t="shared" si="25"/>
        <v>14500</v>
      </c>
    </row>
    <row r="778" spans="1:9" x14ac:dyDescent="0.35">
      <c r="A778" s="4" t="s">
        <v>1689</v>
      </c>
      <c r="B778" s="4" t="s">
        <v>547</v>
      </c>
      <c r="C778" s="4" t="s">
        <v>898</v>
      </c>
      <c r="D778" s="4">
        <v>1</v>
      </c>
      <c r="E778" s="6">
        <v>27000</v>
      </c>
      <c r="F778" t="str">
        <f>VLOOKUP(C778,menu!A:B,2,FALSE)</f>
        <v>Ayam Geprek Sambal Bawang</v>
      </c>
      <c r="G778">
        <f t="shared" si="24"/>
        <v>27000</v>
      </c>
      <c r="H778">
        <f>VLOOKUP(C778,menu!A:E,4,FALSE)</f>
        <v>11000</v>
      </c>
      <c r="I778">
        <f t="shared" si="25"/>
        <v>16000</v>
      </c>
    </row>
    <row r="779" spans="1:9" x14ac:dyDescent="0.35">
      <c r="A779" s="4" t="s">
        <v>1690</v>
      </c>
      <c r="B779" s="4" t="s">
        <v>547</v>
      </c>
      <c r="C779" s="4" t="s">
        <v>902</v>
      </c>
      <c r="D779" s="4">
        <v>2</v>
      </c>
      <c r="E779" s="6">
        <v>12000</v>
      </c>
      <c r="F779" t="str">
        <f>VLOOKUP(C779,menu!A:B,2,FALSE)</f>
        <v>Teh Tarik</v>
      </c>
      <c r="G779">
        <f t="shared" si="24"/>
        <v>24000</v>
      </c>
      <c r="H779">
        <f>VLOOKUP(C779,menu!A:E,4,FALSE)</f>
        <v>3000</v>
      </c>
      <c r="I779">
        <f t="shared" si="25"/>
        <v>18000</v>
      </c>
    </row>
    <row r="780" spans="1:9" x14ac:dyDescent="0.35">
      <c r="A780" s="4" t="s">
        <v>1691</v>
      </c>
      <c r="B780" s="4" t="s">
        <v>524</v>
      </c>
      <c r="C780" s="4" t="s">
        <v>898</v>
      </c>
      <c r="D780" s="4">
        <v>1</v>
      </c>
      <c r="E780" s="6">
        <v>27000</v>
      </c>
      <c r="F780" t="str">
        <f>VLOOKUP(C780,menu!A:B,2,FALSE)</f>
        <v>Ayam Geprek Sambal Bawang</v>
      </c>
      <c r="G780">
        <f t="shared" si="24"/>
        <v>27000</v>
      </c>
      <c r="H780">
        <f>VLOOKUP(C780,menu!A:E,4,FALSE)</f>
        <v>11000</v>
      </c>
      <c r="I780">
        <f t="shared" si="25"/>
        <v>16000</v>
      </c>
    </row>
    <row r="781" spans="1:9" x14ac:dyDescent="0.35">
      <c r="A781" s="4" t="s">
        <v>1692</v>
      </c>
      <c r="B781" s="4" t="s">
        <v>524</v>
      </c>
      <c r="C781" s="4" t="s">
        <v>931</v>
      </c>
      <c r="D781" s="4">
        <v>1</v>
      </c>
      <c r="E781" s="6">
        <v>5000</v>
      </c>
      <c r="F781" t="str">
        <f>VLOOKUP(C781,menu!A:B,2,FALSE)</f>
        <v>Kerupuk Udang</v>
      </c>
      <c r="G781">
        <f t="shared" si="24"/>
        <v>5000</v>
      </c>
      <c r="H781">
        <f>VLOOKUP(C781,menu!A:E,4,FALSE)</f>
        <v>1500</v>
      </c>
      <c r="I781">
        <f t="shared" si="25"/>
        <v>3500</v>
      </c>
    </row>
    <row r="782" spans="1:9" x14ac:dyDescent="0.35">
      <c r="A782" s="4" t="s">
        <v>1693</v>
      </c>
      <c r="B782" s="4" t="s">
        <v>524</v>
      </c>
      <c r="C782" s="4" t="s">
        <v>890</v>
      </c>
      <c r="D782" s="4">
        <v>1</v>
      </c>
      <c r="E782" s="6">
        <v>18000</v>
      </c>
      <c r="F782" t="str">
        <f>VLOOKUP(C782,menu!A:B,2,FALSE)</f>
        <v>Es Kopi Susu Gula Aren</v>
      </c>
      <c r="G782">
        <f t="shared" si="24"/>
        <v>18000</v>
      </c>
      <c r="H782">
        <f>VLOOKUP(C782,menu!A:E,4,FALSE)</f>
        <v>4500</v>
      </c>
      <c r="I782">
        <f t="shared" si="25"/>
        <v>13500</v>
      </c>
    </row>
    <row r="783" spans="1:9" x14ac:dyDescent="0.35">
      <c r="A783" s="4" t="s">
        <v>1694</v>
      </c>
      <c r="B783" s="4" t="s">
        <v>583</v>
      </c>
      <c r="C783" s="4" t="s">
        <v>898</v>
      </c>
      <c r="D783" s="4">
        <v>1</v>
      </c>
      <c r="E783" s="6">
        <v>27000</v>
      </c>
      <c r="F783" t="str">
        <f>VLOOKUP(C783,menu!A:B,2,FALSE)</f>
        <v>Ayam Geprek Sambal Bawang</v>
      </c>
      <c r="G783">
        <f t="shared" si="24"/>
        <v>27000</v>
      </c>
      <c r="H783">
        <f>VLOOKUP(C783,menu!A:E,4,FALSE)</f>
        <v>11000</v>
      </c>
      <c r="I783">
        <f t="shared" si="25"/>
        <v>16000</v>
      </c>
    </row>
    <row r="784" spans="1:9" x14ac:dyDescent="0.35">
      <c r="A784" s="4" t="s">
        <v>1695</v>
      </c>
      <c r="B784" s="4" t="s">
        <v>46</v>
      </c>
      <c r="C784" s="4" t="s">
        <v>916</v>
      </c>
      <c r="D784" s="4">
        <v>2</v>
      </c>
      <c r="E784" s="6">
        <v>9000</v>
      </c>
      <c r="F784" t="str">
        <f>VLOOKUP(C784,menu!A:B,2,FALSE)</f>
        <v>Kopi Hitam Tubruk</v>
      </c>
      <c r="G784">
        <f t="shared" si="24"/>
        <v>18000</v>
      </c>
      <c r="H784">
        <f>VLOOKUP(C784,menu!A:E,4,FALSE)</f>
        <v>2000</v>
      </c>
      <c r="I784">
        <f t="shared" si="25"/>
        <v>14000</v>
      </c>
    </row>
    <row r="785" spans="1:9" x14ac:dyDescent="0.35">
      <c r="A785" s="4" t="s">
        <v>1696</v>
      </c>
      <c r="B785" s="4" t="s">
        <v>46</v>
      </c>
      <c r="C785" s="4" t="s">
        <v>898</v>
      </c>
      <c r="D785" s="4">
        <v>1</v>
      </c>
      <c r="E785" s="6">
        <v>27000</v>
      </c>
      <c r="F785" t="str">
        <f>VLOOKUP(C785,menu!A:B,2,FALSE)</f>
        <v>Ayam Geprek Sambal Bawang</v>
      </c>
      <c r="G785">
        <f t="shared" si="24"/>
        <v>27000</v>
      </c>
      <c r="H785">
        <f>VLOOKUP(C785,menu!A:E,4,FALSE)</f>
        <v>11000</v>
      </c>
      <c r="I785">
        <f t="shared" si="25"/>
        <v>16000</v>
      </c>
    </row>
    <row r="786" spans="1:9" x14ac:dyDescent="0.35">
      <c r="A786" s="4" t="s">
        <v>1697</v>
      </c>
      <c r="B786" s="4" t="s">
        <v>509</v>
      </c>
      <c r="C786" s="4" t="s">
        <v>898</v>
      </c>
      <c r="D786" s="4">
        <v>2</v>
      </c>
      <c r="E786" s="6">
        <v>27000</v>
      </c>
      <c r="F786" t="str">
        <f>VLOOKUP(C786,menu!A:B,2,FALSE)</f>
        <v>Ayam Geprek Sambal Bawang</v>
      </c>
      <c r="G786">
        <f t="shared" si="24"/>
        <v>54000</v>
      </c>
      <c r="H786">
        <f>VLOOKUP(C786,menu!A:E,4,FALSE)</f>
        <v>11000</v>
      </c>
      <c r="I786">
        <f t="shared" si="25"/>
        <v>32000</v>
      </c>
    </row>
    <row r="787" spans="1:9" x14ac:dyDescent="0.35">
      <c r="A787" s="4" t="s">
        <v>1698</v>
      </c>
      <c r="B787" s="4" t="s">
        <v>509</v>
      </c>
      <c r="C787" s="4" t="s">
        <v>916</v>
      </c>
      <c r="D787" s="4">
        <v>1</v>
      </c>
      <c r="E787" s="6">
        <v>9000</v>
      </c>
      <c r="F787" t="str">
        <f>VLOOKUP(C787,menu!A:B,2,FALSE)</f>
        <v>Kopi Hitam Tubruk</v>
      </c>
      <c r="G787">
        <f t="shared" si="24"/>
        <v>9000</v>
      </c>
      <c r="H787">
        <f>VLOOKUP(C787,menu!A:E,4,FALSE)</f>
        <v>2000</v>
      </c>
      <c r="I787">
        <f t="shared" si="25"/>
        <v>7000</v>
      </c>
    </row>
    <row r="788" spans="1:9" x14ac:dyDescent="0.35">
      <c r="A788" s="4" t="s">
        <v>1699</v>
      </c>
      <c r="B788" s="4" t="s">
        <v>509</v>
      </c>
      <c r="C788" s="4" t="s">
        <v>890</v>
      </c>
      <c r="D788" s="4">
        <v>1</v>
      </c>
      <c r="E788" s="6">
        <v>18000</v>
      </c>
      <c r="F788" t="str">
        <f>VLOOKUP(C788,menu!A:B,2,FALSE)</f>
        <v>Es Kopi Susu Gula Aren</v>
      </c>
      <c r="G788">
        <f t="shared" si="24"/>
        <v>18000</v>
      </c>
      <c r="H788">
        <f>VLOOKUP(C788,menu!A:E,4,FALSE)</f>
        <v>4500</v>
      </c>
      <c r="I788">
        <f t="shared" si="25"/>
        <v>13500</v>
      </c>
    </row>
    <row r="789" spans="1:9" x14ac:dyDescent="0.35">
      <c r="A789" s="4" t="s">
        <v>1700</v>
      </c>
      <c r="B789" s="4" t="s">
        <v>260</v>
      </c>
      <c r="C789" s="4" t="s">
        <v>898</v>
      </c>
      <c r="D789" s="4">
        <v>1</v>
      </c>
      <c r="E789" s="6">
        <v>27000</v>
      </c>
      <c r="F789" t="str">
        <f>VLOOKUP(C789,menu!A:B,2,FALSE)</f>
        <v>Ayam Geprek Sambal Bawang</v>
      </c>
      <c r="G789">
        <f t="shared" si="24"/>
        <v>27000</v>
      </c>
      <c r="H789">
        <f>VLOOKUP(C789,menu!A:E,4,FALSE)</f>
        <v>11000</v>
      </c>
      <c r="I789">
        <f t="shared" si="25"/>
        <v>16000</v>
      </c>
    </row>
    <row r="790" spans="1:9" x14ac:dyDescent="0.35">
      <c r="A790" s="4" t="s">
        <v>1701</v>
      </c>
      <c r="B790" s="4" t="s">
        <v>260</v>
      </c>
      <c r="C790" s="4" t="s">
        <v>935</v>
      </c>
      <c r="D790" s="4">
        <v>2</v>
      </c>
      <c r="E790" s="6">
        <v>22000</v>
      </c>
      <c r="F790" t="str">
        <f>VLOOKUP(C790,menu!A:B,2,FALSE)</f>
        <v>Soto Ayam Lamongan</v>
      </c>
      <c r="G790">
        <f t="shared" si="24"/>
        <v>44000</v>
      </c>
      <c r="H790">
        <f>VLOOKUP(C790,menu!A:E,4,FALSE)</f>
        <v>9500</v>
      </c>
      <c r="I790">
        <f t="shared" si="25"/>
        <v>25000</v>
      </c>
    </row>
    <row r="791" spans="1:9" x14ac:dyDescent="0.35">
      <c r="A791" s="4" t="s">
        <v>1702</v>
      </c>
      <c r="B791" s="4" t="s">
        <v>248</v>
      </c>
      <c r="C791" s="4" t="s">
        <v>898</v>
      </c>
      <c r="D791" s="4">
        <v>1</v>
      </c>
      <c r="E791" s="6">
        <v>27000</v>
      </c>
      <c r="F791" t="str">
        <f>VLOOKUP(C791,menu!A:B,2,FALSE)</f>
        <v>Ayam Geprek Sambal Bawang</v>
      </c>
      <c r="G791">
        <f t="shared" si="24"/>
        <v>27000</v>
      </c>
      <c r="H791">
        <f>VLOOKUP(C791,menu!A:E,4,FALSE)</f>
        <v>11000</v>
      </c>
      <c r="I791">
        <f t="shared" si="25"/>
        <v>16000</v>
      </c>
    </row>
    <row r="792" spans="1:9" x14ac:dyDescent="0.35">
      <c r="A792" s="4" t="s">
        <v>1703</v>
      </c>
      <c r="B792" s="4" t="s">
        <v>248</v>
      </c>
      <c r="C792" s="4" t="s">
        <v>937</v>
      </c>
      <c r="D792" s="4">
        <v>1</v>
      </c>
      <c r="E792" s="6">
        <v>26000</v>
      </c>
      <c r="F792" t="str">
        <f>VLOOKUP(C792,menu!A:B,2,FALSE)</f>
        <v>Nasi Campur Bali</v>
      </c>
      <c r="G792">
        <f t="shared" si="24"/>
        <v>26000</v>
      </c>
      <c r="H792">
        <f>VLOOKUP(C792,menu!A:E,4,FALSE)</f>
        <v>11500</v>
      </c>
      <c r="I792">
        <f t="shared" si="25"/>
        <v>14500</v>
      </c>
    </row>
    <row r="793" spans="1:9" x14ac:dyDescent="0.35">
      <c r="A793" s="4" t="s">
        <v>1704</v>
      </c>
      <c r="B793" s="4" t="s">
        <v>248</v>
      </c>
      <c r="C793" s="4" t="s">
        <v>904</v>
      </c>
      <c r="D793" s="4">
        <v>1</v>
      </c>
      <c r="E793" s="6">
        <v>22000</v>
      </c>
      <c r="F793" t="str">
        <f>VLOOKUP(C793,menu!A:B,2,FALSE)</f>
        <v>Pecel Lele</v>
      </c>
      <c r="G793">
        <f t="shared" si="24"/>
        <v>22000</v>
      </c>
      <c r="H793">
        <f>VLOOKUP(C793,menu!A:E,4,FALSE)</f>
        <v>9500</v>
      </c>
      <c r="I793">
        <f t="shared" si="25"/>
        <v>12500</v>
      </c>
    </row>
    <row r="794" spans="1:9" x14ac:dyDescent="0.35">
      <c r="A794" s="4" t="s">
        <v>1705</v>
      </c>
      <c r="B794" s="4" t="s">
        <v>119</v>
      </c>
      <c r="C794" s="4" t="s">
        <v>898</v>
      </c>
      <c r="D794" s="4">
        <v>2</v>
      </c>
      <c r="E794" s="6">
        <v>27000</v>
      </c>
      <c r="F794" t="str">
        <f>VLOOKUP(C794,menu!A:B,2,FALSE)</f>
        <v>Ayam Geprek Sambal Bawang</v>
      </c>
      <c r="G794">
        <f t="shared" si="24"/>
        <v>54000</v>
      </c>
      <c r="H794">
        <f>VLOOKUP(C794,menu!A:E,4,FALSE)</f>
        <v>11000</v>
      </c>
      <c r="I794">
        <f t="shared" si="25"/>
        <v>32000</v>
      </c>
    </row>
    <row r="795" spans="1:9" x14ac:dyDescent="0.35">
      <c r="A795" s="4" t="s">
        <v>1706</v>
      </c>
      <c r="B795" s="4" t="s">
        <v>119</v>
      </c>
      <c r="C795" s="4" t="s">
        <v>896</v>
      </c>
      <c r="D795" s="4">
        <v>1</v>
      </c>
      <c r="E795" s="6">
        <v>23000</v>
      </c>
      <c r="F795" t="str">
        <f>VLOOKUP(C795,menu!A:B,2,FALSE)</f>
        <v>Nasi Uduk Komplit</v>
      </c>
      <c r="G795">
        <f t="shared" si="24"/>
        <v>23000</v>
      </c>
      <c r="H795">
        <f>VLOOKUP(C795,menu!A:E,4,FALSE)</f>
        <v>9000</v>
      </c>
      <c r="I795">
        <f t="shared" si="25"/>
        <v>14000</v>
      </c>
    </row>
    <row r="796" spans="1:9" x14ac:dyDescent="0.35">
      <c r="A796" s="4" t="s">
        <v>1707</v>
      </c>
      <c r="B796" s="4" t="s">
        <v>119</v>
      </c>
      <c r="C796" s="4" t="s">
        <v>894</v>
      </c>
      <c r="D796" s="4">
        <v>1</v>
      </c>
      <c r="E796" s="6">
        <v>5000</v>
      </c>
      <c r="F796" t="str">
        <f>VLOOKUP(C796,menu!A:B,2,FALSE)</f>
        <v>Air Mineral Botol</v>
      </c>
      <c r="G796">
        <f t="shared" si="24"/>
        <v>5000</v>
      </c>
      <c r="H796">
        <f>VLOOKUP(C796,menu!A:E,4,FALSE)</f>
        <v>2000</v>
      </c>
      <c r="I796">
        <f t="shared" si="25"/>
        <v>3000</v>
      </c>
    </row>
    <row r="797" spans="1:9" x14ac:dyDescent="0.35">
      <c r="A797" s="4" t="s">
        <v>1708</v>
      </c>
      <c r="B797" s="4" t="s">
        <v>286</v>
      </c>
      <c r="C797" s="4" t="s">
        <v>890</v>
      </c>
      <c r="D797" s="4">
        <v>1</v>
      </c>
      <c r="E797" s="6">
        <v>18000</v>
      </c>
      <c r="F797" t="str">
        <f>VLOOKUP(C797,menu!A:B,2,FALSE)</f>
        <v>Es Kopi Susu Gula Aren</v>
      </c>
      <c r="G797">
        <f t="shared" si="24"/>
        <v>18000</v>
      </c>
      <c r="H797">
        <f>VLOOKUP(C797,menu!A:E,4,FALSE)</f>
        <v>4500</v>
      </c>
      <c r="I797">
        <f t="shared" si="25"/>
        <v>13500</v>
      </c>
    </row>
    <row r="798" spans="1:9" x14ac:dyDescent="0.35">
      <c r="A798" s="4" t="s">
        <v>1709</v>
      </c>
      <c r="B798" s="4" t="s">
        <v>286</v>
      </c>
      <c r="C798" s="4" t="s">
        <v>892</v>
      </c>
      <c r="D798" s="4">
        <v>1</v>
      </c>
      <c r="E798" s="6">
        <v>9000</v>
      </c>
      <c r="F798" t="str">
        <f>VLOOKUP(C798,menu!A:B,2,FALSE)</f>
        <v>Tempe Mendoan (5pcs)</v>
      </c>
      <c r="G798">
        <f t="shared" si="24"/>
        <v>9000</v>
      </c>
      <c r="H798">
        <f>VLOOKUP(C798,menu!A:E,4,FALSE)</f>
        <v>3000</v>
      </c>
      <c r="I798">
        <f t="shared" si="25"/>
        <v>6000</v>
      </c>
    </row>
    <row r="799" spans="1:9" x14ac:dyDescent="0.35">
      <c r="A799" s="4" t="s">
        <v>1710</v>
      </c>
      <c r="B799" s="4" t="s">
        <v>286</v>
      </c>
      <c r="C799" s="4" t="s">
        <v>928</v>
      </c>
      <c r="D799" s="4">
        <v>1</v>
      </c>
      <c r="E799" s="6">
        <v>23000</v>
      </c>
      <c r="F799" t="str">
        <f>VLOOKUP(C799,menu!A:B,2,FALSE)</f>
        <v>Mie Goreng Jawa</v>
      </c>
      <c r="G799">
        <f t="shared" si="24"/>
        <v>23000</v>
      </c>
      <c r="H799">
        <f>VLOOKUP(C799,menu!A:E,4,FALSE)</f>
        <v>8500</v>
      </c>
      <c r="I799">
        <f t="shared" si="25"/>
        <v>14500</v>
      </c>
    </row>
    <row r="800" spans="1:9" x14ac:dyDescent="0.35">
      <c r="A800" s="4" t="s">
        <v>1711</v>
      </c>
      <c r="B800" s="4" t="s">
        <v>617</v>
      </c>
      <c r="C800" s="4" t="s">
        <v>902</v>
      </c>
      <c r="D800" s="4">
        <v>1</v>
      </c>
      <c r="E800" s="6">
        <v>12000</v>
      </c>
      <c r="F800" t="str">
        <f>VLOOKUP(C800,menu!A:B,2,FALSE)</f>
        <v>Teh Tarik</v>
      </c>
      <c r="G800">
        <f t="shared" si="24"/>
        <v>12000</v>
      </c>
      <c r="H800">
        <f>VLOOKUP(C800,menu!A:E,4,FALSE)</f>
        <v>3000</v>
      </c>
      <c r="I800">
        <f t="shared" si="25"/>
        <v>9000</v>
      </c>
    </row>
    <row r="801" spans="1:9" x14ac:dyDescent="0.35">
      <c r="A801" s="4" t="s">
        <v>1712</v>
      </c>
      <c r="B801" s="4" t="s">
        <v>617</v>
      </c>
      <c r="C801" s="4" t="s">
        <v>898</v>
      </c>
      <c r="D801" s="4">
        <v>1</v>
      </c>
      <c r="E801" s="6">
        <v>27000</v>
      </c>
      <c r="F801" t="str">
        <f>VLOOKUP(C801,menu!A:B,2,FALSE)</f>
        <v>Ayam Geprek Sambal Bawang</v>
      </c>
      <c r="G801">
        <f t="shared" si="24"/>
        <v>27000</v>
      </c>
      <c r="H801">
        <f>VLOOKUP(C801,menu!A:E,4,FALSE)</f>
        <v>11000</v>
      </c>
      <c r="I801">
        <f t="shared" si="25"/>
        <v>16000</v>
      </c>
    </row>
    <row r="802" spans="1:9" x14ac:dyDescent="0.35">
      <c r="A802" s="4" t="s">
        <v>1713</v>
      </c>
      <c r="B802" s="4" t="s">
        <v>788</v>
      </c>
      <c r="C802" s="4" t="s">
        <v>890</v>
      </c>
      <c r="D802" s="4">
        <v>1</v>
      </c>
      <c r="E802" s="6">
        <v>18000</v>
      </c>
      <c r="F802" t="str">
        <f>VLOOKUP(C802,menu!A:B,2,FALSE)</f>
        <v>Es Kopi Susu Gula Aren</v>
      </c>
      <c r="G802">
        <f t="shared" si="24"/>
        <v>18000</v>
      </c>
      <c r="H802">
        <f>VLOOKUP(C802,menu!A:E,4,FALSE)</f>
        <v>4500</v>
      </c>
      <c r="I802">
        <f t="shared" si="25"/>
        <v>13500</v>
      </c>
    </row>
    <row r="803" spans="1:9" x14ac:dyDescent="0.35">
      <c r="A803" s="4" t="s">
        <v>1714</v>
      </c>
      <c r="B803" s="4" t="s">
        <v>788</v>
      </c>
      <c r="C803" s="4" t="s">
        <v>906</v>
      </c>
      <c r="D803" s="4">
        <v>1</v>
      </c>
      <c r="E803" s="6">
        <v>28000</v>
      </c>
      <c r="F803" t="str">
        <f>VLOOKUP(C803,menu!A:B,2,FALSE)</f>
        <v>Sate Ayam 10 Tusuk</v>
      </c>
      <c r="G803">
        <f t="shared" si="24"/>
        <v>28000</v>
      </c>
      <c r="H803">
        <f>VLOOKUP(C803,menu!A:E,4,FALSE)</f>
        <v>12000</v>
      </c>
      <c r="I803">
        <f t="shared" si="25"/>
        <v>16000</v>
      </c>
    </row>
    <row r="804" spans="1:9" x14ac:dyDescent="0.35">
      <c r="A804" s="4" t="s">
        <v>1715</v>
      </c>
      <c r="B804" s="4" t="s">
        <v>788</v>
      </c>
      <c r="C804" s="4" t="s">
        <v>916</v>
      </c>
      <c r="D804" s="4">
        <v>1</v>
      </c>
      <c r="E804" s="6">
        <v>9000</v>
      </c>
      <c r="F804" t="str">
        <f>VLOOKUP(C804,menu!A:B,2,FALSE)</f>
        <v>Kopi Hitam Tubruk</v>
      </c>
      <c r="G804">
        <f t="shared" si="24"/>
        <v>9000</v>
      </c>
      <c r="H804">
        <f>VLOOKUP(C804,menu!A:E,4,FALSE)</f>
        <v>2000</v>
      </c>
      <c r="I804">
        <f t="shared" si="25"/>
        <v>7000</v>
      </c>
    </row>
    <row r="805" spans="1:9" x14ac:dyDescent="0.35">
      <c r="A805" s="4" t="s">
        <v>1716</v>
      </c>
      <c r="B805" s="4" t="s">
        <v>788</v>
      </c>
      <c r="C805" s="4" t="s">
        <v>898</v>
      </c>
      <c r="D805" s="4">
        <v>1</v>
      </c>
      <c r="E805" s="6">
        <v>27000</v>
      </c>
      <c r="F805" t="str">
        <f>VLOOKUP(C805,menu!A:B,2,FALSE)</f>
        <v>Ayam Geprek Sambal Bawang</v>
      </c>
      <c r="G805">
        <f t="shared" si="24"/>
        <v>27000</v>
      </c>
      <c r="H805">
        <f>VLOOKUP(C805,menu!A:E,4,FALSE)</f>
        <v>11000</v>
      </c>
      <c r="I805">
        <f t="shared" si="25"/>
        <v>16000</v>
      </c>
    </row>
    <row r="806" spans="1:9" x14ac:dyDescent="0.35">
      <c r="A806" s="4" t="s">
        <v>1717</v>
      </c>
      <c r="B806" s="4" t="s">
        <v>788</v>
      </c>
      <c r="C806" s="4" t="s">
        <v>896</v>
      </c>
      <c r="D806" s="4">
        <v>2</v>
      </c>
      <c r="E806" s="6">
        <v>23000</v>
      </c>
      <c r="F806" t="str">
        <f>VLOOKUP(C806,menu!A:B,2,FALSE)</f>
        <v>Nasi Uduk Komplit</v>
      </c>
      <c r="G806">
        <f t="shared" si="24"/>
        <v>46000</v>
      </c>
      <c r="H806">
        <f>VLOOKUP(C806,menu!A:E,4,FALSE)</f>
        <v>9000</v>
      </c>
      <c r="I806">
        <f t="shared" si="25"/>
        <v>28000</v>
      </c>
    </row>
    <row r="807" spans="1:9" x14ac:dyDescent="0.35">
      <c r="A807" s="4" t="s">
        <v>1718</v>
      </c>
      <c r="B807" s="4" t="s">
        <v>767</v>
      </c>
      <c r="C807" s="4" t="s">
        <v>908</v>
      </c>
      <c r="D807" s="4">
        <v>2</v>
      </c>
      <c r="E807" s="6">
        <v>16000</v>
      </c>
      <c r="F807" t="str">
        <f>VLOOKUP(C807,menu!A:B,2,FALSE)</f>
        <v>Jus Alpukat</v>
      </c>
      <c r="G807">
        <f t="shared" si="24"/>
        <v>32000</v>
      </c>
      <c r="H807">
        <f>VLOOKUP(C807,menu!A:E,4,FALSE)</f>
        <v>5500</v>
      </c>
      <c r="I807">
        <f t="shared" si="25"/>
        <v>21000</v>
      </c>
    </row>
    <row r="808" spans="1:9" x14ac:dyDescent="0.35">
      <c r="A808" s="4" t="s">
        <v>1719</v>
      </c>
      <c r="B808" s="4" t="s">
        <v>767</v>
      </c>
      <c r="C808" s="4" t="s">
        <v>898</v>
      </c>
      <c r="D808" s="4">
        <v>1</v>
      </c>
      <c r="E808" s="6">
        <v>27000</v>
      </c>
      <c r="F808" t="str">
        <f>VLOOKUP(C808,menu!A:B,2,FALSE)</f>
        <v>Ayam Geprek Sambal Bawang</v>
      </c>
      <c r="G808">
        <f t="shared" si="24"/>
        <v>27000</v>
      </c>
      <c r="H808">
        <f>VLOOKUP(C808,menu!A:E,4,FALSE)</f>
        <v>11000</v>
      </c>
      <c r="I808">
        <f t="shared" si="25"/>
        <v>16000</v>
      </c>
    </row>
    <row r="809" spans="1:9" x14ac:dyDescent="0.35">
      <c r="A809" s="4" t="s">
        <v>1720</v>
      </c>
      <c r="B809" s="4" t="s">
        <v>767</v>
      </c>
      <c r="C809" s="4" t="s">
        <v>894</v>
      </c>
      <c r="D809" s="4">
        <v>1</v>
      </c>
      <c r="E809" s="6">
        <v>5000</v>
      </c>
      <c r="F809" t="str">
        <f>VLOOKUP(C809,menu!A:B,2,FALSE)</f>
        <v>Air Mineral Botol</v>
      </c>
      <c r="G809">
        <f t="shared" si="24"/>
        <v>5000</v>
      </c>
      <c r="H809">
        <f>VLOOKUP(C809,menu!A:E,4,FALSE)</f>
        <v>2000</v>
      </c>
      <c r="I809">
        <f t="shared" si="25"/>
        <v>3000</v>
      </c>
    </row>
    <row r="810" spans="1:9" x14ac:dyDescent="0.35">
      <c r="A810" s="4" t="s">
        <v>1721</v>
      </c>
      <c r="B810" s="4" t="s">
        <v>600</v>
      </c>
      <c r="C810" s="4" t="s">
        <v>1003</v>
      </c>
      <c r="D810" s="4">
        <v>1</v>
      </c>
      <c r="E810" s="6">
        <v>29000</v>
      </c>
      <c r="F810" t="str">
        <f>VLOOKUP(C810,menu!A:B,2,FALSE)</f>
        <v>Capcay Seafood</v>
      </c>
      <c r="G810">
        <f t="shared" si="24"/>
        <v>29000</v>
      </c>
      <c r="H810">
        <f>VLOOKUP(C810,menu!A:E,4,FALSE)</f>
        <v>13000</v>
      </c>
      <c r="I810">
        <f t="shared" si="25"/>
        <v>16000</v>
      </c>
    </row>
    <row r="811" spans="1:9" x14ac:dyDescent="0.35">
      <c r="A811" s="4" t="s">
        <v>1722</v>
      </c>
      <c r="B811" s="4" t="s">
        <v>600</v>
      </c>
      <c r="C811" s="4" t="s">
        <v>898</v>
      </c>
      <c r="D811" s="4">
        <v>1</v>
      </c>
      <c r="E811" s="6">
        <v>27000</v>
      </c>
      <c r="F811" t="str">
        <f>VLOOKUP(C811,menu!A:B,2,FALSE)</f>
        <v>Ayam Geprek Sambal Bawang</v>
      </c>
      <c r="G811">
        <f t="shared" si="24"/>
        <v>27000</v>
      </c>
      <c r="H811">
        <f>VLOOKUP(C811,menu!A:E,4,FALSE)</f>
        <v>11000</v>
      </c>
      <c r="I811">
        <f t="shared" si="25"/>
        <v>16000</v>
      </c>
    </row>
    <row r="812" spans="1:9" x14ac:dyDescent="0.35">
      <c r="A812" s="4" t="s">
        <v>1723</v>
      </c>
      <c r="B812" s="4" t="s">
        <v>600</v>
      </c>
      <c r="C812" s="4" t="s">
        <v>940</v>
      </c>
      <c r="D812" s="4">
        <v>1</v>
      </c>
      <c r="E812" s="6">
        <v>10000</v>
      </c>
      <c r="F812" t="str">
        <f>VLOOKUP(C812,menu!A:B,2,FALSE)</f>
        <v>Tahu Isi Goreng (5pcs)</v>
      </c>
      <c r="G812">
        <f t="shared" si="24"/>
        <v>10000</v>
      </c>
      <c r="H812">
        <f>VLOOKUP(C812,menu!A:E,4,FALSE)</f>
        <v>3500</v>
      </c>
      <c r="I812">
        <f t="shared" si="25"/>
        <v>6500</v>
      </c>
    </row>
    <row r="813" spans="1:9" x14ac:dyDescent="0.35">
      <c r="A813" s="4" t="s">
        <v>1724</v>
      </c>
      <c r="B813" s="4" t="s">
        <v>600</v>
      </c>
      <c r="C813" s="4" t="s">
        <v>919</v>
      </c>
      <c r="D813" s="4">
        <v>1</v>
      </c>
      <c r="E813" s="6">
        <v>20000</v>
      </c>
      <c r="F813" t="str">
        <f>VLOOKUP(C813,menu!A:B,2,FALSE)</f>
        <v>Gado-Gado Jakarta</v>
      </c>
      <c r="G813">
        <f t="shared" si="24"/>
        <v>20000</v>
      </c>
      <c r="H813">
        <f>VLOOKUP(C813,menu!A:E,4,FALSE)</f>
        <v>8000</v>
      </c>
      <c r="I813">
        <f t="shared" si="25"/>
        <v>12000</v>
      </c>
    </row>
    <row r="814" spans="1:9" x14ac:dyDescent="0.35">
      <c r="A814" s="4" t="s">
        <v>1725</v>
      </c>
      <c r="B814" s="4" t="s">
        <v>80</v>
      </c>
      <c r="C814" s="4" t="s">
        <v>894</v>
      </c>
      <c r="D814" s="4">
        <v>1</v>
      </c>
      <c r="E814" s="6">
        <v>5000</v>
      </c>
      <c r="F814" t="str">
        <f>VLOOKUP(C814,menu!A:B,2,FALSE)</f>
        <v>Air Mineral Botol</v>
      </c>
      <c r="G814">
        <f t="shared" si="24"/>
        <v>5000</v>
      </c>
      <c r="H814">
        <f>VLOOKUP(C814,menu!A:E,4,FALSE)</f>
        <v>2000</v>
      </c>
      <c r="I814">
        <f t="shared" si="25"/>
        <v>3000</v>
      </c>
    </row>
    <row r="815" spans="1:9" x14ac:dyDescent="0.35">
      <c r="A815" s="4" t="s">
        <v>1726</v>
      </c>
      <c r="B815" s="4" t="s">
        <v>240</v>
      </c>
      <c r="C815" s="4" t="s">
        <v>919</v>
      </c>
      <c r="D815" s="4">
        <v>1</v>
      </c>
      <c r="E815" s="6">
        <v>20000</v>
      </c>
      <c r="F815" t="str">
        <f>VLOOKUP(C815,menu!A:B,2,FALSE)</f>
        <v>Gado-Gado Jakarta</v>
      </c>
      <c r="G815">
        <f t="shared" si="24"/>
        <v>20000</v>
      </c>
      <c r="H815">
        <f>VLOOKUP(C815,menu!A:E,4,FALSE)</f>
        <v>8000</v>
      </c>
      <c r="I815">
        <f t="shared" si="25"/>
        <v>12000</v>
      </c>
    </row>
    <row r="816" spans="1:9" x14ac:dyDescent="0.35">
      <c r="A816" s="4" t="s">
        <v>1727</v>
      </c>
      <c r="B816" s="4" t="s">
        <v>240</v>
      </c>
      <c r="C816" s="4" t="s">
        <v>937</v>
      </c>
      <c r="D816" s="4">
        <v>1</v>
      </c>
      <c r="E816" s="6">
        <v>26000</v>
      </c>
      <c r="F816" t="str">
        <f>VLOOKUP(C816,menu!A:B,2,FALSE)</f>
        <v>Nasi Campur Bali</v>
      </c>
      <c r="G816">
        <f t="shared" si="24"/>
        <v>26000</v>
      </c>
      <c r="H816">
        <f>VLOOKUP(C816,menu!A:E,4,FALSE)</f>
        <v>11500</v>
      </c>
      <c r="I816">
        <f t="shared" si="25"/>
        <v>14500</v>
      </c>
    </row>
    <row r="817" spans="1:9" x14ac:dyDescent="0.35">
      <c r="A817" s="4" t="s">
        <v>1728</v>
      </c>
      <c r="B817" s="4" t="s">
        <v>240</v>
      </c>
      <c r="C817" s="4" t="s">
        <v>1671</v>
      </c>
      <c r="D817" s="4">
        <v>1</v>
      </c>
      <c r="E817" s="6">
        <v>25000</v>
      </c>
      <c r="F817" t="str">
        <f>VLOOKUP(C817,menu!A:B,2,FALSE)</f>
        <v>Nasi Goreng Spesial</v>
      </c>
      <c r="G817">
        <f t="shared" si="24"/>
        <v>25000</v>
      </c>
      <c r="H817">
        <f>VLOOKUP(C817,menu!A:E,4,FALSE)</f>
        <v>9000</v>
      </c>
      <c r="I817">
        <f t="shared" si="25"/>
        <v>16000</v>
      </c>
    </row>
    <row r="818" spans="1:9" x14ac:dyDescent="0.35">
      <c r="A818" s="4" t="s">
        <v>1729</v>
      </c>
      <c r="B818" s="4" t="s">
        <v>233</v>
      </c>
      <c r="C818" s="4" t="s">
        <v>892</v>
      </c>
      <c r="D818" s="4">
        <v>1</v>
      </c>
      <c r="E818" s="6">
        <v>9000</v>
      </c>
      <c r="F818" t="str">
        <f>VLOOKUP(C818,menu!A:B,2,FALSE)</f>
        <v>Tempe Mendoan (5pcs)</v>
      </c>
      <c r="G818">
        <f t="shared" si="24"/>
        <v>9000</v>
      </c>
      <c r="H818">
        <f>VLOOKUP(C818,menu!A:E,4,FALSE)</f>
        <v>3000</v>
      </c>
      <c r="I818">
        <f t="shared" si="25"/>
        <v>6000</v>
      </c>
    </row>
    <row r="819" spans="1:9" x14ac:dyDescent="0.35">
      <c r="A819" s="4" t="s">
        <v>1730</v>
      </c>
      <c r="B819" s="4" t="s">
        <v>233</v>
      </c>
      <c r="C819" s="4" t="s">
        <v>898</v>
      </c>
      <c r="D819" s="4">
        <v>1</v>
      </c>
      <c r="E819" s="6">
        <v>27000</v>
      </c>
      <c r="F819" t="str">
        <f>VLOOKUP(C819,menu!A:B,2,FALSE)</f>
        <v>Ayam Geprek Sambal Bawang</v>
      </c>
      <c r="G819">
        <f t="shared" si="24"/>
        <v>27000</v>
      </c>
      <c r="H819">
        <f>VLOOKUP(C819,menu!A:E,4,FALSE)</f>
        <v>11000</v>
      </c>
      <c r="I819">
        <f t="shared" si="25"/>
        <v>16000</v>
      </c>
    </row>
    <row r="820" spans="1:9" x14ac:dyDescent="0.35">
      <c r="A820" s="4" t="s">
        <v>1731</v>
      </c>
      <c r="B820" s="4" t="s">
        <v>233</v>
      </c>
      <c r="C820" s="4" t="s">
        <v>940</v>
      </c>
      <c r="D820" s="4">
        <v>1</v>
      </c>
      <c r="E820" s="6">
        <v>10000</v>
      </c>
      <c r="F820" t="str">
        <f>VLOOKUP(C820,menu!A:B,2,FALSE)</f>
        <v>Tahu Isi Goreng (5pcs)</v>
      </c>
      <c r="G820">
        <f t="shared" si="24"/>
        <v>10000</v>
      </c>
      <c r="H820">
        <f>VLOOKUP(C820,menu!A:E,4,FALSE)</f>
        <v>3500</v>
      </c>
      <c r="I820">
        <f t="shared" si="25"/>
        <v>6500</v>
      </c>
    </row>
    <row r="821" spans="1:9" x14ac:dyDescent="0.35">
      <c r="A821" s="4" t="s">
        <v>1732</v>
      </c>
      <c r="B821" s="4" t="s">
        <v>233</v>
      </c>
      <c r="C821" s="4" t="s">
        <v>1003</v>
      </c>
      <c r="D821" s="4">
        <v>1</v>
      </c>
      <c r="E821" s="6">
        <v>29000</v>
      </c>
      <c r="F821" t="str">
        <f>VLOOKUP(C821,menu!A:B,2,FALSE)</f>
        <v>Capcay Seafood</v>
      </c>
      <c r="G821">
        <f t="shared" si="24"/>
        <v>29000</v>
      </c>
      <c r="H821">
        <f>VLOOKUP(C821,menu!A:E,4,FALSE)</f>
        <v>13000</v>
      </c>
      <c r="I821">
        <f t="shared" si="25"/>
        <v>16000</v>
      </c>
    </row>
    <row r="822" spans="1:9" x14ac:dyDescent="0.35">
      <c r="A822" s="4" t="s">
        <v>1733</v>
      </c>
      <c r="B822" s="4" t="s">
        <v>233</v>
      </c>
      <c r="C822" s="4" t="s">
        <v>919</v>
      </c>
      <c r="D822" s="4">
        <v>1</v>
      </c>
      <c r="E822" s="6">
        <v>20000</v>
      </c>
      <c r="F822" t="str">
        <f>VLOOKUP(C822,menu!A:B,2,FALSE)</f>
        <v>Gado-Gado Jakarta</v>
      </c>
      <c r="G822">
        <f t="shared" si="24"/>
        <v>20000</v>
      </c>
      <c r="H822">
        <f>VLOOKUP(C822,menu!A:E,4,FALSE)</f>
        <v>8000</v>
      </c>
      <c r="I822">
        <f t="shared" si="25"/>
        <v>12000</v>
      </c>
    </row>
    <row r="823" spans="1:9" x14ac:dyDescent="0.35">
      <c r="A823" s="4" t="s">
        <v>1734</v>
      </c>
      <c r="B823" s="4" t="s">
        <v>279</v>
      </c>
      <c r="C823" s="4" t="s">
        <v>908</v>
      </c>
      <c r="D823" s="4">
        <v>1</v>
      </c>
      <c r="E823" s="6">
        <v>16000</v>
      </c>
      <c r="F823" t="str">
        <f>VLOOKUP(C823,menu!A:B,2,FALSE)</f>
        <v>Jus Alpukat</v>
      </c>
      <c r="G823">
        <f t="shared" si="24"/>
        <v>16000</v>
      </c>
      <c r="H823">
        <f>VLOOKUP(C823,menu!A:E,4,FALSE)</f>
        <v>5500</v>
      </c>
      <c r="I823">
        <f t="shared" si="25"/>
        <v>10500</v>
      </c>
    </row>
    <row r="824" spans="1:9" x14ac:dyDescent="0.35">
      <c r="A824" s="4" t="s">
        <v>1735</v>
      </c>
      <c r="B824" s="4" t="s">
        <v>830</v>
      </c>
      <c r="C824" s="4" t="s">
        <v>898</v>
      </c>
      <c r="D824" s="4">
        <v>1</v>
      </c>
      <c r="E824" s="6">
        <v>27000</v>
      </c>
      <c r="F824" t="str">
        <f>VLOOKUP(C824,menu!A:B,2,FALSE)</f>
        <v>Ayam Geprek Sambal Bawang</v>
      </c>
      <c r="G824">
        <f t="shared" si="24"/>
        <v>27000</v>
      </c>
      <c r="H824">
        <f>VLOOKUP(C824,menu!A:E,4,FALSE)</f>
        <v>11000</v>
      </c>
      <c r="I824">
        <f t="shared" si="25"/>
        <v>16000</v>
      </c>
    </row>
    <row r="825" spans="1:9" x14ac:dyDescent="0.35">
      <c r="A825" s="4" t="s">
        <v>1736</v>
      </c>
      <c r="B825" s="4" t="s">
        <v>830</v>
      </c>
      <c r="C825" s="4" t="s">
        <v>940</v>
      </c>
      <c r="D825" s="4">
        <v>1</v>
      </c>
      <c r="E825" s="6">
        <v>10000</v>
      </c>
      <c r="F825" t="str">
        <f>VLOOKUP(C825,menu!A:B,2,FALSE)</f>
        <v>Tahu Isi Goreng (5pcs)</v>
      </c>
      <c r="G825">
        <f t="shared" si="24"/>
        <v>10000</v>
      </c>
      <c r="H825">
        <f>VLOOKUP(C825,menu!A:E,4,FALSE)</f>
        <v>3500</v>
      </c>
      <c r="I825">
        <f t="shared" si="25"/>
        <v>6500</v>
      </c>
    </row>
    <row r="826" spans="1:9" x14ac:dyDescent="0.35">
      <c r="A826" s="4" t="s">
        <v>1737</v>
      </c>
      <c r="B826" s="4" t="s">
        <v>425</v>
      </c>
      <c r="C826" s="4" t="s">
        <v>935</v>
      </c>
      <c r="D826" s="4">
        <v>1</v>
      </c>
      <c r="E826" s="6">
        <v>22000</v>
      </c>
      <c r="F826" t="str">
        <f>VLOOKUP(C826,menu!A:B,2,FALSE)</f>
        <v>Soto Ayam Lamongan</v>
      </c>
      <c r="G826">
        <f t="shared" si="24"/>
        <v>22000</v>
      </c>
      <c r="H826">
        <f>VLOOKUP(C826,menu!A:E,4,FALSE)</f>
        <v>9500</v>
      </c>
      <c r="I826">
        <f t="shared" si="25"/>
        <v>12500</v>
      </c>
    </row>
    <row r="827" spans="1:9" x14ac:dyDescent="0.35">
      <c r="A827" s="4" t="s">
        <v>1738</v>
      </c>
      <c r="B827" s="4" t="s">
        <v>425</v>
      </c>
      <c r="C827" s="4" t="s">
        <v>919</v>
      </c>
      <c r="D827" s="4">
        <v>1</v>
      </c>
      <c r="E827" s="6">
        <v>20000</v>
      </c>
      <c r="F827" t="str">
        <f>VLOOKUP(C827,menu!A:B,2,FALSE)</f>
        <v>Gado-Gado Jakarta</v>
      </c>
      <c r="G827">
        <f t="shared" si="24"/>
        <v>20000</v>
      </c>
      <c r="H827">
        <f>VLOOKUP(C827,menu!A:E,4,FALSE)</f>
        <v>8000</v>
      </c>
      <c r="I827">
        <f t="shared" si="25"/>
        <v>12000</v>
      </c>
    </row>
    <row r="828" spans="1:9" x14ac:dyDescent="0.35">
      <c r="A828" s="4" t="s">
        <v>1739</v>
      </c>
      <c r="B828" s="4" t="s">
        <v>579</v>
      </c>
      <c r="C828" s="4" t="s">
        <v>898</v>
      </c>
      <c r="D828" s="4">
        <v>1</v>
      </c>
      <c r="E828" s="6">
        <v>27000</v>
      </c>
      <c r="F828" t="str">
        <f>VLOOKUP(C828,menu!A:B,2,FALSE)</f>
        <v>Ayam Geprek Sambal Bawang</v>
      </c>
      <c r="G828">
        <f t="shared" si="24"/>
        <v>27000</v>
      </c>
      <c r="H828">
        <f>VLOOKUP(C828,menu!A:E,4,FALSE)</f>
        <v>11000</v>
      </c>
      <c r="I828">
        <f t="shared" si="25"/>
        <v>16000</v>
      </c>
    </row>
    <row r="829" spans="1:9" x14ac:dyDescent="0.35">
      <c r="A829" s="4" t="s">
        <v>1740</v>
      </c>
      <c r="B829" s="4" t="s">
        <v>405</v>
      </c>
      <c r="C829" s="4" t="s">
        <v>935</v>
      </c>
      <c r="D829" s="4">
        <v>1</v>
      </c>
      <c r="E829" s="6">
        <v>22000</v>
      </c>
      <c r="F829" t="str">
        <f>VLOOKUP(C829,menu!A:B,2,FALSE)</f>
        <v>Soto Ayam Lamongan</v>
      </c>
      <c r="G829">
        <f t="shared" si="24"/>
        <v>22000</v>
      </c>
      <c r="H829">
        <f>VLOOKUP(C829,menu!A:E,4,FALSE)</f>
        <v>9500</v>
      </c>
      <c r="I829">
        <f t="shared" si="25"/>
        <v>12500</v>
      </c>
    </row>
    <row r="830" spans="1:9" x14ac:dyDescent="0.35">
      <c r="A830" s="4" t="s">
        <v>1741</v>
      </c>
      <c r="B830" s="4" t="s">
        <v>731</v>
      </c>
      <c r="C830" s="4" t="s">
        <v>898</v>
      </c>
      <c r="D830" s="4">
        <v>1</v>
      </c>
      <c r="E830" s="6">
        <v>27000</v>
      </c>
      <c r="F830" t="str">
        <f>VLOOKUP(C830,menu!A:B,2,FALSE)</f>
        <v>Ayam Geprek Sambal Bawang</v>
      </c>
      <c r="G830">
        <f t="shared" si="24"/>
        <v>27000</v>
      </c>
      <c r="H830">
        <f>VLOOKUP(C830,menu!A:E,4,FALSE)</f>
        <v>11000</v>
      </c>
      <c r="I830">
        <f t="shared" si="25"/>
        <v>16000</v>
      </c>
    </row>
    <row r="831" spans="1:9" x14ac:dyDescent="0.35">
      <c r="A831" s="4" t="s">
        <v>1742</v>
      </c>
      <c r="B831" s="4" t="s">
        <v>731</v>
      </c>
      <c r="C831" s="4" t="s">
        <v>902</v>
      </c>
      <c r="D831" s="4">
        <v>2</v>
      </c>
      <c r="E831" s="6">
        <v>12000</v>
      </c>
      <c r="F831" t="str">
        <f>VLOOKUP(C831,menu!A:B,2,FALSE)</f>
        <v>Teh Tarik</v>
      </c>
      <c r="G831">
        <f t="shared" si="24"/>
        <v>24000</v>
      </c>
      <c r="H831">
        <f>VLOOKUP(C831,menu!A:E,4,FALSE)</f>
        <v>3000</v>
      </c>
      <c r="I831">
        <f t="shared" si="25"/>
        <v>18000</v>
      </c>
    </row>
    <row r="832" spans="1:9" x14ac:dyDescent="0.35">
      <c r="A832" s="4" t="s">
        <v>1743</v>
      </c>
      <c r="B832" s="4" t="s">
        <v>731</v>
      </c>
      <c r="C832" s="4" t="s">
        <v>931</v>
      </c>
      <c r="D832" s="4">
        <v>1</v>
      </c>
      <c r="E832" s="6">
        <v>5000</v>
      </c>
      <c r="F832" t="str">
        <f>VLOOKUP(C832,menu!A:B,2,FALSE)</f>
        <v>Kerupuk Udang</v>
      </c>
      <c r="G832">
        <f t="shared" si="24"/>
        <v>5000</v>
      </c>
      <c r="H832">
        <f>VLOOKUP(C832,menu!A:E,4,FALSE)</f>
        <v>1500</v>
      </c>
      <c r="I832">
        <f t="shared" si="25"/>
        <v>3500</v>
      </c>
    </row>
    <row r="833" spans="1:9" x14ac:dyDescent="0.35">
      <c r="A833" s="4" t="s">
        <v>1744</v>
      </c>
      <c r="B833" s="4" t="s">
        <v>814</v>
      </c>
      <c r="C833" s="4" t="s">
        <v>898</v>
      </c>
      <c r="D833" s="4">
        <v>1</v>
      </c>
      <c r="E833" s="6">
        <v>27000</v>
      </c>
      <c r="F833" t="str">
        <f>VLOOKUP(C833,menu!A:B,2,FALSE)</f>
        <v>Ayam Geprek Sambal Bawang</v>
      </c>
      <c r="G833">
        <f t="shared" si="24"/>
        <v>27000</v>
      </c>
      <c r="H833">
        <f>VLOOKUP(C833,menu!A:E,4,FALSE)</f>
        <v>11000</v>
      </c>
      <c r="I833">
        <f t="shared" si="25"/>
        <v>16000</v>
      </c>
    </row>
    <row r="834" spans="1:9" x14ac:dyDescent="0.35">
      <c r="A834" s="4" t="s">
        <v>1745</v>
      </c>
      <c r="B834" s="4" t="s">
        <v>814</v>
      </c>
      <c r="C834" s="4" t="s">
        <v>928</v>
      </c>
      <c r="D834" s="4">
        <v>1</v>
      </c>
      <c r="E834" s="6">
        <v>23000</v>
      </c>
      <c r="F834" t="str">
        <f>VLOOKUP(C834,menu!A:B,2,FALSE)</f>
        <v>Mie Goreng Jawa</v>
      </c>
      <c r="G834">
        <f t="shared" si="24"/>
        <v>23000</v>
      </c>
      <c r="H834">
        <f>VLOOKUP(C834,menu!A:E,4,FALSE)</f>
        <v>8500</v>
      </c>
      <c r="I834">
        <f t="shared" si="25"/>
        <v>14500</v>
      </c>
    </row>
    <row r="835" spans="1:9" x14ac:dyDescent="0.35">
      <c r="A835" s="4" t="s">
        <v>1746</v>
      </c>
      <c r="B835" s="4" t="s">
        <v>814</v>
      </c>
      <c r="C835" s="4" t="s">
        <v>916</v>
      </c>
      <c r="D835" s="4">
        <v>1</v>
      </c>
      <c r="E835" s="6">
        <v>9000</v>
      </c>
      <c r="F835" t="str">
        <f>VLOOKUP(C835,menu!A:B,2,FALSE)</f>
        <v>Kopi Hitam Tubruk</v>
      </c>
      <c r="G835">
        <f t="shared" ref="G835:G898" si="26">D835*E835</f>
        <v>9000</v>
      </c>
      <c r="H835">
        <f>VLOOKUP(C835,menu!A:E,4,FALSE)</f>
        <v>2000</v>
      </c>
      <c r="I835">
        <f t="shared" ref="I835:I898" si="27">(E835-H835)*D835</f>
        <v>7000</v>
      </c>
    </row>
    <row r="836" spans="1:9" x14ac:dyDescent="0.35">
      <c r="A836" s="4" t="s">
        <v>1747</v>
      </c>
      <c r="B836" s="4" t="s">
        <v>814</v>
      </c>
      <c r="C836" s="4" t="s">
        <v>896</v>
      </c>
      <c r="D836" s="4">
        <v>1</v>
      </c>
      <c r="E836" s="6">
        <v>23000</v>
      </c>
      <c r="F836" t="str">
        <f>VLOOKUP(C836,menu!A:B,2,FALSE)</f>
        <v>Nasi Uduk Komplit</v>
      </c>
      <c r="G836">
        <f t="shared" si="26"/>
        <v>23000</v>
      </c>
      <c r="H836">
        <f>VLOOKUP(C836,menu!A:E,4,FALSE)</f>
        <v>9000</v>
      </c>
      <c r="I836">
        <f t="shared" si="27"/>
        <v>14000</v>
      </c>
    </row>
    <row r="837" spans="1:9" x14ac:dyDescent="0.35">
      <c r="A837" s="4" t="s">
        <v>1748</v>
      </c>
      <c r="B837" s="4" t="s">
        <v>557</v>
      </c>
      <c r="C837" s="4" t="s">
        <v>898</v>
      </c>
      <c r="D837" s="4">
        <v>1</v>
      </c>
      <c r="E837" s="6">
        <v>27000</v>
      </c>
      <c r="F837" t="str">
        <f>VLOOKUP(C837,menu!A:B,2,FALSE)</f>
        <v>Ayam Geprek Sambal Bawang</v>
      </c>
      <c r="G837">
        <f t="shared" si="26"/>
        <v>27000</v>
      </c>
      <c r="H837">
        <f>VLOOKUP(C837,menu!A:E,4,FALSE)</f>
        <v>11000</v>
      </c>
      <c r="I837">
        <f t="shared" si="27"/>
        <v>16000</v>
      </c>
    </row>
    <row r="838" spans="1:9" x14ac:dyDescent="0.35">
      <c r="A838" s="4" t="s">
        <v>1749</v>
      </c>
      <c r="B838" s="4" t="s">
        <v>557</v>
      </c>
      <c r="C838" s="4" t="s">
        <v>916</v>
      </c>
      <c r="D838" s="4">
        <v>1</v>
      </c>
      <c r="E838" s="6">
        <v>9000</v>
      </c>
      <c r="F838" t="str">
        <f>VLOOKUP(C838,menu!A:B,2,FALSE)</f>
        <v>Kopi Hitam Tubruk</v>
      </c>
      <c r="G838">
        <f t="shared" si="26"/>
        <v>9000</v>
      </c>
      <c r="H838">
        <f>VLOOKUP(C838,menu!A:E,4,FALSE)</f>
        <v>2000</v>
      </c>
      <c r="I838">
        <f t="shared" si="27"/>
        <v>7000</v>
      </c>
    </row>
    <row r="839" spans="1:9" x14ac:dyDescent="0.35">
      <c r="A839" s="4" t="s">
        <v>1750</v>
      </c>
      <c r="B839" s="4" t="s">
        <v>557</v>
      </c>
      <c r="C839" s="4" t="s">
        <v>890</v>
      </c>
      <c r="D839" s="4">
        <v>1</v>
      </c>
      <c r="E839" s="6">
        <v>18000</v>
      </c>
      <c r="F839" t="str">
        <f>VLOOKUP(C839,menu!A:B,2,FALSE)</f>
        <v>Es Kopi Susu Gula Aren</v>
      </c>
      <c r="G839">
        <f t="shared" si="26"/>
        <v>18000</v>
      </c>
      <c r="H839">
        <f>VLOOKUP(C839,menu!A:E,4,FALSE)</f>
        <v>4500</v>
      </c>
      <c r="I839">
        <f t="shared" si="27"/>
        <v>13500</v>
      </c>
    </row>
    <row r="840" spans="1:9" x14ac:dyDescent="0.35">
      <c r="A840" s="4" t="s">
        <v>1751</v>
      </c>
      <c r="B840" s="4" t="s">
        <v>590</v>
      </c>
      <c r="C840" s="4" t="s">
        <v>894</v>
      </c>
      <c r="D840" s="4">
        <v>2</v>
      </c>
      <c r="E840" s="6">
        <v>5000</v>
      </c>
      <c r="F840" t="str">
        <f>VLOOKUP(C840,menu!A:B,2,FALSE)</f>
        <v>Air Mineral Botol</v>
      </c>
      <c r="G840">
        <f t="shared" si="26"/>
        <v>10000</v>
      </c>
      <c r="H840">
        <f>VLOOKUP(C840,menu!A:E,4,FALSE)</f>
        <v>2000</v>
      </c>
      <c r="I840">
        <f t="shared" si="27"/>
        <v>6000</v>
      </c>
    </row>
    <row r="841" spans="1:9" x14ac:dyDescent="0.35">
      <c r="A841" s="4" t="s">
        <v>1752</v>
      </c>
      <c r="B841" s="4" t="s">
        <v>590</v>
      </c>
      <c r="C841" s="4" t="s">
        <v>1003</v>
      </c>
      <c r="D841" s="4">
        <v>1</v>
      </c>
      <c r="E841" s="6">
        <v>29000</v>
      </c>
      <c r="F841" t="str">
        <f>VLOOKUP(C841,menu!A:B,2,FALSE)</f>
        <v>Capcay Seafood</v>
      </c>
      <c r="G841">
        <f t="shared" si="26"/>
        <v>29000</v>
      </c>
      <c r="H841">
        <f>VLOOKUP(C841,menu!A:E,4,FALSE)</f>
        <v>13000</v>
      </c>
      <c r="I841">
        <f t="shared" si="27"/>
        <v>16000</v>
      </c>
    </row>
    <row r="842" spans="1:9" x14ac:dyDescent="0.35">
      <c r="A842" s="4" t="s">
        <v>1753</v>
      </c>
      <c r="B842" s="4" t="s">
        <v>581</v>
      </c>
      <c r="C842" s="4" t="s">
        <v>894</v>
      </c>
      <c r="D842" s="4">
        <v>1</v>
      </c>
      <c r="E842" s="6">
        <v>5000</v>
      </c>
      <c r="F842" t="str">
        <f>VLOOKUP(C842,menu!A:B,2,FALSE)</f>
        <v>Air Mineral Botol</v>
      </c>
      <c r="G842">
        <f t="shared" si="26"/>
        <v>5000</v>
      </c>
      <c r="H842">
        <f>VLOOKUP(C842,menu!A:E,4,FALSE)</f>
        <v>2000</v>
      </c>
      <c r="I842">
        <f t="shared" si="27"/>
        <v>3000</v>
      </c>
    </row>
    <row r="843" spans="1:9" x14ac:dyDescent="0.35">
      <c r="A843" s="4" t="s">
        <v>1754</v>
      </c>
      <c r="B843" s="4" t="s">
        <v>581</v>
      </c>
      <c r="C843" s="4" t="s">
        <v>898</v>
      </c>
      <c r="D843" s="4">
        <v>2</v>
      </c>
      <c r="E843" s="6">
        <v>27000</v>
      </c>
      <c r="F843" t="str">
        <f>VLOOKUP(C843,menu!A:B,2,FALSE)</f>
        <v>Ayam Geprek Sambal Bawang</v>
      </c>
      <c r="G843">
        <f t="shared" si="26"/>
        <v>54000</v>
      </c>
      <c r="H843">
        <f>VLOOKUP(C843,menu!A:E,4,FALSE)</f>
        <v>11000</v>
      </c>
      <c r="I843">
        <f t="shared" si="27"/>
        <v>32000</v>
      </c>
    </row>
    <row r="844" spans="1:9" x14ac:dyDescent="0.35">
      <c r="A844" s="4" t="s">
        <v>1755</v>
      </c>
      <c r="B844" s="4" t="s">
        <v>581</v>
      </c>
      <c r="C844" s="4" t="s">
        <v>940</v>
      </c>
      <c r="D844" s="4">
        <v>1</v>
      </c>
      <c r="E844" s="6">
        <v>10000</v>
      </c>
      <c r="F844" t="str">
        <f>VLOOKUP(C844,menu!A:B,2,FALSE)</f>
        <v>Tahu Isi Goreng (5pcs)</v>
      </c>
      <c r="G844">
        <f t="shared" si="26"/>
        <v>10000</v>
      </c>
      <c r="H844">
        <f>VLOOKUP(C844,menu!A:E,4,FALSE)</f>
        <v>3500</v>
      </c>
      <c r="I844">
        <f t="shared" si="27"/>
        <v>6500</v>
      </c>
    </row>
    <row r="845" spans="1:9" x14ac:dyDescent="0.35">
      <c r="A845" s="4" t="s">
        <v>1756</v>
      </c>
      <c r="B845" s="4" t="s">
        <v>581</v>
      </c>
      <c r="C845" s="4" t="s">
        <v>937</v>
      </c>
      <c r="D845" s="4">
        <v>1</v>
      </c>
      <c r="E845" s="6">
        <v>26000</v>
      </c>
      <c r="F845" t="str">
        <f>VLOOKUP(C845,menu!A:B,2,FALSE)</f>
        <v>Nasi Campur Bali</v>
      </c>
      <c r="G845">
        <f t="shared" si="26"/>
        <v>26000</v>
      </c>
      <c r="H845">
        <f>VLOOKUP(C845,menu!A:E,4,FALSE)</f>
        <v>11500</v>
      </c>
      <c r="I845">
        <f t="shared" si="27"/>
        <v>14500</v>
      </c>
    </row>
    <row r="846" spans="1:9" x14ac:dyDescent="0.35">
      <c r="A846" s="4" t="s">
        <v>1757</v>
      </c>
      <c r="B846" s="4" t="s">
        <v>598</v>
      </c>
      <c r="C846" s="4" t="s">
        <v>898</v>
      </c>
      <c r="D846" s="4">
        <v>1</v>
      </c>
      <c r="E846" s="6">
        <v>27000</v>
      </c>
      <c r="F846" t="str">
        <f>VLOOKUP(C846,menu!A:B,2,FALSE)</f>
        <v>Ayam Geprek Sambal Bawang</v>
      </c>
      <c r="G846">
        <f t="shared" si="26"/>
        <v>27000</v>
      </c>
      <c r="H846">
        <f>VLOOKUP(C846,menu!A:E,4,FALSE)</f>
        <v>11000</v>
      </c>
      <c r="I846">
        <f t="shared" si="27"/>
        <v>16000</v>
      </c>
    </row>
    <row r="847" spans="1:9" x14ac:dyDescent="0.35">
      <c r="A847" s="4" t="s">
        <v>1758</v>
      </c>
      <c r="B847" s="4" t="s">
        <v>598</v>
      </c>
      <c r="C847" s="4" t="s">
        <v>892</v>
      </c>
      <c r="D847" s="4">
        <v>1</v>
      </c>
      <c r="E847" s="6">
        <v>9000</v>
      </c>
      <c r="F847" t="str">
        <f>VLOOKUP(C847,menu!A:B,2,FALSE)</f>
        <v>Tempe Mendoan (5pcs)</v>
      </c>
      <c r="G847">
        <f t="shared" si="26"/>
        <v>9000</v>
      </c>
      <c r="H847">
        <f>VLOOKUP(C847,menu!A:E,4,FALSE)</f>
        <v>3000</v>
      </c>
      <c r="I847">
        <f t="shared" si="27"/>
        <v>6000</v>
      </c>
    </row>
    <row r="848" spans="1:9" x14ac:dyDescent="0.35">
      <c r="A848" s="4" t="s">
        <v>1759</v>
      </c>
      <c r="B848" s="4" t="s">
        <v>598</v>
      </c>
      <c r="C848" s="4" t="s">
        <v>902</v>
      </c>
      <c r="D848" s="4">
        <v>1</v>
      </c>
      <c r="E848" s="6">
        <v>12000</v>
      </c>
      <c r="F848" t="str">
        <f>VLOOKUP(C848,menu!A:B,2,FALSE)</f>
        <v>Teh Tarik</v>
      </c>
      <c r="G848">
        <f t="shared" si="26"/>
        <v>12000</v>
      </c>
      <c r="H848">
        <f>VLOOKUP(C848,menu!A:E,4,FALSE)</f>
        <v>3000</v>
      </c>
      <c r="I848">
        <f t="shared" si="27"/>
        <v>9000</v>
      </c>
    </row>
    <row r="849" spans="1:9" x14ac:dyDescent="0.35">
      <c r="A849" s="4" t="s">
        <v>1760</v>
      </c>
      <c r="B849" s="4" t="s">
        <v>598</v>
      </c>
      <c r="C849" s="4" t="s">
        <v>896</v>
      </c>
      <c r="D849" s="4">
        <v>1</v>
      </c>
      <c r="E849" s="6">
        <v>23000</v>
      </c>
      <c r="F849" t="str">
        <f>VLOOKUP(C849,menu!A:B,2,FALSE)</f>
        <v>Nasi Uduk Komplit</v>
      </c>
      <c r="G849">
        <f t="shared" si="26"/>
        <v>23000</v>
      </c>
      <c r="H849">
        <f>VLOOKUP(C849,menu!A:E,4,FALSE)</f>
        <v>9000</v>
      </c>
      <c r="I849">
        <f t="shared" si="27"/>
        <v>14000</v>
      </c>
    </row>
    <row r="850" spans="1:9" x14ac:dyDescent="0.35">
      <c r="A850" s="4" t="s">
        <v>1761</v>
      </c>
      <c r="B850" s="4" t="s">
        <v>202</v>
      </c>
      <c r="C850" s="4" t="s">
        <v>898</v>
      </c>
      <c r="D850" s="4">
        <v>1</v>
      </c>
      <c r="E850" s="6">
        <v>27000</v>
      </c>
      <c r="F850" t="str">
        <f>VLOOKUP(C850,menu!A:B,2,FALSE)</f>
        <v>Ayam Geprek Sambal Bawang</v>
      </c>
      <c r="G850">
        <f t="shared" si="26"/>
        <v>27000</v>
      </c>
      <c r="H850">
        <f>VLOOKUP(C850,menu!A:E,4,FALSE)</f>
        <v>11000</v>
      </c>
      <c r="I850">
        <f t="shared" si="27"/>
        <v>16000</v>
      </c>
    </row>
    <row r="851" spans="1:9" x14ac:dyDescent="0.35">
      <c r="A851" s="4" t="s">
        <v>1762</v>
      </c>
      <c r="B851" s="4" t="s">
        <v>202</v>
      </c>
      <c r="C851" s="4" t="s">
        <v>892</v>
      </c>
      <c r="D851" s="4">
        <v>1</v>
      </c>
      <c r="E851" s="6">
        <v>9000</v>
      </c>
      <c r="F851" t="str">
        <f>VLOOKUP(C851,menu!A:B,2,FALSE)</f>
        <v>Tempe Mendoan (5pcs)</v>
      </c>
      <c r="G851">
        <f t="shared" si="26"/>
        <v>9000</v>
      </c>
      <c r="H851">
        <f>VLOOKUP(C851,menu!A:E,4,FALSE)</f>
        <v>3000</v>
      </c>
      <c r="I851">
        <f t="shared" si="27"/>
        <v>6000</v>
      </c>
    </row>
    <row r="852" spans="1:9" x14ac:dyDescent="0.35">
      <c r="A852" s="4" t="s">
        <v>1763</v>
      </c>
      <c r="B852" s="4" t="s">
        <v>202</v>
      </c>
      <c r="C852" s="4" t="s">
        <v>928</v>
      </c>
      <c r="D852" s="4">
        <v>2</v>
      </c>
      <c r="E852" s="6">
        <v>23000</v>
      </c>
      <c r="F852" t="str">
        <f>VLOOKUP(C852,menu!A:B,2,FALSE)</f>
        <v>Mie Goreng Jawa</v>
      </c>
      <c r="G852">
        <f t="shared" si="26"/>
        <v>46000</v>
      </c>
      <c r="H852">
        <f>VLOOKUP(C852,menu!A:E,4,FALSE)</f>
        <v>8500</v>
      </c>
      <c r="I852">
        <f t="shared" si="27"/>
        <v>29000</v>
      </c>
    </row>
    <row r="853" spans="1:9" x14ac:dyDescent="0.35">
      <c r="A853" s="4" t="s">
        <v>1764</v>
      </c>
      <c r="B853" s="4" t="s">
        <v>146</v>
      </c>
      <c r="C853" s="4" t="s">
        <v>1003</v>
      </c>
      <c r="D853" s="4">
        <v>1</v>
      </c>
      <c r="E853" s="6">
        <v>29000</v>
      </c>
      <c r="F853" t="str">
        <f>VLOOKUP(C853,menu!A:B,2,FALSE)</f>
        <v>Capcay Seafood</v>
      </c>
      <c r="G853">
        <f t="shared" si="26"/>
        <v>29000</v>
      </c>
      <c r="H853">
        <f>VLOOKUP(C853,menu!A:E,4,FALSE)</f>
        <v>13000</v>
      </c>
      <c r="I853">
        <f t="shared" si="27"/>
        <v>16000</v>
      </c>
    </row>
    <row r="854" spans="1:9" x14ac:dyDescent="0.35">
      <c r="A854" s="4" t="s">
        <v>1765</v>
      </c>
      <c r="B854" s="4" t="s">
        <v>146</v>
      </c>
      <c r="C854" s="4" t="s">
        <v>940</v>
      </c>
      <c r="D854" s="4">
        <v>1</v>
      </c>
      <c r="E854" s="6">
        <v>10000</v>
      </c>
      <c r="F854" t="str">
        <f>VLOOKUP(C854,menu!A:B,2,FALSE)</f>
        <v>Tahu Isi Goreng (5pcs)</v>
      </c>
      <c r="G854">
        <f t="shared" si="26"/>
        <v>10000</v>
      </c>
      <c r="H854">
        <f>VLOOKUP(C854,menu!A:E,4,FALSE)</f>
        <v>3500</v>
      </c>
      <c r="I854">
        <f t="shared" si="27"/>
        <v>6500</v>
      </c>
    </row>
    <row r="855" spans="1:9" x14ac:dyDescent="0.35">
      <c r="A855" s="4" t="s">
        <v>1766</v>
      </c>
      <c r="B855" s="4" t="s">
        <v>657</v>
      </c>
      <c r="C855" s="4" t="s">
        <v>908</v>
      </c>
      <c r="D855" s="4">
        <v>1</v>
      </c>
      <c r="E855" s="6">
        <v>16000</v>
      </c>
      <c r="F855" t="str">
        <f>VLOOKUP(C855,menu!A:B,2,FALSE)</f>
        <v>Jus Alpukat</v>
      </c>
      <c r="G855">
        <f t="shared" si="26"/>
        <v>16000</v>
      </c>
      <c r="H855">
        <f>VLOOKUP(C855,menu!A:E,4,FALSE)</f>
        <v>5500</v>
      </c>
      <c r="I855">
        <f t="shared" si="27"/>
        <v>10500</v>
      </c>
    </row>
    <row r="856" spans="1:9" x14ac:dyDescent="0.35">
      <c r="A856" s="4" t="s">
        <v>1767</v>
      </c>
      <c r="B856" s="4" t="s">
        <v>657</v>
      </c>
      <c r="C856" s="4" t="s">
        <v>898</v>
      </c>
      <c r="D856" s="4">
        <v>2</v>
      </c>
      <c r="E856" s="6">
        <v>27000</v>
      </c>
      <c r="F856" t="str">
        <f>VLOOKUP(C856,menu!A:B,2,FALSE)</f>
        <v>Ayam Geprek Sambal Bawang</v>
      </c>
      <c r="G856">
        <f t="shared" si="26"/>
        <v>54000</v>
      </c>
      <c r="H856">
        <f>VLOOKUP(C856,menu!A:E,4,FALSE)</f>
        <v>11000</v>
      </c>
      <c r="I856">
        <f t="shared" si="27"/>
        <v>32000</v>
      </c>
    </row>
    <row r="857" spans="1:9" x14ac:dyDescent="0.35">
      <c r="A857" s="4" t="s">
        <v>1768</v>
      </c>
      <c r="B857" s="4" t="s">
        <v>789</v>
      </c>
      <c r="C857" s="4" t="s">
        <v>898</v>
      </c>
      <c r="D857" s="4">
        <v>1</v>
      </c>
      <c r="E857" s="6">
        <v>27000</v>
      </c>
      <c r="F857" t="str">
        <f>VLOOKUP(C857,menu!A:B,2,FALSE)</f>
        <v>Ayam Geprek Sambal Bawang</v>
      </c>
      <c r="G857">
        <f t="shared" si="26"/>
        <v>27000</v>
      </c>
      <c r="H857">
        <f>VLOOKUP(C857,menu!A:E,4,FALSE)</f>
        <v>11000</v>
      </c>
      <c r="I857">
        <f t="shared" si="27"/>
        <v>16000</v>
      </c>
    </row>
    <row r="858" spans="1:9" x14ac:dyDescent="0.35">
      <c r="A858" s="4" t="s">
        <v>1769</v>
      </c>
      <c r="B858" s="4" t="s">
        <v>789</v>
      </c>
      <c r="C858" s="4" t="s">
        <v>916</v>
      </c>
      <c r="D858" s="4">
        <v>2</v>
      </c>
      <c r="E858" s="6">
        <v>9000</v>
      </c>
      <c r="F858" t="str">
        <f>VLOOKUP(C858,menu!A:B,2,FALSE)</f>
        <v>Kopi Hitam Tubruk</v>
      </c>
      <c r="G858">
        <f t="shared" si="26"/>
        <v>18000</v>
      </c>
      <c r="H858">
        <f>VLOOKUP(C858,menu!A:E,4,FALSE)</f>
        <v>2000</v>
      </c>
      <c r="I858">
        <f t="shared" si="27"/>
        <v>14000</v>
      </c>
    </row>
    <row r="859" spans="1:9" x14ac:dyDescent="0.35">
      <c r="A859" s="4" t="s">
        <v>1770</v>
      </c>
      <c r="B859" s="4" t="s">
        <v>789</v>
      </c>
      <c r="C859" s="4" t="s">
        <v>894</v>
      </c>
      <c r="D859" s="4">
        <v>1</v>
      </c>
      <c r="E859" s="6">
        <v>5000</v>
      </c>
      <c r="F859" t="str">
        <f>VLOOKUP(C859,menu!A:B,2,FALSE)</f>
        <v>Air Mineral Botol</v>
      </c>
      <c r="G859">
        <f t="shared" si="26"/>
        <v>5000</v>
      </c>
      <c r="H859">
        <f>VLOOKUP(C859,menu!A:E,4,FALSE)</f>
        <v>2000</v>
      </c>
      <c r="I859">
        <f t="shared" si="27"/>
        <v>3000</v>
      </c>
    </row>
    <row r="860" spans="1:9" x14ac:dyDescent="0.35">
      <c r="A860" s="4" t="s">
        <v>1771</v>
      </c>
      <c r="B860" s="4" t="s">
        <v>789</v>
      </c>
      <c r="C860" s="4" t="s">
        <v>906</v>
      </c>
      <c r="D860" s="4">
        <v>1</v>
      </c>
      <c r="E860" s="6">
        <v>28000</v>
      </c>
      <c r="F860" t="str">
        <f>VLOOKUP(C860,menu!A:B,2,FALSE)</f>
        <v>Sate Ayam 10 Tusuk</v>
      </c>
      <c r="G860">
        <f t="shared" si="26"/>
        <v>28000</v>
      </c>
      <c r="H860">
        <f>VLOOKUP(C860,menu!A:E,4,FALSE)</f>
        <v>12000</v>
      </c>
      <c r="I860">
        <f t="shared" si="27"/>
        <v>16000</v>
      </c>
    </row>
    <row r="861" spans="1:9" x14ac:dyDescent="0.35">
      <c r="A861" s="4" t="s">
        <v>1772</v>
      </c>
      <c r="B861" s="4" t="s">
        <v>789</v>
      </c>
      <c r="C861" s="4" t="s">
        <v>892</v>
      </c>
      <c r="D861" s="4">
        <v>1</v>
      </c>
      <c r="E861" s="6">
        <v>9000</v>
      </c>
      <c r="F861" t="str">
        <f>VLOOKUP(C861,menu!A:B,2,FALSE)</f>
        <v>Tempe Mendoan (5pcs)</v>
      </c>
      <c r="G861">
        <f t="shared" si="26"/>
        <v>9000</v>
      </c>
      <c r="H861">
        <f>VLOOKUP(C861,menu!A:E,4,FALSE)</f>
        <v>3000</v>
      </c>
      <c r="I861">
        <f t="shared" si="27"/>
        <v>6000</v>
      </c>
    </row>
    <row r="862" spans="1:9" x14ac:dyDescent="0.35">
      <c r="A862" s="4" t="s">
        <v>1773</v>
      </c>
      <c r="B862" s="4" t="s">
        <v>656</v>
      </c>
      <c r="C862" s="4" t="s">
        <v>928</v>
      </c>
      <c r="D862" s="4">
        <v>1</v>
      </c>
      <c r="E862" s="6">
        <v>23000</v>
      </c>
      <c r="F862" t="str">
        <f>VLOOKUP(C862,menu!A:B,2,FALSE)</f>
        <v>Mie Goreng Jawa</v>
      </c>
      <c r="G862">
        <f t="shared" si="26"/>
        <v>23000</v>
      </c>
      <c r="H862">
        <f>VLOOKUP(C862,menu!A:E,4,FALSE)</f>
        <v>8500</v>
      </c>
      <c r="I862">
        <f t="shared" si="27"/>
        <v>14500</v>
      </c>
    </row>
    <row r="863" spans="1:9" x14ac:dyDescent="0.35">
      <c r="A863" s="4" t="s">
        <v>1774</v>
      </c>
      <c r="B863" s="4" t="s">
        <v>656</v>
      </c>
      <c r="C863" s="4" t="s">
        <v>919</v>
      </c>
      <c r="D863" s="4">
        <v>1</v>
      </c>
      <c r="E863" s="6">
        <v>20000</v>
      </c>
      <c r="F863" t="str">
        <f>VLOOKUP(C863,menu!A:B,2,FALSE)</f>
        <v>Gado-Gado Jakarta</v>
      </c>
      <c r="G863">
        <f t="shared" si="26"/>
        <v>20000</v>
      </c>
      <c r="H863">
        <f>VLOOKUP(C863,menu!A:E,4,FALSE)</f>
        <v>8000</v>
      </c>
      <c r="I863">
        <f t="shared" si="27"/>
        <v>12000</v>
      </c>
    </row>
    <row r="864" spans="1:9" x14ac:dyDescent="0.35">
      <c r="A864" s="4" t="s">
        <v>1775</v>
      </c>
      <c r="B864" s="4" t="s">
        <v>211</v>
      </c>
      <c r="C864" s="4" t="s">
        <v>902</v>
      </c>
      <c r="D864" s="4">
        <v>2</v>
      </c>
      <c r="E864" s="6">
        <v>12000</v>
      </c>
      <c r="F864" t="str">
        <f>VLOOKUP(C864,menu!A:B,2,FALSE)</f>
        <v>Teh Tarik</v>
      </c>
      <c r="G864">
        <f t="shared" si="26"/>
        <v>24000</v>
      </c>
      <c r="H864">
        <f>VLOOKUP(C864,menu!A:E,4,FALSE)</f>
        <v>3000</v>
      </c>
      <c r="I864">
        <f t="shared" si="27"/>
        <v>18000</v>
      </c>
    </row>
    <row r="865" spans="1:9" x14ac:dyDescent="0.35">
      <c r="A865" s="4" t="s">
        <v>1776</v>
      </c>
      <c r="B865" s="4" t="s">
        <v>211</v>
      </c>
      <c r="C865" s="4" t="s">
        <v>919</v>
      </c>
      <c r="D865" s="4">
        <v>2</v>
      </c>
      <c r="E865" s="6">
        <v>20000</v>
      </c>
      <c r="F865" t="str">
        <f>VLOOKUP(C865,menu!A:B,2,FALSE)</f>
        <v>Gado-Gado Jakarta</v>
      </c>
      <c r="G865">
        <f t="shared" si="26"/>
        <v>40000</v>
      </c>
      <c r="H865">
        <f>VLOOKUP(C865,menu!A:E,4,FALSE)</f>
        <v>8000</v>
      </c>
      <c r="I865">
        <f t="shared" si="27"/>
        <v>24000</v>
      </c>
    </row>
    <row r="866" spans="1:9" x14ac:dyDescent="0.35">
      <c r="A866" s="4" t="s">
        <v>1777</v>
      </c>
      <c r="B866" s="4" t="s">
        <v>182</v>
      </c>
      <c r="C866" s="4" t="s">
        <v>898</v>
      </c>
      <c r="D866" s="4">
        <v>2</v>
      </c>
      <c r="E866" s="6">
        <v>27000</v>
      </c>
      <c r="F866" t="str">
        <f>VLOOKUP(C866,menu!A:B,2,FALSE)</f>
        <v>Ayam Geprek Sambal Bawang</v>
      </c>
      <c r="G866">
        <f t="shared" si="26"/>
        <v>54000</v>
      </c>
      <c r="H866">
        <f>VLOOKUP(C866,menu!A:E,4,FALSE)</f>
        <v>11000</v>
      </c>
      <c r="I866">
        <f t="shared" si="27"/>
        <v>32000</v>
      </c>
    </row>
    <row r="867" spans="1:9" x14ac:dyDescent="0.35">
      <c r="A867" s="4" t="s">
        <v>1778</v>
      </c>
      <c r="B867" s="4" t="s">
        <v>629</v>
      </c>
      <c r="C867" s="4" t="s">
        <v>898</v>
      </c>
      <c r="D867" s="4">
        <v>1</v>
      </c>
      <c r="E867" s="6">
        <v>27000</v>
      </c>
      <c r="F867" t="str">
        <f>VLOOKUP(C867,menu!A:B,2,FALSE)</f>
        <v>Ayam Geprek Sambal Bawang</v>
      </c>
      <c r="G867">
        <f t="shared" si="26"/>
        <v>27000</v>
      </c>
      <c r="H867">
        <f>VLOOKUP(C867,menu!A:E,4,FALSE)</f>
        <v>11000</v>
      </c>
      <c r="I867">
        <f t="shared" si="27"/>
        <v>16000</v>
      </c>
    </row>
    <row r="868" spans="1:9" x14ac:dyDescent="0.35">
      <c r="A868" s="4" t="s">
        <v>1779</v>
      </c>
      <c r="B868" s="4" t="s">
        <v>629</v>
      </c>
      <c r="C868" s="4" t="s">
        <v>890</v>
      </c>
      <c r="D868" s="4">
        <v>1</v>
      </c>
      <c r="E868" s="6">
        <v>18000</v>
      </c>
      <c r="F868" t="str">
        <f>VLOOKUP(C868,menu!A:B,2,FALSE)</f>
        <v>Es Kopi Susu Gula Aren</v>
      </c>
      <c r="G868">
        <f t="shared" si="26"/>
        <v>18000</v>
      </c>
      <c r="H868">
        <f>VLOOKUP(C868,menu!A:E,4,FALSE)</f>
        <v>4500</v>
      </c>
      <c r="I868">
        <f t="shared" si="27"/>
        <v>13500</v>
      </c>
    </row>
    <row r="869" spans="1:9" x14ac:dyDescent="0.35">
      <c r="A869" s="4" t="s">
        <v>1780</v>
      </c>
      <c r="B869" s="4" t="s">
        <v>629</v>
      </c>
      <c r="C869" s="4" t="s">
        <v>937</v>
      </c>
      <c r="D869" s="4">
        <v>2</v>
      </c>
      <c r="E869" s="6">
        <v>26000</v>
      </c>
      <c r="F869" t="str">
        <f>VLOOKUP(C869,menu!A:B,2,FALSE)</f>
        <v>Nasi Campur Bali</v>
      </c>
      <c r="G869">
        <f t="shared" si="26"/>
        <v>52000</v>
      </c>
      <c r="H869">
        <f>VLOOKUP(C869,menu!A:E,4,FALSE)</f>
        <v>11500</v>
      </c>
      <c r="I869">
        <f t="shared" si="27"/>
        <v>29000</v>
      </c>
    </row>
    <row r="870" spans="1:9" x14ac:dyDescent="0.35">
      <c r="A870" s="4" t="s">
        <v>1781</v>
      </c>
      <c r="B870" s="4" t="s">
        <v>629</v>
      </c>
      <c r="C870" s="4" t="s">
        <v>1003</v>
      </c>
      <c r="D870" s="4">
        <v>3</v>
      </c>
      <c r="E870" s="6">
        <v>29000</v>
      </c>
      <c r="F870" t="str">
        <f>VLOOKUP(C870,menu!A:B,2,FALSE)</f>
        <v>Capcay Seafood</v>
      </c>
      <c r="G870">
        <f t="shared" si="26"/>
        <v>87000</v>
      </c>
      <c r="H870">
        <f>VLOOKUP(C870,menu!A:E,4,FALSE)</f>
        <v>13000</v>
      </c>
      <c r="I870">
        <f t="shared" si="27"/>
        <v>48000</v>
      </c>
    </row>
    <row r="871" spans="1:9" x14ac:dyDescent="0.35">
      <c r="A871" s="4" t="s">
        <v>1782</v>
      </c>
      <c r="B871" s="4" t="s">
        <v>314</v>
      </c>
      <c r="C871" s="4" t="s">
        <v>890</v>
      </c>
      <c r="D871" s="4">
        <v>1</v>
      </c>
      <c r="E871" s="6">
        <v>18000</v>
      </c>
      <c r="F871" t="str">
        <f>VLOOKUP(C871,menu!A:B,2,FALSE)</f>
        <v>Es Kopi Susu Gula Aren</v>
      </c>
      <c r="G871">
        <f t="shared" si="26"/>
        <v>18000</v>
      </c>
      <c r="H871">
        <f>VLOOKUP(C871,menu!A:E,4,FALSE)</f>
        <v>4500</v>
      </c>
      <c r="I871">
        <f t="shared" si="27"/>
        <v>13500</v>
      </c>
    </row>
    <row r="872" spans="1:9" x14ac:dyDescent="0.35">
      <c r="A872" s="4" t="s">
        <v>1783</v>
      </c>
      <c r="B872" s="4" t="s">
        <v>762</v>
      </c>
      <c r="C872" s="4" t="s">
        <v>916</v>
      </c>
      <c r="D872" s="4">
        <v>3</v>
      </c>
      <c r="E872" s="6">
        <v>9000</v>
      </c>
      <c r="F872" t="str">
        <f>VLOOKUP(C872,menu!A:B,2,FALSE)</f>
        <v>Kopi Hitam Tubruk</v>
      </c>
      <c r="G872">
        <f t="shared" si="26"/>
        <v>27000</v>
      </c>
      <c r="H872">
        <f>VLOOKUP(C872,menu!A:E,4,FALSE)</f>
        <v>2000</v>
      </c>
      <c r="I872">
        <f t="shared" si="27"/>
        <v>21000</v>
      </c>
    </row>
    <row r="873" spans="1:9" x14ac:dyDescent="0.35">
      <c r="A873" s="4" t="s">
        <v>1784</v>
      </c>
      <c r="B873" s="4" t="s">
        <v>426</v>
      </c>
      <c r="C873" s="4" t="s">
        <v>919</v>
      </c>
      <c r="D873" s="4">
        <v>2</v>
      </c>
      <c r="E873" s="6">
        <v>20000</v>
      </c>
      <c r="F873" t="str">
        <f>VLOOKUP(C873,menu!A:B,2,FALSE)</f>
        <v>Gado-Gado Jakarta</v>
      </c>
      <c r="G873">
        <f t="shared" si="26"/>
        <v>40000</v>
      </c>
      <c r="H873">
        <f>VLOOKUP(C873,menu!A:E,4,FALSE)</f>
        <v>8000</v>
      </c>
      <c r="I873">
        <f t="shared" si="27"/>
        <v>24000</v>
      </c>
    </row>
    <row r="874" spans="1:9" x14ac:dyDescent="0.35">
      <c r="A874" s="4" t="s">
        <v>1785</v>
      </c>
      <c r="B874" s="4" t="s">
        <v>426</v>
      </c>
      <c r="C874" s="4" t="s">
        <v>935</v>
      </c>
      <c r="D874" s="4">
        <v>1</v>
      </c>
      <c r="E874" s="6">
        <v>22000</v>
      </c>
      <c r="F874" t="str">
        <f>VLOOKUP(C874,menu!A:B,2,FALSE)</f>
        <v>Soto Ayam Lamongan</v>
      </c>
      <c r="G874">
        <f t="shared" si="26"/>
        <v>22000</v>
      </c>
      <c r="H874">
        <f>VLOOKUP(C874,menu!A:E,4,FALSE)</f>
        <v>9500</v>
      </c>
      <c r="I874">
        <f t="shared" si="27"/>
        <v>12500</v>
      </c>
    </row>
    <row r="875" spans="1:9" x14ac:dyDescent="0.35">
      <c r="A875" s="4" t="s">
        <v>1786</v>
      </c>
      <c r="B875" s="4" t="s">
        <v>577</v>
      </c>
      <c r="C875" s="4" t="s">
        <v>937</v>
      </c>
      <c r="D875" s="4">
        <v>1</v>
      </c>
      <c r="E875" s="6">
        <v>26000</v>
      </c>
      <c r="F875" t="str">
        <f>VLOOKUP(C875,menu!A:B,2,FALSE)</f>
        <v>Nasi Campur Bali</v>
      </c>
      <c r="G875">
        <f t="shared" si="26"/>
        <v>26000</v>
      </c>
      <c r="H875">
        <f>VLOOKUP(C875,menu!A:E,4,FALSE)</f>
        <v>11500</v>
      </c>
      <c r="I875">
        <f t="shared" si="27"/>
        <v>14500</v>
      </c>
    </row>
    <row r="876" spans="1:9" x14ac:dyDescent="0.35">
      <c r="A876" s="4" t="s">
        <v>1787</v>
      </c>
      <c r="B876" s="4" t="s">
        <v>577</v>
      </c>
      <c r="C876" s="4" t="s">
        <v>890</v>
      </c>
      <c r="D876" s="4">
        <v>1</v>
      </c>
      <c r="E876" s="6">
        <v>18000</v>
      </c>
      <c r="F876" t="str">
        <f>VLOOKUP(C876,menu!A:B,2,FALSE)</f>
        <v>Es Kopi Susu Gula Aren</v>
      </c>
      <c r="G876">
        <f t="shared" si="26"/>
        <v>18000</v>
      </c>
      <c r="H876">
        <f>VLOOKUP(C876,menu!A:E,4,FALSE)</f>
        <v>4500</v>
      </c>
      <c r="I876">
        <f t="shared" si="27"/>
        <v>13500</v>
      </c>
    </row>
    <row r="877" spans="1:9" x14ac:dyDescent="0.35">
      <c r="A877" s="4" t="s">
        <v>1788</v>
      </c>
      <c r="B877" s="4" t="s">
        <v>612</v>
      </c>
      <c r="C877" s="4" t="s">
        <v>898</v>
      </c>
      <c r="D877" s="4">
        <v>1</v>
      </c>
      <c r="E877" s="6">
        <v>27000</v>
      </c>
      <c r="F877" t="str">
        <f>VLOOKUP(C877,menu!A:B,2,FALSE)</f>
        <v>Ayam Geprek Sambal Bawang</v>
      </c>
      <c r="G877">
        <f t="shared" si="26"/>
        <v>27000</v>
      </c>
      <c r="H877">
        <f>VLOOKUP(C877,menu!A:E,4,FALSE)</f>
        <v>11000</v>
      </c>
      <c r="I877">
        <f t="shared" si="27"/>
        <v>16000</v>
      </c>
    </row>
    <row r="878" spans="1:9" x14ac:dyDescent="0.35">
      <c r="A878" s="4" t="s">
        <v>1789</v>
      </c>
      <c r="B878" s="4" t="s">
        <v>612</v>
      </c>
      <c r="C878" s="4" t="s">
        <v>1003</v>
      </c>
      <c r="D878" s="4">
        <v>1</v>
      </c>
      <c r="E878" s="6">
        <v>29000</v>
      </c>
      <c r="F878" t="str">
        <f>VLOOKUP(C878,menu!A:B,2,FALSE)</f>
        <v>Capcay Seafood</v>
      </c>
      <c r="G878">
        <f t="shared" si="26"/>
        <v>29000</v>
      </c>
      <c r="H878">
        <f>VLOOKUP(C878,menu!A:E,4,FALSE)</f>
        <v>13000</v>
      </c>
      <c r="I878">
        <f t="shared" si="27"/>
        <v>16000</v>
      </c>
    </row>
    <row r="879" spans="1:9" x14ac:dyDescent="0.35">
      <c r="A879" s="4" t="s">
        <v>1790</v>
      </c>
      <c r="B879" s="4" t="s">
        <v>769</v>
      </c>
      <c r="C879" s="4" t="s">
        <v>937</v>
      </c>
      <c r="D879" s="4">
        <v>1</v>
      </c>
      <c r="E879" s="6">
        <v>26000</v>
      </c>
      <c r="F879" t="str">
        <f>VLOOKUP(C879,menu!A:B,2,FALSE)</f>
        <v>Nasi Campur Bali</v>
      </c>
      <c r="G879">
        <f t="shared" si="26"/>
        <v>26000</v>
      </c>
      <c r="H879">
        <f>VLOOKUP(C879,menu!A:E,4,FALSE)</f>
        <v>11500</v>
      </c>
      <c r="I879">
        <f t="shared" si="27"/>
        <v>14500</v>
      </c>
    </row>
    <row r="880" spans="1:9" x14ac:dyDescent="0.35">
      <c r="A880" s="4" t="s">
        <v>1791</v>
      </c>
      <c r="B880" s="4" t="s">
        <v>483</v>
      </c>
      <c r="C880" s="4" t="s">
        <v>898</v>
      </c>
      <c r="D880" s="4">
        <v>2</v>
      </c>
      <c r="E880" s="6">
        <v>27000</v>
      </c>
      <c r="F880" t="str">
        <f>VLOOKUP(C880,menu!A:B,2,FALSE)</f>
        <v>Ayam Geprek Sambal Bawang</v>
      </c>
      <c r="G880">
        <f t="shared" si="26"/>
        <v>54000</v>
      </c>
      <c r="H880">
        <f>VLOOKUP(C880,menu!A:E,4,FALSE)</f>
        <v>11000</v>
      </c>
      <c r="I880">
        <f t="shared" si="27"/>
        <v>32000</v>
      </c>
    </row>
    <row r="881" spans="1:9" x14ac:dyDescent="0.35">
      <c r="A881" s="4" t="s">
        <v>1792</v>
      </c>
      <c r="B881" s="4" t="s">
        <v>483</v>
      </c>
      <c r="C881" s="4" t="s">
        <v>1003</v>
      </c>
      <c r="D881" s="4">
        <v>2</v>
      </c>
      <c r="E881" s="6">
        <v>29000</v>
      </c>
      <c r="F881" t="str">
        <f>VLOOKUP(C881,menu!A:B,2,FALSE)</f>
        <v>Capcay Seafood</v>
      </c>
      <c r="G881">
        <f t="shared" si="26"/>
        <v>58000</v>
      </c>
      <c r="H881">
        <f>VLOOKUP(C881,menu!A:E,4,FALSE)</f>
        <v>13000</v>
      </c>
      <c r="I881">
        <f t="shared" si="27"/>
        <v>32000</v>
      </c>
    </row>
    <row r="882" spans="1:9" x14ac:dyDescent="0.35">
      <c r="A882" s="4" t="s">
        <v>1793</v>
      </c>
      <c r="B882" s="4" t="s">
        <v>483</v>
      </c>
      <c r="C882" s="4" t="s">
        <v>896</v>
      </c>
      <c r="D882" s="4">
        <v>1</v>
      </c>
      <c r="E882" s="6">
        <v>23000</v>
      </c>
      <c r="F882" t="str">
        <f>VLOOKUP(C882,menu!A:B,2,FALSE)</f>
        <v>Nasi Uduk Komplit</v>
      </c>
      <c r="G882">
        <f t="shared" si="26"/>
        <v>23000</v>
      </c>
      <c r="H882">
        <f>VLOOKUP(C882,menu!A:E,4,FALSE)</f>
        <v>9000</v>
      </c>
      <c r="I882">
        <f t="shared" si="27"/>
        <v>14000</v>
      </c>
    </row>
    <row r="883" spans="1:9" x14ac:dyDescent="0.35">
      <c r="A883" s="4" t="s">
        <v>1794</v>
      </c>
      <c r="B883" s="4" t="s">
        <v>518</v>
      </c>
      <c r="C883" s="4" t="s">
        <v>916</v>
      </c>
      <c r="D883" s="4">
        <v>1</v>
      </c>
      <c r="E883" s="6">
        <v>9000</v>
      </c>
      <c r="F883" t="str">
        <f>VLOOKUP(C883,menu!A:B,2,FALSE)</f>
        <v>Kopi Hitam Tubruk</v>
      </c>
      <c r="G883">
        <f t="shared" si="26"/>
        <v>9000</v>
      </c>
      <c r="H883">
        <f>VLOOKUP(C883,menu!A:E,4,FALSE)</f>
        <v>2000</v>
      </c>
      <c r="I883">
        <f t="shared" si="27"/>
        <v>7000</v>
      </c>
    </row>
    <row r="884" spans="1:9" x14ac:dyDescent="0.35">
      <c r="A884" s="4" t="s">
        <v>1795</v>
      </c>
      <c r="B884" s="4" t="s">
        <v>518</v>
      </c>
      <c r="C884" s="4" t="s">
        <v>898</v>
      </c>
      <c r="D884" s="4">
        <v>1</v>
      </c>
      <c r="E884" s="6">
        <v>27000</v>
      </c>
      <c r="F884" t="str">
        <f>VLOOKUP(C884,menu!A:B,2,FALSE)</f>
        <v>Ayam Geprek Sambal Bawang</v>
      </c>
      <c r="G884">
        <f t="shared" si="26"/>
        <v>27000</v>
      </c>
      <c r="H884">
        <f>VLOOKUP(C884,menu!A:E,4,FALSE)</f>
        <v>11000</v>
      </c>
      <c r="I884">
        <f t="shared" si="27"/>
        <v>16000</v>
      </c>
    </row>
    <row r="885" spans="1:9" x14ac:dyDescent="0.35">
      <c r="A885" s="4" t="s">
        <v>1796</v>
      </c>
      <c r="B885" s="4" t="s">
        <v>372</v>
      </c>
      <c r="C885" s="4" t="s">
        <v>935</v>
      </c>
      <c r="D885" s="4">
        <v>2</v>
      </c>
      <c r="E885" s="6">
        <v>22000</v>
      </c>
      <c r="F885" t="str">
        <f>VLOOKUP(C885,menu!A:B,2,FALSE)</f>
        <v>Soto Ayam Lamongan</v>
      </c>
      <c r="G885">
        <f t="shared" si="26"/>
        <v>44000</v>
      </c>
      <c r="H885">
        <f>VLOOKUP(C885,menu!A:E,4,FALSE)</f>
        <v>9500</v>
      </c>
      <c r="I885">
        <f t="shared" si="27"/>
        <v>25000</v>
      </c>
    </row>
    <row r="886" spans="1:9" x14ac:dyDescent="0.35">
      <c r="A886" s="4" t="s">
        <v>1797</v>
      </c>
      <c r="B886" s="4" t="s">
        <v>372</v>
      </c>
      <c r="C886" s="4" t="s">
        <v>898</v>
      </c>
      <c r="D886" s="4">
        <v>1</v>
      </c>
      <c r="E886" s="6">
        <v>27000</v>
      </c>
      <c r="F886" t="str">
        <f>VLOOKUP(C886,menu!A:B,2,FALSE)</f>
        <v>Ayam Geprek Sambal Bawang</v>
      </c>
      <c r="G886">
        <f t="shared" si="26"/>
        <v>27000</v>
      </c>
      <c r="H886">
        <f>VLOOKUP(C886,menu!A:E,4,FALSE)</f>
        <v>11000</v>
      </c>
      <c r="I886">
        <f t="shared" si="27"/>
        <v>16000</v>
      </c>
    </row>
    <row r="887" spans="1:9" x14ac:dyDescent="0.35">
      <c r="A887" s="4" t="s">
        <v>1798</v>
      </c>
      <c r="B887" s="4" t="s">
        <v>372</v>
      </c>
      <c r="C887" s="4" t="s">
        <v>896</v>
      </c>
      <c r="D887" s="4">
        <v>1</v>
      </c>
      <c r="E887" s="6">
        <v>23000</v>
      </c>
      <c r="F887" t="str">
        <f>VLOOKUP(C887,menu!A:B,2,FALSE)</f>
        <v>Nasi Uduk Komplit</v>
      </c>
      <c r="G887">
        <f t="shared" si="26"/>
        <v>23000</v>
      </c>
      <c r="H887">
        <f>VLOOKUP(C887,menu!A:E,4,FALSE)</f>
        <v>9000</v>
      </c>
      <c r="I887">
        <f t="shared" si="27"/>
        <v>14000</v>
      </c>
    </row>
    <row r="888" spans="1:9" x14ac:dyDescent="0.35">
      <c r="A888" s="4" t="s">
        <v>1799</v>
      </c>
      <c r="B888" s="4" t="s">
        <v>372</v>
      </c>
      <c r="C888" s="4" t="s">
        <v>894</v>
      </c>
      <c r="D888" s="4">
        <v>1</v>
      </c>
      <c r="E888" s="6">
        <v>5000</v>
      </c>
      <c r="F888" t="str">
        <f>VLOOKUP(C888,menu!A:B,2,FALSE)</f>
        <v>Air Mineral Botol</v>
      </c>
      <c r="G888">
        <f t="shared" si="26"/>
        <v>5000</v>
      </c>
      <c r="H888">
        <f>VLOOKUP(C888,menu!A:E,4,FALSE)</f>
        <v>2000</v>
      </c>
      <c r="I888">
        <f t="shared" si="27"/>
        <v>3000</v>
      </c>
    </row>
    <row r="889" spans="1:9" x14ac:dyDescent="0.35">
      <c r="A889" s="4" t="s">
        <v>1800</v>
      </c>
      <c r="B889" s="4" t="s">
        <v>372</v>
      </c>
      <c r="C889" s="4" t="s">
        <v>890</v>
      </c>
      <c r="D889" s="4">
        <v>1</v>
      </c>
      <c r="E889" s="6">
        <v>18000</v>
      </c>
      <c r="F889" t="str">
        <f>VLOOKUP(C889,menu!A:B,2,FALSE)</f>
        <v>Es Kopi Susu Gula Aren</v>
      </c>
      <c r="G889">
        <f t="shared" si="26"/>
        <v>18000</v>
      </c>
      <c r="H889">
        <f>VLOOKUP(C889,menu!A:E,4,FALSE)</f>
        <v>4500</v>
      </c>
      <c r="I889">
        <f t="shared" si="27"/>
        <v>13500</v>
      </c>
    </row>
    <row r="890" spans="1:9" x14ac:dyDescent="0.35">
      <c r="A890" s="4" t="s">
        <v>1801</v>
      </c>
      <c r="B890" s="4" t="s">
        <v>487</v>
      </c>
      <c r="C890" s="4" t="s">
        <v>894</v>
      </c>
      <c r="D890" s="4">
        <v>1</v>
      </c>
      <c r="E890" s="6">
        <v>5000</v>
      </c>
      <c r="F890" t="str">
        <f>VLOOKUP(C890,menu!A:B,2,FALSE)</f>
        <v>Air Mineral Botol</v>
      </c>
      <c r="G890">
        <f t="shared" si="26"/>
        <v>5000</v>
      </c>
      <c r="H890">
        <f>VLOOKUP(C890,menu!A:E,4,FALSE)</f>
        <v>2000</v>
      </c>
      <c r="I890">
        <f t="shared" si="27"/>
        <v>3000</v>
      </c>
    </row>
    <row r="891" spans="1:9" x14ac:dyDescent="0.35">
      <c r="A891" s="4" t="s">
        <v>1802</v>
      </c>
      <c r="B891" s="4" t="s">
        <v>487</v>
      </c>
      <c r="C891" s="4" t="s">
        <v>937</v>
      </c>
      <c r="D891" s="4">
        <v>3</v>
      </c>
      <c r="E891" s="6">
        <v>26000</v>
      </c>
      <c r="F891" t="str">
        <f>VLOOKUP(C891,menu!A:B,2,FALSE)</f>
        <v>Nasi Campur Bali</v>
      </c>
      <c r="G891">
        <f t="shared" si="26"/>
        <v>78000</v>
      </c>
      <c r="H891">
        <f>VLOOKUP(C891,menu!A:E,4,FALSE)</f>
        <v>11500</v>
      </c>
      <c r="I891">
        <f t="shared" si="27"/>
        <v>43500</v>
      </c>
    </row>
    <row r="892" spans="1:9" x14ac:dyDescent="0.35">
      <c r="A892" s="4" t="s">
        <v>1803</v>
      </c>
      <c r="B892" s="4" t="s">
        <v>357</v>
      </c>
      <c r="C892" s="4" t="s">
        <v>898</v>
      </c>
      <c r="D892" s="4">
        <v>2</v>
      </c>
      <c r="E892" s="6">
        <v>27000</v>
      </c>
      <c r="F892" t="str">
        <f>VLOOKUP(C892,menu!A:B,2,FALSE)</f>
        <v>Ayam Geprek Sambal Bawang</v>
      </c>
      <c r="G892">
        <f t="shared" si="26"/>
        <v>54000</v>
      </c>
      <c r="H892">
        <f>VLOOKUP(C892,menu!A:E,4,FALSE)</f>
        <v>11000</v>
      </c>
      <c r="I892">
        <f t="shared" si="27"/>
        <v>32000</v>
      </c>
    </row>
    <row r="893" spans="1:9" x14ac:dyDescent="0.35">
      <c r="A893" s="4" t="s">
        <v>1804</v>
      </c>
      <c r="B893" s="4" t="s">
        <v>357</v>
      </c>
      <c r="C893" s="4" t="s">
        <v>931</v>
      </c>
      <c r="D893" s="4">
        <v>1</v>
      </c>
      <c r="E893" s="6">
        <v>5000</v>
      </c>
      <c r="F893" t="str">
        <f>VLOOKUP(C893,menu!A:B,2,FALSE)</f>
        <v>Kerupuk Udang</v>
      </c>
      <c r="G893">
        <f t="shared" si="26"/>
        <v>5000</v>
      </c>
      <c r="H893">
        <f>VLOOKUP(C893,menu!A:E,4,FALSE)</f>
        <v>1500</v>
      </c>
      <c r="I893">
        <f t="shared" si="27"/>
        <v>3500</v>
      </c>
    </row>
    <row r="894" spans="1:9" x14ac:dyDescent="0.35">
      <c r="A894" s="4" t="s">
        <v>1805</v>
      </c>
      <c r="B894" s="4" t="s">
        <v>357</v>
      </c>
      <c r="C894" s="4" t="s">
        <v>892</v>
      </c>
      <c r="D894" s="4">
        <v>1</v>
      </c>
      <c r="E894" s="6">
        <v>9000</v>
      </c>
      <c r="F894" t="str">
        <f>VLOOKUP(C894,menu!A:B,2,FALSE)</f>
        <v>Tempe Mendoan (5pcs)</v>
      </c>
      <c r="G894">
        <f t="shared" si="26"/>
        <v>9000</v>
      </c>
      <c r="H894">
        <f>VLOOKUP(C894,menu!A:E,4,FALSE)</f>
        <v>3000</v>
      </c>
      <c r="I894">
        <f t="shared" si="27"/>
        <v>6000</v>
      </c>
    </row>
    <row r="895" spans="1:9" x14ac:dyDescent="0.35">
      <c r="A895" s="4" t="s">
        <v>1806</v>
      </c>
      <c r="B895" s="4" t="s">
        <v>88</v>
      </c>
      <c r="C895" s="4" t="s">
        <v>902</v>
      </c>
      <c r="D895" s="4">
        <v>1</v>
      </c>
      <c r="E895" s="6">
        <v>12000</v>
      </c>
      <c r="F895" t="str">
        <f>VLOOKUP(C895,menu!A:B,2,FALSE)</f>
        <v>Teh Tarik</v>
      </c>
      <c r="G895">
        <f t="shared" si="26"/>
        <v>12000</v>
      </c>
      <c r="H895">
        <f>VLOOKUP(C895,menu!A:E,4,FALSE)</f>
        <v>3000</v>
      </c>
      <c r="I895">
        <f t="shared" si="27"/>
        <v>9000</v>
      </c>
    </row>
    <row r="896" spans="1:9" x14ac:dyDescent="0.35">
      <c r="A896" s="4" t="s">
        <v>1807</v>
      </c>
      <c r="B896" s="4" t="s">
        <v>571</v>
      </c>
      <c r="C896" s="4" t="s">
        <v>898</v>
      </c>
      <c r="D896" s="4">
        <v>1</v>
      </c>
      <c r="E896" s="6">
        <v>27000</v>
      </c>
      <c r="F896" t="str">
        <f>VLOOKUP(C896,menu!A:B,2,FALSE)</f>
        <v>Ayam Geprek Sambal Bawang</v>
      </c>
      <c r="G896">
        <f t="shared" si="26"/>
        <v>27000</v>
      </c>
      <c r="H896">
        <f>VLOOKUP(C896,menu!A:E,4,FALSE)</f>
        <v>11000</v>
      </c>
      <c r="I896">
        <f t="shared" si="27"/>
        <v>16000</v>
      </c>
    </row>
    <row r="897" spans="1:9" x14ac:dyDescent="0.35">
      <c r="A897" s="4" t="s">
        <v>1808</v>
      </c>
      <c r="B897" s="4" t="s">
        <v>571</v>
      </c>
      <c r="C897" s="4" t="s">
        <v>890</v>
      </c>
      <c r="D897" s="4">
        <v>1</v>
      </c>
      <c r="E897" s="6">
        <v>18000</v>
      </c>
      <c r="F897" t="str">
        <f>VLOOKUP(C897,menu!A:B,2,FALSE)</f>
        <v>Es Kopi Susu Gula Aren</v>
      </c>
      <c r="G897">
        <f t="shared" si="26"/>
        <v>18000</v>
      </c>
      <c r="H897">
        <f>VLOOKUP(C897,menu!A:E,4,FALSE)</f>
        <v>4500</v>
      </c>
      <c r="I897">
        <f t="shared" si="27"/>
        <v>13500</v>
      </c>
    </row>
    <row r="898" spans="1:9" x14ac:dyDescent="0.35">
      <c r="A898" s="4" t="s">
        <v>1809</v>
      </c>
      <c r="B898" s="4" t="s">
        <v>171</v>
      </c>
      <c r="C898" s="4" t="s">
        <v>928</v>
      </c>
      <c r="D898" s="4">
        <v>1</v>
      </c>
      <c r="E898" s="6">
        <v>23000</v>
      </c>
      <c r="F898" t="str">
        <f>VLOOKUP(C898,menu!A:B,2,FALSE)</f>
        <v>Mie Goreng Jawa</v>
      </c>
      <c r="G898">
        <f t="shared" si="26"/>
        <v>23000</v>
      </c>
      <c r="H898">
        <f>VLOOKUP(C898,menu!A:E,4,FALSE)</f>
        <v>8500</v>
      </c>
      <c r="I898">
        <f t="shared" si="27"/>
        <v>14500</v>
      </c>
    </row>
    <row r="899" spans="1:9" x14ac:dyDescent="0.35">
      <c r="A899" s="4" t="s">
        <v>1810</v>
      </c>
      <c r="B899" s="4" t="s">
        <v>481</v>
      </c>
      <c r="C899" s="4" t="s">
        <v>890</v>
      </c>
      <c r="D899" s="4">
        <v>2</v>
      </c>
      <c r="E899" s="6">
        <v>18000</v>
      </c>
      <c r="F899" t="str">
        <f>VLOOKUP(C899,menu!A:B,2,FALSE)</f>
        <v>Es Kopi Susu Gula Aren</v>
      </c>
      <c r="G899">
        <f t="shared" ref="G899:G962" si="28">D899*E899</f>
        <v>36000</v>
      </c>
      <c r="H899">
        <f>VLOOKUP(C899,menu!A:E,4,FALSE)</f>
        <v>4500</v>
      </c>
      <c r="I899">
        <f t="shared" ref="I899:I962" si="29">(E899-H899)*D899</f>
        <v>27000</v>
      </c>
    </row>
    <row r="900" spans="1:9" x14ac:dyDescent="0.35">
      <c r="A900" s="4" t="s">
        <v>1811</v>
      </c>
      <c r="B900" s="4" t="s">
        <v>481</v>
      </c>
      <c r="C900" s="4" t="s">
        <v>898</v>
      </c>
      <c r="D900" s="4">
        <v>2</v>
      </c>
      <c r="E900" s="6">
        <v>27000</v>
      </c>
      <c r="F900" t="str">
        <f>VLOOKUP(C900,menu!A:B,2,FALSE)</f>
        <v>Ayam Geprek Sambal Bawang</v>
      </c>
      <c r="G900">
        <f t="shared" si="28"/>
        <v>54000</v>
      </c>
      <c r="H900">
        <f>VLOOKUP(C900,menu!A:E,4,FALSE)</f>
        <v>11000</v>
      </c>
      <c r="I900">
        <f t="shared" si="29"/>
        <v>32000</v>
      </c>
    </row>
    <row r="901" spans="1:9" x14ac:dyDescent="0.35">
      <c r="A901" s="4" t="s">
        <v>1812</v>
      </c>
      <c r="B901" s="4" t="s">
        <v>481</v>
      </c>
      <c r="C901" s="4" t="s">
        <v>916</v>
      </c>
      <c r="D901" s="4">
        <v>2</v>
      </c>
      <c r="E901" s="6">
        <v>9000</v>
      </c>
      <c r="F901" t="str">
        <f>VLOOKUP(C901,menu!A:B,2,FALSE)</f>
        <v>Kopi Hitam Tubruk</v>
      </c>
      <c r="G901">
        <f t="shared" si="28"/>
        <v>18000</v>
      </c>
      <c r="H901">
        <f>VLOOKUP(C901,menu!A:E,4,FALSE)</f>
        <v>2000</v>
      </c>
      <c r="I901">
        <f t="shared" si="29"/>
        <v>14000</v>
      </c>
    </row>
    <row r="902" spans="1:9" x14ac:dyDescent="0.35">
      <c r="A902" s="4" t="s">
        <v>1813</v>
      </c>
      <c r="B902" s="4" t="s">
        <v>726</v>
      </c>
      <c r="C902" s="4" t="s">
        <v>898</v>
      </c>
      <c r="D902" s="4">
        <v>1</v>
      </c>
      <c r="E902" s="6">
        <v>27000</v>
      </c>
      <c r="F902" t="str">
        <f>VLOOKUP(C902,menu!A:B,2,FALSE)</f>
        <v>Ayam Geprek Sambal Bawang</v>
      </c>
      <c r="G902">
        <f t="shared" si="28"/>
        <v>27000</v>
      </c>
      <c r="H902">
        <f>VLOOKUP(C902,menu!A:E,4,FALSE)</f>
        <v>11000</v>
      </c>
      <c r="I902">
        <f t="shared" si="29"/>
        <v>16000</v>
      </c>
    </row>
    <row r="903" spans="1:9" x14ac:dyDescent="0.35">
      <c r="A903" s="4" t="s">
        <v>1814</v>
      </c>
      <c r="B903" s="4" t="s">
        <v>726</v>
      </c>
      <c r="C903" s="4" t="s">
        <v>937</v>
      </c>
      <c r="D903" s="4">
        <v>1</v>
      </c>
      <c r="E903" s="6">
        <v>26000</v>
      </c>
      <c r="F903" t="str">
        <f>VLOOKUP(C903,menu!A:B,2,FALSE)</f>
        <v>Nasi Campur Bali</v>
      </c>
      <c r="G903">
        <f t="shared" si="28"/>
        <v>26000</v>
      </c>
      <c r="H903">
        <f>VLOOKUP(C903,menu!A:E,4,FALSE)</f>
        <v>11500</v>
      </c>
      <c r="I903">
        <f t="shared" si="29"/>
        <v>14500</v>
      </c>
    </row>
    <row r="904" spans="1:9" x14ac:dyDescent="0.35">
      <c r="A904" s="4" t="s">
        <v>1815</v>
      </c>
      <c r="B904" s="4" t="s">
        <v>132</v>
      </c>
      <c r="C904" s="4" t="s">
        <v>898</v>
      </c>
      <c r="D904" s="4">
        <v>1</v>
      </c>
      <c r="E904" s="6">
        <v>27000</v>
      </c>
      <c r="F904" t="str">
        <f>VLOOKUP(C904,menu!A:B,2,FALSE)</f>
        <v>Ayam Geprek Sambal Bawang</v>
      </c>
      <c r="G904">
        <f t="shared" si="28"/>
        <v>27000</v>
      </c>
      <c r="H904">
        <f>VLOOKUP(C904,menu!A:E,4,FALSE)</f>
        <v>11000</v>
      </c>
      <c r="I904">
        <f t="shared" si="29"/>
        <v>16000</v>
      </c>
    </row>
    <row r="905" spans="1:9" x14ac:dyDescent="0.35">
      <c r="A905" s="4" t="s">
        <v>1816</v>
      </c>
      <c r="B905" s="4" t="s">
        <v>132</v>
      </c>
      <c r="C905" s="4" t="s">
        <v>904</v>
      </c>
      <c r="D905" s="4">
        <v>1</v>
      </c>
      <c r="E905" s="6">
        <v>22000</v>
      </c>
      <c r="F905" t="str">
        <f>VLOOKUP(C905,menu!A:B,2,FALSE)</f>
        <v>Pecel Lele</v>
      </c>
      <c r="G905">
        <f t="shared" si="28"/>
        <v>22000</v>
      </c>
      <c r="H905">
        <f>VLOOKUP(C905,menu!A:E,4,FALSE)</f>
        <v>9500</v>
      </c>
      <c r="I905">
        <f t="shared" si="29"/>
        <v>12500</v>
      </c>
    </row>
    <row r="906" spans="1:9" x14ac:dyDescent="0.35">
      <c r="A906" s="4" t="s">
        <v>1817</v>
      </c>
      <c r="B906" s="4" t="s">
        <v>132</v>
      </c>
      <c r="C906" s="4" t="s">
        <v>890</v>
      </c>
      <c r="D906" s="4">
        <v>2</v>
      </c>
      <c r="E906" s="6">
        <v>18000</v>
      </c>
      <c r="F906" t="str">
        <f>VLOOKUP(C906,menu!A:B,2,FALSE)</f>
        <v>Es Kopi Susu Gula Aren</v>
      </c>
      <c r="G906">
        <f t="shared" si="28"/>
        <v>36000</v>
      </c>
      <c r="H906">
        <f>VLOOKUP(C906,menu!A:E,4,FALSE)</f>
        <v>4500</v>
      </c>
      <c r="I906">
        <f t="shared" si="29"/>
        <v>27000</v>
      </c>
    </row>
    <row r="907" spans="1:9" x14ac:dyDescent="0.35">
      <c r="A907" s="4" t="s">
        <v>1818</v>
      </c>
      <c r="B907" s="4" t="s">
        <v>93</v>
      </c>
      <c r="C907" s="4" t="s">
        <v>908</v>
      </c>
      <c r="D907" s="4">
        <v>3</v>
      </c>
      <c r="E907" s="6">
        <v>16000</v>
      </c>
      <c r="F907" t="str">
        <f>VLOOKUP(C907,menu!A:B,2,FALSE)</f>
        <v>Jus Alpukat</v>
      </c>
      <c r="G907">
        <f t="shared" si="28"/>
        <v>48000</v>
      </c>
      <c r="H907">
        <f>VLOOKUP(C907,menu!A:E,4,FALSE)</f>
        <v>5500</v>
      </c>
      <c r="I907">
        <f t="shared" si="29"/>
        <v>31500</v>
      </c>
    </row>
    <row r="908" spans="1:9" x14ac:dyDescent="0.35">
      <c r="A908" s="4" t="s">
        <v>1819</v>
      </c>
      <c r="B908" s="4" t="s">
        <v>93</v>
      </c>
      <c r="C908" s="4" t="s">
        <v>898</v>
      </c>
      <c r="D908" s="4">
        <v>1</v>
      </c>
      <c r="E908" s="6">
        <v>27000</v>
      </c>
      <c r="F908" t="str">
        <f>VLOOKUP(C908,menu!A:B,2,FALSE)</f>
        <v>Ayam Geprek Sambal Bawang</v>
      </c>
      <c r="G908">
        <f t="shared" si="28"/>
        <v>27000</v>
      </c>
      <c r="H908">
        <f>VLOOKUP(C908,menu!A:E,4,FALSE)</f>
        <v>11000</v>
      </c>
      <c r="I908">
        <f t="shared" si="29"/>
        <v>16000</v>
      </c>
    </row>
    <row r="909" spans="1:9" x14ac:dyDescent="0.35">
      <c r="A909" s="4" t="s">
        <v>1820</v>
      </c>
      <c r="B909" s="4" t="s">
        <v>93</v>
      </c>
      <c r="C909" s="4" t="s">
        <v>937</v>
      </c>
      <c r="D909" s="4">
        <v>1</v>
      </c>
      <c r="E909" s="6">
        <v>26000</v>
      </c>
      <c r="F909" t="str">
        <f>VLOOKUP(C909,menu!A:B,2,FALSE)</f>
        <v>Nasi Campur Bali</v>
      </c>
      <c r="G909">
        <f t="shared" si="28"/>
        <v>26000</v>
      </c>
      <c r="H909">
        <f>VLOOKUP(C909,menu!A:E,4,FALSE)</f>
        <v>11500</v>
      </c>
      <c r="I909">
        <f t="shared" si="29"/>
        <v>14500</v>
      </c>
    </row>
    <row r="910" spans="1:9" x14ac:dyDescent="0.35">
      <c r="A910" s="4" t="s">
        <v>1821</v>
      </c>
      <c r="B910" s="4" t="s">
        <v>93</v>
      </c>
      <c r="C910" s="4" t="s">
        <v>902</v>
      </c>
      <c r="D910" s="4">
        <v>1</v>
      </c>
      <c r="E910" s="6">
        <v>12000</v>
      </c>
      <c r="F910" t="str">
        <f>VLOOKUP(C910,menu!A:B,2,FALSE)</f>
        <v>Teh Tarik</v>
      </c>
      <c r="G910">
        <f t="shared" si="28"/>
        <v>12000</v>
      </c>
      <c r="H910">
        <f>VLOOKUP(C910,menu!A:E,4,FALSE)</f>
        <v>3000</v>
      </c>
      <c r="I910">
        <f t="shared" si="29"/>
        <v>9000</v>
      </c>
    </row>
    <row r="911" spans="1:9" x14ac:dyDescent="0.35">
      <c r="A911" s="4" t="s">
        <v>1822</v>
      </c>
      <c r="B911" s="4" t="s">
        <v>93</v>
      </c>
      <c r="C911" s="4" t="s">
        <v>1003</v>
      </c>
      <c r="D911" s="4">
        <v>3</v>
      </c>
      <c r="E911" s="6">
        <v>29000</v>
      </c>
      <c r="F911" t="str">
        <f>VLOOKUP(C911,menu!A:B,2,FALSE)</f>
        <v>Capcay Seafood</v>
      </c>
      <c r="G911">
        <f t="shared" si="28"/>
        <v>87000</v>
      </c>
      <c r="H911">
        <f>VLOOKUP(C911,menu!A:E,4,FALSE)</f>
        <v>13000</v>
      </c>
      <c r="I911">
        <f t="shared" si="29"/>
        <v>48000</v>
      </c>
    </row>
    <row r="912" spans="1:9" x14ac:dyDescent="0.35">
      <c r="A912" s="4" t="s">
        <v>1823</v>
      </c>
      <c r="B912" s="4" t="s">
        <v>345</v>
      </c>
      <c r="C912" s="4" t="s">
        <v>898</v>
      </c>
      <c r="D912" s="4">
        <v>1</v>
      </c>
      <c r="E912" s="6">
        <v>27000</v>
      </c>
      <c r="F912" t="str">
        <f>VLOOKUP(C912,menu!A:B,2,FALSE)</f>
        <v>Ayam Geprek Sambal Bawang</v>
      </c>
      <c r="G912">
        <f t="shared" si="28"/>
        <v>27000</v>
      </c>
      <c r="H912">
        <f>VLOOKUP(C912,menu!A:E,4,FALSE)</f>
        <v>11000</v>
      </c>
      <c r="I912">
        <f t="shared" si="29"/>
        <v>16000</v>
      </c>
    </row>
    <row r="913" spans="1:9" x14ac:dyDescent="0.35">
      <c r="A913" s="4" t="s">
        <v>1824</v>
      </c>
      <c r="B913" s="4" t="s">
        <v>345</v>
      </c>
      <c r="C913" s="4" t="s">
        <v>955</v>
      </c>
      <c r="D913" s="4">
        <v>1</v>
      </c>
      <c r="E913" s="6">
        <v>15000</v>
      </c>
      <c r="F913" t="str">
        <f>VLOOKUP(C913,menu!A:B,2,FALSE)</f>
        <v>Es Campur</v>
      </c>
      <c r="G913">
        <f t="shared" si="28"/>
        <v>15000</v>
      </c>
      <c r="H913">
        <f>VLOOKUP(C913,menu!A:E,4,FALSE)</f>
        <v>6000</v>
      </c>
      <c r="I913">
        <f t="shared" si="29"/>
        <v>9000</v>
      </c>
    </row>
    <row r="914" spans="1:9" x14ac:dyDescent="0.35">
      <c r="A914" s="4" t="s">
        <v>1825</v>
      </c>
      <c r="B914" s="4" t="s">
        <v>345</v>
      </c>
      <c r="C914" s="4" t="s">
        <v>896</v>
      </c>
      <c r="D914" s="4">
        <v>1</v>
      </c>
      <c r="E914" s="6">
        <v>23000</v>
      </c>
      <c r="F914" t="str">
        <f>VLOOKUP(C914,menu!A:B,2,FALSE)</f>
        <v>Nasi Uduk Komplit</v>
      </c>
      <c r="G914">
        <f t="shared" si="28"/>
        <v>23000</v>
      </c>
      <c r="H914">
        <f>VLOOKUP(C914,menu!A:E,4,FALSE)</f>
        <v>9000</v>
      </c>
      <c r="I914">
        <f t="shared" si="29"/>
        <v>14000</v>
      </c>
    </row>
    <row r="915" spans="1:9" x14ac:dyDescent="0.35">
      <c r="A915" s="4" t="s">
        <v>1826</v>
      </c>
      <c r="B915" s="4" t="s">
        <v>68</v>
      </c>
      <c r="C915" s="4" t="s">
        <v>890</v>
      </c>
      <c r="D915" s="4">
        <v>1</v>
      </c>
      <c r="E915" s="6">
        <v>18000</v>
      </c>
      <c r="F915" t="str">
        <f>VLOOKUP(C915,menu!A:B,2,FALSE)</f>
        <v>Es Kopi Susu Gula Aren</v>
      </c>
      <c r="G915">
        <f t="shared" si="28"/>
        <v>18000</v>
      </c>
      <c r="H915">
        <f>VLOOKUP(C915,menu!A:E,4,FALSE)</f>
        <v>4500</v>
      </c>
      <c r="I915">
        <f t="shared" si="29"/>
        <v>13500</v>
      </c>
    </row>
    <row r="916" spans="1:9" x14ac:dyDescent="0.35">
      <c r="A916" s="4" t="s">
        <v>1827</v>
      </c>
      <c r="B916" s="4" t="s">
        <v>68</v>
      </c>
      <c r="C916" s="4" t="s">
        <v>906</v>
      </c>
      <c r="D916" s="4">
        <v>1</v>
      </c>
      <c r="E916" s="6">
        <v>28000</v>
      </c>
      <c r="F916" t="str">
        <f>VLOOKUP(C916,menu!A:B,2,FALSE)</f>
        <v>Sate Ayam 10 Tusuk</v>
      </c>
      <c r="G916">
        <f t="shared" si="28"/>
        <v>28000</v>
      </c>
      <c r="H916">
        <f>VLOOKUP(C916,menu!A:E,4,FALSE)</f>
        <v>12000</v>
      </c>
      <c r="I916">
        <f t="shared" si="29"/>
        <v>16000</v>
      </c>
    </row>
    <row r="917" spans="1:9" x14ac:dyDescent="0.35">
      <c r="A917" s="4" t="s">
        <v>1828</v>
      </c>
      <c r="B917" s="4" t="s">
        <v>68</v>
      </c>
      <c r="C917" s="4" t="s">
        <v>898</v>
      </c>
      <c r="D917" s="4">
        <v>1</v>
      </c>
      <c r="E917" s="6">
        <v>27000</v>
      </c>
      <c r="F917" t="str">
        <f>VLOOKUP(C917,menu!A:B,2,FALSE)</f>
        <v>Ayam Geprek Sambal Bawang</v>
      </c>
      <c r="G917">
        <f t="shared" si="28"/>
        <v>27000</v>
      </c>
      <c r="H917">
        <f>VLOOKUP(C917,menu!A:E,4,FALSE)</f>
        <v>11000</v>
      </c>
      <c r="I917">
        <f t="shared" si="29"/>
        <v>16000</v>
      </c>
    </row>
    <row r="918" spans="1:9" x14ac:dyDescent="0.35">
      <c r="A918" s="4" t="s">
        <v>1829</v>
      </c>
      <c r="B918" s="4" t="s">
        <v>540</v>
      </c>
      <c r="C918" s="4" t="s">
        <v>931</v>
      </c>
      <c r="D918" s="4">
        <v>2</v>
      </c>
      <c r="E918" s="6">
        <v>5000</v>
      </c>
      <c r="F918" t="str">
        <f>VLOOKUP(C918,menu!A:B,2,FALSE)</f>
        <v>Kerupuk Udang</v>
      </c>
      <c r="G918">
        <f t="shared" si="28"/>
        <v>10000</v>
      </c>
      <c r="H918">
        <f>VLOOKUP(C918,menu!A:E,4,FALSE)</f>
        <v>1500</v>
      </c>
      <c r="I918">
        <f t="shared" si="29"/>
        <v>7000</v>
      </c>
    </row>
    <row r="919" spans="1:9" x14ac:dyDescent="0.35">
      <c r="A919" s="4" t="s">
        <v>1830</v>
      </c>
      <c r="B919" s="4" t="s">
        <v>540</v>
      </c>
      <c r="C919" s="4" t="s">
        <v>892</v>
      </c>
      <c r="D919" s="4">
        <v>1</v>
      </c>
      <c r="E919" s="6">
        <v>9000</v>
      </c>
      <c r="F919" t="str">
        <f>VLOOKUP(C919,menu!A:B,2,FALSE)</f>
        <v>Tempe Mendoan (5pcs)</v>
      </c>
      <c r="G919">
        <f t="shared" si="28"/>
        <v>9000</v>
      </c>
      <c r="H919">
        <f>VLOOKUP(C919,menu!A:E,4,FALSE)</f>
        <v>3000</v>
      </c>
      <c r="I919">
        <f t="shared" si="29"/>
        <v>6000</v>
      </c>
    </row>
    <row r="920" spans="1:9" x14ac:dyDescent="0.35">
      <c r="A920" s="4" t="s">
        <v>1831</v>
      </c>
      <c r="B920" s="4" t="s">
        <v>95</v>
      </c>
      <c r="C920" s="4" t="s">
        <v>898</v>
      </c>
      <c r="D920" s="4">
        <v>1</v>
      </c>
      <c r="E920" s="6">
        <v>27000</v>
      </c>
      <c r="F920" t="str">
        <f>VLOOKUP(C920,menu!A:B,2,FALSE)</f>
        <v>Ayam Geprek Sambal Bawang</v>
      </c>
      <c r="G920">
        <f t="shared" si="28"/>
        <v>27000</v>
      </c>
      <c r="H920">
        <f>VLOOKUP(C920,menu!A:E,4,FALSE)</f>
        <v>11000</v>
      </c>
      <c r="I920">
        <f t="shared" si="29"/>
        <v>16000</v>
      </c>
    </row>
    <row r="921" spans="1:9" x14ac:dyDescent="0.35">
      <c r="A921" s="4" t="s">
        <v>1832</v>
      </c>
      <c r="B921" s="4" t="s">
        <v>95</v>
      </c>
      <c r="C921" s="4" t="s">
        <v>904</v>
      </c>
      <c r="D921" s="4">
        <v>1</v>
      </c>
      <c r="E921" s="6">
        <v>22000</v>
      </c>
      <c r="F921" t="str">
        <f>VLOOKUP(C921,menu!A:B,2,FALSE)</f>
        <v>Pecel Lele</v>
      </c>
      <c r="G921">
        <f t="shared" si="28"/>
        <v>22000</v>
      </c>
      <c r="H921">
        <f>VLOOKUP(C921,menu!A:E,4,FALSE)</f>
        <v>9500</v>
      </c>
      <c r="I921">
        <f t="shared" si="29"/>
        <v>12500</v>
      </c>
    </row>
    <row r="922" spans="1:9" x14ac:dyDescent="0.35">
      <c r="A922" s="4" t="s">
        <v>1833</v>
      </c>
      <c r="B922" s="4" t="s">
        <v>57</v>
      </c>
      <c r="C922" s="4" t="s">
        <v>898</v>
      </c>
      <c r="D922" s="4">
        <v>1</v>
      </c>
      <c r="E922" s="6">
        <v>27000</v>
      </c>
      <c r="F922" t="str">
        <f>VLOOKUP(C922,menu!A:B,2,FALSE)</f>
        <v>Ayam Geprek Sambal Bawang</v>
      </c>
      <c r="G922">
        <f t="shared" si="28"/>
        <v>27000</v>
      </c>
      <c r="H922">
        <f>VLOOKUP(C922,menu!A:E,4,FALSE)</f>
        <v>11000</v>
      </c>
      <c r="I922">
        <f t="shared" si="29"/>
        <v>16000</v>
      </c>
    </row>
    <row r="923" spans="1:9" x14ac:dyDescent="0.35">
      <c r="A923" s="4" t="s">
        <v>1834</v>
      </c>
      <c r="B923" s="4" t="s">
        <v>57</v>
      </c>
      <c r="C923" s="4" t="s">
        <v>928</v>
      </c>
      <c r="D923" s="4">
        <v>2</v>
      </c>
      <c r="E923" s="6">
        <v>23000</v>
      </c>
      <c r="F923" t="str">
        <f>VLOOKUP(C923,menu!A:B,2,FALSE)</f>
        <v>Mie Goreng Jawa</v>
      </c>
      <c r="G923">
        <f t="shared" si="28"/>
        <v>46000</v>
      </c>
      <c r="H923">
        <f>VLOOKUP(C923,menu!A:E,4,FALSE)</f>
        <v>8500</v>
      </c>
      <c r="I923">
        <f t="shared" si="29"/>
        <v>29000</v>
      </c>
    </row>
    <row r="924" spans="1:9" x14ac:dyDescent="0.35">
      <c r="A924" s="4" t="s">
        <v>1835</v>
      </c>
      <c r="B924" s="4" t="s">
        <v>57</v>
      </c>
      <c r="C924" s="4" t="s">
        <v>892</v>
      </c>
      <c r="D924" s="4">
        <v>1</v>
      </c>
      <c r="E924" s="6">
        <v>9000</v>
      </c>
      <c r="F924" t="str">
        <f>VLOOKUP(C924,menu!A:B,2,FALSE)</f>
        <v>Tempe Mendoan (5pcs)</v>
      </c>
      <c r="G924">
        <f t="shared" si="28"/>
        <v>9000</v>
      </c>
      <c r="H924">
        <f>VLOOKUP(C924,menu!A:E,4,FALSE)</f>
        <v>3000</v>
      </c>
      <c r="I924">
        <f t="shared" si="29"/>
        <v>6000</v>
      </c>
    </row>
    <row r="925" spans="1:9" x14ac:dyDescent="0.35">
      <c r="A925" s="4" t="s">
        <v>1836</v>
      </c>
      <c r="B925" s="4" t="s">
        <v>460</v>
      </c>
      <c r="C925" s="4" t="s">
        <v>898</v>
      </c>
      <c r="D925" s="4">
        <v>2</v>
      </c>
      <c r="E925" s="6">
        <v>27000</v>
      </c>
      <c r="F925" t="str">
        <f>VLOOKUP(C925,menu!A:B,2,FALSE)</f>
        <v>Ayam Geprek Sambal Bawang</v>
      </c>
      <c r="G925">
        <f t="shared" si="28"/>
        <v>54000</v>
      </c>
      <c r="H925">
        <f>VLOOKUP(C925,menu!A:E,4,FALSE)</f>
        <v>11000</v>
      </c>
      <c r="I925">
        <f t="shared" si="29"/>
        <v>32000</v>
      </c>
    </row>
    <row r="926" spans="1:9" x14ac:dyDescent="0.35">
      <c r="A926" s="4" t="s">
        <v>1837</v>
      </c>
      <c r="B926" s="4" t="s">
        <v>460</v>
      </c>
      <c r="C926" s="4" t="s">
        <v>937</v>
      </c>
      <c r="D926" s="4">
        <v>2</v>
      </c>
      <c r="E926" s="6">
        <v>26000</v>
      </c>
      <c r="F926" t="str">
        <f>VLOOKUP(C926,menu!A:B,2,FALSE)</f>
        <v>Nasi Campur Bali</v>
      </c>
      <c r="G926">
        <f t="shared" si="28"/>
        <v>52000</v>
      </c>
      <c r="H926">
        <f>VLOOKUP(C926,menu!A:E,4,FALSE)</f>
        <v>11500</v>
      </c>
      <c r="I926">
        <f t="shared" si="29"/>
        <v>29000</v>
      </c>
    </row>
    <row r="927" spans="1:9" x14ac:dyDescent="0.35">
      <c r="A927" s="4" t="s">
        <v>1838</v>
      </c>
      <c r="B927" s="4" t="s">
        <v>460</v>
      </c>
      <c r="C927" s="4" t="s">
        <v>935</v>
      </c>
      <c r="D927" s="4">
        <v>2</v>
      </c>
      <c r="E927" s="6">
        <v>22000</v>
      </c>
      <c r="F927" t="str">
        <f>VLOOKUP(C927,menu!A:B,2,FALSE)</f>
        <v>Soto Ayam Lamongan</v>
      </c>
      <c r="G927">
        <f t="shared" si="28"/>
        <v>44000</v>
      </c>
      <c r="H927">
        <f>VLOOKUP(C927,menu!A:E,4,FALSE)</f>
        <v>9500</v>
      </c>
      <c r="I927">
        <f t="shared" si="29"/>
        <v>25000</v>
      </c>
    </row>
    <row r="928" spans="1:9" x14ac:dyDescent="0.35">
      <c r="A928" s="4" t="s">
        <v>1839</v>
      </c>
      <c r="B928" s="4" t="s">
        <v>462</v>
      </c>
      <c r="C928" s="4" t="s">
        <v>931</v>
      </c>
      <c r="D928" s="4">
        <v>1</v>
      </c>
      <c r="E928" s="6">
        <v>5000</v>
      </c>
      <c r="F928" t="str">
        <f>VLOOKUP(C928,menu!A:B,2,FALSE)</f>
        <v>Kerupuk Udang</v>
      </c>
      <c r="G928">
        <f t="shared" si="28"/>
        <v>5000</v>
      </c>
      <c r="H928">
        <f>VLOOKUP(C928,menu!A:E,4,FALSE)</f>
        <v>1500</v>
      </c>
      <c r="I928">
        <f t="shared" si="29"/>
        <v>3500</v>
      </c>
    </row>
    <row r="929" spans="1:9" x14ac:dyDescent="0.35">
      <c r="A929" s="4" t="s">
        <v>1840</v>
      </c>
      <c r="B929" s="4" t="s">
        <v>462</v>
      </c>
      <c r="C929" s="4" t="s">
        <v>928</v>
      </c>
      <c r="D929" s="4">
        <v>1</v>
      </c>
      <c r="E929" s="6">
        <v>23000</v>
      </c>
      <c r="F929" t="str">
        <f>VLOOKUP(C929,menu!A:B,2,FALSE)</f>
        <v>Mie Goreng Jawa</v>
      </c>
      <c r="G929">
        <f t="shared" si="28"/>
        <v>23000</v>
      </c>
      <c r="H929">
        <f>VLOOKUP(C929,menu!A:E,4,FALSE)</f>
        <v>8500</v>
      </c>
      <c r="I929">
        <f t="shared" si="29"/>
        <v>14500</v>
      </c>
    </row>
    <row r="930" spans="1:9" x14ac:dyDescent="0.35">
      <c r="A930" s="4" t="s">
        <v>1841</v>
      </c>
      <c r="B930" s="4" t="s">
        <v>730</v>
      </c>
      <c r="C930" s="4" t="s">
        <v>898</v>
      </c>
      <c r="D930" s="4">
        <v>2</v>
      </c>
      <c r="E930" s="6">
        <v>27000</v>
      </c>
      <c r="F930" t="str">
        <f>VLOOKUP(C930,menu!A:B,2,FALSE)</f>
        <v>Ayam Geprek Sambal Bawang</v>
      </c>
      <c r="G930">
        <f t="shared" si="28"/>
        <v>54000</v>
      </c>
      <c r="H930">
        <f>VLOOKUP(C930,menu!A:E,4,FALSE)</f>
        <v>11000</v>
      </c>
      <c r="I930">
        <f t="shared" si="29"/>
        <v>32000</v>
      </c>
    </row>
    <row r="931" spans="1:9" x14ac:dyDescent="0.35">
      <c r="A931" s="4" t="s">
        <v>1842</v>
      </c>
      <c r="B931" s="4" t="s">
        <v>730</v>
      </c>
      <c r="C931" s="4" t="s">
        <v>892</v>
      </c>
      <c r="D931" s="4">
        <v>1</v>
      </c>
      <c r="E931" s="6">
        <v>9000</v>
      </c>
      <c r="F931" t="str">
        <f>VLOOKUP(C931,menu!A:B,2,FALSE)</f>
        <v>Tempe Mendoan (5pcs)</v>
      </c>
      <c r="G931">
        <f t="shared" si="28"/>
        <v>9000</v>
      </c>
      <c r="H931">
        <f>VLOOKUP(C931,menu!A:E,4,FALSE)</f>
        <v>3000</v>
      </c>
      <c r="I931">
        <f t="shared" si="29"/>
        <v>6000</v>
      </c>
    </row>
    <row r="932" spans="1:9" x14ac:dyDescent="0.35">
      <c r="A932" s="4" t="s">
        <v>1843</v>
      </c>
      <c r="B932" s="4" t="s">
        <v>730</v>
      </c>
      <c r="C932" s="4" t="s">
        <v>1059</v>
      </c>
      <c r="D932" s="4">
        <v>2</v>
      </c>
      <c r="E932" s="6">
        <v>6000</v>
      </c>
      <c r="F932" t="str">
        <f>VLOOKUP(C932,menu!A:B,2,FALSE)</f>
        <v>Es Teh Manis</v>
      </c>
      <c r="G932">
        <f t="shared" si="28"/>
        <v>12000</v>
      </c>
      <c r="H932">
        <f>VLOOKUP(C932,menu!A:E,4,FALSE)</f>
        <v>1500</v>
      </c>
      <c r="I932">
        <f t="shared" si="29"/>
        <v>9000</v>
      </c>
    </row>
    <row r="933" spans="1:9" x14ac:dyDescent="0.35">
      <c r="A933" s="4" t="s">
        <v>1844</v>
      </c>
      <c r="B933" s="4" t="s">
        <v>730</v>
      </c>
      <c r="C933" s="4" t="s">
        <v>1003</v>
      </c>
      <c r="D933" s="4">
        <v>1</v>
      </c>
      <c r="E933" s="6">
        <v>29000</v>
      </c>
      <c r="F933" t="str">
        <f>VLOOKUP(C933,menu!A:B,2,FALSE)</f>
        <v>Capcay Seafood</v>
      </c>
      <c r="G933">
        <f t="shared" si="28"/>
        <v>29000</v>
      </c>
      <c r="H933">
        <f>VLOOKUP(C933,menu!A:E,4,FALSE)</f>
        <v>13000</v>
      </c>
      <c r="I933">
        <f t="shared" si="29"/>
        <v>16000</v>
      </c>
    </row>
    <row r="934" spans="1:9" x14ac:dyDescent="0.35">
      <c r="A934" s="4" t="s">
        <v>1845</v>
      </c>
      <c r="B934" s="4" t="s">
        <v>295</v>
      </c>
      <c r="C934" s="4" t="s">
        <v>894</v>
      </c>
      <c r="D934" s="4">
        <v>3</v>
      </c>
      <c r="E934" s="6">
        <v>5000</v>
      </c>
      <c r="F934" t="str">
        <f>VLOOKUP(C934,menu!A:B,2,FALSE)</f>
        <v>Air Mineral Botol</v>
      </c>
      <c r="G934">
        <f t="shared" si="28"/>
        <v>15000</v>
      </c>
      <c r="H934">
        <f>VLOOKUP(C934,menu!A:E,4,FALSE)</f>
        <v>2000</v>
      </c>
      <c r="I934">
        <f t="shared" si="29"/>
        <v>9000</v>
      </c>
    </row>
    <row r="935" spans="1:9" x14ac:dyDescent="0.35">
      <c r="A935" s="4" t="s">
        <v>1846</v>
      </c>
      <c r="B935" s="4" t="s">
        <v>295</v>
      </c>
      <c r="C935" s="4" t="s">
        <v>902</v>
      </c>
      <c r="D935" s="4">
        <v>1</v>
      </c>
      <c r="E935" s="6">
        <v>12000</v>
      </c>
      <c r="F935" t="str">
        <f>VLOOKUP(C935,menu!A:B,2,FALSE)</f>
        <v>Teh Tarik</v>
      </c>
      <c r="G935">
        <f t="shared" si="28"/>
        <v>12000</v>
      </c>
      <c r="H935">
        <f>VLOOKUP(C935,menu!A:E,4,FALSE)</f>
        <v>3000</v>
      </c>
      <c r="I935">
        <f t="shared" si="29"/>
        <v>9000</v>
      </c>
    </row>
    <row r="936" spans="1:9" x14ac:dyDescent="0.35">
      <c r="A936" s="4" t="s">
        <v>1847</v>
      </c>
      <c r="B936" s="4" t="s">
        <v>295</v>
      </c>
      <c r="C936" s="4" t="s">
        <v>900</v>
      </c>
      <c r="D936" s="4">
        <v>1</v>
      </c>
      <c r="E936" s="6">
        <v>8000</v>
      </c>
      <c r="F936" t="str">
        <f>VLOOKUP(C936,menu!A:B,2,FALSE)</f>
        <v>Es Jeruk Peras</v>
      </c>
      <c r="G936">
        <f t="shared" si="28"/>
        <v>8000</v>
      </c>
      <c r="H936">
        <f>VLOOKUP(C936,menu!A:E,4,FALSE)</f>
        <v>2500</v>
      </c>
      <c r="I936">
        <f t="shared" si="29"/>
        <v>5500</v>
      </c>
    </row>
    <row r="937" spans="1:9" x14ac:dyDescent="0.35">
      <c r="A937" s="4" t="s">
        <v>1848</v>
      </c>
      <c r="B937" s="4" t="s">
        <v>605</v>
      </c>
      <c r="C937" s="4" t="s">
        <v>890</v>
      </c>
      <c r="D937" s="4">
        <v>1</v>
      </c>
      <c r="E937" s="6">
        <v>18000</v>
      </c>
      <c r="F937" t="str">
        <f>VLOOKUP(C937,menu!A:B,2,FALSE)</f>
        <v>Es Kopi Susu Gula Aren</v>
      </c>
      <c r="G937">
        <f t="shared" si="28"/>
        <v>18000</v>
      </c>
      <c r="H937">
        <f>VLOOKUP(C937,menu!A:E,4,FALSE)</f>
        <v>4500</v>
      </c>
      <c r="I937">
        <f t="shared" si="29"/>
        <v>13500</v>
      </c>
    </row>
    <row r="938" spans="1:9" x14ac:dyDescent="0.35">
      <c r="A938" s="4" t="s">
        <v>1849</v>
      </c>
      <c r="B938" s="4" t="s">
        <v>569</v>
      </c>
      <c r="C938" s="4" t="s">
        <v>898</v>
      </c>
      <c r="D938" s="4">
        <v>1</v>
      </c>
      <c r="E938" s="6">
        <v>27000</v>
      </c>
      <c r="F938" t="str">
        <f>VLOOKUP(C938,menu!A:B,2,FALSE)</f>
        <v>Ayam Geprek Sambal Bawang</v>
      </c>
      <c r="G938">
        <f t="shared" si="28"/>
        <v>27000</v>
      </c>
      <c r="H938">
        <f>VLOOKUP(C938,menu!A:E,4,FALSE)</f>
        <v>11000</v>
      </c>
      <c r="I938">
        <f t="shared" si="29"/>
        <v>16000</v>
      </c>
    </row>
    <row r="939" spans="1:9" x14ac:dyDescent="0.35">
      <c r="A939" s="4" t="s">
        <v>1850</v>
      </c>
      <c r="B939" s="4" t="s">
        <v>569</v>
      </c>
      <c r="C939" s="4" t="s">
        <v>890</v>
      </c>
      <c r="D939" s="4">
        <v>1</v>
      </c>
      <c r="E939" s="6">
        <v>18000</v>
      </c>
      <c r="F939" t="str">
        <f>VLOOKUP(C939,menu!A:B,2,FALSE)</f>
        <v>Es Kopi Susu Gula Aren</v>
      </c>
      <c r="G939">
        <f t="shared" si="28"/>
        <v>18000</v>
      </c>
      <c r="H939">
        <f>VLOOKUP(C939,menu!A:E,4,FALSE)</f>
        <v>4500</v>
      </c>
      <c r="I939">
        <f t="shared" si="29"/>
        <v>13500</v>
      </c>
    </row>
    <row r="940" spans="1:9" x14ac:dyDescent="0.35">
      <c r="A940" s="4" t="s">
        <v>1851</v>
      </c>
      <c r="B940" s="4" t="s">
        <v>569</v>
      </c>
      <c r="C940" s="4" t="s">
        <v>937</v>
      </c>
      <c r="D940" s="4">
        <v>1</v>
      </c>
      <c r="E940" s="6">
        <v>26000</v>
      </c>
      <c r="F940" t="str">
        <f>VLOOKUP(C940,menu!A:B,2,FALSE)</f>
        <v>Nasi Campur Bali</v>
      </c>
      <c r="G940">
        <f t="shared" si="28"/>
        <v>26000</v>
      </c>
      <c r="H940">
        <f>VLOOKUP(C940,menu!A:E,4,FALSE)</f>
        <v>11500</v>
      </c>
      <c r="I940">
        <f t="shared" si="29"/>
        <v>14500</v>
      </c>
    </row>
    <row r="941" spans="1:9" x14ac:dyDescent="0.35">
      <c r="A941" s="4" t="s">
        <v>1852</v>
      </c>
      <c r="B941" s="4" t="s">
        <v>224</v>
      </c>
      <c r="C941" s="4" t="s">
        <v>898</v>
      </c>
      <c r="D941" s="4">
        <v>1</v>
      </c>
      <c r="E941" s="6">
        <v>27000</v>
      </c>
      <c r="F941" t="str">
        <f>VLOOKUP(C941,menu!A:B,2,FALSE)</f>
        <v>Ayam Geprek Sambal Bawang</v>
      </c>
      <c r="G941">
        <f t="shared" si="28"/>
        <v>27000</v>
      </c>
      <c r="H941">
        <f>VLOOKUP(C941,menu!A:E,4,FALSE)</f>
        <v>11000</v>
      </c>
      <c r="I941">
        <f t="shared" si="29"/>
        <v>16000</v>
      </c>
    </row>
    <row r="942" spans="1:9" x14ac:dyDescent="0.35">
      <c r="A942" s="4" t="s">
        <v>1853</v>
      </c>
      <c r="B942" s="4" t="s">
        <v>224</v>
      </c>
      <c r="C942" s="4" t="s">
        <v>900</v>
      </c>
      <c r="D942" s="4">
        <v>1</v>
      </c>
      <c r="E942" s="6">
        <v>8000</v>
      </c>
      <c r="F942" t="str">
        <f>VLOOKUP(C942,menu!A:B,2,FALSE)</f>
        <v>Es Jeruk Peras</v>
      </c>
      <c r="G942">
        <f t="shared" si="28"/>
        <v>8000</v>
      </c>
      <c r="H942">
        <f>VLOOKUP(C942,menu!A:E,4,FALSE)</f>
        <v>2500</v>
      </c>
      <c r="I942">
        <f t="shared" si="29"/>
        <v>5500</v>
      </c>
    </row>
    <row r="943" spans="1:9" x14ac:dyDescent="0.35">
      <c r="A943" s="4" t="s">
        <v>1854</v>
      </c>
      <c r="B943" s="4" t="s">
        <v>224</v>
      </c>
      <c r="C943" s="4" t="s">
        <v>1003</v>
      </c>
      <c r="D943" s="4">
        <v>1</v>
      </c>
      <c r="E943" s="6">
        <v>29000</v>
      </c>
      <c r="F943" t="str">
        <f>VLOOKUP(C943,menu!A:B,2,FALSE)</f>
        <v>Capcay Seafood</v>
      </c>
      <c r="G943">
        <f t="shared" si="28"/>
        <v>29000</v>
      </c>
      <c r="H943">
        <f>VLOOKUP(C943,menu!A:E,4,FALSE)</f>
        <v>13000</v>
      </c>
      <c r="I943">
        <f t="shared" si="29"/>
        <v>16000</v>
      </c>
    </row>
    <row r="944" spans="1:9" x14ac:dyDescent="0.35">
      <c r="A944" s="4" t="s">
        <v>1855</v>
      </c>
      <c r="B944" s="4" t="s">
        <v>367</v>
      </c>
      <c r="C944" s="4" t="s">
        <v>940</v>
      </c>
      <c r="D944" s="4">
        <v>3</v>
      </c>
      <c r="E944" s="6">
        <v>10000</v>
      </c>
      <c r="F944" t="str">
        <f>VLOOKUP(C944,menu!A:B,2,FALSE)</f>
        <v>Tahu Isi Goreng (5pcs)</v>
      </c>
      <c r="G944">
        <f t="shared" si="28"/>
        <v>30000</v>
      </c>
      <c r="H944">
        <f>VLOOKUP(C944,menu!A:E,4,FALSE)</f>
        <v>3500</v>
      </c>
      <c r="I944">
        <f t="shared" si="29"/>
        <v>19500</v>
      </c>
    </row>
    <row r="945" spans="1:9" x14ac:dyDescent="0.35">
      <c r="A945" s="4" t="s">
        <v>1856</v>
      </c>
      <c r="B945" s="4" t="s">
        <v>40</v>
      </c>
      <c r="C945" s="4" t="s">
        <v>937</v>
      </c>
      <c r="D945" s="4">
        <v>1</v>
      </c>
      <c r="E945" s="6">
        <v>26000</v>
      </c>
      <c r="F945" t="str">
        <f>VLOOKUP(C945,menu!A:B,2,FALSE)</f>
        <v>Nasi Campur Bali</v>
      </c>
      <c r="G945">
        <f t="shared" si="28"/>
        <v>26000</v>
      </c>
      <c r="H945">
        <f>VLOOKUP(C945,menu!A:E,4,FALSE)</f>
        <v>11500</v>
      </c>
      <c r="I945">
        <f t="shared" si="29"/>
        <v>14500</v>
      </c>
    </row>
    <row r="946" spans="1:9" x14ac:dyDescent="0.35">
      <c r="A946" s="4" t="s">
        <v>1857</v>
      </c>
      <c r="B946" s="4" t="s">
        <v>40</v>
      </c>
      <c r="C946" s="4" t="s">
        <v>898</v>
      </c>
      <c r="D946" s="4">
        <v>1</v>
      </c>
      <c r="E946" s="6">
        <v>27000</v>
      </c>
      <c r="F946" t="str">
        <f>VLOOKUP(C946,menu!A:B,2,FALSE)</f>
        <v>Ayam Geprek Sambal Bawang</v>
      </c>
      <c r="G946">
        <f t="shared" si="28"/>
        <v>27000</v>
      </c>
      <c r="H946">
        <f>VLOOKUP(C946,menu!A:E,4,FALSE)</f>
        <v>11000</v>
      </c>
      <c r="I946">
        <f t="shared" si="29"/>
        <v>16000</v>
      </c>
    </row>
    <row r="947" spans="1:9" x14ac:dyDescent="0.35">
      <c r="A947" s="4" t="s">
        <v>1858</v>
      </c>
      <c r="B947" s="4" t="s">
        <v>40</v>
      </c>
      <c r="C947" s="4" t="s">
        <v>892</v>
      </c>
      <c r="D947" s="4">
        <v>1</v>
      </c>
      <c r="E947" s="6">
        <v>9000</v>
      </c>
      <c r="F947" t="str">
        <f>VLOOKUP(C947,menu!A:B,2,FALSE)</f>
        <v>Tempe Mendoan (5pcs)</v>
      </c>
      <c r="G947">
        <f t="shared" si="28"/>
        <v>9000</v>
      </c>
      <c r="H947">
        <f>VLOOKUP(C947,menu!A:E,4,FALSE)</f>
        <v>3000</v>
      </c>
      <c r="I947">
        <f t="shared" si="29"/>
        <v>6000</v>
      </c>
    </row>
    <row r="948" spans="1:9" x14ac:dyDescent="0.35">
      <c r="A948" s="4" t="s">
        <v>1859</v>
      </c>
      <c r="B948" s="4" t="s">
        <v>40</v>
      </c>
      <c r="C948" s="4" t="s">
        <v>1003</v>
      </c>
      <c r="D948" s="4">
        <v>2</v>
      </c>
      <c r="E948" s="6">
        <v>29000</v>
      </c>
      <c r="F948" t="str">
        <f>VLOOKUP(C948,menu!A:B,2,FALSE)</f>
        <v>Capcay Seafood</v>
      </c>
      <c r="G948">
        <f t="shared" si="28"/>
        <v>58000</v>
      </c>
      <c r="H948">
        <f>VLOOKUP(C948,menu!A:E,4,FALSE)</f>
        <v>13000</v>
      </c>
      <c r="I948">
        <f t="shared" si="29"/>
        <v>32000</v>
      </c>
    </row>
    <row r="949" spans="1:9" x14ac:dyDescent="0.35">
      <c r="A949" s="4" t="s">
        <v>1860</v>
      </c>
      <c r="B949" s="4" t="s">
        <v>742</v>
      </c>
      <c r="C949" s="4" t="s">
        <v>898</v>
      </c>
      <c r="D949" s="4">
        <v>1</v>
      </c>
      <c r="E949" s="6">
        <v>27000</v>
      </c>
      <c r="F949" t="str">
        <f>VLOOKUP(C949,menu!A:B,2,FALSE)</f>
        <v>Ayam Geprek Sambal Bawang</v>
      </c>
      <c r="G949">
        <f t="shared" si="28"/>
        <v>27000</v>
      </c>
      <c r="H949">
        <f>VLOOKUP(C949,menu!A:E,4,FALSE)</f>
        <v>11000</v>
      </c>
      <c r="I949">
        <f t="shared" si="29"/>
        <v>16000</v>
      </c>
    </row>
    <row r="950" spans="1:9" x14ac:dyDescent="0.35">
      <c r="A950" s="4" t="s">
        <v>1861</v>
      </c>
      <c r="B950" s="4" t="s">
        <v>633</v>
      </c>
      <c r="C950" s="4" t="s">
        <v>898</v>
      </c>
      <c r="D950" s="4">
        <v>1</v>
      </c>
      <c r="E950" s="6">
        <v>27000</v>
      </c>
      <c r="F950" t="str">
        <f>VLOOKUP(C950,menu!A:B,2,FALSE)</f>
        <v>Ayam Geprek Sambal Bawang</v>
      </c>
      <c r="G950">
        <f t="shared" si="28"/>
        <v>27000</v>
      </c>
      <c r="H950">
        <f>VLOOKUP(C950,menu!A:E,4,FALSE)</f>
        <v>11000</v>
      </c>
      <c r="I950">
        <f t="shared" si="29"/>
        <v>16000</v>
      </c>
    </row>
    <row r="951" spans="1:9" x14ac:dyDescent="0.35">
      <c r="A951" s="4" t="s">
        <v>1862</v>
      </c>
      <c r="B951" s="4" t="s">
        <v>30</v>
      </c>
      <c r="C951" s="4" t="s">
        <v>928</v>
      </c>
      <c r="D951" s="4">
        <v>2</v>
      </c>
      <c r="E951" s="6">
        <v>23000</v>
      </c>
      <c r="F951" t="str">
        <f>VLOOKUP(C951,menu!A:B,2,FALSE)</f>
        <v>Mie Goreng Jawa</v>
      </c>
      <c r="G951">
        <f t="shared" si="28"/>
        <v>46000</v>
      </c>
      <c r="H951">
        <f>VLOOKUP(C951,menu!A:E,4,FALSE)</f>
        <v>8500</v>
      </c>
      <c r="I951">
        <f t="shared" si="29"/>
        <v>29000</v>
      </c>
    </row>
    <row r="952" spans="1:9" x14ac:dyDescent="0.35">
      <c r="A952" s="4" t="s">
        <v>1863</v>
      </c>
      <c r="B952" s="4" t="s">
        <v>60</v>
      </c>
      <c r="C952" s="4" t="s">
        <v>890</v>
      </c>
      <c r="D952" s="4">
        <v>1</v>
      </c>
      <c r="E952" s="6">
        <v>18000</v>
      </c>
      <c r="F952" t="str">
        <f>VLOOKUP(C952,menu!A:B,2,FALSE)</f>
        <v>Es Kopi Susu Gula Aren</v>
      </c>
      <c r="G952">
        <f t="shared" si="28"/>
        <v>18000</v>
      </c>
      <c r="H952">
        <f>VLOOKUP(C952,menu!A:E,4,FALSE)</f>
        <v>4500</v>
      </c>
      <c r="I952">
        <f t="shared" si="29"/>
        <v>13500</v>
      </c>
    </row>
    <row r="953" spans="1:9" x14ac:dyDescent="0.35">
      <c r="A953" s="4" t="s">
        <v>1864</v>
      </c>
      <c r="B953" s="4" t="s">
        <v>60</v>
      </c>
      <c r="C953" s="4" t="s">
        <v>894</v>
      </c>
      <c r="D953" s="4">
        <v>1</v>
      </c>
      <c r="E953" s="6">
        <v>5000</v>
      </c>
      <c r="F953" t="str">
        <f>VLOOKUP(C953,menu!A:B,2,FALSE)</f>
        <v>Air Mineral Botol</v>
      </c>
      <c r="G953">
        <f t="shared" si="28"/>
        <v>5000</v>
      </c>
      <c r="H953">
        <f>VLOOKUP(C953,menu!A:E,4,FALSE)</f>
        <v>2000</v>
      </c>
      <c r="I953">
        <f t="shared" si="29"/>
        <v>3000</v>
      </c>
    </row>
    <row r="954" spans="1:9" x14ac:dyDescent="0.35">
      <c r="A954" s="4" t="s">
        <v>1865</v>
      </c>
      <c r="B954" s="4" t="s">
        <v>60</v>
      </c>
      <c r="C954" s="4" t="s">
        <v>892</v>
      </c>
      <c r="D954" s="4">
        <v>1</v>
      </c>
      <c r="E954" s="6">
        <v>9000</v>
      </c>
      <c r="F954" t="str">
        <f>VLOOKUP(C954,menu!A:B,2,FALSE)</f>
        <v>Tempe Mendoan (5pcs)</v>
      </c>
      <c r="G954">
        <f t="shared" si="28"/>
        <v>9000</v>
      </c>
      <c r="H954">
        <f>VLOOKUP(C954,menu!A:E,4,FALSE)</f>
        <v>3000</v>
      </c>
      <c r="I954">
        <f t="shared" si="29"/>
        <v>6000</v>
      </c>
    </row>
    <row r="955" spans="1:9" x14ac:dyDescent="0.35">
      <c r="A955" s="4" t="s">
        <v>1866</v>
      </c>
      <c r="B955" s="4" t="s">
        <v>245</v>
      </c>
      <c r="C955" s="4" t="s">
        <v>898</v>
      </c>
      <c r="D955" s="4">
        <v>2</v>
      </c>
      <c r="E955" s="6">
        <v>27000</v>
      </c>
      <c r="F955" t="str">
        <f>VLOOKUP(C955,menu!A:B,2,FALSE)</f>
        <v>Ayam Geprek Sambal Bawang</v>
      </c>
      <c r="G955">
        <f t="shared" si="28"/>
        <v>54000</v>
      </c>
      <c r="H955">
        <f>VLOOKUP(C955,menu!A:E,4,FALSE)</f>
        <v>11000</v>
      </c>
      <c r="I955">
        <f t="shared" si="29"/>
        <v>32000</v>
      </c>
    </row>
    <row r="956" spans="1:9" x14ac:dyDescent="0.35">
      <c r="A956" s="4" t="s">
        <v>1867</v>
      </c>
      <c r="B956" s="4" t="s">
        <v>245</v>
      </c>
      <c r="C956" s="4" t="s">
        <v>919</v>
      </c>
      <c r="D956" s="4">
        <v>1</v>
      </c>
      <c r="E956" s="6">
        <v>20000</v>
      </c>
      <c r="F956" t="str">
        <f>VLOOKUP(C956,menu!A:B,2,FALSE)</f>
        <v>Gado-Gado Jakarta</v>
      </c>
      <c r="G956">
        <f t="shared" si="28"/>
        <v>20000</v>
      </c>
      <c r="H956">
        <f>VLOOKUP(C956,menu!A:E,4,FALSE)</f>
        <v>8000</v>
      </c>
      <c r="I956">
        <f t="shared" si="29"/>
        <v>12000</v>
      </c>
    </row>
    <row r="957" spans="1:9" x14ac:dyDescent="0.35">
      <c r="A957" s="4" t="s">
        <v>1868</v>
      </c>
      <c r="B957" s="4" t="s">
        <v>245</v>
      </c>
      <c r="C957" s="4" t="s">
        <v>890</v>
      </c>
      <c r="D957" s="4">
        <v>1</v>
      </c>
      <c r="E957" s="6">
        <v>18000</v>
      </c>
      <c r="F957" t="str">
        <f>VLOOKUP(C957,menu!A:B,2,FALSE)</f>
        <v>Es Kopi Susu Gula Aren</v>
      </c>
      <c r="G957">
        <f t="shared" si="28"/>
        <v>18000</v>
      </c>
      <c r="H957">
        <f>VLOOKUP(C957,menu!A:E,4,FALSE)</f>
        <v>4500</v>
      </c>
      <c r="I957">
        <f t="shared" si="29"/>
        <v>13500</v>
      </c>
    </row>
    <row r="958" spans="1:9" x14ac:dyDescent="0.35">
      <c r="A958" s="4" t="s">
        <v>1869</v>
      </c>
      <c r="B958" s="4" t="s">
        <v>245</v>
      </c>
      <c r="C958" s="4" t="s">
        <v>955</v>
      </c>
      <c r="D958" s="4">
        <v>1</v>
      </c>
      <c r="E958" s="6">
        <v>15000</v>
      </c>
      <c r="F958" t="str">
        <f>VLOOKUP(C958,menu!A:B,2,FALSE)</f>
        <v>Es Campur</v>
      </c>
      <c r="G958">
        <f t="shared" si="28"/>
        <v>15000</v>
      </c>
      <c r="H958">
        <f>VLOOKUP(C958,menu!A:E,4,FALSE)</f>
        <v>6000</v>
      </c>
      <c r="I958">
        <f t="shared" si="29"/>
        <v>9000</v>
      </c>
    </row>
    <row r="959" spans="1:9" x14ac:dyDescent="0.35">
      <c r="A959" s="4" t="s">
        <v>1870</v>
      </c>
      <c r="B959" s="4" t="s">
        <v>169</v>
      </c>
      <c r="C959" s="4" t="s">
        <v>898</v>
      </c>
      <c r="D959" s="4">
        <v>2</v>
      </c>
      <c r="E959" s="6">
        <v>27000</v>
      </c>
      <c r="F959" t="str">
        <f>VLOOKUP(C959,menu!A:B,2,FALSE)</f>
        <v>Ayam Geprek Sambal Bawang</v>
      </c>
      <c r="G959">
        <f t="shared" si="28"/>
        <v>54000</v>
      </c>
      <c r="H959">
        <f>VLOOKUP(C959,menu!A:E,4,FALSE)</f>
        <v>11000</v>
      </c>
      <c r="I959">
        <f t="shared" si="29"/>
        <v>32000</v>
      </c>
    </row>
    <row r="960" spans="1:9" x14ac:dyDescent="0.35">
      <c r="A960" s="4" t="s">
        <v>1871</v>
      </c>
      <c r="B960" s="4" t="s">
        <v>169</v>
      </c>
      <c r="C960" s="4" t="s">
        <v>935</v>
      </c>
      <c r="D960" s="4">
        <v>1</v>
      </c>
      <c r="E960" s="6">
        <v>22000</v>
      </c>
      <c r="F960" t="str">
        <f>VLOOKUP(C960,menu!A:B,2,FALSE)</f>
        <v>Soto Ayam Lamongan</v>
      </c>
      <c r="G960">
        <f t="shared" si="28"/>
        <v>22000</v>
      </c>
      <c r="H960">
        <f>VLOOKUP(C960,menu!A:E,4,FALSE)</f>
        <v>9500</v>
      </c>
      <c r="I960">
        <f t="shared" si="29"/>
        <v>12500</v>
      </c>
    </row>
    <row r="961" spans="1:9" x14ac:dyDescent="0.35">
      <c r="A961" s="4" t="s">
        <v>1872</v>
      </c>
      <c r="B961" s="4" t="s">
        <v>169</v>
      </c>
      <c r="C961" s="4" t="s">
        <v>908</v>
      </c>
      <c r="D961" s="4">
        <v>1</v>
      </c>
      <c r="E961" s="6">
        <v>16000</v>
      </c>
      <c r="F961" t="str">
        <f>VLOOKUP(C961,menu!A:B,2,FALSE)</f>
        <v>Jus Alpukat</v>
      </c>
      <c r="G961">
        <f t="shared" si="28"/>
        <v>16000</v>
      </c>
      <c r="H961">
        <f>VLOOKUP(C961,menu!A:E,4,FALSE)</f>
        <v>5500</v>
      </c>
      <c r="I961">
        <f t="shared" si="29"/>
        <v>10500</v>
      </c>
    </row>
    <row r="962" spans="1:9" x14ac:dyDescent="0.35">
      <c r="A962" s="4" t="s">
        <v>1873</v>
      </c>
      <c r="B962" s="4" t="s">
        <v>169</v>
      </c>
      <c r="C962" s="4" t="s">
        <v>894</v>
      </c>
      <c r="D962" s="4">
        <v>1</v>
      </c>
      <c r="E962" s="6">
        <v>5000</v>
      </c>
      <c r="F962" t="str">
        <f>VLOOKUP(C962,menu!A:B,2,FALSE)</f>
        <v>Air Mineral Botol</v>
      </c>
      <c r="G962">
        <f t="shared" si="28"/>
        <v>5000</v>
      </c>
      <c r="H962">
        <f>VLOOKUP(C962,menu!A:E,4,FALSE)</f>
        <v>2000</v>
      </c>
      <c r="I962">
        <f t="shared" si="29"/>
        <v>3000</v>
      </c>
    </row>
    <row r="963" spans="1:9" x14ac:dyDescent="0.35">
      <c r="A963" s="4" t="s">
        <v>1874</v>
      </c>
      <c r="B963" s="4" t="s">
        <v>216</v>
      </c>
      <c r="C963" s="4" t="s">
        <v>892</v>
      </c>
      <c r="D963" s="4">
        <v>1</v>
      </c>
      <c r="E963" s="6">
        <v>9000</v>
      </c>
      <c r="F963" t="str">
        <f>VLOOKUP(C963,menu!A:B,2,FALSE)</f>
        <v>Tempe Mendoan (5pcs)</v>
      </c>
      <c r="G963">
        <f t="shared" ref="G963:G1026" si="30">D963*E963</f>
        <v>9000</v>
      </c>
      <c r="H963">
        <f>VLOOKUP(C963,menu!A:E,4,FALSE)</f>
        <v>3000</v>
      </c>
      <c r="I963">
        <f t="shared" ref="I963:I1026" si="31">(E963-H963)*D963</f>
        <v>6000</v>
      </c>
    </row>
    <row r="964" spans="1:9" x14ac:dyDescent="0.35">
      <c r="A964" s="4" t="s">
        <v>1875</v>
      </c>
      <c r="B964" s="4" t="s">
        <v>216</v>
      </c>
      <c r="C964" s="4" t="s">
        <v>937</v>
      </c>
      <c r="D964" s="4">
        <v>1</v>
      </c>
      <c r="E964" s="6">
        <v>26000</v>
      </c>
      <c r="F964" t="str">
        <f>VLOOKUP(C964,menu!A:B,2,FALSE)</f>
        <v>Nasi Campur Bali</v>
      </c>
      <c r="G964">
        <f t="shared" si="30"/>
        <v>26000</v>
      </c>
      <c r="H964">
        <f>VLOOKUP(C964,menu!A:E,4,FALSE)</f>
        <v>11500</v>
      </c>
      <c r="I964">
        <f t="shared" si="31"/>
        <v>14500</v>
      </c>
    </row>
    <row r="965" spans="1:9" x14ac:dyDescent="0.35">
      <c r="A965" s="4" t="s">
        <v>1876</v>
      </c>
      <c r="B965" s="4" t="s">
        <v>759</v>
      </c>
      <c r="C965" s="4" t="s">
        <v>931</v>
      </c>
      <c r="D965" s="4">
        <v>1</v>
      </c>
      <c r="E965" s="6">
        <v>5000</v>
      </c>
      <c r="F965" t="str">
        <f>VLOOKUP(C965,menu!A:B,2,FALSE)</f>
        <v>Kerupuk Udang</v>
      </c>
      <c r="G965">
        <f t="shared" si="30"/>
        <v>5000</v>
      </c>
      <c r="H965">
        <f>VLOOKUP(C965,menu!A:E,4,FALSE)</f>
        <v>1500</v>
      </c>
      <c r="I965">
        <f t="shared" si="31"/>
        <v>3500</v>
      </c>
    </row>
    <row r="966" spans="1:9" x14ac:dyDescent="0.35">
      <c r="A966" s="4" t="s">
        <v>1877</v>
      </c>
      <c r="B966" s="4" t="s">
        <v>759</v>
      </c>
      <c r="C966" s="4" t="s">
        <v>898</v>
      </c>
      <c r="D966" s="4">
        <v>1</v>
      </c>
      <c r="E966" s="6">
        <v>27000</v>
      </c>
      <c r="F966" t="str">
        <f>VLOOKUP(C966,menu!A:B,2,FALSE)</f>
        <v>Ayam Geprek Sambal Bawang</v>
      </c>
      <c r="G966">
        <f t="shared" si="30"/>
        <v>27000</v>
      </c>
      <c r="H966">
        <f>VLOOKUP(C966,menu!A:E,4,FALSE)</f>
        <v>11000</v>
      </c>
      <c r="I966">
        <f t="shared" si="31"/>
        <v>16000</v>
      </c>
    </row>
    <row r="967" spans="1:9" x14ac:dyDescent="0.35">
      <c r="A967" s="4" t="s">
        <v>1878</v>
      </c>
      <c r="B967" s="4" t="s">
        <v>759</v>
      </c>
      <c r="C967" s="4" t="s">
        <v>942</v>
      </c>
      <c r="D967" s="4">
        <v>1</v>
      </c>
      <c r="E967" s="6">
        <v>13000</v>
      </c>
      <c r="F967" t="str">
        <f>VLOOKUP(C967,menu!A:B,2,FALSE)</f>
        <v>Pisang Goreng Keju (4pcs)</v>
      </c>
      <c r="G967">
        <f t="shared" si="30"/>
        <v>13000</v>
      </c>
      <c r="H967">
        <f>VLOOKUP(C967,menu!A:E,4,FALSE)</f>
        <v>4000</v>
      </c>
      <c r="I967">
        <f t="shared" si="31"/>
        <v>9000</v>
      </c>
    </row>
    <row r="968" spans="1:9" x14ac:dyDescent="0.35">
      <c r="A968" s="4" t="s">
        <v>1879</v>
      </c>
      <c r="B968" s="4" t="s">
        <v>795</v>
      </c>
      <c r="C968" s="4" t="s">
        <v>898</v>
      </c>
      <c r="D968" s="4">
        <v>2</v>
      </c>
      <c r="E968" s="6">
        <v>27000</v>
      </c>
      <c r="F968" t="str">
        <f>VLOOKUP(C968,menu!A:B,2,FALSE)</f>
        <v>Ayam Geprek Sambal Bawang</v>
      </c>
      <c r="G968">
        <f t="shared" si="30"/>
        <v>54000</v>
      </c>
      <c r="H968">
        <f>VLOOKUP(C968,menu!A:E,4,FALSE)</f>
        <v>11000</v>
      </c>
      <c r="I968">
        <f t="shared" si="31"/>
        <v>32000</v>
      </c>
    </row>
    <row r="969" spans="1:9" x14ac:dyDescent="0.35">
      <c r="A969" s="4" t="s">
        <v>1880</v>
      </c>
      <c r="B969" s="4" t="s">
        <v>795</v>
      </c>
      <c r="C969" s="4" t="s">
        <v>931</v>
      </c>
      <c r="D969" s="4">
        <v>1</v>
      </c>
      <c r="E969" s="6">
        <v>5000</v>
      </c>
      <c r="F969" t="str">
        <f>VLOOKUP(C969,menu!A:B,2,FALSE)</f>
        <v>Kerupuk Udang</v>
      </c>
      <c r="G969">
        <f t="shared" si="30"/>
        <v>5000</v>
      </c>
      <c r="H969">
        <f>VLOOKUP(C969,menu!A:E,4,FALSE)</f>
        <v>1500</v>
      </c>
      <c r="I969">
        <f t="shared" si="31"/>
        <v>3500</v>
      </c>
    </row>
    <row r="970" spans="1:9" x14ac:dyDescent="0.35">
      <c r="A970" s="4" t="s">
        <v>1881</v>
      </c>
      <c r="B970" s="4" t="s">
        <v>262</v>
      </c>
      <c r="C970" s="4" t="s">
        <v>898</v>
      </c>
      <c r="D970" s="4">
        <v>1</v>
      </c>
      <c r="E970" s="6">
        <v>27000</v>
      </c>
      <c r="F970" t="str">
        <f>VLOOKUP(C970,menu!A:B,2,FALSE)</f>
        <v>Ayam Geprek Sambal Bawang</v>
      </c>
      <c r="G970">
        <f t="shared" si="30"/>
        <v>27000</v>
      </c>
      <c r="H970">
        <f>VLOOKUP(C970,menu!A:E,4,FALSE)</f>
        <v>11000</v>
      </c>
      <c r="I970">
        <f t="shared" si="31"/>
        <v>16000</v>
      </c>
    </row>
    <row r="971" spans="1:9" x14ac:dyDescent="0.35">
      <c r="A971" s="4" t="s">
        <v>1882</v>
      </c>
      <c r="B971" s="4" t="s">
        <v>35</v>
      </c>
      <c r="C971" s="4" t="s">
        <v>928</v>
      </c>
      <c r="D971" s="4">
        <v>1</v>
      </c>
      <c r="E971" s="6">
        <v>23000</v>
      </c>
      <c r="F971" t="str">
        <f>VLOOKUP(C971,menu!A:B,2,FALSE)</f>
        <v>Mie Goreng Jawa</v>
      </c>
      <c r="G971">
        <f t="shared" si="30"/>
        <v>23000</v>
      </c>
      <c r="H971">
        <f>VLOOKUP(C971,menu!A:E,4,FALSE)</f>
        <v>8500</v>
      </c>
      <c r="I971">
        <f t="shared" si="31"/>
        <v>14500</v>
      </c>
    </row>
    <row r="972" spans="1:9" x14ac:dyDescent="0.35">
      <c r="A972" s="4" t="s">
        <v>1883</v>
      </c>
      <c r="B972" s="4" t="s">
        <v>35</v>
      </c>
      <c r="C972" s="4" t="s">
        <v>898</v>
      </c>
      <c r="D972" s="4">
        <v>1</v>
      </c>
      <c r="E972" s="6">
        <v>27000</v>
      </c>
      <c r="F972" t="str">
        <f>VLOOKUP(C972,menu!A:B,2,FALSE)</f>
        <v>Ayam Geprek Sambal Bawang</v>
      </c>
      <c r="G972">
        <f t="shared" si="30"/>
        <v>27000</v>
      </c>
      <c r="H972">
        <f>VLOOKUP(C972,menu!A:E,4,FALSE)</f>
        <v>11000</v>
      </c>
      <c r="I972">
        <f t="shared" si="31"/>
        <v>16000</v>
      </c>
    </row>
    <row r="973" spans="1:9" x14ac:dyDescent="0.35">
      <c r="A973" s="4" t="s">
        <v>1884</v>
      </c>
      <c r="B973" s="4" t="s">
        <v>35</v>
      </c>
      <c r="C973" s="4" t="s">
        <v>890</v>
      </c>
      <c r="D973" s="4">
        <v>1</v>
      </c>
      <c r="E973" s="6">
        <v>18000</v>
      </c>
      <c r="F973" t="str">
        <f>VLOOKUP(C973,menu!A:B,2,FALSE)</f>
        <v>Es Kopi Susu Gula Aren</v>
      </c>
      <c r="G973">
        <f t="shared" si="30"/>
        <v>18000</v>
      </c>
      <c r="H973">
        <f>VLOOKUP(C973,menu!A:E,4,FALSE)</f>
        <v>4500</v>
      </c>
      <c r="I973">
        <f t="shared" si="31"/>
        <v>13500</v>
      </c>
    </row>
    <row r="974" spans="1:9" x14ac:dyDescent="0.35">
      <c r="A974" s="4" t="s">
        <v>1885</v>
      </c>
      <c r="B974" s="4" t="s">
        <v>35</v>
      </c>
      <c r="C974" s="4" t="s">
        <v>919</v>
      </c>
      <c r="D974" s="4">
        <v>2</v>
      </c>
      <c r="E974" s="6">
        <v>20000</v>
      </c>
      <c r="F974" t="str">
        <f>VLOOKUP(C974,menu!A:B,2,FALSE)</f>
        <v>Gado-Gado Jakarta</v>
      </c>
      <c r="G974">
        <f t="shared" si="30"/>
        <v>40000</v>
      </c>
      <c r="H974">
        <f>VLOOKUP(C974,menu!A:E,4,FALSE)</f>
        <v>8000</v>
      </c>
      <c r="I974">
        <f t="shared" si="31"/>
        <v>24000</v>
      </c>
    </row>
    <row r="975" spans="1:9" x14ac:dyDescent="0.35">
      <c r="A975" s="4" t="s">
        <v>1886</v>
      </c>
      <c r="B975" s="4" t="s">
        <v>589</v>
      </c>
      <c r="C975" s="4" t="s">
        <v>944</v>
      </c>
      <c r="D975" s="4">
        <v>1</v>
      </c>
      <c r="E975" s="6">
        <v>32000</v>
      </c>
      <c r="F975" t="str">
        <f>VLOOKUP(C975,menu!A:B,2,FALSE)</f>
        <v>Nasi Padang Rendang</v>
      </c>
      <c r="G975">
        <f t="shared" si="30"/>
        <v>32000</v>
      </c>
      <c r="H975">
        <f>VLOOKUP(C975,menu!A:E,4,FALSE)</f>
        <v>14000</v>
      </c>
      <c r="I975">
        <f t="shared" si="31"/>
        <v>18000</v>
      </c>
    </row>
    <row r="976" spans="1:9" x14ac:dyDescent="0.35">
      <c r="A976" s="4" t="s">
        <v>1887</v>
      </c>
      <c r="B976" s="4" t="s">
        <v>589</v>
      </c>
      <c r="C976" s="4" t="s">
        <v>890</v>
      </c>
      <c r="D976" s="4">
        <v>1</v>
      </c>
      <c r="E976" s="6">
        <v>18000</v>
      </c>
      <c r="F976" t="str">
        <f>VLOOKUP(C976,menu!A:B,2,FALSE)</f>
        <v>Es Kopi Susu Gula Aren</v>
      </c>
      <c r="G976">
        <f t="shared" si="30"/>
        <v>18000</v>
      </c>
      <c r="H976">
        <f>VLOOKUP(C976,menu!A:E,4,FALSE)</f>
        <v>4500</v>
      </c>
      <c r="I976">
        <f t="shared" si="31"/>
        <v>13500</v>
      </c>
    </row>
    <row r="977" spans="1:9" x14ac:dyDescent="0.35">
      <c r="A977" s="4" t="s">
        <v>1888</v>
      </c>
      <c r="B977" s="4" t="s">
        <v>572</v>
      </c>
      <c r="C977" s="4" t="s">
        <v>944</v>
      </c>
      <c r="D977" s="4">
        <v>1</v>
      </c>
      <c r="E977" s="6">
        <v>32000</v>
      </c>
      <c r="F977" t="str">
        <f>VLOOKUP(C977,menu!A:B,2,FALSE)</f>
        <v>Nasi Padang Rendang</v>
      </c>
      <c r="G977">
        <f t="shared" si="30"/>
        <v>32000</v>
      </c>
      <c r="H977">
        <f>VLOOKUP(C977,menu!A:E,4,FALSE)</f>
        <v>14000</v>
      </c>
      <c r="I977">
        <f t="shared" si="31"/>
        <v>18000</v>
      </c>
    </row>
    <row r="978" spans="1:9" x14ac:dyDescent="0.35">
      <c r="A978" s="4" t="s">
        <v>1889</v>
      </c>
      <c r="B978" s="4" t="s">
        <v>572</v>
      </c>
      <c r="C978" s="4" t="s">
        <v>898</v>
      </c>
      <c r="D978" s="4">
        <v>3</v>
      </c>
      <c r="E978" s="6">
        <v>27000</v>
      </c>
      <c r="F978" t="str">
        <f>VLOOKUP(C978,menu!A:B,2,FALSE)</f>
        <v>Ayam Geprek Sambal Bawang</v>
      </c>
      <c r="G978">
        <f t="shared" si="30"/>
        <v>81000</v>
      </c>
      <c r="H978">
        <f>VLOOKUP(C978,menu!A:E,4,FALSE)</f>
        <v>11000</v>
      </c>
      <c r="I978">
        <f t="shared" si="31"/>
        <v>48000</v>
      </c>
    </row>
    <row r="979" spans="1:9" x14ac:dyDescent="0.35">
      <c r="A979" s="4" t="s">
        <v>1890</v>
      </c>
      <c r="B979" s="4" t="s">
        <v>572</v>
      </c>
      <c r="C979" s="4" t="s">
        <v>955</v>
      </c>
      <c r="D979" s="4">
        <v>1</v>
      </c>
      <c r="E979" s="6">
        <v>15000</v>
      </c>
      <c r="F979" t="str">
        <f>VLOOKUP(C979,menu!A:B,2,FALSE)</f>
        <v>Es Campur</v>
      </c>
      <c r="G979">
        <f t="shared" si="30"/>
        <v>15000</v>
      </c>
      <c r="H979">
        <f>VLOOKUP(C979,menu!A:E,4,FALSE)</f>
        <v>6000</v>
      </c>
      <c r="I979">
        <f t="shared" si="31"/>
        <v>9000</v>
      </c>
    </row>
    <row r="980" spans="1:9" x14ac:dyDescent="0.35">
      <c r="A980" s="4" t="s">
        <v>1891</v>
      </c>
      <c r="B980" s="4" t="s">
        <v>572</v>
      </c>
      <c r="C980" s="4" t="s">
        <v>892</v>
      </c>
      <c r="D980" s="4">
        <v>1</v>
      </c>
      <c r="E980" s="6">
        <v>9000</v>
      </c>
      <c r="F980" t="str">
        <f>VLOOKUP(C980,menu!A:B,2,FALSE)</f>
        <v>Tempe Mendoan (5pcs)</v>
      </c>
      <c r="G980">
        <f t="shared" si="30"/>
        <v>9000</v>
      </c>
      <c r="H980">
        <f>VLOOKUP(C980,menu!A:E,4,FALSE)</f>
        <v>3000</v>
      </c>
      <c r="I980">
        <f t="shared" si="31"/>
        <v>6000</v>
      </c>
    </row>
    <row r="981" spans="1:9" x14ac:dyDescent="0.35">
      <c r="A981" s="4" t="s">
        <v>1892</v>
      </c>
      <c r="B981" s="4" t="s">
        <v>353</v>
      </c>
      <c r="C981" s="4" t="s">
        <v>890</v>
      </c>
      <c r="D981" s="4">
        <v>1</v>
      </c>
      <c r="E981" s="6">
        <v>18000</v>
      </c>
      <c r="F981" t="str">
        <f>VLOOKUP(C981,menu!A:B,2,FALSE)</f>
        <v>Es Kopi Susu Gula Aren</v>
      </c>
      <c r="G981">
        <f t="shared" si="30"/>
        <v>18000</v>
      </c>
      <c r="H981">
        <f>VLOOKUP(C981,menu!A:E,4,FALSE)</f>
        <v>4500</v>
      </c>
      <c r="I981">
        <f t="shared" si="31"/>
        <v>13500</v>
      </c>
    </row>
    <row r="982" spans="1:9" x14ac:dyDescent="0.35">
      <c r="A982" s="4" t="s">
        <v>1893</v>
      </c>
      <c r="B982" s="4" t="s">
        <v>353</v>
      </c>
      <c r="C982" s="4" t="s">
        <v>919</v>
      </c>
      <c r="D982" s="4">
        <v>3</v>
      </c>
      <c r="E982" s="6">
        <v>20000</v>
      </c>
      <c r="F982" t="str">
        <f>VLOOKUP(C982,menu!A:B,2,FALSE)</f>
        <v>Gado-Gado Jakarta</v>
      </c>
      <c r="G982">
        <f t="shared" si="30"/>
        <v>60000</v>
      </c>
      <c r="H982">
        <f>VLOOKUP(C982,menu!A:E,4,FALSE)</f>
        <v>8000</v>
      </c>
      <c r="I982">
        <f t="shared" si="31"/>
        <v>36000</v>
      </c>
    </row>
    <row r="983" spans="1:9" x14ac:dyDescent="0.35">
      <c r="A983" s="4" t="s">
        <v>1894</v>
      </c>
      <c r="B983" s="4" t="s">
        <v>353</v>
      </c>
      <c r="C983" s="4" t="s">
        <v>935</v>
      </c>
      <c r="D983" s="4">
        <v>1</v>
      </c>
      <c r="E983" s="6">
        <v>22000</v>
      </c>
      <c r="F983" t="str">
        <f>VLOOKUP(C983,menu!A:B,2,FALSE)</f>
        <v>Soto Ayam Lamongan</v>
      </c>
      <c r="G983">
        <f t="shared" si="30"/>
        <v>22000</v>
      </c>
      <c r="H983">
        <f>VLOOKUP(C983,menu!A:E,4,FALSE)</f>
        <v>9500</v>
      </c>
      <c r="I983">
        <f t="shared" si="31"/>
        <v>12500</v>
      </c>
    </row>
    <row r="984" spans="1:9" x14ac:dyDescent="0.35">
      <c r="A984" s="4" t="s">
        <v>1895</v>
      </c>
      <c r="B984" s="4" t="s">
        <v>353</v>
      </c>
      <c r="C984" s="4" t="s">
        <v>892</v>
      </c>
      <c r="D984" s="4">
        <v>1</v>
      </c>
      <c r="E984" s="6">
        <v>9000</v>
      </c>
      <c r="F984" t="str">
        <f>VLOOKUP(C984,menu!A:B,2,FALSE)</f>
        <v>Tempe Mendoan (5pcs)</v>
      </c>
      <c r="G984">
        <f t="shared" si="30"/>
        <v>9000</v>
      </c>
      <c r="H984">
        <f>VLOOKUP(C984,menu!A:E,4,FALSE)</f>
        <v>3000</v>
      </c>
      <c r="I984">
        <f t="shared" si="31"/>
        <v>6000</v>
      </c>
    </row>
    <row r="985" spans="1:9" x14ac:dyDescent="0.35">
      <c r="A985" s="4" t="s">
        <v>1896</v>
      </c>
      <c r="B985" s="4" t="s">
        <v>353</v>
      </c>
      <c r="C985" s="4" t="s">
        <v>937</v>
      </c>
      <c r="D985" s="4">
        <v>1</v>
      </c>
      <c r="E985" s="6">
        <v>26000</v>
      </c>
      <c r="F985" t="str">
        <f>VLOOKUP(C985,menu!A:B,2,FALSE)</f>
        <v>Nasi Campur Bali</v>
      </c>
      <c r="G985">
        <f t="shared" si="30"/>
        <v>26000</v>
      </c>
      <c r="H985">
        <f>VLOOKUP(C985,menu!A:E,4,FALSE)</f>
        <v>11500</v>
      </c>
      <c r="I985">
        <f t="shared" si="31"/>
        <v>14500</v>
      </c>
    </row>
    <row r="986" spans="1:9" x14ac:dyDescent="0.35">
      <c r="A986" s="4" t="s">
        <v>1897</v>
      </c>
      <c r="B986" s="4" t="s">
        <v>199</v>
      </c>
      <c r="C986" s="4" t="s">
        <v>955</v>
      </c>
      <c r="D986" s="4">
        <v>1</v>
      </c>
      <c r="E986" s="6">
        <v>15000</v>
      </c>
      <c r="F986" t="str">
        <f>VLOOKUP(C986,menu!A:B,2,FALSE)</f>
        <v>Es Campur</v>
      </c>
      <c r="G986">
        <f t="shared" si="30"/>
        <v>15000</v>
      </c>
      <c r="H986">
        <f>VLOOKUP(C986,menu!A:E,4,FALSE)</f>
        <v>6000</v>
      </c>
      <c r="I986">
        <f t="shared" si="31"/>
        <v>9000</v>
      </c>
    </row>
    <row r="987" spans="1:9" x14ac:dyDescent="0.35">
      <c r="A987" s="4" t="s">
        <v>1898</v>
      </c>
      <c r="B987" s="4" t="s">
        <v>199</v>
      </c>
      <c r="C987" s="4" t="s">
        <v>898</v>
      </c>
      <c r="D987" s="4">
        <v>3</v>
      </c>
      <c r="E987" s="6">
        <v>27000</v>
      </c>
      <c r="F987" t="str">
        <f>VLOOKUP(C987,menu!A:B,2,FALSE)</f>
        <v>Ayam Geprek Sambal Bawang</v>
      </c>
      <c r="G987">
        <f t="shared" si="30"/>
        <v>81000</v>
      </c>
      <c r="H987">
        <f>VLOOKUP(C987,menu!A:E,4,FALSE)</f>
        <v>11000</v>
      </c>
      <c r="I987">
        <f t="shared" si="31"/>
        <v>48000</v>
      </c>
    </row>
    <row r="988" spans="1:9" x14ac:dyDescent="0.35">
      <c r="A988" s="4" t="s">
        <v>1899</v>
      </c>
      <c r="B988" s="4" t="s">
        <v>199</v>
      </c>
      <c r="C988" s="4" t="s">
        <v>896</v>
      </c>
      <c r="D988" s="4">
        <v>2</v>
      </c>
      <c r="E988" s="6">
        <v>23000</v>
      </c>
      <c r="F988" t="str">
        <f>VLOOKUP(C988,menu!A:B,2,FALSE)</f>
        <v>Nasi Uduk Komplit</v>
      </c>
      <c r="G988">
        <f t="shared" si="30"/>
        <v>46000</v>
      </c>
      <c r="H988">
        <f>VLOOKUP(C988,menu!A:E,4,FALSE)</f>
        <v>9000</v>
      </c>
      <c r="I988">
        <f t="shared" si="31"/>
        <v>28000</v>
      </c>
    </row>
    <row r="989" spans="1:9" x14ac:dyDescent="0.35">
      <c r="A989" s="4" t="s">
        <v>1900</v>
      </c>
      <c r="B989" s="4" t="s">
        <v>199</v>
      </c>
      <c r="C989" s="4" t="s">
        <v>906</v>
      </c>
      <c r="D989" s="4">
        <v>1</v>
      </c>
      <c r="E989" s="6">
        <v>28000</v>
      </c>
      <c r="F989" t="str">
        <f>VLOOKUP(C989,menu!A:B,2,FALSE)</f>
        <v>Sate Ayam 10 Tusuk</v>
      </c>
      <c r="G989">
        <f t="shared" si="30"/>
        <v>28000</v>
      </c>
      <c r="H989">
        <f>VLOOKUP(C989,menu!A:E,4,FALSE)</f>
        <v>12000</v>
      </c>
      <c r="I989">
        <f t="shared" si="31"/>
        <v>16000</v>
      </c>
    </row>
    <row r="990" spans="1:9" x14ac:dyDescent="0.35">
      <c r="A990" s="4" t="s">
        <v>1901</v>
      </c>
      <c r="B990" s="4" t="s">
        <v>199</v>
      </c>
      <c r="C990" s="4" t="s">
        <v>919</v>
      </c>
      <c r="D990" s="4">
        <v>1</v>
      </c>
      <c r="E990" s="6">
        <v>20000</v>
      </c>
      <c r="F990" t="str">
        <f>VLOOKUP(C990,menu!A:B,2,FALSE)</f>
        <v>Gado-Gado Jakarta</v>
      </c>
      <c r="G990">
        <f t="shared" si="30"/>
        <v>20000</v>
      </c>
      <c r="H990">
        <f>VLOOKUP(C990,menu!A:E,4,FALSE)</f>
        <v>8000</v>
      </c>
      <c r="I990">
        <f t="shared" si="31"/>
        <v>12000</v>
      </c>
    </row>
    <row r="991" spans="1:9" x14ac:dyDescent="0.35">
      <c r="A991" s="4" t="s">
        <v>1902</v>
      </c>
      <c r="B991" s="4" t="s">
        <v>362</v>
      </c>
      <c r="C991" s="4" t="s">
        <v>896</v>
      </c>
      <c r="D991" s="4">
        <v>2</v>
      </c>
      <c r="E991" s="6">
        <v>23000</v>
      </c>
      <c r="F991" t="str">
        <f>VLOOKUP(C991,menu!A:B,2,FALSE)</f>
        <v>Nasi Uduk Komplit</v>
      </c>
      <c r="G991">
        <f t="shared" si="30"/>
        <v>46000</v>
      </c>
      <c r="H991">
        <f>VLOOKUP(C991,menu!A:E,4,FALSE)</f>
        <v>9000</v>
      </c>
      <c r="I991">
        <f t="shared" si="31"/>
        <v>28000</v>
      </c>
    </row>
    <row r="992" spans="1:9" x14ac:dyDescent="0.35">
      <c r="A992" s="4" t="s">
        <v>1903</v>
      </c>
      <c r="B992" s="4" t="s">
        <v>362</v>
      </c>
      <c r="C992" s="4" t="s">
        <v>898</v>
      </c>
      <c r="D992" s="4">
        <v>2</v>
      </c>
      <c r="E992" s="6">
        <v>27000</v>
      </c>
      <c r="F992" t="str">
        <f>VLOOKUP(C992,menu!A:B,2,FALSE)</f>
        <v>Ayam Geprek Sambal Bawang</v>
      </c>
      <c r="G992">
        <f t="shared" si="30"/>
        <v>54000</v>
      </c>
      <c r="H992">
        <f>VLOOKUP(C992,menu!A:E,4,FALSE)</f>
        <v>11000</v>
      </c>
      <c r="I992">
        <f t="shared" si="31"/>
        <v>32000</v>
      </c>
    </row>
    <row r="993" spans="1:9" x14ac:dyDescent="0.35">
      <c r="A993" s="4" t="s">
        <v>1904</v>
      </c>
      <c r="B993" s="4" t="s">
        <v>362</v>
      </c>
      <c r="C993" s="4" t="s">
        <v>890</v>
      </c>
      <c r="D993" s="4">
        <v>1</v>
      </c>
      <c r="E993" s="6">
        <v>18000</v>
      </c>
      <c r="F993" t="str">
        <f>VLOOKUP(C993,menu!A:B,2,FALSE)</f>
        <v>Es Kopi Susu Gula Aren</v>
      </c>
      <c r="G993">
        <f t="shared" si="30"/>
        <v>18000</v>
      </c>
      <c r="H993">
        <f>VLOOKUP(C993,menu!A:E,4,FALSE)</f>
        <v>4500</v>
      </c>
      <c r="I993">
        <f t="shared" si="31"/>
        <v>13500</v>
      </c>
    </row>
    <row r="994" spans="1:9" x14ac:dyDescent="0.35">
      <c r="A994" s="4" t="s">
        <v>1905</v>
      </c>
      <c r="B994" s="4" t="s">
        <v>362</v>
      </c>
      <c r="C994" s="4" t="s">
        <v>906</v>
      </c>
      <c r="D994" s="4">
        <v>1</v>
      </c>
      <c r="E994" s="6">
        <v>28000</v>
      </c>
      <c r="F994" t="str">
        <f>VLOOKUP(C994,menu!A:B,2,FALSE)</f>
        <v>Sate Ayam 10 Tusuk</v>
      </c>
      <c r="G994">
        <f t="shared" si="30"/>
        <v>28000</v>
      </c>
      <c r="H994">
        <f>VLOOKUP(C994,menu!A:E,4,FALSE)</f>
        <v>12000</v>
      </c>
      <c r="I994">
        <f t="shared" si="31"/>
        <v>16000</v>
      </c>
    </row>
    <row r="995" spans="1:9" x14ac:dyDescent="0.35">
      <c r="A995" s="4" t="s">
        <v>1906</v>
      </c>
      <c r="B995" s="4" t="s">
        <v>394</v>
      </c>
      <c r="C995" s="4" t="s">
        <v>898</v>
      </c>
      <c r="D995" s="4">
        <v>1</v>
      </c>
      <c r="E995" s="6">
        <v>27000</v>
      </c>
      <c r="F995" t="str">
        <f>VLOOKUP(C995,menu!A:B,2,FALSE)</f>
        <v>Ayam Geprek Sambal Bawang</v>
      </c>
      <c r="G995">
        <f t="shared" si="30"/>
        <v>27000</v>
      </c>
      <c r="H995">
        <f>VLOOKUP(C995,menu!A:E,4,FALSE)</f>
        <v>11000</v>
      </c>
      <c r="I995">
        <f t="shared" si="31"/>
        <v>16000</v>
      </c>
    </row>
    <row r="996" spans="1:9" x14ac:dyDescent="0.35">
      <c r="A996" s="4" t="s">
        <v>1907</v>
      </c>
      <c r="B996" s="4" t="s">
        <v>312</v>
      </c>
      <c r="C996" s="4" t="s">
        <v>890</v>
      </c>
      <c r="D996" s="4">
        <v>2</v>
      </c>
      <c r="E996" s="6">
        <v>18000</v>
      </c>
      <c r="F996" t="str">
        <f>VLOOKUP(C996,menu!A:B,2,FALSE)</f>
        <v>Es Kopi Susu Gula Aren</v>
      </c>
      <c r="G996">
        <f t="shared" si="30"/>
        <v>36000</v>
      </c>
      <c r="H996">
        <f>VLOOKUP(C996,menu!A:E,4,FALSE)</f>
        <v>4500</v>
      </c>
      <c r="I996">
        <f t="shared" si="31"/>
        <v>27000</v>
      </c>
    </row>
    <row r="997" spans="1:9" x14ac:dyDescent="0.35">
      <c r="A997" s="4" t="s">
        <v>1908</v>
      </c>
      <c r="B997" s="4" t="s">
        <v>312</v>
      </c>
      <c r="C997" s="4" t="s">
        <v>908</v>
      </c>
      <c r="D997" s="4">
        <v>1</v>
      </c>
      <c r="E997" s="6">
        <v>16000</v>
      </c>
      <c r="F997" t="str">
        <f>VLOOKUP(C997,menu!A:B,2,FALSE)</f>
        <v>Jus Alpukat</v>
      </c>
      <c r="G997">
        <f t="shared" si="30"/>
        <v>16000</v>
      </c>
      <c r="H997">
        <f>VLOOKUP(C997,menu!A:E,4,FALSE)</f>
        <v>5500</v>
      </c>
      <c r="I997">
        <f t="shared" si="31"/>
        <v>10500</v>
      </c>
    </row>
    <row r="998" spans="1:9" x14ac:dyDescent="0.35">
      <c r="A998" s="4" t="s">
        <v>1909</v>
      </c>
      <c r="B998" s="4" t="s">
        <v>312</v>
      </c>
      <c r="C998" s="4" t="s">
        <v>906</v>
      </c>
      <c r="D998" s="4">
        <v>2</v>
      </c>
      <c r="E998" s="6">
        <v>28000</v>
      </c>
      <c r="F998" t="str">
        <f>VLOOKUP(C998,menu!A:B,2,FALSE)</f>
        <v>Sate Ayam 10 Tusuk</v>
      </c>
      <c r="G998">
        <f t="shared" si="30"/>
        <v>56000</v>
      </c>
      <c r="H998">
        <f>VLOOKUP(C998,menu!A:E,4,FALSE)</f>
        <v>12000</v>
      </c>
      <c r="I998">
        <f t="shared" si="31"/>
        <v>32000</v>
      </c>
    </row>
    <row r="999" spans="1:9" x14ac:dyDescent="0.35">
      <c r="A999" s="4" t="s">
        <v>1910</v>
      </c>
      <c r="B999" s="4" t="s">
        <v>47</v>
      </c>
      <c r="C999" s="4" t="s">
        <v>890</v>
      </c>
      <c r="D999" s="4">
        <v>1</v>
      </c>
      <c r="E999" s="6">
        <v>18000</v>
      </c>
      <c r="F999" t="str">
        <f>VLOOKUP(C999,menu!A:B,2,FALSE)</f>
        <v>Es Kopi Susu Gula Aren</v>
      </c>
      <c r="G999">
        <f t="shared" si="30"/>
        <v>18000</v>
      </c>
      <c r="H999">
        <f>VLOOKUP(C999,menu!A:E,4,FALSE)</f>
        <v>4500</v>
      </c>
      <c r="I999">
        <f t="shared" si="31"/>
        <v>13500</v>
      </c>
    </row>
    <row r="1000" spans="1:9" x14ac:dyDescent="0.35">
      <c r="A1000" s="4" t="s">
        <v>1911</v>
      </c>
      <c r="B1000" s="4" t="s">
        <v>47</v>
      </c>
      <c r="C1000" s="4" t="s">
        <v>900</v>
      </c>
      <c r="D1000" s="4">
        <v>3</v>
      </c>
      <c r="E1000" s="6">
        <v>8000</v>
      </c>
      <c r="F1000" t="str">
        <f>VLOOKUP(C1000,menu!A:B,2,FALSE)</f>
        <v>Es Jeruk Peras</v>
      </c>
      <c r="G1000">
        <f t="shared" si="30"/>
        <v>24000</v>
      </c>
      <c r="H1000">
        <f>VLOOKUP(C1000,menu!A:E,4,FALSE)</f>
        <v>2500</v>
      </c>
      <c r="I1000">
        <f t="shared" si="31"/>
        <v>16500</v>
      </c>
    </row>
    <row r="1001" spans="1:9" x14ac:dyDescent="0.35">
      <c r="A1001" s="4" t="s">
        <v>1912</v>
      </c>
      <c r="B1001" s="4" t="s">
        <v>430</v>
      </c>
      <c r="C1001" s="4" t="s">
        <v>898</v>
      </c>
      <c r="D1001" s="4">
        <v>2</v>
      </c>
      <c r="E1001" s="6">
        <v>27000</v>
      </c>
      <c r="F1001" t="str">
        <f>VLOOKUP(C1001,menu!A:B,2,FALSE)</f>
        <v>Ayam Geprek Sambal Bawang</v>
      </c>
      <c r="G1001">
        <f t="shared" si="30"/>
        <v>54000</v>
      </c>
      <c r="H1001">
        <f>VLOOKUP(C1001,menu!A:E,4,FALSE)</f>
        <v>11000</v>
      </c>
      <c r="I1001">
        <f t="shared" si="31"/>
        <v>32000</v>
      </c>
    </row>
    <row r="1002" spans="1:9" x14ac:dyDescent="0.35">
      <c r="A1002" s="4" t="s">
        <v>1913</v>
      </c>
      <c r="B1002" s="4" t="s">
        <v>822</v>
      </c>
      <c r="C1002" s="4" t="s">
        <v>919</v>
      </c>
      <c r="D1002" s="4">
        <v>1</v>
      </c>
      <c r="E1002" s="6">
        <v>20000</v>
      </c>
      <c r="F1002" t="str">
        <f>VLOOKUP(C1002,menu!A:B,2,FALSE)</f>
        <v>Gado-Gado Jakarta</v>
      </c>
      <c r="G1002">
        <f t="shared" si="30"/>
        <v>20000</v>
      </c>
      <c r="H1002">
        <f>VLOOKUP(C1002,menu!A:E,4,FALSE)</f>
        <v>8000</v>
      </c>
      <c r="I1002">
        <f t="shared" si="31"/>
        <v>12000</v>
      </c>
    </row>
    <row r="1003" spans="1:9" x14ac:dyDescent="0.35">
      <c r="A1003" s="4" t="s">
        <v>1914</v>
      </c>
      <c r="B1003" s="4" t="s">
        <v>822</v>
      </c>
      <c r="C1003" s="4" t="s">
        <v>937</v>
      </c>
      <c r="D1003" s="4">
        <v>1</v>
      </c>
      <c r="E1003" s="6">
        <v>26000</v>
      </c>
      <c r="F1003" t="str">
        <f>VLOOKUP(C1003,menu!A:B,2,FALSE)</f>
        <v>Nasi Campur Bali</v>
      </c>
      <c r="G1003">
        <f t="shared" si="30"/>
        <v>26000</v>
      </c>
      <c r="H1003">
        <f>VLOOKUP(C1003,menu!A:E,4,FALSE)</f>
        <v>11500</v>
      </c>
      <c r="I1003">
        <f t="shared" si="31"/>
        <v>14500</v>
      </c>
    </row>
    <row r="1004" spans="1:9" x14ac:dyDescent="0.35">
      <c r="A1004" s="4" t="s">
        <v>1915</v>
      </c>
      <c r="B1004" s="4" t="s">
        <v>594</v>
      </c>
      <c r="C1004" s="4" t="s">
        <v>896</v>
      </c>
      <c r="D1004" s="4">
        <v>1</v>
      </c>
      <c r="E1004" s="6">
        <v>23000</v>
      </c>
      <c r="F1004" t="str">
        <f>VLOOKUP(C1004,menu!A:B,2,FALSE)</f>
        <v>Nasi Uduk Komplit</v>
      </c>
      <c r="G1004">
        <f t="shared" si="30"/>
        <v>23000</v>
      </c>
      <c r="H1004">
        <f>VLOOKUP(C1004,menu!A:E,4,FALSE)</f>
        <v>9000</v>
      </c>
      <c r="I1004">
        <f t="shared" si="31"/>
        <v>14000</v>
      </c>
    </row>
    <row r="1005" spans="1:9" x14ac:dyDescent="0.35">
      <c r="A1005" s="4" t="s">
        <v>1916</v>
      </c>
      <c r="B1005" s="4" t="s">
        <v>594</v>
      </c>
      <c r="C1005" s="4" t="s">
        <v>898</v>
      </c>
      <c r="D1005" s="4">
        <v>2</v>
      </c>
      <c r="E1005" s="6">
        <v>27000</v>
      </c>
      <c r="F1005" t="str">
        <f>VLOOKUP(C1005,menu!A:B,2,FALSE)</f>
        <v>Ayam Geprek Sambal Bawang</v>
      </c>
      <c r="G1005">
        <f t="shared" si="30"/>
        <v>54000</v>
      </c>
      <c r="H1005">
        <f>VLOOKUP(C1005,menu!A:E,4,FALSE)</f>
        <v>11000</v>
      </c>
      <c r="I1005">
        <f t="shared" si="31"/>
        <v>32000</v>
      </c>
    </row>
    <row r="1006" spans="1:9" x14ac:dyDescent="0.35">
      <c r="A1006" s="4" t="s">
        <v>1917</v>
      </c>
      <c r="B1006" s="4" t="s">
        <v>594</v>
      </c>
      <c r="C1006" s="4" t="s">
        <v>928</v>
      </c>
      <c r="D1006" s="4">
        <v>1</v>
      </c>
      <c r="E1006" s="6">
        <v>23000</v>
      </c>
      <c r="F1006" t="str">
        <f>VLOOKUP(C1006,menu!A:B,2,FALSE)</f>
        <v>Mie Goreng Jawa</v>
      </c>
      <c r="G1006">
        <f t="shared" si="30"/>
        <v>23000</v>
      </c>
      <c r="H1006">
        <f>VLOOKUP(C1006,menu!A:E,4,FALSE)</f>
        <v>8500</v>
      </c>
      <c r="I1006">
        <f t="shared" si="31"/>
        <v>14500</v>
      </c>
    </row>
    <row r="1007" spans="1:9" x14ac:dyDescent="0.35">
      <c r="A1007" s="4" t="s">
        <v>1918</v>
      </c>
      <c r="B1007" s="4" t="s">
        <v>594</v>
      </c>
      <c r="C1007" s="4" t="s">
        <v>955</v>
      </c>
      <c r="D1007" s="4">
        <v>2</v>
      </c>
      <c r="E1007" s="6">
        <v>15000</v>
      </c>
      <c r="F1007" t="str">
        <f>VLOOKUP(C1007,menu!A:B,2,FALSE)</f>
        <v>Es Campur</v>
      </c>
      <c r="G1007">
        <f t="shared" si="30"/>
        <v>30000</v>
      </c>
      <c r="H1007">
        <f>VLOOKUP(C1007,menu!A:E,4,FALSE)</f>
        <v>6000</v>
      </c>
      <c r="I1007">
        <f t="shared" si="31"/>
        <v>18000</v>
      </c>
    </row>
    <row r="1008" spans="1:9" x14ac:dyDescent="0.35">
      <c r="A1008" s="4" t="s">
        <v>1919</v>
      </c>
      <c r="B1008" s="4" t="s">
        <v>866</v>
      </c>
      <c r="C1008" s="4" t="s">
        <v>898</v>
      </c>
      <c r="D1008" s="4">
        <v>2</v>
      </c>
      <c r="E1008" s="6">
        <v>27000</v>
      </c>
      <c r="F1008" t="str">
        <f>VLOOKUP(C1008,menu!A:B,2,FALSE)</f>
        <v>Ayam Geprek Sambal Bawang</v>
      </c>
      <c r="G1008">
        <f t="shared" si="30"/>
        <v>54000</v>
      </c>
      <c r="H1008">
        <f>VLOOKUP(C1008,menu!A:E,4,FALSE)</f>
        <v>11000</v>
      </c>
      <c r="I1008">
        <f t="shared" si="31"/>
        <v>32000</v>
      </c>
    </row>
    <row r="1009" spans="1:9" x14ac:dyDescent="0.35">
      <c r="A1009" s="4" t="s">
        <v>1920</v>
      </c>
      <c r="B1009" s="4" t="s">
        <v>866</v>
      </c>
      <c r="C1009" s="4" t="s">
        <v>894</v>
      </c>
      <c r="D1009" s="4">
        <v>3</v>
      </c>
      <c r="E1009" s="6">
        <v>5000</v>
      </c>
      <c r="F1009" t="str">
        <f>VLOOKUP(C1009,menu!A:B,2,FALSE)</f>
        <v>Air Mineral Botol</v>
      </c>
      <c r="G1009">
        <f t="shared" si="30"/>
        <v>15000</v>
      </c>
      <c r="H1009">
        <f>VLOOKUP(C1009,menu!A:E,4,FALSE)</f>
        <v>2000</v>
      </c>
      <c r="I1009">
        <f t="shared" si="31"/>
        <v>9000</v>
      </c>
    </row>
    <row r="1010" spans="1:9" x14ac:dyDescent="0.35">
      <c r="A1010" s="4" t="s">
        <v>1921</v>
      </c>
      <c r="B1010" s="4" t="s">
        <v>407</v>
      </c>
      <c r="C1010" s="4" t="s">
        <v>898</v>
      </c>
      <c r="D1010" s="4">
        <v>1</v>
      </c>
      <c r="E1010" s="6">
        <v>27000</v>
      </c>
      <c r="F1010" t="str">
        <f>VLOOKUP(C1010,menu!A:B,2,FALSE)</f>
        <v>Ayam Geprek Sambal Bawang</v>
      </c>
      <c r="G1010">
        <f t="shared" si="30"/>
        <v>27000</v>
      </c>
      <c r="H1010">
        <f>VLOOKUP(C1010,menu!A:E,4,FALSE)</f>
        <v>11000</v>
      </c>
      <c r="I1010">
        <f t="shared" si="31"/>
        <v>16000</v>
      </c>
    </row>
    <row r="1011" spans="1:9" x14ac:dyDescent="0.35">
      <c r="A1011" s="4" t="s">
        <v>1922</v>
      </c>
      <c r="B1011" s="4" t="s">
        <v>407</v>
      </c>
      <c r="C1011" s="4" t="s">
        <v>896</v>
      </c>
      <c r="D1011" s="4">
        <v>2</v>
      </c>
      <c r="E1011" s="6">
        <v>23000</v>
      </c>
      <c r="F1011" t="str">
        <f>VLOOKUP(C1011,menu!A:B,2,FALSE)</f>
        <v>Nasi Uduk Komplit</v>
      </c>
      <c r="G1011">
        <f t="shared" si="30"/>
        <v>46000</v>
      </c>
      <c r="H1011">
        <f>VLOOKUP(C1011,menu!A:E,4,FALSE)</f>
        <v>9000</v>
      </c>
      <c r="I1011">
        <f t="shared" si="31"/>
        <v>28000</v>
      </c>
    </row>
    <row r="1012" spans="1:9" x14ac:dyDescent="0.35">
      <c r="A1012" s="4" t="s">
        <v>1923</v>
      </c>
      <c r="B1012" s="4" t="s">
        <v>407</v>
      </c>
      <c r="C1012" s="4" t="s">
        <v>890</v>
      </c>
      <c r="D1012" s="4">
        <v>1</v>
      </c>
      <c r="E1012" s="6">
        <v>18000</v>
      </c>
      <c r="F1012" t="str">
        <f>VLOOKUP(C1012,menu!A:B,2,FALSE)</f>
        <v>Es Kopi Susu Gula Aren</v>
      </c>
      <c r="G1012">
        <f t="shared" si="30"/>
        <v>18000</v>
      </c>
      <c r="H1012">
        <f>VLOOKUP(C1012,menu!A:E,4,FALSE)</f>
        <v>4500</v>
      </c>
      <c r="I1012">
        <f t="shared" si="31"/>
        <v>13500</v>
      </c>
    </row>
    <row r="1013" spans="1:9" x14ac:dyDescent="0.35">
      <c r="A1013" s="4" t="s">
        <v>1924</v>
      </c>
      <c r="B1013" s="4" t="s">
        <v>407</v>
      </c>
      <c r="C1013" s="4" t="s">
        <v>904</v>
      </c>
      <c r="D1013" s="4">
        <v>1</v>
      </c>
      <c r="E1013" s="6">
        <v>22000</v>
      </c>
      <c r="F1013" t="str">
        <f>VLOOKUP(C1013,menu!A:B,2,FALSE)</f>
        <v>Pecel Lele</v>
      </c>
      <c r="G1013">
        <f t="shared" si="30"/>
        <v>22000</v>
      </c>
      <c r="H1013">
        <f>VLOOKUP(C1013,menu!A:E,4,FALSE)</f>
        <v>9500</v>
      </c>
      <c r="I1013">
        <f t="shared" si="31"/>
        <v>12500</v>
      </c>
    </row>
    <row r="1014" spans="1:9" x14ac:dyDescent="0.35">
      <c r="A1014" s="4" t="s">
        <v>1925</v>
      </c>
      <c r="B1014" s="4" t="s">
        <v>772</v>
      </c>
      <c r="C1014" s="4" t="s">
        <v>931</v>
      </c>
      <c r="D1014" s="4">
        <v>1</v>
      </c>
      <c r="E1014" s="6">
        <v>5000</v>
      </c>
      <c r="F1014" t="str">
        <f>VLOOKUP(C1014,menu!A:B,2,FALSE)</f>
        <v>Kerupuk Udang</v>
      </c>
      <c r="G1014">
        <f t="shared" si="30"/>
        <v>5000</v>
      </c>
      <c r="H1014">
        <f>VLOOKUP(C1014,menu!A:E,4,FALSE)</f>
        <v>1500</v>
      </c>
      <c r="I1014">
        <f t="shared" si="31"/>
        <v>3500</v>
      </c>
    </row>
    <row r="1015" spans="1:9" x14ac:dyDescent="0.35">
      <c r="A1015" s="4" t="s">
        <v>1926</v>
      </c>
      <c r="B1015" s="4" t="s">
        <v>772</v>
      </c>
      <c r="C1015" s="4" t="s">
        <v>898</v>
      </c>
      <c r="D1015" s="4">
        <v>2</v>
      </c>
      <c r="E1015" s="6">
        <v>27000</v>
      </c>
      <c r="F1015" t="str">
        <f>VLOOKUP(C1015,menu!A:B,2,FALSE)</f>
        <v>Ayam Geprek Sambal Bawang</v>
      </c>
      <c r="G1015">
        <f t="shared" si="30"/>
        <v>54000</v>
      </c>
      <c r="H1015">
        <f>VLOOKUP(C1015,menu!A:E,4,FALSE)</f>
        <v>11000</v>
      </c>
      <c r="I1015">
        <f t="shared" si="31"/>
        <v>32000</v>
      </c>
    </row>
    <row r="1016" spans="1:9" x14ac:dyDescent="0.35">
      <c r="A1016" s="4" t="s">
        <v>1927</v>
      </c>
      <c r="B1016" s="4" t="s">
        <v>257</v>
      </c>
      <c r="C1016" s="4" t="s">
        <v>896</v>
      </c>
      <c r="D1016" s="4">
        <v>1</v>
      </c>
      <c r="E1016" s="6">
        <v>23000</v>
      </c>
      <c r="F1016" t="str">
        <f>VLOOKUP(C1016,menu!A:B,2,FALSE)</f>
        <v>Nasi Uduk Komplit</v>
      </c>
      <c r="G1016">
        <f t="shared" si="30"/>
        <v>23000</v>
      </c>
      <c r="H1016">
        <f>VLOOKUP(C1016,menu!A:E,4,FALSE)</f>
        <v>9000</v>
      </c>
      <c r="I1016">
        <f t="shared" si="31"/>
        <v>14000</v>
      </c>
    </row>
    <row r="1017" spans="1:9" x14ac:dyDescent="0.35">
      <c r="A1017" s="4" t="s">
        <v>1928</v>
      </c>
      <c r="B1017" s="4" t="s">
        <v>257</v>
      </c>
      <c r="C1017" s="4" t="s">
        <v>890</v>
      </c>
      <c r="D1017" s="4">
        <v>1</v>
      </c>
      <c r="E1017" s="6">
        <v>18000</v>
      </c>
      <c r="F1017" t="str">
        <f>VLOOKUP(C1017,menu!A:B,2,FALSE)</f>
        <v>Es Kopi Susu Gula Aren</v>
      </c>
      <c r="G1017">
        <f t="shared" si="30"/>
        <v>18000</v>
      </c>
      <c r="H1017">
        <f>VLOOKUP(C1017,menu!A:E,4,FALSE)</f>
        <v>4500</v>
      </c>
      <c r="I1017">
        <f t="shared" si="31"/>
        <v>13500</v>
      </c>
    </row>
    <row r="1018" spans="1:9" x14ac:dyDescent="0.35">
      <c r="A1018" s="4" t="s">
        <v>1929</v>
      </c>
      <c r="B1018" s="4" t="s">
        <v>257</v>
      </c>
      <c r="C1018" s="4" t="s">
        <v>898</v>
      </c>
      <c r="D1018" s="4">
        <v>2</v>
      </c>
      <c r="E1018" s="6">
        <v>27000</v>
      </c>
      <c r="F1018" t="str">
        <f>VLOOKUP(C1018,menu!A:B,2,FALSE)</f>
        <v>Ayam Geprek Sambal Bawang</v>
      </c>
      <c r="G1018">
        <f t="shared" si="30"/>
        <v>54000</v>
      </c>
      <c r="H1018">
        <f>VLOOKUP(C1018,menu!A:E,4,FALSE)</f>
        <v>11000</v>
      </c>
      <c r="I1018">
        <f t="shared" si="31"/>
        <v>32000</v>
      </c>
    </row>
    <row r="1019" spans="1:9" x14ac:dyDescent="0.35">
      <c r="A1019" s="4" t="s">
        <v>1930</v>
      </c>
      <c r="B1019" s="4" t="s">
        <v>185</v>
      </c>
      <c r="C1019" s="4" t="s">
        <v>955</v>
      </c>
      <c r="D1019" s="4">
        <v>1</v>
      </c>
      <c r="E1019" s="6">
        <v>15000</v>
      </c>
      <c r="F1019" t="str">
        <f>VLOOKUP(C1019,menu!A:B,2,FALSE)</f>
        <v>Es Campur</v>
      </c>
      <c r="G1019">
        <f t="shared" si="30"/>
        <v>15000</v>
      </c>
      <c r="H1019">
        <f>VLOOKUP(C1019,menu!A:E,4,FALSE)</f>
        <v>6000</v>
      </c>
      <c r="I1019">
        <f t="shared" si="31"/>
        <v>9000</v>
      </c>
    </row>
    <row r="1020" spans="1:9" x14ac:dyDescent="0.35">
      <c r="A1020" s="4" t="s">
        <v>1931</v>
      </c>
      <c r="B1020" s="4" t="s">
        <v>185</v>
      </c>
      <c r="C1020" s="4" t="s">
        <v>894</v>
      </c>
      <c r="D1020" s="4">
        <v>1</v>
      </c>
      <c r="E1020" s="6">
        <v>5000</v>
      </c>
      <c r="F1020" t="str">
        <f>VLOOKUP(C1020,menu!A:B,2,FALSE)</f>
        <v>Air Mineral Botol</v>
      </c>
      <c r="G1020">
        <f t="shared" si="30"/>
        <v>5000</v>
      </c>
      <c r="H1020">
        <f>VLOOKUP(C1020,menu!A:E,4,FALSE)</f>
        <v>2000</v>
      </c>
      <c r="I1020">
        <f t="shared" si="31"/>
        <v>3000</v>
      </c>
    </row>
    <row r="1021" spans="1:9" x14ac:dyDescent="0.35">
      <c r="A1021" s="4" t="s">
        <v>1932</v>
      </c>
      <c r="B1021" s="4" t="s">
        <v>185</v>
      </c>
      <c r="C1021" s="4" t="s">
        <v>908</v>
      </c>
      <c r="D1021" s="4">
        <v>1</v>
      </c>
      <c r="E1021" s="6">
        <v>16000</v>
      </c>
      <c r="F1021" t="str">
        <f>VLOOKUP(C1021,menu!A:B,2,FALSE)</f>
        <v>Jus Alpukat</v>
      </c>
      <c r="G1021">
        <f t="shared" si="30"/>
        <v>16000</v>
      </c>
      <c r="H1021">
        <f>VLOOKUP(C1021,menu!A:E,4,FALSE)</f>
        <v>5500</v>
      </c>
      <c r="I1021">
        <f t="shared" si="31"/>
        <v>10500</v>
      </c>
    </row>
    <row r="1022" spans="1:9" x14ac:dyDescent="0.35">
      <c r="A1022" s="4" t="s">
        <v>1933</v>
      </c>
      <c r="B1022" s="4" t="s">
        <v>185</v>
      </c>
      <c r="C1022" s="4" t="s">
        <v>928</v>
      </c>
      <c r="D1022" s="4">
        <v>1</v>
      </c>
      <c r="E1022" s="6">
        <v>23000</v>
      </c>
      <c r="F1022" t="str">
        <f>VLOOKUP(C1022,menu!A:B,2,FALSE)</f>
        <v>Mie Goreng Jawa</v>
      </c>
      <c r="G1022">
        <f t="shared" si="30"/>
        <v>23000</v>
      </c>
      <c r="H1022">
        <f>VLOOKUP(C1022,menu!A:E,4,FALSE)</f>
        <v>8500</v>
      </c>
      <c r="I1022">
        <f t="shared" si="31"/>
        <v>14500</v>
      </c>
    </row>
    <row r="1023" spans="1:9" x14ac:dyDescent="0.35">
      <c r="A1023" s="4" t="s">
        <v>1934</v>
      </c>
      <c r="B1023" s="4" t="s">
        <v>252</v>
      </c>
      <c r="C1023" s="4" t="s">
        <v>898</v>
      </c>
      <c r="D1023" s="4">
        <v>1</v>
      </c>
      <c r="E1023" s="6">
        <v>27000</v>
      </c>
      <c r="F1023" t="str">
        <f>VLOOKUP(C1023,menu!A:B,2,FALSE)</f>
        <v>Ayam Geprek Sambal Bawang</v>
      </c>
      <c r="G1023">
        <f t="shared" si="30"/>
        <v>27000</v>
      </c>
      <c r="H1023">
        <f>VLOOKUP(C1023,menu!A:E,4,FALSE)</f>
        <v>11000</v>
      </c>
      <c r="I1023">
        <f t="shared" si="31"/>
        <v>16000</v>
      </c>
    </row>
    <row r="1024" spans="1:9" x14ac:dyDescent="0.35">
      <c r="A1024" s="4" t="s">
        <v>1935</v>
      </c>
      <c r="B1024" s="4" t="s">
        <v>252</v>
      </c>
      <c r="C1024" s="4" t="s">
        <v>894</v>
      </c>
      <c r="D1024" s="4">
        <v>2</v>
      </c>
      <c r="E1024" s="6">
        <v>5000</v>
      </c>
      <c r="F1024" t="str">
        <f>VLOOKUP(C1024,menu!A:B,2,FALSE)</f>
        <v>Air Mineral Botol</v>
      </c>
      <c r="G1024">
        <f t="shared" si="30"/>
        <v>10000</v>
      </c>
      <c r="H1024">
        <f>VLOOKUP(C1024,menu!A:E,4,FALSE)</f>
        <v>2000</v>
      </c>
      <c r="I1024">
        <f t="shared" si="31"/>
        <v>6000</v>
      </c>
    </row>
    <row r="1025" spans="1:9" x14ac:dyDescent="0.35">
      <c r="A1025" s="4" t="s">
        <v>1936</v>
      </c>
      <c r="B1025" s="4" t="s">
        <v>252</v>
      </c>
      <c r="C1025" s="4" t="s">
        <v>955</v>
      </c>
      <c r="D1025" s="4">
        <v>1</v>
      </c>
      <c r="E1025" s="6">
        <v>15000</v>
      </c>
      <c r="F1025" t="str">
        <f>VLOOKUP(C1025,menu!A:B,2,FALSE)</f>
        <v>Es Campur</v>
      </c>
      <c r="G1025">
        <f t="shared" si="30"/>
        <v>15000</v>
      </c>
      <c r="H1025">
        <f>VLOOKUP(C1025,menu!A:E,4,FALSE)</f>
        <v>6000</v>
      </c>
      <c r="I1025">
        <f t="shared" si="31"/>
        <v>9000</v>
      </c>
    </row>
    <row r="1026" spans="1:9" x14ac:dyDescent="0.35">
      <c r="A1026" s="4" t="s">
        <v>1937</v>
      </c>
      <c r="B1026" s="4" t="s">
        <v>870</v>
      </c>
      <c r="C1026" s="4" t="s">
        <v>902</v>
      </c>
      <c r="D1026" s="4">
        <v>1</v>
      </c>
      <c r="E1026" s="6">
        <v>12000</v>
      </c>
      <c r="F1026" t="str">
        <f>VLOOKUP(C1026,menu!A:B,2,FALSE)</f>
        <v>Teh Tarik</v>
      </c>
      <c r="G1026">
        <f t="shared" si="30"/>
        <v>12000</v>
      </c>
      <c r="H1026">
        <f>VLOOKUP(C1026,menu!A:E,4,FALSE)</f>
        <v>3000</v>
      </c>
      <c r="I1026">
        <f t="shared" si="31"/>
        <v>9000</v>
      </c>
    </row>
    <row r="1027" spans="1:9" x14ac:dyDescent="0.35">
      <c r="A1027" s="4" t="s">
        <v>1938</v>
      </c>
      <c r="B1027" s="4" t="s">
        <v>870</v>
      </c>
      <c r="C1027" s="4" t="s">
        <v>898</v>
      </c>
      <c r="D1027" s="4">
        <v>3</v>
      </c>
      <c r="E1027" s="6">
        <v>27000</v>
      </c>
      <c r="F1027" t="str">
        <f>VLOOKUP(C1027,menu!A:B,2,FALSE)</f>
        <v>Ayam Geprek Sambal Bawang</v>
      </c>
      <c r="G1027">
        <f t="shared" ref="G1027:G1090" si="32">D1027*E1027</f>
        <v>81000</v>
      </c>
      <c r="H1027">
        <f>VLOOKUP(C1027,menu!A:E,4,FALSE)</f>
        <v>11000</v>
      </c>
      <c r="I1027">
        <f t="shared" ref="I1027:I1090" si="33">(E1027-H1027)*D1027</f>
        <v>48000</v>
      </c>
    </row>
    <row r="1028" spans="1:9" x14ac:dyDescent="0.35">
      <c r="A1028" s="4" t="s">
        <v>1939</v>
      </c>
      <c r="B1028" s="4" t="s">
        <v>784</v>
      </c>
      <c r="C1028" s="4" t="s">
        <v>894</v>
      </c>
      <c r="D1028" s="4">
        <v>2</v>
      </c>
      <c r="E1028" s="6">
        <v>5000</v>
      </c>
      <c r="F1028" t="str">
        <f>VLOOKUP(C1028,menu!A:B,2,FALSE)</f>
        <v>Air Mineral Botol</v>
      </c>
      <c r="G1028">
        <f t="shared" si="32"/>
        <v>10000</v>
      </c>
      <c r="H1028">
        <f>VLOOKUP(C1028,menu!A:E,4,FALSE)</f>
        <v>2000</v>
      </c>
      <c r="I1028">
        <f t="shared" si="33"/>
        <v>6000</v>
      </c>
    </row>
    <row r="1029" spans="1:9" x14ac:dyDescent="0.35">
      <c r="A1029" s="4" t="s">
        <v>1940</v>
      </c>
      <c r="B1029" s="4" t="s">
        <v>85</v>
      </c>
      <c r="C1029" s="4" t="s">
        <v>896</v>
      </c>
      <c r="D1029" s="4">
        <v>1</v>
      </c>
      <c r="E1029" s="6">
        <v>23000</v>
      </c>
      <c r="F1029" t="str">
        <f>VLOOKUP(C1029,menu!A:B,2,FALSE)</f>
        <v>Nasi Uduk Komplit</v>
      </c>
      <c r="G1029">
        <f t="shared" si="32"/>
        <v>23000</v>
      </c>
      <c r="H1029">
        <f>VLOOKUP(C1029,menu!A:E,4,FALSE)</f>
        <v>9000</v>
      </c>
      <c r="I1029">
        <f t="shared" si="33"/>
        <v>14000</v>
      </c>
    </row>
    <row r="1030" spans="1:9" x14ac:dyDescent="0.35">
      <c r="A1030" s="4" t="s">
        <v>1941</v>
      </c>
      <c r="B1030" s="4" t="s">
        <v>85</v>
      </c>
      <c r="C1030" s="4" t="s">
        <v>898</v>
      </c>
      <c r="D1030" s="4">
        <v>1</v>
      </c>
      <c r="E1030" s="6">
        <v>27000</v>
      </c>
      <c r="F1030" t="str">
        <f>VLOOKUP(C1030,menu!A:B,2,FALSE)</f>
        <v>Ayam Geprek Sambal Bawang</v>
      </c>
      <c r="G1030">
        <f t="shared" si="32"/>
        <v>27000</v>
      </c>
      <c r="H1030">
        <f>VLOOKUP(C1030,menu!A:E,4,FALSE)</f>
        <v>11000</v>
      </c>
      <c r="I1030">
        <f t="shared" si="33"/>
        <v>16000</v>
      </c>
    </row>
    <row r="1031" spans="1:9" x14ac:dyDescent="0.35">
      <c r="A1031" s="4" t="s">
        <v>1942</v>
      </c>
      <c r="B1031" s="4" t="s">
        <v>469</v>
      </c>
      <c r="C1031" s="4" t="s">
        <v>935</v>
      </c>
      <c r="D1031" s="4">
        <v>1</v>
      </c>
      <c r="E1031" s="6">
        <v>22000</v>
      </c>
      <c r="F1031" t="str">
        <f>VLOOKUP(C1031,menu!A:B,2,FALSE)</f>
        <v>Soto Ayam Lamongan</v>
      </c>
      <c r="G1031">
        <f t="shared" si="32"/>
        <v>22000</v>
      </c>
      <c r="H1031">
        <f>VLOOKUP(C1031,menu!A:E,4,FALSE)</f>
        <v>9500</v>
      </c>
      <c r="I1031">
        <f t="shared" si="33"/>
        <v>12500</v>
      </c>
    </row>
    <row r="1032" spans="1:9" x14ac:dyDescent="0.35">
      <c r="A1032" s="4" t="s">
        <v>1943</v>
      </c>
      <c r="B1032" s="4" t="s">
        <v>469</v>
      </c>
      <c r="C1032" s="4" t="s">
        <v>937</v>
      </c>
      <c r="D1032" s="4">
        <v>2</v>
      </c>
      <c r="E1032" s="6">
        <v>26000</v>
      </c>
      <c r="F1032" t="str">
        <f>VLOOKUP(C1032,menu!A:B,2,FALSE)</f>
        <v>Nasi Campur Bali</v>
      </c>
      <c r="G1032">
        <f t="shared" si="32"/>
        <v>52000</v>
      </c>
      <c r="H1032">
        <f>VLOOKUP(C1032,menu!A:E,4,FALSE)</f>
        <v>11500</v>
      </c>
      <c r="I1032">
        <f t="shared" si="33"/>
        <v>29000</v>
      </c>
    </row>
    <row r="1033" spans="1:9" x14ac:dyDescent="0.35">
      <c r="A1033" s="4" t="s">
        <v>1944</v>
      </c>
      <c r="B1033" s="4" t="s">
        <v>469</v>
      </c>
      <c r="C1033" s="4" t="s">
        <v>896</v>
      </c>
      <c r="D1033" s="4">
        <v>2</v>
      </c>
      <c r="E1033" s="6">
        <v>23000</v>
      </c>
      <c r="F1033" t="str">
        <f>VLOOKUP(C1033,menu!A:B,2,FALSE)</f>
        <v>Nasi Uduk Komplit</v>
      </c>
      <c r="G1033">
        <f t="shared" si="32"/>
        <v>46000</v>
      </c>
      <c r="H1033">
        <f>VLOOKUP(C1033,menu!A:E,4,FALSE)</f>
        <v>9000</v>
      </c>
      <c r="I1033">
        <f t="shared" si="33"/>
        <v>28000</v>
      </c>
    </row>
    <row r="1034" spans="1:9" x14ac:dyDescent="0.35">
      <c r="A1034" s="4" t="s">
        <v>1945</v>
      </c>
      <c r="B1034" s="4" t="s">
        <v>175</v>
      </c>
      <c r="C1034" s="4" t="s">
        <v>890</v>
      </c>
      <c r="D1034" s="4">
        <v>1</v>
      </c>
      <c r="E1034" s="6">
        <v>18000</v>
      </c>
      <c r="F1034" t="str">
        <f>VLOOKUP(C1034,menu!A:B,2,FALSE)</f>
        <v>Es Kopi Susu Gula Aren</v>
      </c>
      <c r="G1034">
        <f t="shared" si="32"/>
        <v>18000</v>
      </c>
      <c r="H1034">
        <f>VLOOKUP(C1034,menu!A:E,4,FALSE)</f>
        <v>4500</v>
      </c>
      <c r="I1034">
        <f t="shared" si="33"/>
        <v>13500</v>
      </c>
    </row>
    <row r="1035" spans="1:9" x14ac:dyDescent="0.35">
      <c r="A1035" s="4" t="s">
        <v>1946</v>
      </c>
      <c r="B1035" s="4" t="s">
        <v>175</v>
      </c>
      <c r="C1035" s="4" t="s">
        <v>902</v>
      </c>
      <c r="D1035" s="4">
        <v>2</v>
      </c>
      <c r="E1035" s="6">
        <v>12000</v>
      </c>
      <c r="F1035" t="str">
        <f>VLOOKUP(C1035,menu!A:B,2,FALSE)</f>
        <v>Teh Tarik</v>
      </c>
      <c r="G1035">
        <f t="shared" si="32"/>
        <v>24000</v>
      </c>
      <c r="H1035">
        <f>VLOOKUP(C1035,menu!A:E,4,FALSE)</f>
        <v>3000</v>
      </c>
      <c r="I1035">
        <f t="shared" si="33"/>
        <v>18000</v>
      </c>
    </row>
    <row r="1036" spans="1:9" x14ac:dyDescent="0.35">
      <c r="A1036" s="4" t="s">
        <v>1947</v>
      </c>
      <c r="B1036" s="4" t="s">
        <v>175</v>
      </c>
      <c r="C1036" s="4" t="s">
        <v>937</v>
      </c>
      <c r="D1036" s="4">
        <v>1</v>
      </c>
      <c r="E1036" s="6">
        <v>26000</v>
      </c>
      <c r="F1036" t="str">
        <f>VLOOKUP(C1036,menu!A:B,2,FALSE)</f>
        <v>Nasi Campur Bali</v>
      </c>
      <c r="G1036">
        <f t="shared" si="32"/>
        <v>26000</v>
      </c>
      <c r="H1036">
        <f>VLOOKUP(C1036,menu!A:E,4,FALSE)</f>
        <v>11500</v>
      </c>
      <c r="I1036">
        <f t="shared" si="33"/>
        <v>14500</v>
      </c>
    </row>
    <row r="1037" spans="1:9" x14ac:dyDescent="0.35">
      <c r="A1037" s="4" t="s">
        <v>1948</v>
      </c>
      <c r="B1037" s="4" t="s">
        <v>187</v>
      </c>
      <c r="C1037" s="4" t="s">
        <v>898</v>
      </c>
      <c r="D1037" s="4">
        <v>1</v>
      </c>
      <c r="E1037" s="6">
        <v>27000</v>
      </c>
      <c r="F1037" t="str">
        <f>VLOOKUP(C1037,menu!A:B,2,FALSE)</f>
        <v>Ayam Geprek Sambal Bawang</v>
      </c>
      <c r="G1037">
        <f t="shared" si="32"/>
        <v>27000</v>
      </c>
      <c r="H1037">
        <f>VLOOKUP(C1037,menu!A:E,4,FALSE)</f>
        <v>11000</v>
      </c>
      <c r="I1037">
        <f t="shared" si="33"/>
        <v>16000</v>
      </c>
    </row>
    <row r="1038" spans="1:9" x14ac:dyDescent="0.35">
      <c r="A1038" s="4" t="s">
        <v>1949</v>
      </c>
      <c r="B1038" s="4" t="s">
        <v>783</v>
      </c>
      <c r="C1038" s="4" t="s">
        <v>892</v>
      </c>
      <c r="D1038" s="4">
        <v>2</v>
      </c>
      <c r="E1038" s="6">
        <v>9000</v>
      </c>
      <c r="F1038" t="str">
        <f>VLOOKUP(C1038,menu!A:B,2,FALSE)</f>
        <v>Tempe Mendoan (5pcs)</v>
      </c>
      <c r="G1038">
        <f t="shared" si="32"/>
        <v>18000</v>
      </c>
      <c r="H1038">
        <f>VLOOKUP(C1038,menu!A:E,4,FALSE)</f>
        <v>3000</v>
      </c>
      <c r="I1038">
        <f t="shared" si="33"/>
        <v>12000</v>
      </c>
    </row>
    <row r="1039" spans="1:9" x14ac:dyDescent="0.35">
      <c r="A1039" s="4" t="s">
        <v>1950</v>
      </c>
      <c r="B1039" s="4" t="s">
        <v>783</v>
      </c>
      <c r="C1039" s="4" t="s">
        <v>898</v>
      </c>
      <c r="D1039" s="4">
        <v>1</v>
      </c>
      <c r="E1039" s="6">
        <v>27000</v>
      </c>
      <c r="F1039" t="str">
        <f>VLOOKUP(C1039,menu!A:B,2,FALSE)</f>
        <v>Ayam Geprek Sambal Bawang</v>
      </c>
      <c r="G1039">
        <f t="shared" si="32"/>
        <v>27000</v>
      </c>
      <c r="H1039">
        <f>VLOOKUP(C1039,menu!A:E,4,FALSE)</f>
        <v>11000</v>
      </c>
      <c r="I1039">
        <f t="shared" si="33"/>
        <v>16000</v>
      </c>
    </row>
    <row r="1040" spans="1:9" x14ac:dyDescent="0.35">
      <c r="A1040" s="4" t="s">
        <v>1951</v>
      </c>
      <c r="B1040" s="4" t="s">
        <v>783</v>
      </c>
      <c r="C1040" s="4" t="s">
        <v>908</v>
      </c>
      <c r="D1040" s="4">
        <v>1</v>
      </c>
      <c r="E1040" s="6">
        <v>16000</v>
      </c>
      <c r="F1040" t="str">
        <f>VLOOKUP(C1040,menu!A:B,2,FALSE)</f>
        <v>Jus Alpukat</v>
      </c>
      <c r="G1040">
        <f t="shared" si="32"/>
        <v>16000</v>
      </c>
      <c r="H1040">
        <f>VLOOKUP(C1040,menu!A:E,4,FALSE)</f>
        <v>5500</v>
      </c>
      <c r="I1040">
        <f t="shared" si="33"/>
        <v>10500</v>
      </c>
    </row>
    <row r="1041" spans="1:9" x14ac:dyDescent="0.35">
      <c r="A1041" s="4" t="s">
        <v>1952</v>
      </c>
      <c r="B1041" s="4" t="s">
        <v>608</v>
      </c>
      <c r="C1041" s="4" t="s">
        <v>892</v>
      </c>
      <c r="D1041" s="4">
        <v>1</v>
      </c>
      <c r="E1041" s="6">
        <v>9000</v>
      </c>
      <c r="F1041" t="str">
        <f>VLOOKUP(C1041,menu!A:B,2,FALSE)</f>
        <v>Tempe Mendoan (5pcs)</v>
      </c>
      <c r="G1041">
        <f t="shared" si="32"/>
        <v>9000</v>
      </c>
      <c r="H1041">
        <f>VLOOKUP(C1041,menu!A:E,4,FALSE)</f>
        <v>3000</v>
      </c>
      <c r="I1041">
        <f t="shared" si="33"/>
        <v>6000</v>
      </c>
    </row>
    <row r="1042" spans="1:9" x14ac:dyDescent="0.35">
      <c r="A1042" s="4" t="s">
        <v>1953</v>
      </c>
      <c r="B1042" s="4" t="s">
        <v>796</v>
      </c>
      <c r="C1042" s="4" t="s">
        <v>890</v>
      </c>
      <c r="D1042" s="4">
        <v>1</v>
      </c>
      <c r="E1042" s="6">
        <v>18000</v>
      </c>
      <c r="F1042" t="str">
        <f>VLOOKUP(C1042,menu!A:B,2,FALSE)</f>
        <v>Es Kopi Susu Gula Aren</v>
      </c>
      <c r="G1042">
        <f t="shared" si="32"/>
        <v>18000</v>
      </c>
      <c r="H1042">
        <f>VLOOKUP(C1042,menu!A:E,4,FALSE)</f>
        <v>4500</v>
      </c>
      <c r="I1042">
        <f t="shared" si="33"/>
        <v>13500</v>
      </c>
    </row>
    <row r="1043" spans="1:9" x14ac:dyDescent="0.35">
      <c r="A1043" s="4" t="s">
        <v>1954</v>
      </c>
      <c r="B1043" s="4" t="s">
        <v>796</v>
      </c>
      <c r="C1043" s="4" t="s">
        <v>892</v>
      </c>
      <c r="D1043" s="4">
        <v>1</v>
      </c>
      <c r="E1043" s="6">
        <v>9000</v>
      </c>
      <c r="F1043" t="str">
        <f>VLOOKUP(C1043,menu!A:B,2,FALSE)</f>
        <v>Tempe Mendoan (5pcs)</v>
      </c>
      <c r="G1043">
        <f t="shared" si="32"/>
        <v>9000</v>
      </c>
      <c r="H1043">
        <f>VLOOKUP(C1043,menu!A:E,4,FALSE)</f>
        <v>3000</v>
      </c>
      <c r="I1043">
        <f t="shared" si="33"/>
        <v>6000</v>
      </c>
    </row>
    <row r="1044" spans="1:9" x14ac:dyDescent="0.35">
      <c r="A1044" s="4" t="s">
        <v>1955</v>
      </c>
      <c r="B1044" s="4" t="s">
        <v>439</v>
      </c>
      <c r="C1044" s="4" t="s">
        <v>931</v>
      </c>
      <c r="D1044" s="4">
        <v>1</v>
      </c>
      <c r="E1044" s="6">
        <v>5000</v>
      </c>
      <c r="F1044" t="str">
        <f>VLOOKUP(C1044,menu!A:B,2,FALSE)</f>
        <v>Kerupuk Udang</v>
      </c>
      <c r="G1044">
        <f t="shared" si="32"/>
        <v>5000</v>
      </c>
      <c r="H1044">
        <f>VLOOKUP(C1044,menu!A:E,4,FALSE)</f>
        <v>1500</v>
      </c>
      <c r="I1044">
        <f t="shared" si="33"/>
        <v>3500</v>
      </c>
    </row>
    <row r="1045" spans="1:9" x14ac:dyDescent="0.35">
      <c r="A1045" s="4" t="s">
        <v>1956</v>
      </c>
      <c r="B1045" s="4" t="s">
        <v>439</v>
      </c>
      <c r="C1045" s="4" t="s">
        <v>892</v>
      </c>
      <c r="D1045" s="4">
        <v>1</v>
      </c>
      <c r="E1045" s="6">
        <v>9000</v>
      </c>
      <c r="F1045" t="str">
        <f>VLOOKUP(C1045,menu!A:B,2,FALSE)</f>
        <v>Tempe Mendoan (5pcs)</v>
      </c>
      <c r="G1045">
        <f t="shared" si="32"/>
        <v>9000</v>
      </c>
      <c r="H1045">
        <f>VLOOKUP(C1045,menu!A:E,4,FALSE)</f>
        <v>3000</v>
      </c>
      <c r="I1045">
        <f t="shared" si="33"/>
        <v>6000</v>
      </c>
    </row>
    <row r="1046" spans="1:9" x14ac:dyDescent="0.35">
      <c r="A1046" s="4" t="s">
        <v>1957</v>
      </c>
      <c r="B1046" s="4" t="s">
        <v>453</v>
      </c>
      <c r="C1046" s="4" t="s">
        <v>898</v>
      </c>
      <c r="D1046" s="4">
        <v>1</v>
      </c>
      <c r="E1046" s="6">
        <v>27000</v>
      </c>
      <c r="F1046" t="str">
        <f>VLOOKUP(C1046,menu!A:B,2,FALSE)</f>
        <v>Ayam Geprek Sambal Bawang</v>
      </c>
      <c r="G1046">
        <f t="shared" si="32"/>
        <v>27000</v>
      </c>
      <c r="H1046">
        <f>VLOOKUP(C1046,menu!A:E,4,FALSE)</f>
        <v>11000</v>
      </c>
      <c r="I1046">
        <f t="shared" si="33"/>
        <v>16000</v>
      </c>
    </row>
    <row r="1047" spans="1:9" x14ac:dyDescent="0.35">
      <c r="A1047" s="4" t="s">
        <v>1958</v>
      </c>
      <c r="B1047" s="4" t="s">
        <v>92</v>
      </c>
      <c r="C1047" s="4" t="s">
        <v>919</v>
      </c>
      <c r="D1047" s="4">
        <v>1</v>
      </c>
      <c r="E1047" s="6">
        <v>20000</v>
      </c>
      <c r="F1047" t="str">
        <f>VLOOKUP(C1047,menu!A:B,2,FALSE)</f>
        <v>Gado-Gado Jakarta</v>
      </c>
      <c r="G1047">
        <f t="shared" si="32"/>
        <v>20000</v>
      </c>
      <c r="H1047">
        <f>VLOOKUP(C1047,menu!A:E,4,FALSE)</f>
        <v>8000</v>
      </c>
      <c r="I1047">
        <f t="shared" si="33"/>
        <v>12000</v>
      </c>
    </row>
    <row r="1048" spans="1:9" x14ac:dyDescent="0.35">
      <c r="A1048" s="4" t="s">
        <v>1959</v>
      </c>
      <c r="B1048" s="4" t="s">
        <v>92</v>
      </c>
      <c r="C1048" s="4" t="s">
        <v>1019</v>
      </c>
      <c r="D1048" s="4">
        <v>2</v>
      </c>
      <c r="E1048" s="6">
        <v>21000</v>
      </c>
      <c r="F1048" t="str">
        <f>VLOOKUP(C1048,menu!A:B,2,FALSE)</f>
        <v>Bakso Urat Spesial</v>
      </c>
      <c r="G1048">
        <f t="shared" si="32"/>
        <v>42000</v>
      </c>
      <c r="H1048">
        <f>VLOOKUP(C1048,menu!A:E,4,FALSE)</f>
        <v>8500</v>
      </c>
      <c r="I1048">
        <f t="shared" si="33"/>
        <v>25000</v>
      </c>
    </row>
    <row r="1049" spans="1:9" x14ac:dyDescent="0.35">
      <c r="A1049" s="4" t="s">
        <v>1960</v>
      </c>
      <c r="B1049" s="4" t="s">
        <v>92</v>
      </c>
      <c r="C1049" s="4" t="s">
        <v>890</v>
      </c>
      <c r="D1049" s="4">
        <v>1</v>
      </c>
      <c r="E1049" s="6">
        <v>18000</v>
      </c>
      <c r="F1049" t="str">
        <f>VLOOKUP(C1049,menu!A:B,2,FALSE)</f>
        <v>Es Kopi Susu Gula Aren</v>
      </c>
      <c r="G1049">
        <f t="shared" si="32"/>
        <v>18000</v>
      </c>
      <c r="H1049">
        <f>VLOOKUP(C1049,menu!A:E,4,FALSE)</f>
        <v>4500</v>
      </c>
      <c r="I1049">
        <f t="shared" si="33"/>
        <v>13500</v>
      </c>
    </row>
    <row r="1050" spans="1:9" x14ac:dyDescent="0.35">
      <c r="A1050" s="4" t="s">
        <v>1961</v>
      </c>
      <c r="B1050" s="4" t="s">
        <v>419</v>
      </c>
      <c r="C1050" s="4" t="s">
        <v>955</v>
      </c>
      <c r="D1050" s="4">
        <v>1</v>
      </c>
      <c r="E1050" s="6">
        <v>15000</v>
      </c>
      <c r="F1050" t="str">
        <f>VLOOKUP(C1050,menu!A:B,2,FALSE)</f>
        <v>Es Campur</v>
      </c>
      <c r="G1050">
        <f t="shared" si="32"/>
        <v>15000</v>
      </c>
      <c r="H1050">
        <f>VLOOKUP(C1050,menu!A:E,4,FALSE)</f>
        <v>6000</v>
      </c>
      <c r="I1050">
        <f t="shared" si="33"/>
        <v>9000</v>
      </c>
    </row>
    <row r="1051" spans="1:9" x14ac:dyDescent="0.35">
      <c r="A1051" s="4" t="s">
        <v>1962</v>
      </c>
      <c r="B1051" s="4" t="s">
        <v>419</v>
      </c>
      <c r="C1051" s="4" t="s">
        <v>906</v>
      </c>
      <c r="D1051" s="4">
        <v>1</v>
      </c>
      <c r="E1051" s="6">
        <v>28000</v>
      </c>
      <c r="F1051" t="str">
        <f>VLOOKUP(C1051,menu!A:B,2,FALSE)</f>
        <v>Sate Ayam 10 Tusuk</v>
      </c>
      <c r="G1051">
        <f t="shared" si="32"/>
        <v>28000</v>
      </c>
      <c r="H1051">
        <f>VLOOKUP(C1051,menu!A:E,4,FALSE)</f>
        <v>12000</v>
      </c>
      <c r="I1051">
        <f t="shared" si="33"/>
        <v>16000</v>
      </c>
    </row>
    <row r="1052" spans="1:9" x14ac:dyDescent="0.35">
      <c r="A1052" s="4" t="s">
        <v>1963</v>
      </c>
      <c r="B1052" s="4" t="s">
        <v>419</v>
      </c>
      <c r="C1052" s="4" t="s">
        <v>937</v>
      </c>
      <c r="D1052" s="4">
        <v>1</v>
      </c>
      <c r="E1052" s="6">
        <v>26000</v>
      </c>
      <c r="F1052" t="str">
        <f>VLOOKUP(C1052,menu!A:B,2,FALSE)</f>
        <v>Nasi Campur Bali</v>
      </c>
      <c r="G1052">
        <f t="shared" si="32"/>
        <v>26000</v>
      </c>
      <c r="H1052">
        <f>VLOOKUP(C1052,menu!A:E,4,FALSE)</f>
        <v>11500</v>
      </c>
      <c r="I1052">
        <f t="shared" si="33"/>
        <v>14500</v>
      </c>
    </row>
    <row r="1053" spans="1:9" x14ac:dyDescent="0.35">
      <c r="A1053" s="4" t="s">
        <v>1964</v>
      </c>
      <c r="B1053" s="4" t="s">
        <v>645</v>
      </c>
      <c r="C1053" s="4" t="s">
        <v>892</v>
      </c>
      <c r="D1053" s="4">
        <v>2</v>
      </c>
      <c r="E1053" s="6">
        <v>9000</v>
      </c>
      <c r="F1053" t="str">
        <f>VLOOKUP(C1053,menu!A:B,2,FALSE)</f>
        <v>Tempe Mendoan (5pcs)</v>
      </c>
      <c r="G1053">
        <f t="shared" si="32"/>
        <v>18000</v>
      </c>
      <c r="H1053">
        <f>VLOOKUP(C1053,menu!A:E,4,FALSE)</f>
        <v>3000</v>
      </c>
      <c r="I1053">
        <f t="shared" si="33"/>
        <v>12000</v>
      </c>
    </row>
    <row r="1054" spans="1:9" x14ac:dyDescent="0.35">
      <c r="A1054" s="4" t="s">
        <v>1965</v>
      </c>
      <c r="B1054" s="4" t="s">
        <v>645</v>
      </c>
      <c r="C1054" s="4" t="s">
        <v>900</v>
      </c>
      <c r="D1054" s="4">
        <v>1</v>
      </c>
      <c r="E1054" s="6">
        <v>8000</v>
      </c>
      <c r="F1054" t="str">
        <f>VLOOKUP(C1054,menu!A:B,2,FALSE)</f>
        <v>Es Jeruk Peras</v>
      </c>
      <c r="G1054">
        <f t="shared" si="32"/>
        <v>8000</v>
      </c>
      <c r="H1054">
        <f>VLOOKUP(C1054,menu!A:E,4,FALSE)</f>
        <v>2500</v>
      </c>
      <c r="I1054">
        <f t="shared" si="33"/>
        <v>5500</v>
      </c>
    </row>
    <row r="1055" spans="1:9" x14ac:dyDescent="0.35">
      <c r="A1055" s="4" t="s">
        <v>1966</v>
      </c>
      <c r="B1055" s="4" t="s">
        <v>645</v>
      </c>
      <c r="C1055" s="4" t="s">
        <v>898</v>
      </c>
      <c r="D1055" s="4">
        <v>1</v>
      </c>
      <c r="E1055" s="6">
        <v>27000</v>
      </c>
      <c r="F1055" t="str">
        <f>VLOOKUP(C1055,menu!A:B,2,FALSE)</f>
        <v>Ayam Geprek Sambal Bawang</v>
      </c>
      <c r="G1055">
        <f t="shared" si="32"/>
        <v>27000</v>
      </c>
      <c r="H1055">
        <f>VLOOKUP(C1055,menu!A:E,4,FALSE)</f>
        <v>11000</v>
      </c>
      <c r="I1055">
        <f t="shared" si="33"/>
        <v>16000</v>
      </c>
    </row>
    <row r="1056" spans="1:9" x14ac:dyDescent="0.35">
      <c r="A1056" s="4" t="s">
        <v>1967</v>
      </c>
      <c r="B1056" s="4" t="s">
        <v>645</v>
      </c>
      <c r="C1056" s="4" t="s">
        <v>919</v>
      </c>
      <c r="D1056" s="4">
        <v>2</v>
      </c>
      <c r="E1056" s="6">
        <v>20000</v>
      </c>
      <c r="F1056" t="str">
        <f>VLOOKUP(C1056,menu!A:B,2,FALSE)</f>
        <v>Gado-Gado Jakarta</v>
      </c>
      <c r="G1056">
        <f t="shared" si="32"/>
        <v>40000</v>
      </c>
      <c r="H1056">
        <f>VLOOKUP(C1056,menu!A:E,4,FALSE)</f>
        <v>8000</v>
      </c>
      <c r="I1056">
        <f t="shared" si="33"/>
        <v>24000</v>
      </c>
    </row>
    <row r="1057" spans="1:9" x14ac:dyDescent="0.35">
      <c r="A1057" s="4" t="s">
        <v>1968</v>
      </c>
      <c r="B1057" s="4" t="s">
        <v>537</v>
      </c>
      <c r="C1057" s="4" t="s">
        <v>898</v>
      </c>
      <c r="D1057" s="4">
        <v>1</v>
      </c>
      <c r="E1057" s="6">
        <v>27000</v>
      </c>
      <c r="F1057" t="str">
        <f>VLOOKUP(C1057,menu!A:B,2,FALSE)</f>
        <v>Ayam Geprek Sambal Bawang</v>
      </c>
      <c r="G1057">
        <f t="shared" si="32"/>
        <v>27000</v>
      </c>
      <c r="H1057">
        <f>VLOOKUP(C1057,menu!A:E,4,FALSE)</f>
        <v>11000</v>
      </c>
      <c r="I1057">
        <f t="shared" si="33"/>
        <v>16000</v>
      </c>
    </row>
    <row r="1058" spans="1:9" x14ac:dyDescent="0.35">
      <c r="A1058" s="4" t="s">
        <v>1969</v>
      </c>
      <c r="B1058" s="4" t="s">
        <v>160</v>
      </c>
      <c r="C1058" s="4" t="s">
        <v>898</v>
      </c>
      <c r="D1058" s="4">
        <v>1</v>
      </c>
      <c r="E1058" s="6">
        <v>27000</v>
      </c>
      <c r="F1058" t="str">
        <f>VLOOKUP(C1058,menu!A:B,2,FALSE)</f>
        <v>Ayam Geprek Sambal Bawang</v>
      </c>
      <c r="G1058">
        <f t="shared" si="32"/>
        <v>27000</v>
      </c>
      <c r="H1058">
        <f>VLOOKUP(C1058,menu!A:E,4,FALSE)</f>
        <v>11000</v>
      </c>
      <c r="I1058">
        <f t="shared" si="33"/>
        <v>16000</v>
      </c>
    </row>
    <row r="1059" spans="1:9" x14ac:dyDescent="0.35">
      <c r="A1059" s="4" t="s">
        <v>1970</v>
      </c>
      <c r="B1059" s="4" t="s">
        <v>160</v>
      </c>
      <c r="C1059" s="4" t="s">
        <v>940</v>
      </c>
      <c r="D1059" s="4">
        <v>1</v>
      </c>
      <c r="E1059" s="6">
        <v>10000</v>
      </c>
      <c r="F1059" t="str">
        <f>VLOOKUP(C1059,menu!A:B,2,FALSE)</f>
        <v>Tahu Isi Goreng (5pcs)</v>
      </c>
      <c r="G1059">
        <f t="shared" si="32"/>
        <v>10000</v>
      </c>
      <c r="H1059">
        <f>VLOOKUP(C1059,menu!A:E,4,FALSE)</f>
        <v>3500</v>
      </c>
      <c r="I1059">
        <f t="shared" si="33"/>
        <v>6500</v>
      </c>
    </row>
    <row r="1060" spans="1:9" x14ac:dyDescent="0.35">
      <c r="A1060" s="4" t="s">
        <v>1971</v>
      </c>
      <c r="B1060" s="4" t="s">
        <v>160</v>
      </c>
      <c r="C1060" s="4" t="s">
        <v>890</v>
      </c>
      <c r="D1060" s="4">
        <v>1</v>
      </c>
      <c r="E1060" s="6">
        <v>18000</v>
      </c>
      <c r="F1060" t="str">
        <f>VLOOKUP(C1060,menu!A:B,2,FALSE)</f>
        <v>Es Kopi Susu Gula Aren</v>
      </c>
      <c r="G1060">
        <f t="shared" si="32"/>
        <v>18000</v>
      </c>
      <c r="H1060">
        <f>VLOOKUP(C1060,menu!A:E,4,FALSE)</f>
        <v>4500</v>
      </c>
      <c r="I1060">
        <f t="shared" si="33"/>
        <v>13500</v>
      </c>
    </row>
    <row r="1061" spans="1:9" x14ac:dyDescent="0.35">
      <c r="A1061" s="4" t="s">
        <v>1972</v>
      </c>
      <c r="B1061" s="4" t="s">
        <v>90</v>
      </c>
      <c r="C1061" s="4" t="s">
        <v>919</v>
      </c>
      <c r="D1061" s="4">
        <v>2</v>
      </c>
      <c r="E1061" s="6">
        <v>20000</v>
      </c>
      <c r="F1061" t="str">
        <f>VLOOKUP(C1061,menu!A:B,2,FALSE)</f>
        <v>Gado-Gado Jakarta</v>
      </c>
      <c r="G1061">
        <f t="shared" si="32"/>
        <v>40000</v>
      </c>
      <c r="H1061">
        <f>VLOOKUP(C1061,menu!A:E,4,FALSE)</f>
        <v>8000</v>
      </c>
      <c r="I1061">
        <f t="shared" si="33"/>
        <v>24000</v>
      </c>
    </row>
    <row r="1062" spans="1:9" x14ac:dyDescent="0.35">
      <c r="A1062" s="4" t="s">
        <v>1973</v>
      </c>
      <c r="B1062" s="4" t="s">
        <v>145</v>
      </c>
      <c r="C1062" s="4" t="s">
        <v>937</v>
      </c>
      <c r="D1062" s="4">
        <v>1</v>
      </c>
      <c r="E1062" s="6">
        <v>26000</v>
      </c>
      <c r="F1062" t="str">
        <f>VLOOKUP(C1062,menu!A:B,2,FALSE)</f>
        <v>Nasi Campur Bali</v>
      </c>
      <c r="G1062">
        <f t="shared" si="32"/>
        <v>26000</v>
      </c>
      <c r="H1062">
        <f>VLOOKUP(C1062,menu!A:E,4,FALSE)</f>
        <v>11500</v>
      </c>
      <c r="I1062">
        <f t="shared" si="33"/>
        <v>14500</v>
      </c>
    </row>
    <row r="1063" spans="1:9" x14ac:dyDescent="0.35">
      <c r="A1063" s="4" t="s">
        <v>1974</v>
      </c>
      <c r="B1063" s="4" t="s">
        <v>258</v>
      </c>
      <c r="C1063" s="4" t="s">
        <v>928</v>
      </c>
      <c r="D1063" s="4">
        <v>1</v>
      </c>
      <c r="E1063" s="6">
        <v>23000</v>
      </c>
      <c r="F1063" t="str">
        <f>VLOOKUP(C1063,menu!A:B,2,FALSE)</f>
        <v>Mie Goreng Jawa</v>
      </c>
      <c r="G1063">
        <f t="shared" si="32"/>
        <v>23000</v>
      </c>
      <c r="H1063">
        <f>VLOOKUP(C1063,menu!A:E,4,FALSE)</f>
        <v>8500</v>
      </c>
      <c r="I1063">
        <f t="shared" si="33"/>
        <v>14500</v>
      </c>
    </row>
    <row r="1064" spans="1:9" x14ac:dyDescent="0.35">
      <c r="A1064" s="4" t="s">
        <v>1975</v>
      </c>
      <c r="B1064" s="4" t="s">
        <v>293</v>
      </c>
      <c r="C1064" s="4" t="s">
        <v>902</v>
      </c>
      <c r="D1064" s="4">
        <v>1</v>
      </c>
      <c r="E1064" s="6">
        <v>12000</v>
      </c>
      <c r="F1064" t="str">
        <f>VLOOKUP(C1064,menu!A:B,2,FALSE)</f>
        <v>Teh Tarik</v>
      </c>
      <c r="G1064">
        <f t="shared" si="32"/>
        <v>12000</v>
      </c>
      <c r="H1064">
        <f>VLOOKUP(C1064,menu!A:E,4,FALSE)</f>
        <v>3000</v>
      </c>
      <c r="I1064">
        <f t="shared" si="33"/>
        <v>9000</v>
      </c>
    </row>
    <row r="1065" spans="1:9" x14ac:dyDescent="0.35">
      <c r="A1065" s="4" t="s">
        <v>1976</v>
      </c>
      <c r="B1065" s="4" t="s">
        <v>293</v>
      </c>
      <c r="C1065" s="4" t="s">
        <v>896</v>
      </c>
      <c r="D1065" s="4">
        <v>1</v>
      </c>
      <c r="E1065" s="6">
        <v>23000</v>
      </c>
      <c r="F1065" t="str">
        <f>VLOOKUP(C1065,menu!A:B,2,FALSE)</f>
        <v>Nasi Uduk Komplit</v>
      </c>
      <c r="G1065">
        <f t="shared" si="32"/>
        <v>23000</v>
      </c>
      <c r="H1065">
        <f>VLOOKUP(C1065,menu!A:E,4,FALSE)</f>
        <v>9000</v>
      </c>
      <c r="I1065">
        <f t="shared" si="33"/>
        <v>14000</v>
      </c>
    </row>
    <row r="1066" spans="1:9" x14ac:dyDescent="0.35">
      <c r="A1066" s="4" t="s">
        <v>1977</v>
      </c>
      <c r="B1066" s="4" t="s">
        <v>99</v>
      </c>
      <c r="C1066" s="4" t="s">
        <v>928</v>
      </c>
      <c r="D1066" s="4">
        <v>1</v>
      </c>
      <c r="E1066" s="6">
        <v>23000</v>
      </c>
      <c r="F1066" t="str">
        <f>VLOOKUP(C1066,menu!A:B,2,FALSE)</f>
        <v>Mie Goreng Jawa</v>
      </c>
      <c r="G1066">
        <f t="shared" si="32"/>
        <v>23000</v>
      </c>
      <c r="H1066">
        <f>VLOOKUP(C1066,menu!A:E,4,FALSE)</f>
        <v>8500</v>
      </c>
      <c r="I1066">
        <f t="shared" si="33"/>
        <v>14500</v>
      </c>
    </row>
    <row r="1067" spans="1:9" x14ac:dyDescent="0.35">
      <c r="A1067" s="4" t="s">
        <v>1978</v>
      </c>
      <c r="B1067" s="4" t="s">
        <v>99</v>
      </c>
      <c r="C1067" s="4" t="s">
        <v>898</v>
      </c>
      <c r="D1067" s="4">
        <v>2</v>
      </c>
      <c r="E1067" s="6">
        <v>27000</v>
      </c>
      <c r="F1067" t="str">
        <f>VLOOKUP(C1067,menu!A:B,2,FALSE)</f>
        <v>Ayam Geprek Sambal Bawang</v>
      </c>
      <c r="G1067">
        <f t="shared" si="32"/>
        <v>54000</v>
      </c>
      <c r="H1067">
        <f>VLOOKUP(C1067,menu!A:E,4,FALSE)</f>
        <v>11000</v>
      </c>
      <c r="I1067">
        <f t="shared" si="33"/>
        <v>32000</v>
      </c>
    </row>
    <row r="1068" spans="1:9" x14ac:dyDescent="0.35">
      <c r="A1068" s="4" t="s">
        <v>1979</v>
      </c>
      <c r="B1068" s="4" t="s">
        <v>99</v>
      </c>
      <c r="C1068" s="4" t="s">
        <v>916</v>
      </c>
      <c r="D1068" s="4">
        <v>1</v>
      </c>
      <c r="E1068" s="6">
        <v>9000</v>
      </c>
      <c r="F1068" t="str">
        <f>VLOOKUP(C1068,menu!A:B,2,FALSE)</f>
        <v>Kopi Hitam Tubruk</v>
      </c>
      <c r="G1068">
        <f t="shared" si="32"/>
        <v>9000</v>
      </c>
      <c r="H1068">
        <f>VLOOKUP(C1068,menu!A:E,4,FALSE)</f>
        <v>2000</v>
      </c>
      <c r="I1068">
        <f t="shared" si="33"/>
        <v>7000</v>
      </c>
    </row>
    <row r="1069" spans="1:9" x14ac:dyDescent="0.35">
      <c r="A1069" s="4" t="s">
        <v>1980</v>
      </c>
      <c r="B1069" s="4" t="s">
        <v>154</v>
      </c>
      <c r="C1069" s="4" t="s">
        <v>931</v>
      </c>
      <c r="D1069" s="4">
        <v>1</v>
      </c>
      <c r="E1069" s="6">
        <v>5000</v>
      </c>
      <c r="F1069" t="str">
        <f>VLOOKUP(C1069,menu!A:B,2,FALSE)</f>
        <v>Kerupuk Udang</v>
      </c>
      <c r="G1069">
        <f t="shared" si="32"/>
        <v>5000</v>
      </c>
      <c r="H1069">
        <f>VLOOKUP(C1069,menu!A:E,4,FALSE)</f>
        <v>1500</v>
      </c>
      <c r="I1069">
        <f t="shared" si="33"/>
        <v>3500</v>
      </c>
    </row>
    <row r="1070" spans="1:9" x14ac:dyDescent="0.35">
      <c r="A1070" s="4" t="s">
        <v>1981</v>
      </c>
      <c r="B1070" s="4" t="s">
        <v>154</v>
      </c>
      <c r="C1070" s="4" t="s">
        <v>955</v>
      </c>
      <c r="D1070" s="4">
        <v>1</v>
      </c>
      <c r="E1070" s="6">
        <v>15000</v>
      </c>
      <c r="F1070" t="str">
        <f>VLOOKUP(C1070,menu!A:B,2,FALSE)</f>
        <v>Es Campur</v>
      </c>
      <c r="G1070">
        <f t="shared" si="32"/>
        <v>15000</v>
      </c>
      <c r="H1070">
        <f>VLOOKUP(C1070,menu!A:E,4,FALSE)</f>
        <v>6000</v>
      </c>
      <c r="I1070">
        <f t="shared" si="33"/>
        <v>9000</v>
      </c>
    </row>
    <row r="1071" spans="1:9" x14ac:dyDescent="0.35">
      <c r="A1071" s="4" t="s">
        <v>1982</v>
      </c>
      <c r="B1071" s="4" t="s">
        <v>154</v>
      </c>
      <c r="C1071" s="4" t="s">
        <v>937</v>
      </c>
      <c r="D1071" s="4">
        <v>2</v>
      </c>
      <c r="E1071" s="6">
        <v>26000</v>
      </c>
      <c r="F1071" t="str">
        <f>VLOOKUP(C1071,menu!A:B,2,FALSE)</f>
        <v>Nasi Campur Bali</v>
      </c>
      <c r="G1071">
        <f t="shared" si="32"/>
        <v>52000</v>
      </c>
      <c r="H1071">
        <f>VLOOKUP(C1071,menu!A:E,4,FALSE)</f>
        <v>11500</v>
      </c>
      <c r="I1071">
        <f t="shared" si="33"/>
        <v>29000</v>
      </c>
    </row>
    <row r="1072" spans="1:9" x14ac:dyDescent="0.35">
      <c r="A1072" s="4" t="s">
        <v>1983</v>
      </c>
      <c r="B1072" s="4" t="s">
        <v>154</v>
      </c>
      <c r="C1072" s="4" t="s">
        <v>898</v>
      </c>
      <c r="D1072" s="4">
        <v>1</v>
      </c>
      <c r="E1072" s="6">
        <v>27000</v>
      </c>
      <c r="F1072" t="str">
        <f>VLOOKUP(C1072,menu!A:B,2,FALSE)</f>
        <v>Ayam Geprek Sambal Bawang</v>
      </c>
      <c r="G1072">
        <f t="shared" si="32"/>
        <v>27000</v>
      </c>
      <c r="H1072">
        <f>VLOOKUP(C1072,menu!A:E,4,FALSE)</f>
        <v>11000</v>
      </c>
      <c r="I1072">
        <f t="shared" si="33"/>
        <v>16000</v>
      </c>
    </row>
    <row r="1073" spans="1:9" x14ac:dyDescent="0.35">
      <c r="A1073" s="4" t="s">
        <v>1984</v>
      </c>
      <c r="B1073" s="4" t="s">
        <v>154</v>
      </c>
      <c r="C1073" s="4" t="s">
        <v>942</v>
      </c>
      <c r="D1073" s="4">
        <v>2</v>
      </c>
      <c r="E1073" s="6">
        <v>13000</v>
      </c>
      <c r="F1073" t="str">
        <f>VLOOKUP(C1073,menu!A:B,2,FALSE)</f>
        <v>Pisang Goreng Keju (4pcs)</v>
      </c>
      <c r="G1073">
        <f t="shared" si="32"/>
        <v>26000</v>
      </c>
      <c r="H1073">
        <f>VLOOKUP(C1073,menu!A:E,4,FALSE)</f>
        <v>4000</v>
      </c>
      <c r="I1073">
        <f t="shared" si="33"/>
        <v>18000</v>
      </c>
    </row>
    <row r="1074" spans="1:9" x14ac:dyDescent="0.35">
      <c r="A1074" s="4" t="s">
        <v>1985</v>
      </c>
      <c r="B1074" s="4" t="s">
        <v>268</v>
      </c>
      <c r="C1074" s="4" t="s">
        <v>935</v>
      </c>
      <c r="D1074" s="4">
        <v>2</v>
      </c>
      <c r="E1074" s="6">
        <v>22000</v>
      </c>
      <c r="F1074" t="str">
        <f>VLOOKUP(C1074,menu!A:B,2,FALSE)</f>
        <v>Soto Ayam Lamongan</v>
      </c>
      <c r="G1074">
        <f t="shared" si="32"/>
        <v>44000</v>
      </c>
      <c r="H1074">
        <f>VLOOKUP(C1074,menu!A:E,4,FALSE)</f>
        <v>9500</v>
      </c>
      <c r="I1074">
        <f t="shared" si="33"/>
        <v>25000</v>
      </c>
    </row>
    <row r="1075" spans="1:9" x14ac:dyDescent="0.35">
      <c r="A1075" s="4" t="s">
        <v>1986</v>
      </c>
      <c r="B1075" s="4" t="s">
        <v>268</v>
      </c>
      <c r="C1075" s="4" t="s">
        <v>937</v>
      </c>
      <c r="D1075" s="4">
        <v>1</v>
      </c>
      <c r="E1075" s="6">
        <v>26000</v>
      </c>
      <c r="F1075" t="str">
        <f>VLOOKUP(C1075,menu!A:B,2,FALSE)</f>
        <v>Nasi Campur Bali</v>
      </c>
      <c r="G1075">
        <f t="shared" si="32"/>
        <v>26000</v>
      </c>
      <c r="H1075">
        <f>VLOOKUP(C1075,menu!A:E,4,FALSE)</f>
        <v>11500</v>
      </c>
      <c r="I1075">
        <f t="shared" si="33"/>
        <v>14500</v>
      </c>
    </row>
    <row r="1076" spans="1:9" x14ac:dyDescent="0.35">
      <c r="A1076" s="4" t="s">
        <v>1987</v>
      </c>
      <c r="B1076" s="4" t="s">
        <v>659</v>
      </c>
      <c r="C1076" s="4" t="s">
        <v>955</v>
      </c>
      <c r="D1076" s="4">
        <v>3</v>
      </c>
      <c r="E1076" s="6">
        <v>15000</v>
      </c>
      <c r="F1076" t="str">
        <f>VLOOKUP(C1076,menu!A:B,2,FALSE)</f>
        <v>Es Campur</v>
      </c>
      <c r="G1076">
        <f t="shared" si="32"/>
        <v>45000</v>
      </c>
      <c r="H1076">
        <f>VLOOKUP(C1076,menu!A:E,4,FALSE)</f>
        <v>6000</v>
      </c>
      <c r="I1076">
        <f t="shared" si="33"/>
        <v>27000</v>
      </c>
    </row>
    <row r="1077" spans="1:9" x14ac:dyDescent="0.35">
      <c r="A1077" s="4" t="s">
        <v>1988</v>
      </c>
      <c r="B1077" s="4" t="s">
        <v>659</v>
      </c>
      <c r="C1077" s="4" t="s">
        <v>904</v>
      </c>
      <c r="D1077" s="4">
        <v>1</v>
      </c>
      <c r="E1077" s="6">
        <v>22000</v>
      </c>
      <c r="F1077" t="str">
        <f>VLOOKUP(C1077,menu!A:B,2,FALSE)</f>
        <v>Pecel Lele</v>
      </c>
      <c r="G1077">
        <f t="shared" si="32"/>
        <v>22000</v>
      </c>
      <c r="H1077">
        <f>VLOOKUP(C1077,menu!A:E,4,FALSE)</f>
        <v>9500</v>
      </c>
      <c r="I1077">
        <f t="shared" si="33"/>
        <v>12500</v>
      </c>
    </row>
    <row r="1078" spans="1:9" x14ac:dyDescent="0.35">
      <c r="A1078" s="4" t="s">
        <v>1989</v>
      </c>
      <c r="B1078" s="4" t="s">
        <v>868</v>
      </c>
      <c r="C1078" s="4" t="s">
        <v>898</v>
      </c>
      <c r="D1078" s="4">
        <v>2</v>
      </c>
      <c r="E1078" s="6">
        <v>27000</v>
      </c>
      <c r="F1078" t="str">
        <f>VLOOKUP(C1078,menu!A:B,2,FALSE)</f>
        <v>Ayam Geprek Sambal Bawang</v>
      </c>
      <c r="G1078">
        <f t="shared" si="32"/>
        <v>54000</v>
      </c>
      <c r="H1078">
        <f>VLOOKUP(C1078,menu!A:E,4,FALSE)</f>
        <v>11000</v>
      </c>
      <c r="I1078">
        <f t="shared" si="33"/>
        <v>32000</v>
      </c>
    </row>
    <row r="1079" spans="1:9" x14ac:dyDescent="0.35">
      <c r="A1079" s="4" t="s">
        <v>1990</v>
      </c>
      <c r="B1079" s="4" t="s">
        <v>131</v>
      </c>
      <c r="C1079" s="4" t="s">
        <v>898</v>
      </c>
      <c r="D1079" s="4">
        <v>1</v>
      </c>
      <c r="E1079" s="6">
        <v>27000</v>
      </c>
      <c r="F1079" t="str">
        <f>VLOOKUP(C1079,menu!A:B,2,FALSE)</f>
        <v>Ayam Geprek Sambal Bawang</v>
      </c>
      <c r="G1079">
        <f t="shared" si="32"/>
        <v>27000</v>
      </c>
      <c r="H1079">
        <f>VLOOKUP(C1079,menu!A:E,4,FALSE)</f>
        <v>11000</v>
      </c>
      <c r="I1079">
        <f t="shared" si="33"/>
        <v>16000</v>
      </c>
    </row>
    <row r="1080" spans="1:9" x14ac:dyDescent="0.35">
      <c r="A1080" s="4" t="s">
        <v>1991</v>
      </c>
      <c r="B1080" s="4" t="s">
        <v>778</v>
      </c>
      <c r="C1080" s="4" t="s">
        <v>919</v>
      </c>
      <c r="D1080" s="4">
        <v>1</v>
      </c>
      <c r="E1080" s="6">
        <v>20000</v>
      </c>
      <c r="F1080" t="str">
        <f>VLOOKUP(C1080,menu!A:B,2,FALSE)</f>
        <v>Gado-Gado Jakarta</v>
      </c>
      <c r="G1080">
        <f t="shared" si="32"/>
        <v>20000</v>
      </c>
      <c r="H1080">
        <f>VLOOKUP(C1080,menu!A:E,4,FALSE)</f>
        <v>8000</v>
      </c>
      <c r="I1080">
        <f t="shared" si="33"/>
        <v>12000</v>
      </c>
    </row>
    <row r="1081" spans="1:9" x14ac:dyDescent="0.35">
      <c r="A1081" s="4" t="s">
        <v>1992</v>
      </c>
      <c r="B1081" s="4" t="s">
        <v>137</v>
      </c>
      <c r="C1081" s="4" t="s">
        <v>898</v>
      </c>
      <c r="D1081" s="4">
        <v>2</v>
      </c>
      <c r="E1081" s="6">
        <v>27000</v>
      </c>
      <c r="F1081" t="str">
        <f>VLOOKUP(C1081,menu!A:B,2,FALSE)</f>
        <v>Ayam Geprek Sambal Bawang</v>
      </c>
      <c r="G1081">
        <f t="shared" si="32"/>
        <v>54000</v>
      </c>
      <c r="H1081">
        <f>VLOOKUP(C1081,menu!A:E,4,FALSE)</f>
        <v>11000</v>
      </c>
      <c r="I1081">
        <f t="shared" si="33"/>
        <v>32000</v>
      </c>
    </row>
    <row r="1082" spans="1:9" x14ac:dyDescent="0.35">
      <c r="A1082" s="4" t="s">
        <v>1993</v>
      </c>
      <c r="B1082" s="4" t="s">
        <v>137</v>
      </c>
      <c r="C1082" s="4" t="s">
        <v>902</v>
      </c>
      <c r="D1082" s="4">
        <v>1</v>
      </c>
      <c r="E1082" s="6">
        <v>12000</v>
      </c>
      <c r="F1082" t="str">
        <f>VLOOKUP(C1082,menu!A:B,2,FALSE)</f>
        <v>Teh Tarik</v>
      </c>
      <c r="G1082">
        <f t="shared" si="32"/>
        <v>12000</v>
      </c>
      <c r="H1082">
        <f>VLOOKUP(C1082,menu!A:E,4,FALSE)</f>
        <v>3000</v>
      </c>
      <c r="I1082">
        <f t="shared" si="33"/>
        <v>9000</v>
      </c>
    </row>
    <row r="1083" spans="1:9" x14ac:dyDescent="0.35">
      <c r="A1083" s="4" t="s">
        <v>1994</v>
      </c>
      <c r="B1083" s="4" t="s">
        <v>59</v>
      </c>
      <c r="C1083" s="4" t="s">
        <v>898</v>
      </c>
      <c r="D1083" s="4">
        <v>1</v>
      </c>
      <c r="E1083" s="6">
        <v>27000</v>
      </c>
      <c r="F1083" t="str">
        <f>VLOOKUP(C1083,menu!A:B,2,FALSE)</f>
        <v>Ayam Geprek Sambal Bawang</v>
      </c>
      <c r="G1083">
        <f t="shared" si="32"/>
        <v>27000</v>
      </c>
      <c r="H1083">
        <f>VLOOKUP(C1083,menu!A:E,4,FALSE)</f>
        <v>11000</v>
      </c>
      <c r="I1083">
        <f t="shared" si="33"/>
        <v>16000</v>
      </c>
    </row>
    <row r="1084" spans="1:9" x14ac:dyDescent="0.35">
      <c r="A1084" s="4" t="s">
        <v>1995</v>
      </c>
      <c r="B1084" s="4" t="s">
        <v>59</v>
      </c>
      <c r="C1084" s="4" t="s">
        <v>896</v>
      </c>
      <c r="D1084" s="4">
        <v>1</v>
      </c>
      <c r="E1084" s="6">
        <v>23000</v>
      </c>
      <c r="F1084" t="str">
        <f>VLOOKUP(C1084,menu!A:B,2,FALSE)</f>
        <v>Nasi Uduk Komplit</v>
      </c>
      <c r="G1084">
        <f t="shared" si="32"/>
        <v>23000</v>
      </c>
      <c r="H1084">
        <f>VLOOKUP(C1084,menu!A:E,4,FALSE)</f>
        <v>9000</v>
      </c>
      <c r="I1084">
        <f t="shared" si="33"/>
        <v>14000</v>
      </c>
    </row>
    <row r="1085" spans="1:9" x14ac:dyDescent="0.35">
      <c r="A1085" s="4" t="s">
        <v>1996</v>
      </c>
      <c r="B1085" s="4" t="s">
        <v>59</v>
      </c>
      <c r="C1085" s="4" t="s">
        <v>935</v>
      </c>
      <c r="D1085" s="4">
        <v>1</v>
      </c>
      <c r="E1085" s="6">
        <v>22000</v>
      </c>
      <c r="F1085" t="str">
        <f>VLOOKUP(C1085,menu!A:B,2,FALSE)</f>
        <v>Soto Ayam Lamongan</v>
      </c>
      <c r="G1085">
        <f t="shared" si="32"/>
        <v>22000</v>
      </c>
      <c r="H1085">
        <f>VLOOKUP(C1085,menu!A:E,4,FALSE)</f>
        <v>9500</v>
      </c>
      <c r="I1085">
        <f t="shared" si="33"/>
        <v>12500</v>
      </c>
    </row>
    <row r="1086" spans="1:9" x14ac:dyDescent="0.35">
      <c r="A1086" s="4" t="s">
        <v>1997</v>
      </c>
      <c r="B1086" s="4" t="s">
        <v>356</v>
      </c>
      <c r="C1086" s="4" t="s">
        <v>898</v>
      </c>
      <c r="D1086" s="4">
        <v>1</v>
      </c>
      <c r="E1086" s="6">
        <v>27000</v>
      </c>
      <c r="F1086" t="str">
        <f>VLOOKUP(C1086,menu!A:B,2,FALSE)</f>
        <v>Ayam Geprek Sambal Bawang</v>
      </c>
      <c r="G1086">
        <f t="shared" si="32"/>
        <v>27000</v>
      </c>
      <c r="H1086">
        <f>VLOOKUP(C1086,menu!A:E,4,FALSE)</f>
        <v>11000</v>
      </c>
      <c r="I1086">
        <f t="shared" si="33"/>
        <v>16000</v>
      </c>
    </row>
    <row r="1087" spans="1:9" x14ac:dyDescent="0.35">
      <c r="A1087" s="4" t="s">
        <v>1998</v>
      </c>
      <c r="B1087" s="4" t="s">
        <v>356</v>
      </c>
      <c r="C1087" s="4" t="s">
        <v>944</v>
      </c>
      <c r="D1087" s="4">
        <v>1</v>
      </c>
      <c r="E1087" s="6">
        <v>32000</v>
      </c>
      <c r="F1087" t="str">
        <f>VLOOKUP(C1087,menu!A:B,2,FALSE)</f>
        <v>Nasi Padang Rendang</v>
      </c>
      <c r="G1087">
        <f t="shared" si="32"/>
        <v>32000</v>
      </c>
      <c r="H1087">
        <f>VLOOKUP(C1087,menu!A:E,4,FALSE)</f>
        <v>14000</v>
      </c>
      <c r="I1087">
        <f t="shared" si="33"/>
        <v>18000</v>
      </c>
    </row>
    <row r="1088" spans="1:9" x14ac:dyDescent="0.35">
      <c r="A1088" s="4" t="s">
        <v>1999</v>
      </c>
      <c r="B1088" s="4" t="s">
        <v>356</v>
      </c>
      <c r="C1088" s="4" t="s">
        <v>896</v>
      </c>
      <c r="D1088" s="4">
        <v>2</v>
      </c>
      <c r="E1088" s="6">
        <v>23000</v>
      </c>
      <c r="F1088" t="str">
        <f>VLOOKUP(C1088,menu!A:B,2,FALSE)</f>
        <v>Nasi Uduk Komplit</v>
      </c>
      <c r="G1088">
        <f t="shared" si="32"/>
        <v>46000</v>
      </c>
      <c r="H1088">
        <f>VLOOKUP(C1088,menu!A:E,4,FALSE)</f>
        <v>9000</v>
      </c>
      <c r="I1088">
        <f t="shared" si="33"/>
        <v>28000</v>
      </c>
    </row>
    <row r="1089" spans="1:9" x14ac:dyDescent="0.35">
      <c r="A1089" s="4" t="s">
        <v>2000</v>
      </c>
      <c r="B1089" s="4" t="s">
        <v>356</v>
      </c>
      <c r="C1089" s="4" t="s">
        <v>900</v>
      </c>
      <c r="D1089" s="4">
        <v>2</v>
      </c>
      <c r="E1089" s="6">
        <v>8000</v>
      </c>
      <c r="F1089" t="str">
        <f>VLOOKUP(C1089,menu!A:B,2,FALSE)</f>
        <v>Es Jeruk Peras</v>
      </c>
      <c r="G1089">
        <f t="shared" si="32"/>
        <v>16000</v>
      </c>
      <c r="H1089">
        <f>VLOOKUP(C1089,menu!A:E,4,FALSE)</f>
        <v>2500</v>
      </c>
      <c r="I1089">
        <f t="shared" si="33"/>
        <v>11000</v>
      </c>
    </row>
    <row r="1090" spans="1:9" x14ac:dyDescent="0.35">
      <c r="A1090" s="4" t="s">
        <v>2001</v>
      </c>
      <c r="B1090" s="4" t="s">
        <v>356</v>
      </c>
      <c r="C1090" s="4" t="s">
        <v>890</v>
      </c>
      <c r="D1090" s="4">
        <v>1</v>
      </c>
      <c r="E1090" s="6">
        <v>18000</v>
      </c>
      <c r="F1090" t="str">
        <f>VLOOKUP(C1090,menu!A:B,2,FALSE)</f>
        <v>Es Kopi Susu Gula Aren</v>
      </c>
      <c r="G1090">
        <f t="shared" si="32"/>
        <v>18000</v>
      </c>
      <c r="H1090">
        <f>VLOOKUP(C1090,menu!A:E,4,FALSE)</f>
        <v>4500</v>
      </c>
      <c r="I1090">
        <f t="shared" si="33"/>
        <v>13500</v>
      </c>
    </row>
    <row r="1091" spans="1:9" x14ac:dyDescent="0.35">
      <c r="A1091" s="4" t="s">
        <v>2002</v>
      </c>
      <c r="B1091" s="4" t="s">
        <v>644</v>
      </c>
      <c r="C1091" s="4" t="s">
        <v>935</v>
      </c>
      <c r="D1091" s="4">
        <v>1</v>
      </c>
      <c r="E1091" s="6">
        <v>22000</v>
      </c>
      <c r="F1091" t="str">
        <f>VLOOKUP(C1091,menu!A:B,2,FALSE)</f>
        <v>Soto Ayam Lamongan</v>
      </c>
      <c r="G1091">
        <f t="shared" ref="G1091:G1154" si="34">D1091*E1091</f>
        <v>22000</v>
      </c>
      <c r="H1091">
        <f>VLOOKUP(C1091,menu!A:E,4,FALSE)</f>
        <v>9500</v>
      </c>
      <c r="I1091">
        <f t="shared" ref="I1091:I1154" si="35">(E1091-H1091)*D1091</f>
        <v>12500</v>
      </c>
    </row>
    <row r="1092" spans="1:9" x14ac:dyDescent="0.35">
      <c r="A1092" s="4" t="s">
        <v>2003</v>
      </c>
      <c r="B1092" s="4" t="s">
        <v>644</v>
      </c>
      <c r="C1092" s="4" t="s">
        <v>902</v>
      </c>
      <c r="D1092" s="4">
        <v>1</v>
      </c>
      <c r="E1092" s="6">
        <v>12000</v>
      </c>
      <c r="F1092" t="str">
        <f>VLOOKUP(C1092,menu!A:B,2,FALSE)</f>
        <v>Teh Tarik</v>
      </c>
      <c r="G1092">
        <f t="shared" si="34"/>
        <v>12000</v>
      </c>
      <c r="H1092">
        <f>VLOOKUP(C1092,menu!A:E,4,FALSE)</f>
        <v>3000</v>
      </c>
      <c r="I1092">
        <f t="shared" si="35"/>
        <v>9000</v>
      </c>
    </row>
    <row r="1093" spans="1:9" x14ac:dyDescent="0.35">
      <c r="A1093" s="4" t="s">
        <v>2004</v>
      </c>
      <c r="B1093" s="4" t="s">
        <v>779</v>
      </c>
      <c r="C1093" s="4" t="s">
        <v>908</v>
      </c>
      <c r="D1093" s="4">
        <v>3</v>
      </c>
      <c r="E1093" s="6">
        <v>16000</v>
      </c>
      <c r="F1093" t="str">
        <f>VLOOKUP(C1093,menu!A:B,2,FALSE)</f>
        <v>Jus Alpukat</v>
      </c>
      <c r="G1093">
        <f t="shared" si="34"/>
        <v>48000</v>
      </c>
      <c r="H1093">
        <f>VLOOKUP(C1093,menu!A:E,4,FALSE)</f>
        <v>5500</v>
      </c>
      <c r="I1093">
        <f t="shared" si="35"/>
        <v>31500</v>
      </c>
    </row>
    <row r="1094" spans="1:9" x14ac:dyDescent="0.35">
      <c r="A1094" s="4" t="s">
        <v>2005</v>
      </c>
      <c r="B1094" s="4" t="s">
        <v>200</v>
      </c>
      <c r="C1094" s="4" t="s">
        <v>1059</v>
      </c>
      <c r="D1094" s="4">
        <v>1</v>
      </c>
      <c r="E1094" s="6">
        <v>6000</v>
      </c>
      <c r="F1094" t="str">
        <f>VLOOKUP(C1094,menu!A:B,2,FALSE)</f>
        <v>Es Teh Manis</v>
      </c>
      <c r="G1094">
        <f t="shared" si="34"/>
        <v>6000</v>
      </c>
      <c r="H1094">
        <f>VLOOKUP(C1094,menu!A:E,4,FALSE)</f>
        <v>1500</v>
      </c>
      <c r="I1094">
        <f t="shared" si="35"/>
        <v>4500</v>
      </c>
    </row>
    <row r="1095" spans="1:9" x14ac:dyDescent="0.35">
      <c r="A1095" s="4" t="s">
        <v>2006</v>
      </c>
      <c r="B1095" s="4" t="s">
        <v>200</v>
      </c>
      <c r="C1095" s="4" t="s">
        <v>894</v>
      </c>
      <c r="D1095" s="4">
        <v>3</v>
      </c>
      <c r="E1095" s="6">
        <v>5000</v>
      </c>
      <c r="F1095" t="str">
        <f>VLOOKUP(C1095,menu!A:B,2,FALSE)</f>
        <v>Air Mineral Botol</v>
      </c>
      <c r="G1095">
        <f t="shared" si="34"/>
        <v>15000</v>
      </c>
      <c r="H1095">
        <f>VLOOKUP(C1095,menu!A:E,4,FALSE)</f>
        <v>2000</v>
      </c>
      <c r="I1095">
        <f t="shared" si="35"/>
        <v>9000</v>
      </c>
    </row>
    <row r="1096" spans="1:9" x14ac:dyDescent="0.35">
      <c r="A1096" s="4" t="s">
        <v>2007</v>
      </c>
      <c r="B1096" s="4" t="s">
        <v>200</v>
      </c>
      <c r="C1096" s="4" t="s">
        <v>890</v>
      </c>
      <c r="D1096" s="4">
        <v>2</v>
      </c>
      <c r="E1096" s="6">
        <v>18000</v>
      </c>
      <c r="F1096" t="str">
        <f>VLOOKUP(C1096,menu!A:B,2,FALSE)</f>
        <v>Es Kopi Susu Gula Aren</v>
      </c>
      <c r="G1096">
        <f t="shared" si="34"/>
        <v>36000</v>
      </c>
      <c r="H1096">
        <f>VLOOKUP(C1096,menu!A:E,4,FALSE)</f>
        <v>4500</v>
      </c>
      <c r="I1096">
        <f t="shared" si="35"/>
        <v>27000</v>
      </c>
    </row>
    <row r="1097" spans="1:9" x14ac:dyDescent="0.35">
      <c r="A1097" s="4" t="s">
        <v>2008</v>
      </c>
      <c r="B1097" s="4" t="s">
        <v>797</v>
      </c>
      <c r="C1097" s="4" t="s">
        <v>898</v>
      </c>
      <c r="D1097" s="4">
        <v>1</v>
      </c>
      <c r="E1097" s="6">
        <v>27000</v>
      </c>
      <c r="F1097" t="str">
        <f>VLOOKUP(C1097,menu!A:B,2,FALSE)</f>
        <v>Ayam Geprek Sambal Bawang</v>
      </c>
      <c r="G1097">
        <f t="shared" si="34"/>
        <v>27000</v>
      </c>
      <c r="H1097">
        <f>VLOOKUP(C1097,menu!A:E,4,FALSE)</f>
        <v>11000</v>
      </c>
      <c r="I1097">
        <f t="shared" si="35"/>
        <v>16000</v>
      </c>
    </row>
    <row r="1098" spans="1:9" x14ac:dyDescent="0.35">
      <c r="A1098" s="4" t="s">
        <v>2009</v>
      </c>
      <c r="B1098" s="4" t="s">
        <v>797</v>
      </c>
      <c r="C1098" s="4" t="s">
        <v>894</v>
      </c>
      <c r="D1098" s="4">
        <v>1</v>
      </c>
      <c r="E1098" s="6">
        <v>5000</v>
      </c>
      <c r="F1098" t="str">
        <f>VLOOKUP(C1098,menu!A:B,2,FALSE)</f>
        <v>Air Mineral Botol</v>
      </c>
      <c r="G1098">
        <f t="shared" si="34"/>
        <v>5000</v>
      </c>
      <c r="H1098">
        <f>VLOOKUP(C1098,menu!A:E,4,FALSE)</f>
        <v>2000</v>
      </c>
      <c r="I1098">
        <f t="shared" si="35"/>
        <v>3000</v>
      </c>
    </row>
    <row r="1099" spans="1:9" x14ac:dyDescent="0.35">
      <c r="A1099" s="4" t="s">
        <v>2010</v>
      </c>
      <c r="B1099" s="4" t="s">
        <v>797</v>
      </c>
      <c r="C1099" s="4" t="s">
        <v>916</v>
      </c>
      <c r="D1099" s="4">
        <v>1</v>
      </c>
      <c r="E1099" s="6">
        <v>9000</v>
      </c>
      <c r="F1099" t="str">
        <f>VLOOKUP(C1099,menu!A:B,2,FALSE)</f>
        <v>Kopi Hitam Tubruk</v>
      </c>
      <c r="G1099">
        <f t="shared" si="34"/>
        <v>9000</v>
      </c>
      <c r="H1099">
        <f>VLOOKUP(C1099,menu!A:E,4,FALSE)</f>
        <v>2000</v>
      </c>
      <c r="I1099">
        <f t="shared" si="35"/>
        <v>7000</v>
      </c>
    </row>
    <row r="1100" spans="1:9" x14ac:dyDescent="0.35">
      <c r="A1100" s="4" t="s">
        <v>2011</v>
      </c>
      <c r="B1100" s="4" t="s">
        <v>429</v>
      </c>
      <c r="C1100" s="4" t="s">
        <v>892</v>
      </c>
      <c r="D1100" s="4">
        <v>1</v>
      </c>
      <c r="E1100" s="6">
        <v>9000</v>
      </c>
      <c r="F1100" t="str">
        <f>VLOOKUP(C1100,menu!A:B,2,FALSE)</f>
        <v>Tempe Mendoan (5pcs)</v>
      </c>
      <c r="G1100">
        <f t="shared" si="34"/>
        <v>9000</v>
      </c>
      <c r="H1100">
        <f>VLOOKUP(C1100,menu!A:E,4,FALSE)</f>
        <v>3000</v>
      </c>
      <c r="I1100">
        <f t="shared" si="35"/>
        <v>6000</v>
      </c>
    </row>
    <row r="1101" spans="1:9" x14ac:dyDescent="0.35">
      <c r="A1101" s="4" t="s">
        <v>2012</v>
      </c>
      <c r="B1101" s="4" t="s">
        <v>429</v>
      </c>
      <c r="C1101" s="4" t="s">
        <v>935</v>
      </c>
      <c r="D1101" s="4">
        <v>1</v>
      </c>
      <c r="E1101" s="6">
        <v>22000</v>
      </c>
      <c r="F1101" t="str">
        <f>VLOOKUP(C1101,menu!A:B,2,FALSE)</f>
        <v>Soto Ayam Lamongan</v>
      </c>
      <c r="G1101">
        <f t="shared" si="34"/>
        <v>22000</v>
      </c>
      <c r="H1101">
        <f>VLOOKUP(C1101,menu!A:E,4,FALSE)</f>
        <v>9500</v>
      </c>
      <c r="I1101">
        <f t="shared" si="35"/>
        <v>12500</v>
      </c>
    </row>
    <row r="1102" spans="1:9" x14ac:dyDescent="0.35">
      <c r="A1102" s="4" t="s">
        <v>2013</v>
      </c>
      <c r="B1102" s="4" t="s">
        <v>427</v>
      </c>
      <c r="C1102" s="4" t="s">
        <v>928</v>
      </c>
      <c r="D1102" s="4">
        <v>1</v>
      </c>
      <c r="E1102" s="6">
        <v>23000</v>
      </c>
      <c r="F1102" t="str">
        <f>VLOOKUP(C1102,menu!A:B,2,FALSE)</f>
        <v>Mie Goreng Jawa</v>
      </c>
      <c r="G1102">
        <f t="shared" si="34"/>
        <v>23000</v>
      </c>
      <c r="H1102">
        <f>VLOOKUP(C1102,menu!A:E,4,FALSE)</f>
        <v>8500</v>
      </c>
      <c r="I1102">
        <f t="shared" si="35"/>
        <v>14500</v>
      </c>
    </row>
    <row r="1103" spans="1:9" x14ac:dyDescent="0.35">
      <c r="A1103" s="4" t="s">
        <v>2014</v>
      </c>
      <c r="B1103" s="4" t="s">
        <v>427</v>
      </c>
      <c r="C1103" s="4" t="s">
        <v>919</v>
      </c>
      <c r="D1103" s="4">
        <v>1</v>
      </c>
      <c r="E1103" s="6">
        <v>20000</v>
      </c>
      <c r="F1103" t="str">
        <f>VLOOKUP(C1103,menu!A:B,2,FALSE)</f>
        <v>Gado-Gado Jakarta</v>
      </c>
      <c r="G1103">
        <f t="shared" si="34"/>
        <v>20000</v>
      </c>
      <c r="H1103">
        <f>VLOOKUP(C1103,menu!A:E,4,FALSE)</f>
        <v>8000</v>
      </c>
      <c r="I1103">
        <f t="shared" si="35"/>
        <v>12000</v>
      </c>
    </row>
    <row r="1104" spans="1:9" x14ac:dyDescent="0.35">
      <c r="A1104" s="4" t="s">
        <v>2015</v>
      </c>
      <c r="B1104" s="4" t="s">
        <v>427</v>
      </c>
      <c r="C1104" s="4" t="s">
        <v>890</v>
      </c>
      <c r="D1104" s="4">
        <v>1</v>
      </c>
      <c r="E1104" s="6">
        <v>18000</v>
      </c>
      <c r="F1104" t="str">
        <f>VLOOKUP(C1104,menu!A:B,2,FALSE)</f>
        <v>Es Kopi Susu Gula Aren</v>
      </c>
      <c r="G1104">
        <f t="shared" si="34"/>
        <v>18000</v>
      </c>
      <c r="H1104">
        <f>VLOOKUP(C1104,menu!A:E,4,FALSE)</f>
        <v>4500</v>
      </c>
      <c r="I1104">
        <f t="shared" si="35"/>
        <v>13500</v>
      </c>
    </row>
    <row r="1105" spans="1:9" x14ac:dyDescent="0.35">
      <c r="A1105" s="4" t="s">
        <v>2016</v>
      </c>
      <c r="B1105" s="4" t="s">
        <v>727</v>
      </c>
      <c r="C1105" s="4" t="s">
        <v>908</v>
      </c>
      <c r="D1105" s="4">
        <v>2</v>
      </c>
      <c r="E1105" s="6">
        <v>16000</v>
      </c>
      <c r="F1105" t="str">
        <f>VLOOKUP(C1105,menu!A:B,2,FALSE)</f>
        <v>Jus Alpukat</v>
      </c>
      <c r="G1105">
        <f t="shared" si="34"/>
        <v>32000</v>
      </c>
      <c r="H1105">
        <f>VLOOKUP(C1105,menu!A:E,4,FALSE)</f>
        <v>5500</v>
      </c>
      <c r="I1105">
        <f t="shared" si="35"/>
        <v>21000</v>
      </c>
    </row>
    <row r="1106" spans="1:9" x14ac:dyDescent="0.35">
      <c r="A1106" s="4" t="s">
        <v>2017</v>
      </c>
      <c r="B1106" s="4" t="s">
        <v>864</v>
      </c>
      <c r="C1106" s="4" t="s">
        <v>898</v>
      </c>
      <c r="D1106" s="4">
        <v>1</v>
      </c>
      <c r="E1106" s="6">
        <v>27000</v>
      </c>
      <c r="F1106" t="str">
        <f>VLOOKUP(C1106,menu!A:B,2,FALSE)</f>
        <v>Ayam Geprek Sambal Bawang</v>
      </c>
      <c r="G1106">
        <f t="shared" si="34"/>
        <v>27000</v>
      </c>
      <c r="H1106">
        <f>VLOOKUP(C1106,menu!A:E,4,FALSE)</f>
        <v>11000</v>
      </c>
      <c r="I1106">
        <f t="shared" si="35"/>
        <v>16000</v>
      </c>
    </row>
    <row r="1107" spans="1:9" x14ac:dyDescent="0.35">
      <c r="A1107" s="4" t="s">
        <v>2018</v>
      </c>
      <c r="B1107" s="4" t="s">
        <v>361</v>
      </c>
      <c r="C1107" s="4" t="s">
        <v>896</v>
      </c>
      <c r="D1107" s="4">
        <v>2</v>
      </c>
      <c r="E1107" s="6">
        <v>23000</v>
      </c>
      <c r="F1107" t="str">
        <f>VLOOKUP(C1107,menu!A:B,2,FALSE)</f>
        <v>Nasi Uduk Komplit</v>
      </c>
      <c r="G1107">
        <f t="shared" si="34"/>
        <v>46000</v>
      </c>
      <c r="H1107">
        <f>VLOOKUP(C1107,menu!A:E,4,FALSE)</f>
        <v>9000</v>
      </c>
      <c r="I1107">
        <f t="shared" si="35"/>
        <v>28000</v>
      </c>
    </row>
    <row r="1108" spans="1:9" x14ac:dyDescent="0.35">
      <c r="A1108" s="4" t="s">
        <v>2019</v>
      </c>
      <c r="B1108" s="4" t="s">
        <v>361</v>
      </c>
      <c r="C1108" s="4" t="s">
        <v>890</v>
      </c>
      <c r="D1108" s="4">
        <v>1</v>
      </c>
      <c r="E1108" s="6">
        <v>18000</v>
      </c>
      <c r="F1108" t="str">
        <f>VLOOKUP(C1108,menu!A:B,2,FALSE)</f>
        <v>Es Kopi Susu Gula Aren</v>
      </c>
      <c r="G1108">
        <f t="shared" si="34"/>
        <v>18000</v>
      </c>
      <c r="H1108">
        <f>VLOOKUP(C1108,menu!A:E,4,FALSE)</f>
        <v>4500</v>
      </c>
      <c r="I1108">
        <f t="shared" si="35"/>
        <v>13500</v>
      </c>
    </row>
    <row r="1109" spans="1:9" x14ac:dyDescent="0.35">
      <c r="A1109" s="4" t="s">
        <v>2020</v>
      </c>
      <c r="B1109" s="4" t="s">
        <v>361</v>
      </c>
      <c r="C1109" s="4" t="s">
        <v>1003</v>
      </c>
      <c r="D1109" s="4">
        <v>1</v>
      </c>
      <c r="E1109" s="6">
        <v>29000</v>
      </c>
      <c r="F1109" t="str">
        <f>VLOOKUP(C1109,menu!A:B,2,FALSE)</f>
        <v>Capcay Seafood</v>
      </c>
      <c r="G1109">
        <f t="shared" si="34"/>
        <v>29000</v>
      </c>
      <c r="H1109">
        <f>VLOOKUP(C1109,menu!A:E,4,FALSE)</f>
        <v>13000</v>
      </c>
      <c r="I1109">
        <f t="shared" si="35"/>
        <v>16000</v>
      </c>
    </row>
    <row r="1110" spans="1:9" x14ac:dyDescent="0.35">
      <c r="A1110" s="4" t="s">
        <v>2021</v>
      </c>
      <c r="B1110" s="4" t="s">
        <v>361</v>
      </c>
      <c r="C1110" s="4" t="s">
        <v>935</v>
      </c>
      <c r="D1110" s="4">
        <v>3</v>
      </c>
      <c r="E1110" s="6">
        <v>22000</v>
      </c>
      <c r="F1110" t="str">
        <f>VLOOKUP(C1110,menu!A:B,2,FALSE)</f>
        <v>Soto Ayam Lamongan</v>
      </c>
      <c r="G1110">
        <f t="shared" si="34"/>
        <v>66000</v>
      </c>
      <c r="H1110">
        <f>VLOOKUP(C1110,menu!A:E,4,FALSE)</f>
        <v>9500</v>
      </c>
      <c r="I1110">
        <f t="shared" si="35"/>
        <v>37500</v>
      </c>
    </row>
    <row r="1111" spans="1:9" x14ac:dyDescent="0.35">
      <c r="A1111" s="4" t="s">
        <v>2022</v>
      </c>
      <c r="B1111" s="4" t="s">
        <v>770</v>
      </c>
      <c r="C1111" s="4" t="s">
        <v>1003</v>
      </c>
      <c r="D1111" s="4">
        <v>1</v>
      </c>
      <c r="E1111" s="6">
        <v>29000</v>
      </c>
      <c r="F1111" t="str">
        <f>VLOOKUP(C1111,menu!A:B,2,FALSE)</f>
        <v>Capcay Seafood</v>
      </c>
      <c r="G1111">
        <f t="shared" si="34"/>
        <v>29000</v>
      </c>
      <c r="H1111">
        <f>VLOOKUP(C1111,menu!A:E,4,FALSE)</f>
        <v>13000</v>
      </c>
      <c r="I1111">
        <f t="shared" si="35"/>
        <v>16000</v>
      </c>
    </row>
    <row r="1112" spans="1:9" x14ac:dyDescent="0.35">
      <c r="A1112" s="4" t="s">
        <v>2023</v>
      </c>
      <c r="B1112" s="4" t="s">
        <v>753</v>
      </c>
      <c r="C1112" s="4" t="s">
        <v>937</v>
      </c>
      <c r="D1112" s="4">
        <v>1</v>
      </c>
      <c r="E1112" s="6">
        <v>26000</v>
      </c>
      <c r="F1112" t="str">
        <f>VLOOKUP(C1112,menu!A:B,2,FALSE)</f>
        <v>Nasi Campur Bali</v>
      </c>
      <c r="G1112">
        <f t="shared" si="34"/>
        <v>26000</v>
      </c>
      <c r="H1112">
        <f>VLOOKUP(C1112,menu!A:E,4,FALSE)</f>
        <v>11500</v>
      </c>
      <c r="I1112">
        <f t="shared" si="35"/>
        <v>14500</v>
      </c>
    </row>
    <row r="1113" spans="1:9" x14ac:dyDescent="0.35">
      <c r="A1113" s="4" t="s">
        <v>2024</v>
      </c>
      <c r="B1113" s="4" t="s">
        <v>753</v>
      </c>
      <c r="C1113" s="4" t="s">
        <v>902</v>
      </c>
      <c r="D1113" s="4">
        <v>1</v>
      </c>
      <c r="E1113" s="6">
        <v>12000</v>
      </c>
      <c r="F1113" t="str">
        <f>VLOOKUP(C1113,menu!A:B,2,FALSE)</f>
        <v>Teh Tarik</v>
      </c>
      <c r="G1113">
        <f t="shared" si="34"/>
        <v>12000</v>
      </c>
      <c r="H1113">
        <f>VLOOKUP(C1113,menu!A:E,4,FALSE)</f>
        <v>3000</v>
      </c>
      <c r="I1113">
        <f t="shared" si="35"/>
        <v>9000</v>
      </c>
    </row>
    <row r="1114" spans="1:9" x14ac:dyDescent="0.35">
      <c r="A1114" s="4" t="s">
        <v>2025</v>
      </c>
      <c r="B1114" s="4" t="s">
        <v>325</v>
      </c>
      <c r="C1114" s="4" t="s">
        <v>898</v>
      </c>
      <c r="D1114" s="4">
        <v>1</v>
      </c>
      <c r="E1114" s="6">
        <v>27000</v>
      </c>
      <c r="F1114" t="str">
        <f>VLOOKUP(C1114,menu!A:B,2,FALSE)</f>
        <v>Ayam Geprek Sambal Bawang</v>
      </c>
      <c r="G1114">
        <f t="shared" si="34"/>
        <v>27000</v>
      </c>
      <c r="H1114">
        <f>VLOOKUP(C1114,menu!A:E,4,FALSE)</f>
        <v>11000</v>
      </c>
      <c r="I1114">
        <f t="shared" si="35"/>
        <v>16000</v>
      </c>
    </row>
    <row r="1115" spans="1:9" x14ac:dyDescent="0.35">
      <c r="A1115" s="4" t="s">
        <v>2026</v>
      </c>
      <c r="B1115" s="4" t="s">
        <v>325</v>
      </c>
      <c r="C1115" s="4" t="s">
        <v>1059</v>
      </c>
      <c r="D1115" s="4">
        <v>1</v>
      </c>
      <c r="E1115" s="6">
        <v>6000</v>
      </c>
      <c r="F1115" t="str">
        <f>VLOOKUP(C1115,menu!A:B,2,FALSE)</f>
        <v>Es Teh Manis</v>
      </c>
      <c r="G1115">
        <f t="shared" si="34"/>
        <v>6000</v>
      </c>
      <c r="H1115">
        <f>VLOOKUP(C1115,menu!A:E,4,FALSE)</f>
        <v>1500</v>
      </c>
      <c r="I1115">
        <f t="shared" si="35"/>
        <v>4500</v>
      </c>
    </row>
    <row r="1116" spans="1:9" x14ac:dyDescent="0.35">
      <c r="A1116" s="4" t="s">
        <v>2027</v>
      </c>
      <c r="B1116" s="4" t="s">
        <v>164</v>
      </c>
      <c r="C1116" s="4" t="s">
        <v>919</v>
      </c>
      <c r="D1116" s="4">
        <v>1</v>
      </c>
      <c r="E1116" s="6">
        <v>20000</v>
      </c>
      <c r="F1116" t="str">
        <f>VLOOKUP(C1116,menu!A:B,2,FALSE)</f>
        <v>Gado-Gado Jakarta</v>
      </c>
      <c r="G1116">
        <f t="shared" si="34"/>
        <v>20000</v>
      </c>
      <c r="H1116">
        <f>VLOOKUP(C1116,menu!A:E,4,FALSE)</f>
        <v>8000</v>
      </c>
      <c r="I1116">
        <f t="shared" si="35"/>
        <v>12000</v>
      </c>
    </row>
    <row r="1117" spans="1:9" x14ac:dyDescent="0.35">
      <c r="A1117" s="4" t="s">
        <v>2028</v>
      </c>
      <c r="B1117" s="4" t="s">
        <v>164</v>
      </c>
      <c r="C1117" s="4" t="s">
        <v>898</v>
      </c>
      <c r="D1117" s="4">
        <v>1</v>
      </c>
      <c r="E1117" s="6">
        <v>27000</v>
      </c>
      <c r="F1117" t="str">
        <f>VLOOKUP(C1117,menu!A:B,2,FALSE)</f>
        <v>Ayam Geprek Sambal Bawang</v>
      </c>
      <c r="G1117">
        <f t="shared" si="34"/>
        <v>27000</v>
      </c>
      <c r="H1117">
        <f>VLOOKUP(C1117,menu!A:E,4,FALSE)</f>
        <v>11000</v>
      </c>
      <c r="I1117">
        <f t="shared" si="35"/>
        <v>16000</v>
      </c>
    </row>
    <row r="1118" spans="1:9" x14ac:dyDescent="0.35">
      <c r="A1118" s="4" t="s">
        <v>2029</v>
      </c>
      <c r="B1118" s="4" t="s">
        <v>164</v>
      </c>
      <c r="C1118" s="4" t="s">
        <v>890</v>
      </c>
      <c r="D1118" s="4">
        <v>1</v>
      </c>
      <c r="E1118" s="6">
        <v>18000</v>
      </c>
      <c r="F1118" t="str">
        <f>VLOOKUP(C1118,menu!A:B,2,FALSE)</f>
        <v>Es Kopi Susu Gula Aren</v>
      </c>
      <c r="G1118">
        <f t="shared" si="34"/>
        <v>18000</v>
      </c>
      <c r="H1118">
        <f>VLOOKUP(C1118,menu!A:E,4,FALSE)</f>
        <v>4500</v>
      </c>
      <c r="I1118">
        <f t="shared" si="35"/>
        <v>13500</v>
      </c>
    </row>
    <row r="1119" spans="1:9" x14ac:dyDescent="0.35">
      <c r="A1119" s="4" t="s">
        <v>2030</v>
      </c>
      <c r="B1119" s="4" t="s">
        <v>164</v>
      </c>
      <c r="C1119" s="4" t="s">
        <v>896</v>
      </c>
      <c r="D1119" s="4">
        <v>1</v>
      </c>
      <c r="E1119" s="6">
        <v>23000</v>
      </c>
      <c r="F1119" t="str">
        <f>VLOOKUP(C1119,menu!A:B,2,FALSE)</f>
        <v>Nasi Uduk Komplit</v>
      </c>
      <c r="G1119">
        <f t="shared" si="34"/>
        <v>23000</v>
      </c>
      <c r="H1119">
        <f>VLOOKUP(C1119,menu!A:E,4,FALSE)</f>
        <v>9000</v>
      </c>
      <c r="I1119">
        <f t="shared" si="35"/>
        <v>14000</v>
      </c>
    </row>
    <row r="1120" spans="1:9" x14ac:dyDescent="0.35">
      <c r="A1120" s="4" t="s">
        <v>2031</v>
      </c>
      <c r="B1120" s="4" t="s">
        <v>164</v>
      </c>
      <c r="C1120" s="4" t="s">
        <v>900</v>
      </c>
      <c r="D1120" s="4">
        <v>1</v>
      </c>
      <c r="E1120" s="6">
        <v>8000</v>
      </c>
      <c r="F1120" t="str">
        <f>VLOOKUP(C1120,menu!A:B,2,FALSE)</f>
        <v>Es Jeruk Peras</v>
      </c>
      <c r="G1120">
        <f t="shared" si="34"/>
        <v>8000</v>
      </c>
      <c r="H1120">
        <f>VLOOKUP(C1120,menu!A:E,4,FALSE)</f>
        <v>2500</v>
      </c>
      <c r="I1120">
        <f t="shared" si="35"/>
        <v>5500</v>
      </c>
    </row>
    <row r="1121" spans="1:9" x14ac:dyDescent="0.35">
      <c r="A1121" s="4" t="s">
        <v>2032</v>
      </c>
      <c r="B1121" s="4" t="s">
        <v>166</v>
      </c>
      <c r="C1121" s="4" t="s">
        <v>931</v>
      </c>
      <c r="D1121" s="4">
        <v>2</v>
      </c>
      <c r="E1121" s="6">
        <v>5000</v>
      </c>
      <c r="F1121" t="str">
        <f>VLOOKUP(C1121,menu!A:B,2,FALSE)</f>
        <v>Kerupuk Udang</v>
      </c>
      <c r="G1121">
        <f t="shared" si="34"/>
        <v>10000</v>
      </c>
      <c r="H1121">
        <f>VLOOKUP(C1121,menu!A:E,4,FALSE)</f>
        <v>1500</v>
      </c>
      <c r="I1121">
        <f t="shared" si="35"/>
        <v>7000</v>
      </c>
    </row>
    <row r="1122" spans="1:9" x14ac:dyDescent="0.35">
      <c r="A1122" s="4" t="s">
        <v>2033</v>
      </c>
      <c r="B1122" s="4" t="s">
        <v>166</v>
      </c>
      <c r="C1122" s="4" t="s">
        <v>898</v>
      </c>
      <c r="D1122" s="4">
        <v>2</v>
      </c>
      <c r="E1122" s="6">
        <v>27000</v>
      </c>
      <c r="F1122" t="str">
        <f>VLOOKUP(C1122,menu!A:B,2,FALSE)</f>
        <v>Ayam Geprek Sambal Bawang</v>
      </c>
      <c r="G1122">
        <f t="shared" si="34"/>
        <v>54000</v>
      </c>
      <c r="H1122">
        <f>VLOOKUP(C1122,menu!A:E,4,FALSE)</f>
        <v>11000</v>
      </c>
      <c r="I1122">
        <f t="shared" si="35"/>
        <v>32000</v>
      </c>
    </row>
    <row r="1123" spans="1:9" x14ac:dyDescent="0.35">
      <c r="A1123" s="4" t="s">
        <v>2034</v>
      </c>
      <c r="B1123" s="4" t="s">
        <v>166</v>
      </c>
      <c r="C1123" s="4" t="s">
        <v>1059</v>
      </c>
      <c r="D1123" s="4">
        <v>1</v>
      </c>
      <c r="E1123" s="6">
        <v>6000</v>
      </c>
      <c r="F1123" t="str">
        <f>VLOOKUP(C1123,menu!A:B,2,FALSE)</f>
        <v>Es Teh Manis</v>
      </c>
      <c r="G1123">
        <f t="shared" si="34"/>
        <v>6000</v>
      </c>
      <c r="H1123">
        <f>VLOOKUP(C1123,menu!A:E,4,FALSE)</f>
        <v>1500</v>
      </c>
      <c r="I1123">
        <f t="shared" si="35"/>
        <v>4500</v>
      </c>
    </row>
    <row r="1124" spans="1:9" x14ac:dyDescent="0.35">
      <c r="A1124" s="4" t="s">
        <v>2035</v>
      </c>
      <c r="B1124" s="4" t="s">
        <v>398</v>
      </c>
      <c r="C1124" s="4" t="s">
        <v>898</v>
      </c>
      <c r="D1124" s="4">
        <v>1</v>
      </c>
      <c r="E1124" s="6">
        <v>27000</v>
      </c>
      <c r="F1124" t="str">
        <f>VLOOKUP(C1124,menu!A:B,2,FALSE)</f>
        <v>Ayam Geprek Sambal Bawang</v>
      </c>
      <c r="G1124">
        <f t="shared" si="34"/>
        <v>27000</v>
      </c>
      <c r="H1124">
        <f>VLOOKUP(C1124,menu!A:E,4,FALSE)</f>
        <v>11000</v>
      </c>
      <c r="I1124">
        <f t="shared" si="35"/>
        <v>16000</v>
      </c>
    </row>
    <row r="1125" spans="1:9" x14ac:dyDescent="0.35">
      <c r="A1125" s="4" t="s">
        <v>2036</v>
      </c>
      <c r="B1125" s="4" t="s">
        <v>173</v>
      </c>
      <c r="C1125" s="4" t="s">
        <v>898</v>
      </c>
      <c r="D1125" s="4">
        <v>1</v>
      </c>
      <c r="E1125" s="6">
        <v>27000</v>
      </c>
      <c r="F1125" t="str">
        <f>VLOOKUP(C1125,menu!A:B,2,FALSE)</f>
        <v>Ayam Geprek Sambal Bawang</v>
      </c>
      <c r="G1125">
        <f t="shared" si="34"/>
        <v>27000</v>
      </c>
      <c r="H1125">
        <f>VLOOKUP(C1125,menu!A:E,4,FALSE)</f>
        <v>11000</v>
      </c>
      <c r="I1125">
        <f t="shared" si="35"/>
        <v>16000</v>
      </c>
    </row>
    <row r="1126" spans="1:9" x14ac:dyDescent="0.35">
      <c r="A1126" s="4" t="s">
        <v>2037</v>
      </c>
      <c r="B1126" s="4" t="s">
        <v>499</v>
      </c>
      <c r="C1126" s="4" t="s">
        <v>898</v>
      </c>
      <c r="D1126" s="4">
        <v>1</v>
      </c>
      <c r="E1126" s="6">
        <v>27000</v>
      </c>
      <c r="F1126" t="str">
        <f>VLOOKUP(C1126,menu!A:B,2,FALSE)</f>
        <v>Ayam Geprek Sambal Bawang</v>
      </c>
      <c r="G1126">
        <f t="shared" si="34"/>
        <v>27000</v>
      </c>
      <c r="H1126">
        <f>VLOOKUP(C1126,menu!A:E,4,FALSE)</f>
        <v>11000</v>
      </c>
      <c r="I1126">
        <f t="shared" si="35"/>
        <v>16000</v>
      </c>
    </row>
    <row r="1127" spans="1:9" x14ac:dyDescent="0.35">
      <c r="A1127" s="4" t="s">
        <v>2038</v>
      </c>
      <c r="B1127" s="4" t="s">
        <v>392</v>
      </c>
      <c r="C1127" s="4" t="s">
        <v>898</v>
      </c>
      <c r="D1127" s="4">
        <v>1</v>
      </c>
      <c r="E1127" s="6">
        <v>27000</v>
      </c>
      <c r="F1127" t="str">
        <f>VLOOKUP(C1127,menu!A:B,2,FALSE)</f>
        <v>Ayam Geprek Sambal Bawang</v>
      </c>
      <c r="G1127">
        <f t="shared" si="34"/>
        <v>27000</v>
      </c>
      <c r="H1127">
        <f>VLOOKUP(C1127,menu!A:E,4,FALSE)</f>
        <v>11000</v>
      </c>
      <c r="I1127">
        <f t="shared" si="35"/>
        <v>16000</v>
      </c>
    </row>
    <row r="1128" spans="1:9" x14ac:dyDescent="0.35">
      <c r="A1128" s="4" t="s">
        <v>2039</v>
      </c>
      <c r="B1128" s="4" t="s">
        <v>392</v>
      </c>
      <c r="C1128" s="4" t="s">
        <v>928</v>
      </c>
      <c r="D1128" s="4">
        <v>1</v>
      </c>
      <c r="E1128" s="6">
        <v>23000</v>
      </c>
      <c r="F1128" t="str">
        <f>VLOOKUP(C1128,menu!A:B,2,FALSE)</f>
        <v>Mie Goreng Jawa</v>
      </c>
      <c r="G1128">
        <f t="shared" si="34"/>
        <v>23000</v>
      </c>
      <c r="H1128">
        <f>VLOOKUP(C1128,menu!A:E,4,FALSE)</f>
        <v>8500</v>
      </c>
      <c r="I1128">
        <f t="shared" si="35"/>
        <v>14500</v>
      </c>
    </row>
    <row r="1129" spans="1:9" x14ac:dyDescent="0.35">
      <c r="A1129" s="4" t="s">
        <v>2040</v>
      </c>
      <c r="B1129" s="4" t="s">
        <v>392</v>
      </c>
      <c r="C1129" s="4" t="s">
        <v>894</v>
      </c>
      <c r="D1129" s="4">
        <v>1</v>
      </c>
      <c r="E1129" s="6">
        <v>5000</v>
      </c>
      <c r="F1129" t="str">
        <f>VLOOKUP(C1129,menu!A:B,2,FALSE)</f>
        <v>Air Mineral Botol</v>
      </c>
      <c r="G1129">
        <f t="shared" si="34"/>
        <v>5000</v>
      </c>
      <c r="H1129">
        <f>VLOOKUP(C1129,menu!A:E,4,FALSE)</f>
        <v>2000</v>
      </c>
      <c r="I1129">
        <f t="shared" si="35"/>
        <v>3000</v>
      </c>
    </row>
    <row r="1130" spans="1:9" x14ac:dyDescent="0.35">
      <c r="A1130" s="4" t="s">
        <v>2041</v>
      </c>
      <c r="B1130" s="4" t="s">
        <v>523</v>
      </c>
      <c r="C1130" s="4" t="s">
        <v>898</v>
      </c>
      <c r="D1130" s="4">
        <v>2</v>
      </c>
      <c r="E1130" s="6">
        <v>27000</v>
      </c>
      <c r="F1130" t="str">
        <f>VLOOKUP(C1130,menu!A:B,2,FALSE)</f>
        <v>Ayam Geprek Sambal Bawang</v>
      </c>
      <c r="G1130">
        <f t="shared" si="34"/>
        <v>54000</v>
      </c>
      <c r="H1130">
        <f>VLOOKUP(C1130,menu!A:E,4,FALSE)</f>
        <v>11000</v>
      </c>
      <c r="I1130">
        <f t="shared" si="35"/>
        <v>32000</v>
      </c>
    </row>
    <row r="1131" spans="1:9" x14ac:dyDescent="0.35">
      <c r="A1131" s="4" t="s">
        <v>2042</v>
      </c>
      <c r="B1131" s="4" t="s">
        <v>523</v>
      </c>
      <c r="C1131" s="4" t="s">
        <v>1003</v>
      </c>
      <c r="D1131" s="4">
        <v>1</v>
      </c>
      <c r="E1131" s="6">
        <v>29000</v>
      </c>
      <c r="F1131" t="str">
        <f>VLOOKUP(C1131,menu!A:B,2,FALSE)</f>
        <v>Capcay Seafood</v>
      </c>
      <c r="G1131">
        <f t="shared" si="34"/>
        <v>29000</v>
      </c>
      <c r="H1131">
        <f>VLOOKUP(C1131,menu!A:E,4,FALSE)</f>
        <v>13000</v>
      </c>
      <c r="I1131">
        <f t="shared" si="35"/>
        <v>16000</v>
      </c>
    </row>
    <row r="1132" spans="1:9" x14ac:dyDescent="0.35">
      <c r="A1132" s="4" t="s">
        <v>2043</v>
      </c>
      <c r="B1132" s="4" t="s">
        <v>551</v>
      </c>
      <c r="C1132" s="4" t="s">
        <v>1671</v>
      </c>
      <c r="D1132" s="4">
        <v>2</v>
      </c>
      <c r="E1132" s="6">
        <v>25000</v>
      </c>
      <c r="F1132" t="str">
        <f>VLOOKUP(C1132,menu!A:B,2,FALSE)</f>
        <v>Nasi Goreng Spesial</v>
      </c>
      <c r="G1132">
        <f t="shared" si="34"/>
        <v>50000</v>
      </c>
      <c r="H1132">
        <f>VLOOKUP(C1132,menu!A:E,4,FALSE)</f>
        <v>9000</v>
      </c>
      <c r="I1132">
        <f t="shared" si="35"/>
        <v>32000</v>
      </c>
    </row>
    <row r="1133" spans="1:9" x14ac:dyDescent="0.35">
      <c r="A1133" s="4" t="s">
        <v>2044</v>
      </c>
      <c r="B1133" s="4" t="s">
        <v>551</v>
      </c>
      <c r="C1133" s="4" t="s">
        <v>931</v>
      </c>
      <c r="D1133" s="4">
        <v>1</v>
      </c>
      <c r="E1133" s="6">
        <v>5000</v>
      </c>
      <c r="F1133" t="str">
        <f>VLOOKUP(C1133,menu!A:B,2,FALSE)</f>
        <v>Kerupuk Udang</v>
      </c>
      <c r="G1133">
        <f t="shared" si="34"/>
        <v>5000</v>
      </c>
      <c r="H1133">
        <f>VLOOKUP(C1133,menu!A:E,4,FALSE)</f>
        <v>1500</v>
      </c>
      <c r="I1133">
        <f t="shared" si="35"/>
        <v>3500</v>
      </c>
    </row>
    <row r="1134" spans="1:9" x14ac:dyDescent="0.35">
      <c r="A1134" s="4" t="s">
        <v>2045</v>
      </c>
      <c r="B1134" s="4" t="s">
        <v>798</v>
      </c>
      <c r="C1134" s="4" t="s">
        <v>896</v>
      </c>
      <c r="D1134" s="4">
        <v>1</v>
      </c>
      <c r="E1134" s="6">
        <v>23000</v>
      </c>
      <c r="F1134" t="str">
        <f>VLOOKUP(C1134,menu!A:B,2,FALSE)</f>
        <v>Nasi Uduk Komplit</v>
      </c>
      <c r="G1134">
        <f t="shared" si="34"/>
        <v>23000</v>
      </c>
      <c r="H1134">
        <f>VLOOKUP(C1134,menu!A:E,4,FALSE)</f>
        <v>9000</v>
      </c>
      <c r="I1134">
        <f t="shared" si="35"/>
        <v>14000</v>
      </c>
    </row>
    <row r="1135" spans="1:9" x14ac:dyDescent="0.35">
      <c r="A1135" s="4" t="s">
        <v>2046</v>
      </c>
      <c r="B1135" s="4" t="s">
        <v>798</v>
      </c>
      <c r="C1135" s="4" t="s">
        <v>898</v>
      </c>
      <c r="D1135" s="4">
        <v>2</v>
      </c>
      <c r="E1135" s="6">
        <v>27000</v>
      </c>
      <c r="F1135" t="str">
        <f>VLOOKUP(C1135,menu!A:B,2,FALSE)</f>
        <v>Ayam Geprek Sambal Bawang</v>
      </c>
      <c r="G1135">
        <f t="shared" si="34"/>
        <v>54000</v>
      </c>
      <c r="H1135">
        <f>VLOOKUP(C1135,menu!A:E,4,FALSE)</f>
        <v>11000</v>
      </c>
      <c r="I1135">
        <f t="shared" si="35"/>
        <v>32000</v>
      </c>
    </row>
    <row r="1136" spans="1:9" x14ac:dyDescent="0.35">
      <c r="A1136" s="4" t="s">
        <v>2047</v>
      </c>
      <c r="B1136" s="4" t="s">
        <v>793</v>
      </c>
      <c r="C1136" s="4" t="s">
        <v>896</v>
      </c>
      <c r="D1136" s="4">
        <v>1</v>
      </c>
      <c r="E1136" s="6">
        <v>23000</v>
      </c>
      <c r="F1136" t="str">
        <f>VLOOKUP(C1136,menu!A:B,2,FALSE)</f>
        <v>Nasi Uduk Komplit</v>
      </c>
      <c r="G1136">
        <f t="shared" si="34"/>
        <v>23000</v>
      </c>
      <c r="H1136">
        <f>VLOOKUP(C1136,menu!A:E,4,FALSE)</f>
        <v>9000</v>
      </c>
      <c r="I1136">
        <f t="shared" si="35"/>
        <v>14000</v>
      </c>
    </row>
    <row r="1137" spans="1:9" x14ac:dyDescent="0.35">
      <c r="A1137" s="4" t="s">
        <v>2048</v>
      </c>
      <c r="B1137" s="4" t="s">
        <v>416</v>
      </c>
      <c r="C1137" s="4" t="s">
        <v>908</v>
      </c>
      <c r="D1137" s="4">
        <v>1</v>
      </c>
      <c r="E1137" s="6">
        <v>16000</v>
      </c>
      <c r="F1137" t="str">
        <f>VLOOKUP(C1137,menu!A:B,2,FALSE)</f>
        <v>Jus Alpukat</v>
      </c>
      <c r="G1137">
        <f t="shared" si="34"/>
        <v>16000</v>
      </c>
      <c r="H1137">
        <f>VLOOKUP(C1137,menu!A:E,4,FALSE)</f>
        <v>5500</v>
      </c>
      <c r="I1137">
        <f t="shared" si="35"/>
        <v>10500</v>
      </c>
    </row>
    <row r="1138" spans="1:9" x14ac:dyDescent="0.35">
      <c r="A1138" s="4" t="s">
        <v>2049</v>
      </c>
      <c r="B1138" s="4" t="s">
        <v>416</v>
      </c>
      <c r="C1138" s="4" t="s">
        <v>894</v>
      </c>
      <c r="D1138" s="4">
        <v>1</v>
      </c>
      <c r="E1138" s="6">
        <v>5000</v>
      </c>
      <c r="F1138" t="str">
        <f>VLOOKUP(C1138,menu!A:B,2,FALSE)</f>
        <v>Air Mineral Botol</v>
      </c>
      <c r="G1138">
        <f t="shared" si="34"/>
        <v>5000</v>
      </c>
      <c r="H1138">
        <f>VLOOKUP(C1138,menu!A:E,4,FALSE)</f>
        <v>2000</v>
      </c>
      <c r="I1138">
        <f t="shared" si="35"/>
        <v>3000</v>
      </c>
    </row>
    <row r="1139" spans="1:9" x14ac:dyDescent="0.35">
      <c r="A1139" s="4" t="s">
        <v>2050</v>
      </c>
      <c r="B1139" s="4" t="s">
        <v>341</v>
      </c>
      <c r="C1139" s="4" t="s">
        <v>900</v>
      </c>
      <c r="D1139" s="4">
        <v>1</v>
      </c>
      <c r="E1139" s="6">
        <v>8000</v>
      </c>
      <c r="F1139" t="str">
        <f>VLOOKUP(C1139,menu!A:B,2,FALSE)</f>
        <v>Es Jeruk Peras</v>
      </c>
      <c r="G1139">
        <f t="shared" si="34"/>
        <v>8000</v>
      </c>
      <c r="H1139">
        <f>VLOOKUP(C1139,menu!A:E,4,FALSE)</f>
        <v>2500</v>
      </c>
      <c r="I1139">
        <f t="shared" si="35"/>
        <v>5500</v>
      </c>
    </row>
    <row r="1140" spans="1:9" x14ac:dyDescent="0.35">
      <c r="A1140" s="4" t="s">
        <v>2051</v>
      </c>
      <c r="B1140" s="4" t="s">
        <v>341</v>
      </c>
      <c r="C1140" s="4" t="s">
        <v>908</v>
      </c>
      <c r="D1140" s="4">
        <v>3</v>
      </c>
      <c r="E1140" s="6">
        <v>16000</v>
      </c>
      <c r="F1140" t="str">
        <f>VLOOKUP(C1140,menu!A:B,2,FALSE)</f>
        <v>Jus Alpukat</v>
      </c>
      <c r="G1140">
        <f t="shared" si="34"/>
        <v>48000</v>
      </c>
      <c r="H1140">
        <f>VLOOKUP(C1140,menu!A:E,4,FALSE)</f>
        <v>5500</v>
      </c>
      <c r="I1140">
        <f t="shared" si="35"/>
        <v>31500</v>
      </c>
    </row>
    <row r="1141" spans="1:9" x14ac:dyDescent="0.35">
      <c r="A1141" s="4" t="s">
        <v>2052</v>
      </c>
      <c r="B1141" s="4" t="s">
        <v>578</v>
      </c>
      <c r="C1141" s="4" t="s">
        <v>898</v>
      </c>
      <c r="D1141" s="4">
        <v>2</v>
      </c>
      <c r="E1141" s="6">
        <v>27000</v>
      </c>
      <c r="F1141" t="str">
        <f>VLOOKUP(C1141,menu!A:B,2,FALSE)</f>
        <v>Ayam Geprek Sambal Bawang</v>
      </c>
      <c r="G1141">
        <f t="shared" si="34"/>
        <v>54000</v>
      </c>
      <c r="H1141">
        <f>VLOOKUP(C1141,menu!A:E,4,FALSE)</f>
        <v>11000</v>
      </c>
      <c r="I1141">
        <f t="shared" si="35"/>
        <v>32000</v>
      </c>
    </row>
    <row r="1142" spans="1:9" x14ac:dyDescent="0.35">
      <c r="A1142" s="4" t="s">
        <v>2053</v>
      </c>
      <c r="B1142" s="4" t="s">
        <v>529</v>
      </c>
      <c r="C1142" s="4" t="s">
        <v>935</v>
      </c>
      <c r="D1142" s="4">
        <v>1</v>
      </c>
      <c r="E1142" s="6">
        <v>22000</v>
      </c>
      <c r="F1142" t="str">
        <f>VLOOKUP(C1142,menu!A:B,2,FALSE)</f>
        <v>Soto Ayam Lamongan</v>
      </c>
      <c r="G1142">
        <f t="shared" si="34"/>
        <v>22000</v>
      </c>
      <c r="H1142">
        <f>VLOOKUP(C1142,menu!A:E,4,FALSE)</f>
        <v>9500</v>
      </c>
      <c r="I1142">
        <f t="shared" si="35"/>
        <v>12500</v>
      </c>
    </row>
    <row r="1143" spans="1:9" x14ac:dyDescent="0.35">
      <c r="A1143" s="4" t="s">
        <v>2054</v>
      </c>
      <c r="B1143" s="4" t="s">
        <v>529</v>
      </c>
      <c r="C1143" s="4" t="s">
        <v>898</v>
      </c>
      <c r="D1143" s="4">
        <v>1</v>
      </c>
      <c r="E1143" s="6">
        <v>27000</v>
      </c>
      <c r="F1143" t="str">
        <f>VLOOKUP(C1143,menu!A:B,2,FALSE)</f>
        <v>Ayam Geprek Sambal Bawang</v>
      </c>
      <c r="G1143">
        <f t="shared" si="34"/>
        <v>27000</v>
      </c>
      <c r="H1143">
        <f>VLOOKUP(C1143,menu!A:E,4,FALSE)</f>
        <v>11000</v>
      </c>
      <c r="I1143">
        <f t="shared" si="35"/>
        <v>16000</v>
      </c>
    </row>
    <row r="1144" spans="1:9" x14ac:dyDescent="0.35">
      <c r="A1144" s="4" t="s">
        <v>2055</v>
      </c>
      <c r="B1144" s="4" t="s">
        <v>529</v>
      </c>
      <c r="C1144" s="4" t="s">
        <v>919</v>
      </c>
      <c r="D1144" s="4">
        <v>1</v>
      </c>
      <c r="E1144" s="6">
        <v>20000</v>
      </c>
      <c r="F1144" t="str">
        <f>VLOOKUP(C1144,menu!A:B,2,FALSE)</f>
        <v>Gado-Gado Jakarta</v>
      </c>
      <c r="G1144">
        <f t="shared" si="34"/>
        <v>20000</v>
      </c>
      <c r="H1144">
        <f>VLOOKUP(C1144,menu!A:E,4,FALSE)</f>
        <v>8000</v>
      </c>
      <c r="I1144">
        <f t="shared" si="35"/>
        <v>12000</v>
      </c>
    </row>
    <row r="1145" spans="1:9" x14ac:dyDescent="0.35">
      <c r="A1145" s="4" t="s">
        <v>2056</v>
      </c>
      <c r="B1145" s="4" t="s">
        <v>502</v>
      </c>
      <c r="C1145" s="4" t="s">
        <v>898</v>
      </c>
      <c r="D1145" s="4">
        <v>1</v>
      </c>
      <c r="E1145" s="6">
        <v>27000</v>
      </c>
      <c r="F1145" t="str">
        <f>VLOOKUP(C1145,menu!A:B,2,FALSE)</f>
        <v>Ayam Geprek Sambal Bawang</v>
      </c>
      <c r="G1145">
        <f t="shared" si="34"/>
        <v>27000</v>
      </c>
      <c r="H1145">
        <f>VLOOKUP(C1145,menu!A:E,4,FALSE)</f>
        <v>11000</v>
      </c>
      <c r="I1145">
        <f t="shared" si="35"/>
        <v>16000</v>
      </c>
    </row>
    <row r="1146" spans="1:9" x14ac:dyDescent="0.35">
      <c r="A1146" s="4" t="s">
        <v>2057</v>
      </c>
      <c r="B1146" s="4" t="s">
        <v>502</v>
      </c>
      <c r="C1146" s="4" t="s">
        <v>896</v>
      </c>
      <c r="D1146" s="4">
        <v>1</v>
      </c>
      <c r="E1146" s="6">
        <v>23000</v>
      </c>
      <c r="F1146" t="str">
        <f>VLOOKUP(C1146,menu!A:B,2,FALSE)</f>
        <v>Nasi Uduk Komplit</v>
      </c>
      <c r="G1146">
        <f t="shared" si="34"/>
        <v>23000</v>
      </c>
      <c r="H1146">
        <f>VLOOKUP(C1146,menu!A:E,4,FALSE)</f>
        <v>9000</v>
      </c>
      <c r="I1146">
        <f t="shared" si="35"/>
        <v>14000</v>
      </c>
    </row>
    <row r="1147" spans="1:9" x14ac:dyDescent="0.35">
      <c r="A1147" s="4" t="s">
        <v>2058</v>
      </c>
      <c r="B1147" s="4" t="s">
        <v>174</v>
      </c>
      <c r="C1147" s="4" t="s">
        <v>894</v>
      </c>
      <c r="D1147" s="4">
        <v>1</v>
      </c>
      <c r="E1147" s="6">
        <v>5000</v>
      </c>
      <c r="F1147" t="str">
        <f>VLOOKUP(C1147,menu!A:B,2,FALSE)</f>
        <v>Air Mineral Botol</v>
      </c>
      <c r="G1147">
        <f t="shared" si="34"/>
        <v>5000</v>
      </c>
      <c r="H1147">
        <f>VLOOKUP(C1147,menu!A:E,4,FALSE)</f>
        <v>2000</v>
      </c>
      <c r="I1147">
        <f t="shared" si="35"/>
        <v>3000</v>
      </c>
    </row>
    <row r="1148" spans="1:9" x14ac:dyDescent="0.35">
      <c r="A1148" s="4" t="s">
        <v>2059</v>
      </c>
      <c r="B1148" s="4" t="s">
        <v>174</v>
      </c>
      <c r="C1148" s="4" t="s">
        <v>898</v>
      </c>
      <c r="D1148" s="4">
        <v>2</v>
      </c>
      <c r="E1148" s="6">
        <v>27000</v>
      </c>
      <c r="F1148" t="str">
        <f>VLOOKUP(C1148,menu!A:B,2,FALSE)</f>
        <v>Ayam Geprek Sambal Bawang</v>
      </c>
      <c r="G1148">
        <f t="shared" si="34"/>
        <v>54000</v>
      </c>
      <c r="H1148">
        <f>VLOOKUP(C1148,menu!A:E,4,FALSE)</f>
        <v>11000</v>
      </c>
      <c r="I1148">
        <f t="shared" si="35"/>
        <v>32000</v>
      </c>
    </row>
    <row r="1149" spans="1:9" x14ac:dyDescent="0.35">
      <c r="A1149" s="4" t="s">
        <v>2060</v>
      </c>
      <c r="B1149" s="4" t="s">
        <v>174</v>
      </c>
      <c r="C1149" s="4" t="s">
        <v>902</v>
      </c>
      <c r="D1149" s="4">
        <v>2</v>
      </c>
      <c r="E1149" s="6">
        <v>12000</v>
      </c>
      <c r="F1149" t="str">
        <f>VLOOKUP(C1149,menu!A:B,2,FALSE)</f>
        <v>Teh Tarik</v>
      </c>
      <c r="G1149">
        <f t="shared" si="34"/>
        <v>24000</v>
      </c>
      <c r="H1149">
        <f>VLOOKUP(C1149,menu!A:E,4,FALSE)</f>
        <v>3000</v>
      </c>
      <c r="I1149">
        <f t="shared" si="35"/>
        <v>18000</v>
      </c>
    </row>
    <row r="1150" spans="1:9" x14ac:dyDescent="0.35">
      <c r="A1150" s="4" t="s">
        <v>2061</v>
      </c>
      <c r="B1150" s="4" t="s">
        <v>310</v>
      </c>
      <c r="C1150" s="4" t="s">
        <v>898</v>
      </c>
      <c r="D1150" s="4">
        <v>1</v>
      </c>
      <c r="E1150" s="6">
        <v>27000</v>
      </c>
      <c r="F1150" t="str">
        <f>VLOOKUP(C1150,menu!A:B,2,FALSE)</f>
        <v>Ayam Geprek Sambal Bawang</v>
      </c>
      <c r="G1150">
        <f t="shared" si="34"/>
        <v>27000</v>
      </c>
      <c r="H1150">
        <f>VLOOKUP(C1150,menu!A:E,4,FALSE)</f>
        <v>11000</v>
      </c>
      <c r="I1150">
        <f t="shared" si="35"/>
        <v>16000</v>
      </c>
    </row>
    <row r="1151" spans="1:9" x14ac:dyDescent="0.35">
      <c r="A1151" s="4" t="s">
        <v>2062</v>
      </c>
      <c r="B1151" s="4" t="s">
        <v>290</v>
      </c>
      <c r="C1151" s="4" t="s">
        <v>890</v>
      </c>
      <c r="D1151" s="4">
        <v>1</v>
      </c>
      <c r="E1151" s="6">
        <v>18000</v>
      </c>
      <c r="F1151" t="str">
        <f>VLOOKUP(C1151,menu!A:B,2,FALSE)</f>
        <v>Es Kopi Susu Gula Aren</v>
      </c>
      <c r="G1151">
        <f t="shared" si="34"/>
        <v>18000</v>
      </c>
      <c r="H1151">
        <f>VLOOKUP(C1151,menu!A:E,4,FALSE)</f>
        <v>4500</v>
      </c>
      <c r="I1151">
        <f t="shared" si="35"/>
        <v>13500</v>
      </c>
    </row>
    <row r="1152" spans="1:9" x14ac:dyDescent="0.35">
      <c r="A1152" s="4" t="s">
        <v>2063</v>
      </c>
      <c r="B1152" s="4" t="s">
        <v>290</v>
      </c>
      <c r="C1152" s="4" t="s">
        <v>898</v>
      </c>
      <c r="D1152" s="4">
        <v>3</v>
      </c>
      <c r="E1152" s="6">
        <v>27000</v>
      </c>
      <c r="F1152" t="str">
        <f>VLOOKUP(C1152,menu!A:B,2,FALSE)</f>
        <v>Ayam Geprek Sambal Bawang</v>
      </c>
      <c r="G1152">
        <f t="shared" si="34"/>
        <v>81000</v>
      </c>
      <c r="H1152">
        <f>VLOOKUP(C1152,menu!A:E,4,FALSE)</f>
        <v>11000</v>
      </c>
      <c r="I1152">
        <f t="shared" si="35"/>
        <v>48000</v>
      </c>
    </row>
    <row r="1153" spans="1:9" x14ac:dyDescent="0.35">
      <c r="A1153" s="4" t="s">
        <v>2064</v>
      </c>
      <c r="B1153" s="4" t="s">
        <v>290</v>
      </c>
      <c r="C1153" s="4" t="s">
        <v>894</v>
      </c>
      <c r="D1153" s="4">
        <v>3</v>
      </c>
      <c r="E1153" s="6">
        <v>5000</v>
      </c>
      <c r="F1153" t="str">
        <f>VLOOKUP(C1153,menu!A:B,2,FALSE)</f>
        <v>Air Mineral Botol</v>
      </c>
      <c r="G1153">
        <f t="shared" si="34"/>
        <v>15000</v>
      </c>
      <c r="H1153">
        <f>VLOOKUP(C1153,menu!A:E,4,FALSE)</f>
        <v>2000</v>
      </c>
      <c r="I1153">
        <f t="shared" si="35"/>
        <v>9000</v>
      </c>
    </row>
    <row r="1154" spans="1:9" x14ac:dyDescent="0.35">
      <c r="A1154" s="4" t="s">
        <v>2065</v>
      </c>
      <c r="B1154" s="4" t="s">
        <v>725</v>
      </c>
      <c r="C1154" s="4" t="s">
        <v>894</v>
      </c>
      <c r="D1154" s="4">
        <v>1</v>
      </c>
      <c r="E1154" s="6">
        <v>5000</v>
      </c>
      <c r="F1154" t="str">
        <f>VLOOKUP(C1154,menu!A:B,2,FALSE)</f>
        <v>Air Mineral Botol</v>
      </c>
      <c r="G1154">
        <f t="shared" si="34"/>
        <v>5000</v>
      </c>
      <c r="H1154">
        <f>VLOOKUP(C1154,menu!A:E,4,FALSE)</f>
        <v>2000</v>
      </c>
      <c r="I1154">
        <f t="shared" si="35"/>
        <v>3000</v>
      </c>
    </row>
    <row r="1155" spans="1:9" x14ac:dyDescent="0.35">
      <c r="A1155" s="4" t="s">
        <v>2066</v>
      </c>
      <c r="B1155" s="4" t="s">
        <v>725</v>
      </c>
      <c r="C1155" s="4" t="s">
        <v>898</v>
      </c>
      <c r="D1155" s="4">
        <v>2</v>
      </c>
      <c r="E1155" s="6">
        <v>27000</v>
      </c>
      <c r="F1155" t="str">
        <f>VLOOKUP(C1155,menu!A:B,2,FALSE)</f>
        <v>Ayam Geprek Sambal Bawang</v>
      </c>
      <c r="G1155">
        <f t="shared" ref="G1155:G1218" si="36">D1155*E1155</f>
        <v>54000</v>
      </c>
      <c r="H1155">
        <f>VLOOKUP(C1155,menu!A:E,4,FALSE)</f>
        <v>11000</v>
      </c>
      <c r="I1155">
        <f t="shared" ref="I1155:I1218" si="37">(E1155-H1155)*D1155</f>
        <v>32000</v>
      </c>
    </row>
    <row r="1156" spans="1:9" x14ac:dyDescent="0.35">
      <c r="A1156" s="4" t="s">
        <v>2067</v>
      </c>
      <c r="B1156" s="4" t="s">
        <v>725</v>
      </c>
      <c r="C1156" s="4" t="s">
        <v>904</v>
      </c>
      <c r="D1156" s="4">
        <v>2</v>
      </c>
      <c r="E1156" s="6">
        <v>22000</v>
      </c>
      <c r="F1156" t="str">
        <f>VLOOKUP(C1156,menu!A:B,2,FALSE)</f>
        <v>Pecel Lele</v>
      </c>
      <c r="G1156">
        <f t="shared" si="36"/>
        <v>44000</v>
      </c>
      <c r="H1156">
        <f>VLOOKUP(C1156,menu!A:E,4,FALSE)</f>
        <v>9500</v>
      </c>
      <c r="I1156">
        <f t="shared" si="37"/>
        <v>25000</v>
      </c>
    </row>
    <row r="1157" spans="1:9" x14ac:dyDescent="0.35">
      <c r="A1157" s="4" t="s">
        <v>2068</v>
      </c>
      <c r="B1157" s="4" t="s">
        <v>604</v>
      </c>
      <c r="C1157" s="4" t="s">
        <v>892</v>
      </c>
      <c r="D1157" s="4">
        <v>1</v>
      </c>
      <c r="E1157" s="6">
        <v>9000</v>
      </c>
      <c r="F1157" t="str">
        <f>VLOOKUP(C1157,menu!A:B,2,FALSE)</f>
        <v>Tempe Mendoan (5pcs)</v>
      </c>
      <c r="G1157">
        <f t="shared" si="36"/>
        <v>9000</v>
      </c>
      <c r="H1157">
        <f>VLOOKUP(C1157,menu!A:E,4,FALSE)</f>
        <v>3000</v>
      </c>
      <c r="I1157">
        <f t="shared" si="37"/>
        <v>6000</v>
      </c>
    </row>
    <row r="1158" spans="1:9" x14ac:dyDescent="0.35">
      <c r="A1158" s="4" t="s">
        <v>2069</v>
      </c>
      <c r="B1158" s="4" t="s">
        <v>604</v>
      </c>
      <c r="C1158" s="4" t="s">
        <v>940</v>
      </c>
      <c r="D1158" s="4">
        <v>1</v>
      </c>
      <c r="E1158" s="6">
        <v>10000</v>
      </c>
      <c r="F1158" t="str">
        <f>VLOOKUP(C1158,menu!A:B,2,FALSE)</f>
        <v>Tahu Isi Goreng (5pcs)</v>
      </c>
      <c r="G1158">
        <f t="shared" si="36"/>
        <v>10000</v>
      </c>
      <c r="H1158">
        <f>VLOOKUP(C1158,menu!A:E,4,FALSE)</f>
        <v>3500</v>
      </c>
      <c r="I1158">
        <f t="shared" si="37"/>
        <v>6500</v>
      </c>
    </row>
    <row r="1159" spans="1:9" x14ac:dyDescent="0.35">
      <c r="A1159" s="4" t="s">
        <v>2070</v>
      </c>
      <c r="B1159" s="4" t="s">
        <v>478</v>
      </c>
      <c r="C1159" s="4" t="s">
        <v>898</v>
      </c>
      <c r="D1159" s="4">
        <v>2</v>
      </c>
      <c r="E1159" s="6">
        <v>27000</v>
      </c>
      <c r="F1159" t="str">
        <f>VLOOKUP(C1159,menu!A:B,2,FALSE)</f>
        <v>Ayam Geprek Sambal Bawang</v>
      </c>
      <c r="G1159">
        <f t="shared" si="36"/>
        <v>54000</v>
      </c>
      <c r="H1159">
        <f>VLOOKUP(C1159,menu!A:E,4,FALSE)</f>
        <v>11000</v>
      </c>
      <c r="I1159">
        <f t="shared" si="37"/>
        <v>32000</v>
      </c>
    </row>
    <row r="1160" spans="1:9" x14ac:dyDescent="0.35">
      <c r="A1160" s="4" t="s">
        <v>2071</v>
      </c>
      <c r="B1160" s="4" t="s">
        <v>478</v>
      </c>
      <c r="C1160" s="4" t="s">
        <v>919</v>
      </c>
      <c r="D1160" s="4">
        <v>2</v>
      </c>
      <c r="E1160" s="6">
        <v>20000</v>
      </c>
      <c r="F1160" t="str">
        <f>VLOOKUP(C1160,menu!A:B,2,FALSE)</f>
        <v>Gado-Gado Jakarta</v>
      </c>
      <c r="G1160">
        <f t="shared" si="36"/>
        <v>40000</v>
      </c>
      <c r="H1160">
        <f>VLOOKUP(C1160,menu!A:E,4,FALSE)</f>
        <v>8000</v>
      </c>
      <c r="I1160">
        <f t="shared" si="37"/>
        <v>24000</v>
      </c>
    </row>
    <row r="1161" spans="1:9" x14ac:dyDescent="0.35">
      <c r="A1161" s="4" t="s">
        <v>2072</v>
      </c>
      <c r="B1161" s="4" t="s">
        <v>478</v>
      </c>
      <c r="C1161" s="4" t="s">
        <v>937</v>
      </c>
      <c r="D1161" s="4">
        <v>1</v>
      </c>
      <c r="E1161" s="6">
        <v>26000</v>
      </c>
      <c r="F1161" t="str">
        <f>VLOOKUP(C1161,menu!A:B,2,FALSE)</f>
        <v>Nasi Campur Bali</v>
      </c>
      <c r="G1161">
        <f t="shared" si="36"/>
        <v>26000</v>
      </c>
      <c r="H1161">
        <f>VLOOKUP(C1161,menu!A:E,4,FALSE)</f>
        <v>11500</v>
      </c>
      <c r="I1161">
        <f t="shared" si="37"/>
        <v>14500</v>
      </c>
    </row>
    <row r="1162" spans="1:9" x14ac:dyDescent="0.35">
      <c r="A1162" s="4" t="s">
        <v>2073</v>
      </c>
      <c r="B1162" s="4" t="s">
        <v>574</v>
      </c>
      <c r="C1162" s="4" t="s">
        <v>955</v>
      </c>
      <c r="D1162" s="4">
        <v>1</v>
      </c>
      <c r="E1162" s="6">
        <v>15000</v>
      </c>
      <c r="F1162" t="str">
        <f>VLOOKUP(C1162,menu!A:B,2,FALSE)</f>
        <v>Es Campur</v>
      </c>
      <c r="G1162">
        <f t="shared" si="36"/>
        <v>15000</v>
      </c>
      <c r="H1162">
        <f>VLOOKUP(C1162,menu!A:E,4,FALSE)</f>
        <v>6000</v>
      </c>
      <c r="I1162">
        <f t="shared" si="37"/>
        <v>9000</v>
      </c>
    </row>
    <row r="1163" spans="1:9" x14ac:dyDescent="0.35">
      <c r="A1163" s="4" t="s">
        <v>2074</v>
      </c>
      <c r="B1163" s="4" t="s">
        <v>574</v>
      </c>
      <c r="C1163" s="4" t="s">
        <v>898</v>
      </c>
      <c r="D1163" s="4">
        <v>1</v>
      </c>
      <c r="E1163" s="6">
        <v>27000</v>
      </c>
      <c r="F1163" t="str">
        <f>VLOOKUP(C1163,menu!A:B,2,FALSE)</f>
        <v>Ayam Geprek Sambal Bawang</v>
      </c>
      <c r="G1163">
        <f t="shared" si="36"/>
        <v>27000</v>
      </c>
      <c r="H1163">
        <f>VLOOKUP(C1163,menu!A:E,4,FALSE)</f>
        <v>11000</v>
      </c>
      <c r="I1163">
        <f t="shared" si="37"/>
        <v>16000</v>
      </c>
    </row>
    <row r="1164" spans="1:9" x14ac:dyDescent="0.35">
      <c r="A1164" s="4" t="s">
        <v>2075</v>
      </c>
      <c r="B1164" s="4" t="s">
        <v>270</v>
      </c>
      <c r="C1164" s="4" t="s">
        <v>892</v>
      </c>
      <c r="D1164" s="4">
        <v>1</v>
      </c>
      <c r="E1164" s="6">
        <v>9000</v>
      </c>
      <c r="F1164" t="str">
        <f>VLOOKUP(C1164,menu!A:B,2,FALSE)</f>
        <v>Tempe Mendoan (5pcs)</v>
      </c>
      <c r="G1164">
        <f t="shared" si="36"/>
        <v>9000</v>
      </c>
      <c r="H1164">
        <f>VLOOKUP(C1164,menu!A:E,4,FALSE)</f>
        <v>3000</v>
      </c>
      <c r="I1164">
        <f t="shared" si="37"/>
        <v>6000</v>
      </c>
    </row>
    <row r="1165" spans="1:9" x14ac:dyDescent="0.35">
      <c r="A1165" s="4" t="s">
        <v>2076</v>
      </c>
      <c r="B1165" s="4" t="s">
        <v>270</v>
      </c>
      <c r="C1165" s="4" t="s">
        <v>908</v>
      </c>
      <c r="D1165" s="4">
        <v>1</v>
      </c>
      <c r="E1165" s="6">
        <v>16000</v>
      </c>
      <c r="F1165" t="str">
        <f>VLOOKUP(C1165,menu!A:B,2,FALSE)</f>
        <v>Jus Alpukat</v>
      </c>
      <c r="G1165">
        <f t="shared" si="36"/>
        <v>16000</v>
      </c>
      <c r="H1165">
        <f>VLOOKUP(C1165,menu!A:E,4,FALSE)</f>
        <v>5500</v>
      </c>
      <c r="I1165">
        <f t="shared" si="37"/>
        <v>10500</v>
      </c>
    </row>
    <row r="1166" spans="1:9" x14ac:dyDescent="0.35">
      <c r="A1166" s="4" t="s">
        <v>2077</v>
      </c>
      <c r="B1166" s="4" t="s">
        <v>270</v>
      </c>
      <c r="C1166" s="4" t="s">
        <v>904</v>
      </c>
      <c r="D1166" s="4">
        <v>1</v>
      </c>
      <c r="E1166" s="6">
        <v>22000</v>
      </c>
      <c r="F1166" t="str">
        <f>VLOOKUP(C1166,menu!A:B,2,FALSE)</f>
        <v>Pecel Lele</v>
      </c>
      <c r="G1166">
        <f t="shared" si="36"/>
        <v>22000</v>
      </c>
      <c r="H1166">
        <f>VLOOKUP(C1166,menu!A:E,4,FALSE)</f>
        <v>9500</v>
      </c>
      <c r="I1166">
        <f t="shared" si="37"/>
        <v>12500</v>
      </c>
    </row>
    <row r="1167" spans="1:9" x14ac:dyDescent="0.35">
      <c r="A1167" s="4" t="s">
        <v>2078</v>
      </c>
      <c r="B1167" s="4" t="s">
        <v>766</v>
      </c>
      <c r="C1167" s="4" t="s">
        <v>890</v>
      </c>
      <c r="D1167" s="4">
        <v>1</v>
      </c>
      <c r="E1167" s="6">
        <v>18000</v>
      </c>
      <c r="F1167" t="str">
        <f>VLOOKUP(C1167,menu!A:B,2,FALSE)</f>
        <v>Es Kopi Susu Gula Aren</v>
      </c>
      <c r="G1167">
        <f t="shared" si="36"/>
        <v>18000</v>
      </c>
      <c r="H1167">
        <f>VLOOKUP(C1167,menu!A:E,4,FALSE)</f>
        <v>4500</v>
      </c>
      <c r="I1167">
        <f t="shared" si="37"/>
        <v>13500</v>
      </c>
    </row>
    <row r="1168" spans="1:9" x14ac:dyDescent="0.35">
      <c r="A1168" s="4" t="s">
        <v>2079</v>
      </c>
      <c r="B1168" s="4" t="s">
        <v>766</v>
      </c>
      <c r="C1168" s="4" t="s">
        <v>898</v>
      </c>
      <c r="D1168" s="4">
        <v>1</v>
      </c>
      <c r="E1168" s="6">
        <v>27000</v>
      </c>
      <c r="F1168" t="str">
        <f>VLOOKUP(C1168,menu!A:B,2,FALSE)</f>
        <v>Ayam Geprek Sambal Bawang</v>
      </c>
      <c r="G1168">
        <f t="shared" si="36"/>
        <v>27000</v>
      </c>
      <c r="H1168">
        <f>VLOOKUP(C1168,menu!A:E,4,FALSE)</f>
        <v>11000</v>
      </c>
      <c r="I1168">
        <f t="shared" si="37"/>
        <v>16000</v>
      </c>
    </row>
    <row r="1169" spans="1:9" x14ac:dyDescent="0.35">
      <c r="A1169" s="4" t="s">
        <v>2080</v>
      </c>
      <c r="B1169" s="4" t="s">
        <v>344</v>
      </c>
      <c r="C1169" s="4" t="s">
        <v>898</v>
      </c>
      <c r="D1169" s="4">
        <v>1</v>
      </c>
      <c r="E1169" s="6">
        <v>27000</v>
      </c>
      <c r="F1169" t="str">
        <f>VLOOKUP(C1169,menu!A:B,2,FALSE)</f>
        <v>Ayam Geprek Sambal Bawang</v>
      </c>
      <c r="G1169">
        <f t="shared" si="36"/>
        <v>27000</v>
      </c>
      <c r="H1169">
        <f>VLOOKUP(C1169,menu!A:E,4,FALSE)</f>
        <v>11000</v>
      </c>
      <c r="I1169">
        <f t="shared" si="37"/>
        <v>16000</v>
      </c>
    </row>
    <row r="1170" spans="1:9" x14ac:dyDescent="0.35">
      <c r="A1170" s="4" t="s">
        <v>2081</v>
      </c>
      <c r="B1170" s="4" t="s">
        <v>344</v>
      </c>
      <c r="C1170" s="4" t="s">
        <v>896</v>
      </c>
      <c r="D1170" s="4">
        <v>3</v>
      </c>
      <c r="E1170" s="6">
        <v>23000</v>
      </c>
      <c r="F1170" t="str">
        <f>VLOOKUP(C1170,menu!A:B,2,FALSE)</f>
        <v>Nasi Uduk Komplit</v>
      </c>
      <c r="G1170">
        <f t="shared" si="36"/>
        <v>69000</v>
      </c>
      <c r="H1170">
        <f>VLOOKUP(C1170,menu!A:E,4,FALSE)</f>
        <v>9000</v>
      </c>
      <c r="I1170">
        <f t="shared" si="37"/>
        <v>42000</v>
      </c>
    </row>
    <row r="1171" spans="1:9" x14ac:dyDescent="0.35">
      <c r="A1171" s="4" t="s">
        <v>2082</v>
      </c>
      <c r="B1171" s="4" t="s">
        <v>344</v>
      </c>
      <c r="C1171" s="4" t="s">
        <v>937</v>
      </c>
      <c r="D1171" s="4">
        <v>1</v>
      </c>
      <c r="E1171" s="6">
        <v>26000</v>
      </c>
      <c r="F1171" t="str">
        <f>VLOOKUP(C1171,menu!A:B,2,FALSE)</f>
        <v>Nasi Campur Bali</v>
      </c>
      <c r="G1171">
        <f t="shared" si="36"/>
        <v>26000</v>
      </c>
      <c r="H1171">
        <f>VLOOKUP(C1171,menu!A:E,4,FALSE)</f>
        <v>11500</v>
      </c>
      <c r="I1171">
        <f t="shared" si="37"/>
        <v>14500</v>
      </c>
    </row>
    <row r="1172" spans="1:9" x14ac:dyDescent="0.35">
      <c r="A1172" s="4" t="s">
        <v>2083</v>
      </c>
      <c r="B1172" s="4" t="s">
        <v>106</v>
      </c>
      <c r="C1172" s="4" t="s">
        <v>940</v>
      </c>
      <c r="D1172" s="4">
        <v>1</v>
      </c>
      <c r="E1172" s="6">
        <v>10000</v>
      </c>
      <c r="F1172" t="str">
        <f>VLOOKUP(C1172,menu!A:B,2,FALSE)</f>
        <v>Tahu Isi Goreng (5pcs)</v>
      </c>
      <c r="G1172">
        <f t="shared" si="36"/>
        <v>10000</v>
      </c>
      <c r="H1172">
        <f>VLOOKUP(C1172,menu!A:E,4,FALSE)</f>
        <v>3500</v>
      </c>
      <c r="I1172">
        <f t="shared" si="37"/>
        <v>6500</v>
      </c>
    </row>
    <row r="1173" spans="1:9" x14ac:dyDescent="0.35">
      <c r="A1173" s="4" t="s">
        <v>2084</v>
      </c>
      <c r="B1173" s="4" t="s">
        <v>106</v>
      </c>
      <c r="C1173" s="4" t="s">
        <v>898</v>
      </c>
      <c r="D1173" s="4">
        <v>2</v>
      </c>
      <c r="E1173" s="6">
        <v>27000</v>
      </c>
      <c r="F1173" t="str">
        <f>VLOOKUP(C1173,menu!A:B,2,FALSE)</f>
        <v>Ayam Geprek Sambal Bawang</v>
      </c>
      <c r="G1173">
        <f t="shared" si="36"/>
        <v>54000</v>
      </c>
      <c r="H1173">
        <f>VLOOKUP(C1173,menu!A:E,4,FALSE)</f>
        <v>11000</v>
      </c>
      <c r="I1173">
        <f t="shared" si="37"/>
        <v>32000</v>
      </c>
    </row>
    <row r="1174" spans="1:9" x14ac:dyDescent="0.35">
      <c r="A1174" s="4" t="s">
        <v>2085</v>
      </c>
      <c r="B1174" s="4" t="s">
        <v>834</v>
      </c>
      <c r="C1174" s="4" t="s">
        <v>919</v>
      </c>
      <c r="D1174" s="4">
        <v>2</v>
      </c>
      <c r="E1174" s="6">
        <v>20000</v>
      </c>
      <c r="F1174" t="str">
        <f>VLOOKUP(C1174,menu!A:B,2,FALSE)</f>
        <v>Gado-Gado Jakarta</v>
      </c>
      <c r="G1174">
        <f t="shared" si="36"/>
        <v>40000</v>
      </c>
      <c r="H1174">
        <f>VLOOKUP(C1174,menu!A:E,4,FALSE)</f>
        <v>8000</v>
      </c>
      <c r="I1174">
        <f t="shared" si="37"/>
        <v>24000</v>
      </c>
    </row>
    <row r="1175" spans="1:9" x14ac:dyDescent="0.35">
      <c r="A1175" s="4" t="s">
        <v>2086</v>
      </c>
      <c r="B1175" s="4" t="s">
        <v>834</v>
      </c>
      <c r="C1175" s="4" t="s">
        <v>908</v>
      </c>
      <c r="D1175" s="4">
        <v>3</v>
      </c>
      <c r="E1175" s="6">
        <v>16000</v>
      </c>
      <c r="F1175" t="str">
        <f>VLOOKUP(C1175,menu!A:B,2,FALSE)</f>
        <v>Jus Alpukat</v>
      </c>
      <c r="G1175">
        <f t="shared" si="36"/>
        <v>48000</v>
      </c>
      <c r="H1175">
        <f>VLOOKUP(C1175,menu!A:E,4,FALSE)</f>
        <v>5500</v>
      </c>
      <c r="I1175">
        <f t="shared" si="37"/>
        <v>31500</v>
      </c>
    </row>
    <row r="1176" spans="1:9" x14ac:dyDescent="0.35">
      <c r="A1176" s="4" t="s">
        <v>2087</v>
      </c>
      <c r="B1176" s="4" t="s">
        <v>834</v>
      </c>
      <c r="C1176" s="4" t="s">
        <v>955</v>
      </c>
      <c r="D1176" s="4">
        <v>1</v>
      </c>
      <c r="E1176" s="6">
        <v>15000</v>
      </c>
      <c r="F1176" t="str">
        <f>VLOOKUP(C1176,menu!A:B,2,FALSE)</f>
        <v>Es Campur</v>
      </c>
      <c r="G1176">
        <f t="shared" si="36"/>
        <v>15000</v>
      </c>
      <c r="H1176">
        <f>VLOOKUP(C1176,menu!A:E,4,FALSE)</f>
        <v>6000</v>
      </c>
      <c r="I1176">
        <f t="shared" si="37"/>
        <v>9000</v>
      </c>
    </row>
    <row r="1177" spans="1:9" x14ac:dyDescent="0.35">
      <c r="A1177" s="4" t="s">
        <v>2088</v>
      </c>
      <c r="B1177" s="4" t="s">
        <v>834</v>
      </c>
      <c r="C1177" s="4" t="s">
        <v>896</v>
      </c>
      <c r="D1177" s="4">
        <v>3</v>
      </c>
      <c r="E1177" s="6">
        <v>23000</v>
      </c>
      <c r="F1177" t="str">
        <f>VLOOKUP(C1177,menu!A:B,2,FALSE)</f>
        <v>Nasi Uduk Komplit</v>
      </c>
      <c r="G1177">
        <f t="shared" si="36"/>
        <v>69000</v>
      </c>
      <c r="H1177">
        <f>VLOOKUP(C1177,menu!A:E,4,FALSE)</f>
        <v>9000</v>
      </c>
      <c r="I1177">
        <f t="shared" si="37"/>
        <v>42000</v>
      </c>
    </row>
    <row r="1178" spans="1:9" x14ac:dyDescent="0.35">
      <c r="A1178" s="4" t="s">
        <v>2089</v>
      </c>
      <c r="B1178" s="4" t="s">
        <v>834</v>
      </c>
      <c r="C1178" s="4" t="s">
        <v>928</v>
      </c>
      <c r="D1178" s="4">
        <v>1</v>
      </c>
      <c r="E1178" s="6">
        <v>23000</v>
      </c>
      <c r="F1178" t="str">
        <f>VLOOKUP(C1178,menu!A:B,2,FALSE)</f>
        <v>Mie Goreng Jawa</v>
      </c>
      <c r="G1178">
        <f t="shared" si="36"/>
        <v>23000</v>
      </c>
      <c r="H1178">
        <f>VLOOKUP(C1178,menu!A:E,4,FALSE)</f>
        <v>8500</v>
      </c>
      <c r="I1178">
        <f t="shared" si="37"/>
        <v>14500</v>
      </c>
    </row>
    <row r="1179" spans="1:9" x14ac:dyDescent="0.35">
      <c r="A1179" s="4" t="s">
        <v>2090</v>
      </c>
      <c r="B1179" s="4" t="s">
        <v>178</v>
      </c>
      <c r="C1179" s="4" t="s">
        <v>890</v>
      </c>
      <c r="D1179" s="4">
        <v>1</v>
      </c>
      <c r="E1179" s="6">
        <v>18000</v>
      </c>
      <c r="F1179" t="str">
        <f>VLOOKUP(C1179,menu!A:B,2,FALSE)</f>
        <v>Es Kopi Susu Gula Aren</v>
      </c>
      <c r="G1179">
        <f t="shared" si="36"/>
        <v>18000</v>
      </c>
      <c r="H1179">
        <f>VLOOKUP(C1179,menu!A:E,4,FALSE)</f>
        <v>4500</v>
      </c>
      <c r="I1179">
        <f t="shared" si="37"/>
        <v>13500</v>
      </c>
    </row>
    <row r="1180" spans="1:9" x14ac:dyDescent="0.35">
      <c r="A1180" s="4" t="s">
        <v>2091</v>
      </c>
      <c r="B1180" s="4" t="s">
        <v>178</v>
      </c>
      <c r="C1180" s="4" t="s">
        <v>894</v>
      </c>
      <c r="D1180" s="4">
        <v>1</v>
      </c>
      <c r="E1180" s="6">
        <v>5000</v>
      </c>
      <c r="F1180" t="str">
        <f>VLOOKUP(C1180,menu!A:B,2,FALSE)</f>
        <v>Air Mineral Botol</v>
      </c>
      <c r="G1180">
        <f t="shared" si="36"/>
        <v>5000</v>
      </c>
      <c r="H1180">
        <f>VLOOKUP(C1180,menu!A:E,4,FALSE)</f>
        <v>2000</v>
      </c>
      <c r="I1180">
        <f t="shared" si="37"/>
        <v>3000</v>
      </c>
    </row>
    <row r="1181" spans="1:9" x14ac:dyDescent="0.35">
      <c r="A1181" s="4" t="s">
        <v>2092</v>
      </c>
      <c r="B1181" s="4" t="s">
        <v>178</v>
      </c>
      <c r="C1181" s="4" t="s">
        <v>937</v>
      </c>
      <c r="D1181" s="4">
        <v>1</v>
      </c>
      <c r="E1181" s="6">
        <v>26000</v>
      </c>
      <c r="F1181" t="str">
        <f>VLOOKUP(C1181,menu!A:B,2,FALSE)</f>
        <v>Nasi Campur Bali</v>
      </c>
      <c r="G1181">
        <f t="shared" si="36"/>
        <v>26000</v>
      </c>
      <c r="H1181">
        <f>VLOOKUP(C1181,menu!A:E,4,FALSE)</f>
        <v>11500</v>
      </c>
      <c r="I1181">
        <f t="shared" si="37"/>
        <v>14500</v>
      </c>
    </row>
    <row r="1182" spans="1:9" x14ac:dyDescent="0.35">
      <c r="A1182" s="4" t="s">
        <v>2093</v>
      </c>
      <c r="B1182" s="4" t="s">
        <v>178</v>
      </c>
      <c r="C1182" s="4" t="s">
        <v>898</v>
      </c>
      <c r="D1182" s="4">
        <v>1</v>
      </c>
      <c r="E1182" s="6">
        <v>27000</v>
      </c>
      <c r="F1182" t="str">
        <f>VLOOKUP(C1182,menu!A:B,2,FALSE)</f>
        <v>Ayam Geprek Sambal Bawang</v>
      </c>
      <c r="G1182">
        <f t="shared" si="36"/>
        <v>27000</v>
      </c>
      <c r="H1182">
        <f>VLOOKUP(C1182,menu!A:E,4,FALSE)</f>
        <v>11000</v>
      </c>
      <c r="I1182">
        <f t="shared" si="37"/>
        <v>16000</v>
      </c>
    </row>
    <row r="1183" spans="1:9" x14ac:dyDescent="0.35">
      <c r="A1183" s="4" t="s">
        <v>2094</v>
      </c>
      <c r="B1183" s="4" t="s">
        <v>679</v>
      </c>
      <c r="C1183" s="4" t="s">
        <v>894</v>
      </c>
      <c r="D1183" s="4">
        <v>1</v>
      </c>
      <c r="E1183" s="6">
        <v>5000</v>
      </c>
      <c r="F1183" t="str">
        <f>VLOOKUP(C1183,menu!A:B,2,FALSE)</f>
        <v>Air Mineral Botol</v>
      </c>
      <c r="G1183">
        <f t="shared" si="36"/>
        <v>5000</v>
      </c>
      <c r="H1183">
        <f>VLOOKUP(C1183,menu!A:E,4,FALSE)</f>
        <v>2000</v>
      </c>
      <c r="I1183">
        <f t="shared" si="37"/>
        <v>3000</v>
      </c>
    </row>
    <row r="1184" spans="1:9" x14ac:dyDescent="0.35">
      <c r="A1184" s="4" t="s">
        <v>2095</v>
      </c>
      <c r="B1184" s="4" t="s">
        <v>679</v>
      </c>
      <c r="C1184" s="4" t="s">
        <v>898</v>
      </c>
      <c r="D1184" s="4">
        <v>2</v>
      </c>
      <c r="E1184" s="6">
        <v>27000</v>
      </c>
      <c r="F1184" t="str">
        <f>VLOOKUP(C1184,menu!A:B,2,FALSE)</f>
        <v>Ayam Geprek Sambal Bawang</v>
      </c>
      <c r="G1184">
        <f t="shared" si="36"/>
        <v>54000</v>
      </c>
      <c r="H1184">
        <f>VLOOKUP(C1184,menu!A:E,4,FALSE)</f>
        <v>11000</v>
      </c>
      <c r="I1184">
        <f t="shared" si="37"/>
        <v>32000</v>
      </c>
    </row>
    <row r="1185" spans="1:9" x14ac:dyDescent="0.35">
      <c r="A1185" s="4" t="s">
        <v>2096</v>
      </c>
      <c r="B1185" s="4" t="s">
        <v>679</v>
      </c>
      <c r="C1185" s="4" t="s">
        <v>937</v>
      </c>
      <c r="D1185" s="4">
        <v>1</v>
      </c>
      <c r="E1185" s="6">
        <v>26000</v>
      </c>
      <c r="F1185" t="str">
        <f>VLOOKUP(C1185,menu!A:B,2,FALSE)</f>
        <v>Nasi Campur Bali</v>
      </c>
      <c r="G1185">
        <f t="shared" si="36"/>
        <v>26000</v>
      </c>
      <c r="H1185">
        <f>VLOOKUP(C1185,menu!A:E,4,FALSE)</f>
        <v>11500</v>
      </c>
      <c r="I1185">
        <f t="shared" si="37"/>
        <v>14500</v>
      </c>
    </row>
    <row r="1186" spans="1:9" x14ac:dyDescent="0.35">
      <c r="A1186" s="4" t="s">
        <v>2097</v>
      </c>
      <c r="B1186" s="4" t="s">
        <v>679</v>
      </c>
      <c r="C1186" s="4" t="s">
        <v>919</v>
      </c>
      <c r="D1186" s="4">
        <v>1</v>
      </c>
      <c r="E1186" s="6">
        <v>20000</v>
      </c>
      <c r="F1186" t="str">
        <f>VLOOKUP(C1186,menu!A:B,2,FALSE)</f>
        <v>Gado-Gado Jakarta</v>
      </c>
      <c r="G1186">
        <f t="shared" si="36"/>
        <v>20000</v>
      </c>
      <c r="H1186">
        <f>VLOOKUP(C1186,menu!A:E,4,FALSE)</f>
        <v>8000</v>
      </c>
      <c r="I1186">
        <f t="shared" si="37"/>
        <v>12000</v>
      </c>
    </row>
    <row r="1187" spans="1:9" x14ac:dyDescent="0.35">
      <c r="A1187" s="4" t="s">
        <v>2098</v>
      </c>
      <c r="B1187" s="4" t="s">
        <v>503</v>
      </c>
      <c r="C1187" s="4" t="s">
        <v>902</v>
      </c>
      <c r="D1187" s="4">
        <v>1</v>
      </c>
      <c r="E1187" s="6">
        <v>12000</v>
      </c>
      <c r="F1187" t="str">
        <f>VLOOKUP(C1187,menu!A:B,2,FALSE)</f>
        <v>Teh Tarik</v>
      </c>
      <c r="G1187">
        <f t="shared" si="36"/>
        <v>12000</v>
      </c>
      <c r="H1187">
        <f>VLOOKUP(C1187,menu!A:E,4,FALSE)</f>
        <v>3000</v>
      </c>
      <c r="I1187">
        <f t="shared" si="37"/>
        <v>9000</v>
      </c>
    </row>
    <row r="1188" spans="1:9" x14ac:dyDescent="0.35">
      <c r="A1188" s="4" t="s">
        <v>2099</v>
      </c>
      <c r="B1188" s="4" t="s">
        <v>503</v>
      </c>
      <c r="C1188" s="4" t="s">
        <v>892</v>
      </c>
      <c r="D1188" s="4">
        <v>1</v>
      </c>
      <c r="E1188" s="6">
        <v>9000</v>
      </c>
      <c r="F1188" t="str">
        <f>VLOOKUP(C1188,menu!A:B,2,FALSE)</f>
        <v>Tempe Mendoan (5pcs)</v>
      </c>
      <c r="G1188">
        <f t="shared" si="36"/>
        <v>9000</v>
      </c>
      <c r="H1188">
        <f>VLOOKUP(C1188,menu!A:E,4,FALSE)</f>
        <v>3000</v>
      </c>
      <c r="I1188">
        <f t="shared" si="37"/>
        <v>6000</v>
      </c>
    </row>
    <row r="1189" spans="1:9" x14ac:dyDescent="0.35">
      <c r="A1189" s="4" t="s">
        <v>2100</v>
      </c>
      <c r="B1189" s="4" t="s">
        <v>503</v>
      </c>
      <c r="C1189" s="4" t="s">
        <v>898</v>
      </c>
      <c r="D1189" s="4">
        <v>1</v>
      </c>
      <c r="E1189" s="6">
        <v>27000</v>
      </c>
      <c r="F1189" t="str">
        <f>VLOOKUP(C1189,menu!A:B,2,FALSE)</f>
        <v>Ayam Geprek Sambal Bawang</v>
      </c>
      <c r="G1189">
        <f t="shared" si="36"/>
        <v>27000</v>
      </c>
      <c r="H1189">
        <f>VLOOKUP(C1189,menu!A:E,4,FALSE)</f>
        <v>11000</v>
      </c>
      <c r="I1189">
        <f t="shared" si="37"/>
        <v>16000</v>
      </c>
    </row>
    <row r="1190" spans="1:9" x14ac:dyDescent="0.35">
      <c r="A1190" s="4" t="s">
        <v>2101</v>
      </c>
      <c r="B1190" s="4" t="s">
        <v>503</v>
      </c>
      <c r="C1190" s="4" t="s">
        <v>890</v>
      </c>
      <c r="D1190" s="4">
        <v>2</v>
      </c>
      <c r="E1190" s="6">
        <v>18000</v>
      </c>
      <c r="F1190" t="str">
        <f>VLOOKUP(C1190,menu!A:B,2,FALSE)</f>
        <v>Es Kopi Susu Gula Aren</v>
      </c>
      <c r="G1190">
        <f t="shared" si="36"/>
        <v>36000</v>
      </c>
      <c r="H1190">
        <f>VLOOKUP(C1190,menu!A:E,4,FALSE)</f>
        <v>4500</v>
      </c>
      <c r="I1190">
        <f t="shared" si="37"/>
        <v>27000</v>
      </c>
    </row>
    <row r="1191" spans="1:9" x14ac:dyDescent="0.35">
      <c r="A1191" s="4" t="s">
        <v>2102</v>
      </c>
      <c r="B1191" s="4" t="s">
        <v>204</v>
      </c>
      <c r="C1191" s="4" t="s">
        <v>898</v>
      </c>
      <c r="D1191" s="4">
        <v>1</v>
      </c>
      <c r="E1191" s="6">
        <v>27000</v>
      </c>
      <c r="F1191" t="str">
        <f>VLOOKUP(C1191,menu!A:B,2,FALSE)</f>
        <v>Ayam Geprek Sambal Bawang</v>
      </c>
      <c r="G1191">
        <f t="shared" si="36"/>
        <v>27000</v>
      </c>
      <c r="H1191">
        <f>VLOOKUP(C1191,menu!A:E,4,FALSE)</f>
        <v>11000</v>
      </c>
      <c r="I1191">
        <f t="shared" si="37"/>
        <v>16000</v>
      </c>
    </row>
    <row r="1192" spans="1:9" x14ac:dyDescent="0.35">
      <c r="A1192" s="4" t="s">
        <v>2103</v>
      </c>
      <c r="B1192" s="4" t="s">
        <v>204</v>
      </c>
      <c r="C1192" s="4" t="s">
        <v>931</v>
      </c>
      <c r="D1192" s="4">
        <v>1</v>
      </c>
      <c r="E1192" s="6">
        <v>5000</v>
      </c>
      <c r="F1192" t="str">
        <f>VLOOKUP(C1192,menu!A:B,2,FALSE)</f>
        <v>Kerupuk Udang</v>
      </c>
      <c r="G1192">
        <f t="shared" si="36"/>
        <v>5000</v>
      </c>
      <c r="H1192">
        <f>VLOOKUP(C1192,menu!A:E,4,FALSE)</f>
        <v>1500</v>
      </c>
      <c r="I1192">
        <f t="shared" si="37"/>
        <v>3500</v>
      </c>
    </row>
    <row r="1193" spans="1:9" x14ac:dyDescent="0.35">
      <c r="A1193" s="4" t="s">
        <v>2104</v>
      </c>
      <c r="B1193" s="4" t="s">
        <v>782</v>
      </c>
      <c r="C1193" s="4" t="s">
        <v>937</v>
      </c>
      <c r="D1193" s="4">
        <v>1</v>
      </c>
      <c r="E1193" s="6">
        <v>26000</v>
      </c>
      <c r="F1193" t="str">
        <f>VLOOKUP(C1193,menu!A:B,2,FALSE)</f>
        <v>Nasi Campur Bali</v>
      </c>
      <c r="G1193">
        <f t="shared" si="36"/>
        <v>26000</v>
      </c>
      <c r="H1193">
        <f>VLOOKUP(C1193,menu!A:E,4,FALSE)</f>
        <v>11500</v>
      </c>
      <c r="I1193">
        <f t="shared" si="37"/>
        <v>14500</v>
      </c>
    </row>
    <row r="1194" spans="1:9" x14ac:dyDescent="0.35">
      <c r="A1194" s="4" t="s">
        <v>2105</v>
      </c>
      <c r="B1194" s="4" t="s">
        <v>228</v>
      </c>
      <c r="C1194" s="4" t="s">
        <v>898</v>
      </c>
      <c r="D1194" s="4">
        <v>1</v>
      </c>
      <c r="E1194" s="6">
        <v>27000</v>
      </c>
      <c r="F1194" t="str">
        <f>VLOOKUP(C1194,menu!A:B,2,FALSE)</f>
        <v>Ayam Geprek Sambal Bawang</v>
      </c>
      <c r="G1194">
        <f t="shared" si="36"/>
        <v>27000</v>
      </c>
      <c r="H1194">
        <f>VLOOKUP(C1194,menu!A:E,4,FALSE)</f>
        <v>11000</v>
      </c>
      <c r="I1194">
        <f t="shared" si="37"/>
        <v>16000</v>
      </c>
    </row>
    <row r="1195" spans="1:9" x14ac:dyDescent="0.35">
      <c r="A1195" s="4" t="s">
        <v>2106</v>
      </c>
      <c r="B1195" s="4" t="s">
        <v>228</v>
      </c>
      <c r="C1195" s="4" t="s">
        <v>890</v>
      </c>
      <c r="D1195" s="4">
        <v>1</v>
      </c>
      <c r="E1195" s="6">
        <v>18000</v>
      </c>
      <c r="F1195" t="str">
        <f>VLOOKUP(C1195,menu!A:B,2,FALSE)</f>
        <v>Es Kopi Susu Gula Aren</v>
      </c>
      <c r="G1195">
        <f t="shared" si="36"/>
        <v>18000</v>
      </c>
      <c r="H1195">
        <f>VLOOKUP(C1195,menu!A:E,4,FALSE)</f>
        <v>4500</v>
      </c>
      <c r="I1195">
        <f t="shared" si="37"/>
        <v>13500</v>
      </c>
    </row>
    <row r="1196" spans="1:9" x14ac:dyDescent="0.35">
      <c r="A1196" s="4" t="s">
        <v>2107</v>
      </c>
      <c r="B1196" s="4" t="s">
        <v>534</v>
      </c>
      <c r="C1196" s="4" t="s">
        <v>937</v>
      </c>
      <c r="D1196" s="4">
        <v>1</v>
      </c>
      <c r="E1196" s="6">
        <v>26000</v>
      </c>
      <c r="F1196" t="str">
        <f>VLOOKUP(C1196,menu!A:B,2,FALSE)</f>
        <v>Nasi Campur Bali</v>
      </c>
      <c r="G1196">
        <f t="shared" si="36"/>
        <v>26000</v>
      </c>
      <c r="H1196">
        <f>VLOOKUP(C1196,menu!A:E,4,FALSE)</f>
        <v>11500</v>
      </c>
      <c r="I1196">
        <f t="shared" si="37"/>
        <v>14500</v>
      </c>
    </row>
    <row r="1197" spans="1:9" x14ac:dyDescent="0.35">
      <c r="A1197" s="4" t="s">
        <v>2108</v>
      </c>
      <c r="B1197" s="4" t="s">
        <v>534</v>
      </c>
      <c r="C1197" s="4" t="s">
        <v>902</v>
      </c>
      <c r="D1197" s="4">
        <v>1</v>
      </c>
      <c r="E1197" s="6">
        <v>12000</v>
      </c>
      <c r="F1197" t="str">
        <f>VLOOKUP(C1197,menu!A:B,2,FALSE)</f>
        <v>Teh Tarik</v>
      </c>
      <c r="G1197">
        <f t="shared" si="36"/>
        <v>12000</v>
      </c>
      <c r="H1197">
        <f>VLOOKUP(C1197,menu!A:E,4,FALSE)</f>
        <v>3000</v>
      </c>
      <c r="I1197">
        <f t="shared" si="37"/>
        <v>9000</v>
      </c>
    </row>
    <row r="1198" spans="1:9" x14ac:dyDescent="0.35">
      <c r="A1198" s="4" t="s">
        <v>2109</v>
      </c>
      <c r="B1198" s="4" t="s">
        <v>534</v>
      </c>
      <c r="C1198" s="4" t="s">
        <v>892</v>
      </c>
      <c r="D1198" s="4">
        <v>1</v>
      </c>
      <c r="E1198" s="6">
        <v>9000</v>
      </c>
      <c r="F1198" t="str">
        <f>VLOOKUP(C1198,menu!A:B,2,FALSE)</f>
        <v>Tempe Mendoan (5pcs)</v>
      </c>
      <c r="G1198">
        <f t="shared" si="36"/>
        <v>9000</v>
      </c>
      <c r="H1198">
        <f>VLOOKUP(C1198,menu!A:E,4,FALSE)</f>
        <v>3000</v>
      </c>
      <c r="I1198">
        <f t="shared" si="37"/>
        <v>6000</v>
      </c>
    </row>
    <row r="1199" spans="1:9" x14ac:dyDescent="0.35">
      <c r="A1199" s="4" t="s">
        <v>2110</v>
      </c>
      <c r="B1199" s="4" t="s">
        <v>534</v>
      </c>
      <c r="C1199" s="4" t="s">
        <v>898</v>
      </c>
      <c r="D1199" s="4">
        <v>2</v>
      </c>
      <c r="E1199" s="6">
        <v>27000</v>
      </c>
      <c r="F1199" t="str">
        <f>VLOOKUP(C1199,menu!A:B,2,FALSE)</f>
        <v>Ayam Geprek Sambal Bawang</v>
      </c>
      <c r="G1199">
        <f t="shared" si="36"/>
        <v>54000</v>
      </c>
      <c r="H1199">
        <f>VLOOKUP(C1199,menu!A:E,4,FALSE)</f>
        <v>11000</v>
      </c>
      <c r="I1199">
        <f t="shared" si="37"/>
        <v>32000</v>
      </c>
    </row>
    <row r="1200" spans="1:9" x14ac:dyDescent="0.35">
      <c r="A1200" s="4" t="s">
        <v>2111</v>
      </c>
      <c r="B1200" s="4" t="s">
        <v>534</v>
      </c>
      <c r="C1200" s="4" t="s">
        <v>1003</v>
      </c>
      <c r="D1200" s="4">
        <v>1</v>
      </c>
      <c r="E1200" s="6">
        <v>29000</v>
      </c>
      <c r="F1200" t="str">
        <f>VLOOKUP(C1200,menu!A:B,2,FALSE)</f>
        <v>Capcay Seafood</v>
      </c>
      <c r="G1200">
        <f t="shared" si="36"/>
        <v>29000</v>
      </c>
      <c r="H1200">
        <f>VLOOKUP(C1200,menu!A:E,4,FALSE)</f>
        <v>13000</v>
      </c>
      <c r="I1200">
        <f t="shared" si="37"/>
        <v>16000</v>
      </c>
    </row>
    <row r="1201" spans="1:9" x14ac:dyDescent="0.35">
      <c r="A1201" s="4" t="s">
        <v>2112</v>
      </c>
      <c r="B1201" s="4" t="s">
        <v>595</v>
      </c>
      <c r="C1201" s="4" t="s">
        <v>898</v>
      </c>
      <c r="D1201" s="4">
        <v>3</v>
      </c>
      <c r="E1201" s="6">
        <v>27000</v>
      </c>
      <c r="F1201" t="str">
        <f>VLOOKUP(C1201,menu!A:B,2,FALSE)</f>
        <v>Ayam Geprek Sambal Bawang</v>
      </c>
      <c r="G1201">
        <f t="shared" si="36"/>
        <v>81000</v>
      </c>
      <c r="H1201">
        <f>VLOOKUP(C1201,menu!A:E,4,FALSE)</f>
        <v>11000</v>
      </c>
      <c r="I1201">
        <f t="shared" si="37"/>
        <v>48000</v>
      </c>
    </row>
    <row r="1202" spans="1:9" x14ac:dyDescent="0.35">
      <c r="A1202" s="4" t="s">
        <v>2113</v>
      </c>
      <c r="B1202" s="4" t="s">
        <v>595</v>
      </c>
      <c r="C1202" s="4" t="s">
        <v>1059</v>
      </c>
      <c r="D1202" s="4">
        <v>3</v>
      </c>
      <c r="E1202" s="6">
        <v>6000</v>
      </c>
      <c r="F1202" t="str">
        <f>VLOOKUP(C1202,menu!A:B,2,FALSE)</f>
        <v>Es Teh Manis</v>
      </c>
      <c r="G1202">
        <f t="shared" si="36"/>
        <v>18000</v>
      </c>
      <c r="H1202">
        <f>VLOOKUP(C1202,menu!A:E,4,FALSE)</f>
        <v>1500</v>
      </c>
      <c r="I1202">
        <f t="shared" si="37"/>
        <v>13500</v>
      </c>
    </row>
    <row r="1203" spans="1:9" x14ac:dyDescent="0.35">
      <c r="A1203" s="4" t="s">
        <v>2114</v>
      </c>
      <c r="B1203" s="4" t="s">
        <v>595</v>
      </c>
      <c r="C1203" s="4" t="s">
        <v>937</v>
      </c>
      <c r="D1203" s="4">
        <v>1</v>
      </c>
      <c r="E1203" s="6">
        <v>26000</v>
      </c>
      <c r="F1203" t="str">
        <f>VLOOKUP(C1203,menu!A:B,2,FALSE)</f>
        <v>Nasi Campur Bali</v>
      </c>
      <c r="G1203">
        <f t="shared" si="36"/>
        <v>26000</v>
      </c>
      <c r="H1203">
        <f>VLOOKUP(C1203,menu!A:E,4,FALSE)</f>
        <v>11500</v>
      </c>
      <c r="I1203">
        <f t="shared" si="37"/>
        <v>14500</v>
      </c>
    </row>
    <row r="1204" spans="1:9" x14ac:dyDescent="0.35">
      <c r="A1204" s="4" t="s">
        <v>2115</v>
      </c>
      <c r="B1204" s="4" t="s">
        <v>595</v>
      </c>
      <c r="C1204" s="4" t="s">
        <v>900</v>
      </c>
      <c r="D1204" s="4">
        <v>1</v>
      </c>
      <c r="E1204" s="6">
        <v>8000</v>
      </c>
      <c r="F1204" t="str">
        <f>VLOOKUP(C1204,menu!A:B,2,FALSE)</f>
        <v>Es Jeruk Peras</v>
      </c>
      <c r="G1204">
        <f t="shared" si="36"/>
        <v>8000</v>
      </c>
      <c r="H1204">
        <f>VLOOKUP(C1204,menu!A:E,4,FALSE)</f>
        <v>2500</v>
      </c>
      <c r="I1204">
        <f t="shared" si="37"/>
        <v>5500</v>
      </c>
    </row>
    <row r="1205" spans="1:9" x14ac:dyDescent="0.35">
      <c r="A1205" s="4" t="s">
        <v>2116</v>
      </c>
      <c r="B1205" s="4" t="s">
        <v>320</v>
      </c>
      <c r="C1205" s="4" t="s">
        <v>919</v>
      </c>
      <c r="D1205" s="4">
        <v>1</v>
      </c>
      <c r="E1205" s="6">
        <v>20000</v>
      </c>
      <c r="F1205" t="str">
        <f>VLOOKUP(C1205,menu!A:B,2,FALSE)</f>
        <v>Gado-Gado Jakarta</v>
      </c>
      <c r="G1205">
        <f t="shared" si="36"/>
        <v>20000</v>
      </c>
      <c r="H1205">
        <f>VLOOKUP(C1205,menu!A:E,4,FALSE)</f>
        <v>8000</v>
      </c>
      <c r="I1205">
        <f t="shared" si="37"/>
        <v>12000</v>
      </c>
    </row>
    <row r="1206" spans="1:9" x14ac:dyDescent="0.35">
      <c r="A1206" s="4" t="s">
        <v>2117</v>
      </c>
      <c r="B1206" s="4" t="s">
        <v>320</v>
      </c>
      <c r="C1206" s="4" t="s">
        <v>908</v>
      </c>
      <c r="D1206" s="4">
        <v>2</v>
      </c>
      <c r="E1206" s="6">
        <v>16000</v>
      </c>
      <c r="F1206" t="str">
        <f>VLOOKUP(C1206,menu!A:B,2,FALSE)</f>
        <v>Jus Alpukat</v>
      </c>
      <c r="G1206">
        <f t="shared" si="36"/>
        <v>32000</v>
      </c>
      <c r="H1206">
        <f>VLOOKUP(C1206,menu!A:E,4,FALSE)</f>
        <v>5500</v>
      </c>
      <c r="I1206">
        <f t="shared" si="37"/>
        <v>21000</v>
      </c>
    </row>
    <row r="1207" spans="1:9" x14ac:dyDescent="0.35">
      <c r="A1207" s="4" t="s">
        <v>2118</v>
      </c>
      <c r="B1207" s="4" t="s">
        <v>849</v>
      </c>
      <c r="C1207" s="4" t="s">
        <v>928</v>
      </c>
      <c r="D1207" s="4">
        <v>2</v>
      </c>
      <c r="E1207" s="6">
        <v>23000</v>
      </c>
      <c r="F1207" t="str">
        <f>VLOOKUP(C1207,menu!A:B,2,FALSE)</f>
        <v>Mie Goreng Jawa</v>
      </c>
      <c r="G1207">
        <f t="shared" si="36"/>
        <v>46000</v>
      </c>
      <c r="H1207">
        <f>VLOOKUP(C1207,menu!A:E,4,FALSE)</f>
        <v>8500</v>
      </c>
      <c r="I1207">
        <f t="shared" si="37"/>
        <v>29000</v>
      </c>
    </row>
    <row r="1208" spans="1:9" x14ac:dyDescent="0.35">
      <c r="A1208" s="4" t="s">
        <v>2119</v>
      </c>
      <c r="B1208" s="4" t="s">
        <v>849</v>
      </c>
      <c r="C1208" s="4" t="s">
        <v>898</v>
      </c>
      <c r="D1208" s="4">
        <v>1</v>
      </c>
      <c r="E1208" s="6">
        <v>27000</v>
      </c>
      <c r="F1208" t="str">
        <f>VLOOKUP(C1208,menu!A:B,2,FALSE)</f>
        <v>Ayam Geprek Sambal Bawang</v>
      </c>
      <c r="G1208">
        <f t="shared" si="36"/>
        <v>27000</v>
      </c>
      <c r="H1208">
        <f>VLOOKUP(C1208,menu!A:E,4,FALSE)</f>
        <v>11000</v>
      </c>
      <c r="I1208">
        <f t="shared" si="37"/>
        <v>16000</v>
      </c>
    </row>
    <row r="1209" spans="1:9" x14ac:dyDescent="0.35">
      <c r="A1209" s="4" t="s">
        <v>2120</v>
      </c>
      <c r="B1209" s="4" t="s">
        <v>842</v>
      </c>
      <c r="C1209" s="4" t="s">
        <v>890</v>
      </c>
      <c r="D1209" s="4">
        <v>1</v>
      </c>
      <c r="E1209" s="6">
        <v>18000</v>
      </c>
      <c r="F1209" t="str">
        <f>VLOOKUP(C1209,menu!A:B,2,FALSE)</f>
        <v>Es Kopi Susu Gula Aren</v>
      </c>
      <c r="G1209">
        <f t="shared" si="36"/>
        <v>18000</v>
      </c>
      <c r="H1209">
        <f>VLOOKUP(C1209,menu!A:E,4,FALSE)</f>
        <v>4500</v>
      </c>
      <c r="I1209">
        <f t="shared" si="37"/>
        <v>13500</v>
      </c>
    </row>
    <row r="1210" spans="1:9" x14ac:dyDescent="0.35">
      <c r="A1210" s="4" t="s">
        <v>2121</v>
      </c>
      <c r="B1210" s="4" t="s">
        <v>842</v>
      </c>
      <c r="C1210" s="4" t="s">
        <v>898</v>
      </c>
      <c r="D1210" s="4">
        <v>1</v>
      </c>
      <c r="E1210" s="6">
        <v>27000</v>
      </c>
      <c r="F1210" t="str">
        <f>VLOOKUP(C1210,menu!A:B,2,FALSE)</f>
        <v>Ayam Geprek Sambal Bawang</v>
      </c>
      <c r="G1210">
        <f t="shared" si="36"/>
        <v>27000</v>
      </c>
      <c r="H1210">
        <f>VLOOKUP(C1210,menu!A:E,4,FALSE)</f>
        <v>11000</v>
      </c>
      <c r="I1210">
        <f t="shared" si="37"/>
        <v>16000</v>
      </c>
    </row>
    <row r="1211" spans="1:9" x14ac:dyDescent="0.35">
      <c r="A1211" s="4" t="s">
        <v>2122</v>
      </c>
      <c r="B1211" s="4" t="s">
        <v>842</v>
      </c>
      <c r="C1211" s="4" t="s">
        <v>908</v>
      </c>
      <c r="D1211" s="4">
        <v>2</v>
      </c>
      <c r="E1211" s="6">
        <v>16000</v>
      </c>
      <c r="F1211" t="str">
        <f>VLOOKUP(C1211,menu!A:B,2,FALSE)</f>
        <v>Jus Alpukat</v>
      </c>
      <c r="G1211">
        <f t="shared" si="36"/>
        <v>32000</v>
      </c>
      <c r="H1211">
        <f>VLOOKUP(C1211,menu!A:E,4,FALSE)</f>
        <v>5500</v>
      </c>
      <c r="I1211">
        <f t="shared" si="37"/>
        <v>21000</v>
      </c>
    </row>
    <row r="1212" spans="1:9" x14ac:dyDescent="0.35">
      <c r="A1212" s="4" t="s">
        <v>2123</v>
      </c>
      <c r="B1212" s="4" t="s">
        <v>842</v>
      </c>
      <c r="C1212" s="4" t="s">
        <v>937</v>
      </c>
      <c r="D1212" s="4">
        <v>2</v>
      </c>
      <c r="E1212" s="6">
        <v>26000</v>
      </c>
      <c r="F1212" t="str">
        <f>VLOOKUP(C1212,menu!A:B,2,FALSE)</f>
        <v>Nasi Campur Bali</v>
      </c>
      <c r="G1212">
        <f t="shared" si="36"/>
        <v>52000</v>
      </c>
      <c r="H1212">
        <f>VLOOKUP(C1212,menu!A:E,4,FALSE)</f>
        <v>11500</v>
      </c>
      <c r="I1212">
        <f t="shared" si="37"/>
        <v>29000</v>
      </c>
    </row>
    <row r="1213" spans="1:9" x14ac:dyDescent="0.35">
      <c r="A1213" s="4" t="s">
        <v>2124</v>
      </c>
      <c r="B1213" s="4" t="s">
        <v>842</v>
      </c>
      <c r="C1213" s="4" t="s">
        <v>940</v>
      </c>
      <c r="D1213" s="4">
        <v>1</v>
      </c>
      <c r="E1213" s="6">
        <v>10000</v>
      </c>
      <c r="F1213" t="str">
        <f>VLOOKUP(C1213,menu!A:B,2,FALSE)</f>
        <v>Tahu Isi Goreng (5pcs)</v>
      </c>
      <c r="G1213">
        <f t="shared" si="36"/>
        <v>10000</v>
      </c>
      <c r="H1213">
        <f>VLOOKUP(C1213,menu!A:E,4,FALSE)</f>
        <v>3500</v>
      </c>
      <c r="I1213">
        <f t="shared" si="37"/>
        <v>6500</v>
      </c>
    </row>
    <row r="1214" spans="1:9" x14ac:dyDescent="0.35">
      <c r="A1214" s="4" t="s">
        <v>2125</v>
      </c>
      <c r="B1214" s="4" t="s">
        <v>376</v>
      </c>
      <c r="C1214" s="4" t="s">
        <v>898</v>
      </c>
      <c r="D1214" s="4">
        <v>2</v>
      </c>
      <c r="E1214" s="6">
        <v>27000</v>
      </c>
      <c r="F1214" t="str">
        <f>VLOOKUP(C1214,menu!A:B,2,FALSE)</f>
        <v>Ayam Geprek Sambal Bawang</v>
      </c>
      <c r="G1214">
        <f t="shared" si="36"/>
        <v>54000</v>
      </c>
      <c r="H1214">
        <f>VLOOKUP(C1214,menu!A:E,4,FALSE)</f>
        <v>11000</v>
      </c>
      <c r="I1214">
        <f t="shared" si="37"/>
        <v>32000</v>
      </c>
    </row>
    <row r="1215" spans="1:9" x14ac:dyDescent="0.35">
      <c r="A1215" s="4" t="s">
        <v>2126</v>
      </c>
      <c r="B1215" s="4" t="s">
        <v>376</v>
      </c>
      <c r="C1215" s="4" t="s">
        <v>908</v>
      </c>
      <c r="D1215" s="4">
        <v>1</v>
      </c>
      <c r="E1215" s="6">
        <v>16000</v>
      </c>
      <c r="F1215" t="str">
        <f>VLOOKUP(C1215,menu!A:B,2,FALSE)</f>
        <v>Jus Alpukat</v>
      </c>
      <c r="G1215">
        <f t="shared" si="36"/>
        <v>16000</v>
      </c>
      <c r="H1215">
        <f>VLOOKUP(C1215,menu!A:E,4,FALSE)</f>
        <v>5500</v>
      </c>
      <c r="I1215">
        <f t="shared" si="37"/>
        <v>10500</v>
      </c>
    </row>
    <row r="1216" spans="1:9" x14ac:dyDescent="0.35">
      <c r="A1216" s="4" t="s">
        <v>2127</v>
      </c>
      <c r="B1216" s="4" t="s">
        <v>403</v>
      </c>
      <c r="C1216" s="4" t="s">
        <v>902</v>
      </c>
      <c r="D1216" s="4">
        <v>1</v>
      </c>
      <c r="E1216" s="6">
        <v>12000</v>
      </c>
      <c r="F1216" t="str">
        <f>VLOOKUP(C1216,menu!A:B,2,FALSE)</f>
        <v>Teh Tarik</v>
      </c>
      <c r="G1216">
        <f t="shared" si="36"/>
        <v>12000</v>
      </c>
      <c r="H1216">
        <f>VLOOKUP(C1216,menu!A:E,4,FALSE)</f>
        <v>3000</v>
      </c>
      <c r="I1216">
        <f t="shared" si="37"/>
        <v>9000</v>
      </c>
    </row>
    <row r="1217" spans="1:9" x14ac:dyDescent="0.35">
      <c r="A1217" s="4" t="s">
        <v>2128</v>
      </c>
      <c r="B1217" s="4" t="s">
        <v>403</v>
      </c>
      <c r="C1217" s="4" t="s">
        <v>931</v>
      </c>
      <c r="D1217" s="4">
        <v>1</v>
      </c>
      <c r="E1217" s="6">
        <v>5000</v>
      </c>
      <c r="F1217" t="str">
        <f>VLOOKUP(C1217,menu!A:B,2,FALSE)</f>
        <v>Kerupuk Udang</v>
      </c>
      <c r="G1217">
        <f t="shared" si="36"/>
        <v>5000</v>
      </c>
      <c r="H1217">
        <f>VLOOKUP(C1217,menu!A:E,4,FALSE)</f>
        <v>1500</v>
      </c>
      <c r="I1217">
        <f t="shared" si="37"/>
        <v>3500</v>
      </c>
    </row>
    <row r="1218" spans="1:9" x14ac:dyDescent="0.35">
      <c r="A1218" s="4" t="s">
        <v>2129</v>
      </c>
      <c r="B1218" s="4" t="s">
        <v>550</v>
      </c>
      <c r="C1218" s="4" t="s">
        <v>890</v>
      </c>
      <c r="D1218" s="4">
        <v>1</v>
      </c>
      <c r="E1218" s="6">
        <v>18000</v>
      </c>
      <c r="F1218" t="str">
        <f>VLOOKUP(C1218,menu!A:B,2,FALSE)</f>
        <v>Es Kopi Susu Gula Aren</v>
      </c>
      <c r="G1218">
        <f t="shared" si="36"/>
        <v>18000</v>
      </c>
      <c r="H1218">
        <f>VLOOKUP(C1218,menu!A:E,4,FALSE)</f>
        <v>4500</v>
      </c>
      <c r="I1218">
        <f t="shared" si="37"/>
        <v>13500</v>
      </c>
    </row>
    <row r="1219" spans="1:9" x14ac:dyDescent="0.35">
      <c r="A1219" s="4" t="s">
        <v>2130</v>
      </c>
      <c r="B1219" s="4" t="s">
        <v>550</v>
      </c>
      <c r="C1219" s="4" t="s">
        <v>898</v>
      </c>
      <c r="D1219" s="4">
        <v>1</v>
      </c>
      <c r="E1219" s="6">
        <v>27000</v>
      </c>
      <c r="F1219" t="str">
        <f>VLOOKUP(C1219,menu!A:B,2,FALSE)</f>
        <v>Ayam Geprek Sambal Bawang</v>
      </c>
      <c r="G1219">
        <f t="shared" ref="G1219:G1282" si="38">D1219*E1219</f>
        <v>27000</v>
      </c>
      <c r="H1219">
        <f>VLOOKUP(C1219,menu!A:E,4,FALSE)</f>
        <v>11000</v>
      </c>
      <c r="I1219">
        <f t="shared" ref="I1219:I1282" si="39">(E1219-H1219)*D1219</f>
        <v>16000</v>
      </c>
    </row>
    <row r="1220" spans="1:9" x14ac:dyDescent="0.35">
      <c r="A1220" s="4" t="s">
        <v>2131</v>
      </c>
      <c r="B1220" s="4" t="s">
        <v>550</v>
      </c>
      <c r="C1220" s="4" t="s">
        <v>940</v>
      </c>
      <c r="D1220" s="4">
        <v>1</v>
      </c>
      <c r="E1220" s="6">
        <v>10000</v>
      </c>
      <c r="F1220" t="str">
        <f>VLOOKUP(C1220,menu!A:B,2,FALSE)</f>
        <v>Tahu Isi Goreng (5pcs)</v>
      </c>
      <c r="G1220">
        <f t="shared" si="38"/>
        <v>10000</v>
      </c>
      <c r="H1220">
        <f>VLOOKUP(C1220,menu!A:E,4,FALSE)</f>
        <v>3500</v>
      </c>
      <c r="I1220">
        <f t="shared" si="39"/>
        <v>6500</v>
      </c>
    </row>
    <row r="1221" spans="1:9" x14ac:dyDescent="0.35">
      <c r="A1221" s="4" t="s">
        <v>2132</v>
      </c>
      <c r="B1221" s="4" t="s">
        <v>497</v>
      </c>
      <c r="C1221" s="4" t="s">
        <v>890</v>
      </c>
      <c r="D1221" s="4">
        <v>1</v>
      </c>
      <c r="E1221" s="6">
        <v>18000</v>
      </c>
      <c r="F1221" t="str">
        <f>VLOOKUP(C1221,menu!A:B,2,FALSE)</f>
        <v>Es Kopi Susu Gula Aren</v>
      </c>
      <c r="G1221">
        <f t="shared" si="38"/>
        <v>18000</v>
      </c>
      <c r="H1221">
        <f>VLOOKUP(C1221,menu!A:E,4,FALSE)</f>
        <v>4500</v>
      </c>
      <c r="I1221">
        <f t="shared" si="39"/>
        <v>13500</v>
      </c>
    </row>
    <row r="1222" spans="1:9" x14ac:dyDescent="0.35">
      <c r="A1222" s="4" t="s">
        <v>2133</v>
      </c>
      <c r="B1222" s="4" t="s">
        <v>497</v>
      </c>
      <c r="C1222" s="4" t="s">
        <v>919</v>
      </c>
      <c r="D1222" s="4">
        <v>1</v>
      </c>
      <c r="E1222" s="6">
        <v>20000</v>
      </c>
      <c r="F1222" t="str">
        <f>VLOOKUP(C1222,menu!A:B,2,FALSE)</f>
        <v>Gado-Gado Jakarta</v>
      </c>
      <c r="G1222">
        <f t="shared" si="38"/>
        <v>20000</v>
      </c>
      <c r="H1222">
        <f>VLOOKUP(C1222,menu!A:E,4,FALSE)</f>
        <v>8000</v>
      </c>
      <c r="I1222">
        <f t="shared" si="39"/>
        <v>12000</v>
      </c>
    </row>
    <row r="1223" spans="1:9" x14ac:dyDescent="0.35">
      <c r="A1223" s="4" t="s">
        <v>2134</v>
      </c>
      <c r="B1223" s="4" t="s">
        <v>497</v>
      </c>
      <c r="C1223" s="4" t="s">
        <v>937</v>
      </c>
      <c r="D1223" s="4">
        <v>1</v>
      </c>
      <c r="E1223" s="6">
        <v>26000</v>
      </c>
      <c r="F1223" t="str">
        <f>VLOOKUP(C1223,menu!A:B,2,FALSE)</f>
        <v>Nasi Campur Bali</v>
      </c>
      <c r="G1223">
        <f t="shared" si="38"/>
        <v>26000</v>
      </c>
      <c r="H1223">
        <f>VLOOKUP(C1223,menu!A:E,4,FALSE)</f>
        <v>11500</v>
      </c>
      <c r="I1223">
        <f t="shared" si="39"/>
        <v>14500</v>
      </c>
    </row>
    <row r="1224" spans="1:9" x14ac:dyDescent="0.35">
      <c r="A1224" s="4" t="s">
        <v>2135</v>
      </c>
      <c r="B1224" s="4" t="s">
        <v>497</v>
      </c>
      <c r="C1224" s="4" t="s">
        <v>896</v>
      </c>
      <c r="D1224" s="4">
        <v>1</v>
      </c>
      <c r="E1224" s="6">
        <v>23000</v>
      </c>
      <c r="F1224" t="str">
        <f>VLOOKUP(C1224,menu!A:B,2,FALSE)</f>
        <v>Nasi Uduk Komplit</v>
      </c>
      <c r="G1224">
        <f t="shared" si="38"/>
        <v>23000</v>
      </c>
      <c r="H1224">
        <f>VLOOKUP(C1224,menu!A:E,4,FALSE)</f>
        <v>9000</v>
      </c>
      <c r="I1224">
        <f t="shared" si="39"/>
        <v>14000</v>
      </c>
    </row>
    <row r="1225" spans="1:9" x14ac:dyDescent="0.35">
      <c r="A1225" s="4" t="s">
        <v>2136</v>
      </c>
      <c r="B1225" s="4" t="s">
        <v>215</v>
      </c>
      <c r="C1225" s="4" t="s">
        <v>940</v>
      </c>
      <c r="D1225" s="4">
        <v>2</v>
      </c>
      <c r="E1225" s="6">
        <v>10000</v>
      </c>
      <c r="F1225" t="str">
        <f>VLOOKUP(C1225,menu!A:B,2,FALSE)</f>
        <v>Tahu Isi Goreng (5pcs)</v>
      </c>
      <c r="G1225">
        <f t="shared" si="38"/>
        <v>20000</v>
      </c>
      <c r="H1225">
        <f>VLOOKUP(C1225,menu!A:E,4,FALSE)</f>
        <v>3500</v>
      </c>
      <c r="I1225">
        <f t="shared" si="39"/>
        <v>13000</v>
      </c>
    </row>
    <row r="1226" spans="1:9" x14ac:dyDescent="0.35">
      <c r="A1226" s="4" t="s">
        <v>2137</v>
      </c>
      <c r="B1226" s="4" t="s">
        <v>215</v>
      </c>
      <c r="C1226" s="4" t="s">
        <v>896</v>
      </c>
      <c r="D1226" s="4">
        <v>1</v>
      </c>
      <c r="E1226" s="6">
        <v>23000</v>
      </c>
      <c r="F1226" t="str">
        <f>VLOOKUP(C1226,menu!A:B,2,FALSE)</f>
        <v>Nasi Uduk Komplit</v>
      </c>
      <c r="G1226">
        <f t="shared" si="38"/>
        <v>23000</v>
      </c>
      <c r="H1226">
        <f>VLOOKUP(C1226,menu!A:E,4,FALSE)</f>
        <v>9000</v>
      </c>
      <c r="I1226">
        <f t="shared" si="39"/>
        <v>14000</v>
      </c>
    </row>
    <row r="1227" spans="1:9" x14ac:dyDescent="0.35">
      <c r="A1227" s="4" t="s">
        <v>2138</v>
      </c>
      <c r="B1227" s="4" t="s">
        <v>215</v>
      </c>
      <c r="C1227" s="4" t="s">
        <v>898</v>
      </c>
      <c r="D1227" s="4">
        <v>2</v>
      </c>
      <c r="E1227" s="6">
        <v>27000</v>
      </c>
      <c r="F1227" t="str">
        <f>VLOOKUP(C1227,menu!A:B,2,FALSE)</f>
        <v>Ayam Geprek Sambal Bawang</v>
      </c>
      <c r="G1227">
        <f t="shared" si="38"/>
        <v>54000</v>
      </c>
      <c r="H1227">
        <f>VLOOKUP(C1227,menu!A:E,4,FALSE)</f>
        <v>11000</v>
      </c>
      <c r="I1227">
        <f t="shared" si="39"/>
        <v>32000</v>
      </c>
    </row>
    <row r="1228" spans="1:9" x14ac:dyDescent="0.35">
      <c r="A1228" s="4" t="s">
        <v>2139</v>
      </c>
      <c r="B1228" s="4" t="s">
        <v>215</v>
      </c>
      <c r="C1228" s="4" t="s">
        <v>919</v>
      </c>
      <c r="D1228" s="4">
        <v>2</v>
      </c>
      <c r="E1228" s="6">
        <v>20000</v>
      </c>
      <c r="F1228" t="str">
        <f>VLOOKUP(C1228,menu!A:B,2,FALSE)</f>
        <v>Gado-Gado Jakarta</v>
      </c>
      <c r="G1228">
        <f t="shared" si="38"/>
        <v>40000</v>
      </c>
      <c r="H1228">
        <f>VLOOKUP(C1228,menu!A:E,4,FALSE)</f>
        <v>8000</v>
      </c>
      <c r="I1228">
        <f t="shared" si="39"/>
        <v>24000</v>
      </c>
    </row>
    <row r="1229" spans="1:9" x14ac:dyDescent="0.35">
      <c r="A1229" s="4" t="s">
        <v>2140</v>
      </c>
      <c r="B1229" s="4" t="s">
        <v>781</v>
      </c>
      <c r="C1229" s="4" t="s">
        <v>898</v>
      </c>
      <c r="D1229" s="4">
        <v>1</v>
      </c>
      <c r="E1229" s="6">
        <v>27000</v>
      </c>
      <c r="F1229" t="str">
        <f>VLOOKUP(C1229,menu!A:B,2,FALSE)</f>
        <v>Ayam Geprek Sambal Bawang</v>
      </c>
      <c r="G1229">
        <f t="shared" si="38"/>
        <v>27000</v>
      </c>
      <c r="H1229">
        <f>VLOOKUP(C1229,menu!A:E,4,FALSE)</f>
        <v>11000</v>
      </c>
      <c r="I1229">
        <f t="shared" si="39"/>
        <v>16000</v>
      </c>
    </row>
    <row r="1230" spans="1:9" x14ac:dyDescent="0.35">
      <c r="A1230" s="4" t="s">
        <v>2141</v>
      </c>
      <c r="B1230" s="4" t="s">
        <v>42</v>
      </c>
      <c r="C1230" s="4" t="s">
        <v>908</v>
      </c>
      <c r="D1230" s="4">
        <v>1</v>
      </c>
      <c r="E1230" s="6">
        <v>16000</v>
      </c>
      <c r="F1230" t="str">
        <f>VLOOKUP(C1230,menu!A:B,2,FALSE)</f>
        <v>Jus Alpukat</v>
      </c>
      <c r="G1230">
        <f t="shared" si="38"/>
        <v>16000</v>
      </c>
      <c r="H1230">
        <f>VLOOKUP(C1230,menu!A:E,4,FALSE)</f>
        <v>5500</v>
      </c>
      <c r="I1230">
        <f t="shared" si="39"/>
        <v>10500</v>
      </c>
    </row>
    <row r="1231" spans="1:9" x14ac:dyDescent="0.35">
      <c r="A1231" s="4" t="s">
        <v>2142</v>
      </c>
      <c r="B1231" s="4" t="s">
        <v>42</v>
      </c>
      <c r="C1231" s="4" t="s">
        <v>898</v>
      </c>
      <c r="D1231" s="4">
        <v>1</v>
      </c>
      <c r="E1231" s="6">
        <v>27000</v>
      </c>
      <c r="F1231" t="str">
        <f>VLOOKUP(C1231,menu!A:B,2,FALSE)</f>
        <v>Ayam Geprek Sambal Bawang</v>
      </c>
      <c r="G1231">
        <f t="shared" si="38"/>
        <v>27000</v>
      </c>
      <c r="H1231">
        <f>VLOOKUP(C1231,menu!A:E,4,FALSE)</f>
        <v>11000</v>
      </c>
      <c r="I1231">
        <f t="shared" si="39"/>
        <v>16000</v>
      </c>
    </row>
    <row r="1232" spans="1:9" x14ac:dyDescent="0.35">
      <c r="A1232" s="4" t="s">
        <v>2143</v>
      </c>
      <c r="B1232" s="4" t="s">
        <v>42</v>
      </c>
      <c r="C1232" s="4" t="s">
        <v>890</v>
      </c>
      <c r="D1232" s="4">
        <v>2</v>
      </c>
      <c r="E1232" s="6">
        <v>18000</v>
      </c>
      <c r="F1232" t="str">
        <f>VLOOKUP(C1232,menu!A:B,2,FALSE)</f>
        <v>Es Kopi Susu Gula Aren</v>
      </c>
      <c r="G1232">
        <f t="shared" si="38"/>
        <v>36000</v>
      </c>
      <c r="H1232">
        <f>VLOOKUP(C1232,menu!A:E,4,FALSE)</f>
        <v>4500</v>
      </c>
      <c r="I1232">
        <f t="shared" si="39"/>
        <v>27000</v>
      </c>
    </row>
    <row r="1233" spans="1:9" x14ac:dyDescent="0.35">
      <c r="A1233" s="4" t="s">
        <v>2144</v>
      </c>
      <c r="B1233" s="4" t="s">
        <v>811</v>
      </c>
      <c r="C1233" s="4" t="s">
        <v>919</v>
      </c>
      <c r="D1233" s="4">
        <v>1</v>
      </c>
      <c r="E1233" s="6">
        <v>20000</v>
      </c>
      <c r="F1233" t="str">
        <f>VLOOKUP(C1233,menu!A:B,2,FALSE)</f>
        <v>Gado-Gado Jakarta</v>
      </c>
      <c r="G1233">
        <f t="shared" si="38"/>
        <v>20000</v>
      </c>
      <c r="H1233">
        <f>VLOOKUP(C1233,menu!A:E,4,FALSE)</f>
        <v>8000</v>
      </c>
      <c r="I1233">
        <f t="shared" si="39"/>
        <v>12000</v>
      </c>
    </row>
    <row r="1234" spans="1:9" x14ac:dyDescent="0.35">
      <c r="A1234" s="4" t="s">
        <v>2145</v>
      </c>
      <c r="B1234" s="4" t="s">
        <v>163</v>
      </c>
      <c r="C1234" s="4" t="s">
        <v>898</v>
      </c>
      <c r="D1234" s="4">
        <v>1</v>
      </c>
      <c r="E1234" s="6">
        <v>27000</v>
      </c>
      <c r="F1234" t="str">
        <f>VLOOKUP(C1234,menu!A:B,2,FALSE)</f>
        <v>Ayam Geprek Sambal Bawang</v>
      </c>
      <c r="G1234">
        <f t="shared" si="38"/>
        <v>27000</v>
      </c>
      <c r="H1234">
        <f>VLOOKUP(C1234,menu!A:E,4,FALSE)</f>
        <v>11000</v>
      </c>
      <c r="I1234">
        <f t="shared" si="39"/>
        <v>16000</v>
      </c>
    </row>
    <row r="1235" spans="1:9" x14ac:dyDescent="0.35">
      <c r="A1235" s="4" t="s">
        <v>2146</v>
      </c>
      <c r="B1235" s="4" t="s">
        <v>163</v>
      </c>
      <c r="C1235" s="4" t="s">
        <v>919</v>
      </c>
      <c r="D1235" s="4">
        <v>1</v>
      </c>
      <c r="E1235" s="6">
        <v>20000</v>
      </c>
      <c r="F1235" t="str">
        <f>VLOOKUP(C1235,menu!A:B,2,FALSE)</f>
        <v>Gado-Gado Jakarta</v>
      </c>
      <c r="G1235">
        <f t="shared" si="38"/>
        <v>20000</v>
      </c>
      <c r="H1235">
        <f>VLOOKUP(C1235,menu!A:E,4,FALSE)</f>
        <v>8000</v>
      </c>
      <c r="I1235">
        <f t="shared" si="39"/>
        <v>12000</v>
      </c>
    </row>
    <row r="1236" spans="1:9" x14ac:dyDescent="0.35">
      <c r="A1236" s="4" t="s">
        <v>2147</v>
      </c>
      <c r="B1236" s="4" t="s">
        <v>163</v>
      </c>
      <c r="C1236" s="4" t="s">
        <v>940</v>
      </c>
      <c r="D1236" s="4">
        <v>1</v>
      </c>
      <c r="E1236" s="6">
        <v>10000</v>
      </c>
      <c r="F1236" t="str">
        <f>VLOOKUP(C1236,menu!A:B,2,FALSE)</f>
        <v>Tahu Isi Goreng (5pcs)</v>
      </c>
      <c r="G1236">
        <f t="shared" si="38"/>
        <v>10000</v>
      </c>
      <c r="H1236">
        <f>VLOOKUP(C1236,menu!A:E,4,FALSE)</f>
        <v>3500</v>
      </c>
      <c r="I1236">
        <f t="shared" si="39"/>
        <v>6500</v>
      </c>
    </row>
    <row r="1237" spans="1:9" x14ac:dyDescent="0.35">
      <c r="A1237" s="4" t="s">
        <v>2148</v>
      </c>
      <c r="B1237" s="4" t="s">
        <v>163</v>
      </c>
      <c r="C1237" s="4" t="s">
        <v>890</v>
      </c>
      <c r="D1237" s="4">
        <v>1</v>
      </c>
      <c r="E1237" s="6">
        <v>18000</v>
      </c>
      <c r="F1237" t="str">
        <f>VLOOKUP(C1237,menu!A:B,2,FALSE)</f>
        <v>Es Kopi Susu Gula Aren</v>
      </c>
      <c r="G1237">
        <f t="shared" si="38"/>
        <v>18000</v>
      </c>
      <c r="H1237">
        <f>VLOOKUP(C1237,menu!A:E,4,FALSE)</f>
        <v>4500</v>
      </c>
      <c r="I1237">
        <f t="shared" si="39"/>
        <v>13500</v>
      </c>
    </row>
    <row r="1238" spans="1:9" x14ac:dyDescent="0.35">
      <c r="A1238" s="4" t="s">
        <v>2149</v>
      </c>
      <c r="B1238" s="4" t="s">
        <v>163</v>
      </c>
      <c r="C1238" s="4" t="s">
        <v>896</v>
      </c>
      <c r="D1238" s="4">
        <v>1</v>
      </c>
      <c r="E1238" s="6">
        <v>23000</v>
      </c>
      <c r="F1238" t="str">
        <f>VLOOKUP(C1238,menu!A:B,2,FALSE)</f>
        <v>Nasi Uduk Komplit</v>
      </c>
      <c r="G1238">
        <f t="shared" si="38"/>
        <v>23000</v>
      </c>
      <c r="H1238">
        <f>VLOOKUP(C1238,menu!A:E,4,FALSE)</f>
        <v>9000</v>
      </c>
      <c r="I1238">
        <f t="shared" si="39"/>
        <v>14000</v>
      </c>
    </row>
    <row r="1239" spans="1:9" x14ac:dyDescent="0.35">
      <c r="A1239" s="4" t="s">
        <v>2150</v>
      </c>
      <c r="B1239" s="4" t="s">
        <v>324</v>
      </c>
      <c r="C1239" s="4" t="s">
        <v>935</v>
      </c>
      <c r="D1239" s="4">
        <v>1</v>
      </c>
      <c r="E1239" s="6">
        <v>22000</v>
      </c>
      <c r="F1239" t="str">
        <f>VLOOKUP(C1239,menu!A:B,2,FALSE)</f>
        <v>Soto Ayam Lamongan</v>
      </c>
      <c r="G1239">
        <f t="shared" si="38"/>
        <v>22000</v>
      </c>
      <c r="H1239">
        <f>VLOOKUP(C1239,menu!A:E,4,FALSE)</f>
        <v>9500</v>
      </c>
      <c r="I1239">
        <f t="shared" si="39"/>
        <v>12500</v>
      </c>
    </row>
    <row r="1240" spans="1:9" x14ac:dyDescent="0.35">
      <c r="A1240" s="4" t="s">
        <v>2151</v>
      </c>
      <c r="B1240" s="4" t="s">
        <v>324</v>
      </c>
      <c r="C1240" s="4" t="s">
        <v>898</v>
      </c>
      <c r="D1240" s="4">
        <v>2</v>
      </c>
      <c r="E1240" s="6">
        <v>27000</v>
      </c>
      <c r="F1240" t="str">
        <f>VLOOKUP(C1240,menu!A:B,2,FALSE)</f>
        <v>Ayam Geprek Sambal Bawang</v>
      </c>
      <c r="G1240">
        <f t="shared" si="38"/>
        <v>54000</v>
      </c>
      <c r="H1240">
        <f>VLOOKUP(C1240,menu!A:E,4,FALSE)</f>
        <v>11000</v>
      </c>
      <c r="I1240">
        <f t="shared" si="39"/>
        <v>32000</v>
      </c>
    </row>
    <row r="1241" spans="1:9" x14ac:dyDescent="0.35">
      <c r="A1241" s="4" t="s">
        <v>2152</v>
      </c>
      <c r="B1241" s="4" t="s">
        <v>687</v>
      </c>
      <c r="C1241" s="4" t="s">
        <v>898</v>
      </c>
      <c r="D1241" s="4">
        <v>1</v>
      </c>
      <c r="E1241" s="6">
        <v>27000</v>
      </c>
      <c r="F1241" t="str">
        <f>VLOOKUP(C1241,menu!A:B,2,FALSE)</f>
        <v>Ayam Geprek Sambal Bawang</v>
      </c>
      <c r="G1241">
        <f t="shared" si="38"/>
        <v>27000</v>
      </c>
      <c r="H1241">
        <f>VLOOKUP(C1241,menu!A:E,4,FALSE)</f>
        <v>11000</v>
      </c>
      <c r="I1241">
        <f t="shared" si="39"/>
        <v>16000</v>
      </c>
    </row>
    <row r="1242" spans="1:9" x14ac:dyDescent="0.35">
      <c r="A1242" s="4" t="s">
        <v>2153</v>
      </c>
      <c r="B1242" s="4" t="s">
        <v>687</v>
      </c>
      <c r="C1242" s="4" t="s">
        <v>931</v>
      </c>
      <c r="D1242" s="4">
        <v>1</v>
      </c>
      <c r="E1242" s="6">
        <v>5000</v>
      </c>
      <c r="F1242" t="str">
        <f>VLOOKUP(C1242,menu!A:B,2,FALSE)</f>
        <v>Kerupuk Udang</v>
      </c>
      <c r="G1242">
        <f t="shared" si="38"/>
        <v>5000</v>
      </c>
      <c r="H1242">
        <f>VLOOKUP(C1242,menu!A:E,4,FALSE)</f>
        <v>1500</v>
      </c>
      <c r="I1242">
        <f t="shared" si="39"/>
        <v>3500</v>
      </c>
    </row>
    <row r="1243" spans="1:9" x14ac:dyDescent="0.35">
      <c r="A1243" s="4" t="s">
        <v>2154</v>
      </c>
      <c r="B1243" s="4" t="s">
        <v>851</v>
      </c>
      <c r="C1243" s="4" t="s">
        <v>894</v>
      </c>
      <c r="D1243" s="4">
        <v>1</v>
      </c>
      <c r="E1243" s="6">
        <v>5000</v>
      </c>
      <c r="F1243" t="str">
        <f>VLOOKUP(C1243,menu!A:B,2,FALSE)</f>
        <v>Air Mineral Botol</v>
      </c>
      <c r="G1243">
        <f t="shared" si="38"/>
        <v>5000</v>
      </c>
      <c r="H1243">
        <f>VLOOKUP(C1243,menu!A:E,4,FALSE)</f>
        <v>2000</v>
      </c>
      <c r="I1243">
        <f t="shared" si="39"/>
        <v>3000</v>
      </c>
    </row>
    <row r="1244" spans="1:9" x14ac:dyDescent="0.35">
      <c r="A1244" s="4" t="s">
        <v>2155</v>
      </c>
      <c r="B1244" s="4" t="s">
        <v>851</v>
      </c>
      <c r="C1244" s="4" t="s">
        <v>898</v>
      </c>
      <c r="D1244" s="4">
        <v>1</v>
      </c>
      <c r="E1244" s="6">
        <v>27000</v>
      </c>
      <c r="F1244" t="str">
        <f>VLOOKUP(C1244,menu!A:B,2,FALSE)</f>
        <v>Ayam Geprek Sambal Bawang</v>
      </c>
      <c r="G1244">
        <f t="shared" si="38"/>
        <v>27000</v>
      </c>
      <c r="H1244">
        <f>VLOOKUP(C1244,menu!A:E,4,FALSE)</f>
        <v>11000</v>
      </c>
      <c r="I1244">
        <f t="shared" si="39"/>
        <v>16000</v>
      </c>
    </row>
    <row r="1245" spans="1:9" x14ac:dyDescent="0.35">
      <c r="A1245" s="4" t="s">
        <v>2156</v>
      </c>
      <c r="B1245" s="4" t="s">
        <v>851</v>
      </c>
      <c r="C1245" s="4" t="s">
        <v>919</v>
      </c>
      <c r="D1245" s="4">
        <v>1</v>
      </c>
      <c r="E1245" s="6">
        <v>20000</v>
      </c>
      <c r="F1245" t="str">
        <f>VLOOKUP(C1245,menu!A:B,2,FALSE)</f>
        <v>Gado-Gado Jakarta</v>
      </c>
      <c r="G1245">
        <f t="shared" si="38"/>
        <v>20000</v>
      </c>
      <c r="H1245">
        <f>VLOOKUP(C1245,menu!A:E,4,FALSE)</f>
        <v>8000</v>
      </c>
      <c r="I1245">
        <f t="shared" si="39"/>
        <v>12000</v>
      </c>
    </row>
    <row r="1246" spans="1:9" x14ac:dyDescent="0.35">
      <c r="A1246" s="4" t="s">
        <v>2157</v>
      </c>
      <c r="B1246" s="4" t="s">
        <v>851</v>
      </c>
      <c r="C1246" s="4" t="s">
        <v>955</v>
      </c>
      <c r="D1246" s="4">
        <v>1</v>
      </c>
      <c r="E1246" s="6">
        <v>15000</v>
      </c>
      <c r="F1246" t="str">
        <f>VLOOKUP(C1246,menu!A:B,2,FALSE)</f>
        <v>Es Campur</v>
      </c>
      <c r="G1246">
        <f t="shared" si="38"/>
        <v>15000</v>
      </c>
      <c r="H1246">
        <f>VLOOKUP(C1246,menu!A:E,4,FALSE)</f>
        <v>6000</v>
      </c>
      <c r="I1246">
        <f t="shared" si="39"/>
        <v>9000</v>
      </c>
    </row>
    <row r="1247" spans="1:9" x14ac:dyDescent="0.35">
      <c r="A1247" s="4" t="s">
        <v>2158</v>
      </c>
      <c r="B1247" s="4" t="s">
        <v>148</v>
      </c>
      <c r="C1247" s="4" t="s">
        <v>919</v>
      </c>
      <c r="D1247" s="4">
        <v>1</v>
      </c>
      <c r="E1247" s="6">
        <v>20000</v>
      </c>
      <c r="F1247" t="str">
        <f>VLOOKUP(C1247,menu!A:B,2,FALSE)</f>
        <v>Gado-Gado Jakarta</v>
      </c>
      <c r="G1247">
        <f t="shared" si="38"/>
        <v>20000</v>
      </c>
      <c r="H1247">
        <f>VLOOKUP(C1247,menu!A:E,4,FALSE)</f>
        <v>8000</v>
      </c>
      <c r="I1247">
        <f t="shared" si="39"/>
        <v>12000</v>
      </c>
    </row>
    <row r="1248" spans="1:9" x14ac:dyDescent="0.35">
      <c r="A1248" s="4" t="s">
        <v>2159</v>
      </c>
      <c r="B1248" s="4" t="s">
        <v>148</v>
      </c>
      <c r="C1248" s="4" t="s">
        <v>898</v>
      </c>
      <c r="D1248" s="4">
        <v>2</v>
      </c>
      <c r="E1248" s="6">
        <v>27000</v>
      </c>
      <c r="F1248" t="str">
        <f>VLOOKUP(C1248,menu!A:B,2,FALSE)</f>
        <v>Ayam Geprek Sambal Bawang</v>
      </c>
      <c r="G1248">
        <f t="shared" si="38"/>
        <v>54000</v>
      </c>
      <c r="H1248">
        <f>VLOOKUP(C1248,menu!A:E,4,FALSE)</f>
        <v>11000</v>
      </c>
      <c r="I1248">
        <f t="shared" si="39"/>
        <v>32000</v>
      </c>
    </row>
    <row r="1249" spans="1:9" x14ac:dyDescent="0.35">
      <c r="A1249" s="4" t="s">
        <v>2160</v>
      </c>
      <c r="B1249" s="4" t="s">
        <v>397</v>
      </c>
      <c r="C1249" s="4" t="s">
        <v>931</v>
      </c>
      <c r="D1249" s="4">
        <v>1</v>
      </c>
      <c r="E1249" s="6">
        <v>5000</v>
      </c>
      <c r="F1249" t="str">
        <f>VLOOKUP(C1249,menu!A:B,2,FALSE)</f>
        <v>Kerupuk Udang</v>
      </c>
      <c r="G1249">
        <f t="shared" si="38"/>
        <v>5000</v>
      </c>
      <c r="H1249">
        <f>VLOOKUP(C1249,menu!A:E,4,FALSE)</f>
        <v>1500</v>
      </c>
      <c r="I1249">
        <f t="shared" si="39"/>
        <v>3500</v>
      </c>
    </row>
    <row r="1250" spans="1:9" x14ac:dyDescent="0.35">
      <c r="A1250" s="4" t="s">
        <v>2161</v>
      </c>
      <c r="B1250" s="4" t="s">
        <v>397</v>
      </c>
      <c r="C1250" s="4" t="s">
        <v>908</v>
      </c>
      <c r="D1250" s="4">
        <v>1</v>
      </c>
      <c r="E1250" s="6">
        <v>16000</v>
      </c>
      <c r="F1250" t="str">
        <f>VLOOKUP(C1250,menu!A:B,2,FALSE)</f>
        <v>Jus Alpukat</v>
      </c>
      <c r="G1250">
        <f t="shared" si="38"/>
        <v>16000</v>
      </c>
      <c r="H1250">
        <f>VLOOKUP(C1250,menu!A:E,4,FALSE)</f>
        <v>5500</v>
      </c>
      <c r="I1250">
        <f t="shared" si="39"/>
        <v>10500</v>
      </c>
    </row>
    <row r="1251" spans="1:9" x14ac:dyDescent="0.35">
      <c r="A1251" s="4" t="s">
        <v>2162</v>
      </c>
      <c r="B1251" s="4" t="s">
        <v>308</v>
      </c>
      <c r="C1251" s="4" t="s">
        <v>1003</v>
      </c>
      <c r="D1251" s="4">
        <v>1</v>
      </c>
      <c r="E1251" s="6">
        <v>29000</v>
      </c>
      <c r="F1251" t="str">
        <f>VLOOKUP(C1251,menu!A:B,2,FALSE)</f>
        <v>Capcay Seafood</v>
      </c>
      <c r="G1251">
        <f t="shared" si="38"/>
        <v>29000</v>
      </c>
      <c r="H1251">
        <f>VLOOKUP(C1251,menu!A:E,4,FALSE)</f>
        <v>13000</v>
      </c>
      <c r="I1251">
        <f t="shared" si="39"/>
        <v>16000</v>
      </c>
    </row>
    <row r="1252" spans="1:9" x14ac:dyDescent="0.35">
      <c r="A1252" s="4" t="s">
        <v>2163</v>
      </c>
      <c r="B1252" s="4" t="s">
        <v>308</v>
      </c>
      <c r="C1252" s="4" t="s">
        <v>937</v>
      </c>
      <c r="D1252" s="4">
        <v>1</v>
      </c>
      <c r="E1252" s="6">
        <v>26000</v>
      </c>
      <c r="F1252" t="str">
        <f>VLOOKUP(C1252,menu!A:B,2,FALSE)</f>
        <v>Nasi Campur Bali</v>
      </c>
      <c r="G1252">
        <f t="shared" si="38"/>
        <v>26000</v>
      </c>
      <c r="H1252">
        <f>VLOOKUP(C1252,menu!A:E,4,FALSE)</f>
        <v>11500</v>
      </c>
      <c r="I1252">
        <f t="shared" si="39"/>
        <v>14500</v>
      </c>
    </row>
    <row r="1253" spans="1:9" x14ac:dyDescent="0.35">
      <c r="A1253" s="4" t="s">
        <v>2164</v>
      </c>
      <c r="B1253" s="4" t="s">
        <v>190</v>
      </c>
      <c r="C1253" s="4" t="s">
        <v>898</v>
      </c>
      <c r="D1253" s="4">
        <v>1</v>
      </c>
      <c r="E1253" s="6">
        <v>27000</v>
      </c>
      <c r="F1253" t="str">
        <f>VLOOKUP(C1253,menu!A:B,2,FALSE)</f>
        <v>Ayam Geprek Sambal Bawang</v>
      </c>
      <c r="G1253">
        <f t="shared" si="38"/>
        <v>27000</v>
      </c>
      <c r="H1253">
        <f>VLOOKUP(C1253,menu!A:E,4,FALSE)</f>
        <v>11000</v>
      </c>
      <c r="I1253">
        <f t="shared" si="39"/>
        <v>16000</v>
      </c>
    </row>
    <row r="1254" spans="1:9" x14ac:dyDescent="0.35">
      <c r="A1254" s="4" t="s">
        <v>2165</v>
      </c>
      <c r="B1254" s="4" t="s">
        <v>544</v>
      </c>
      <c r="C1254" s="4" t="s">
        <v>908</v>
      </c>
      <c r="D1254" s="4">
        <v>2</v>
      </c>
      <c r="E1254" s="6">
        <v>16000</v>
      </c>
      <c r="F1254" t="str">
        <f>VLOOKUP(C1254,menu!A:B,2,FALSE)</f>
        <v>Jus Alpukat</v>
      </c>
      <c r="G1254">
        <f t="shared" si="38"/>
        <v>32000</v>
      </c>
      <c r="H1254">
        <f>VLOOKUP(C1254,menu!A:E,4,FALSE)</f>
        <v>5500</v>
      </c>
      <c r="I1254">
        <f t="shared" si="39"/>
        <v>21000</v>
      </c>
    </row>
    <row r="1255" spans="1:9" x14ac:dyDescent="0.35">
      <c r="A1255" s="4" t="s">
        <v>2166</v>
      </c>
      <c r="B1255" s="4" t="s">
        <v>544</v>
      </c>
      <c r="C1255" s="4" t="s">
        <v>940</v>
      </c>
      <c r="D1255" s="4">
        <v>1</v>
      </c>
      <c r="E1255" s="6">
        <v>10000</v>
      </c>
      <c r="F1255" t="str">
        <f>VLOOKUP(C1255,menu!A:B,2,FALSE)</f>
        <v>Tahu Isi Goreng (5pcs)</v>
      </c>
      <c r="G1255">
        <f t="shared" si="38"/>
        <v>10000</v>
      </c>
      <c r="H1255">
        <f>VLOOKUP(C1255,menu!A:E,4,FALSE)</f>
        <v>3500</v>
      </c>
      <c r="I1255">
        <f t="shared" si="39"/>
        <v>6500</v>
      </c>
    </row>
    <row r="1256" spans="1:9" x14ac:dyDescent="0.35">
      <c r="A1256" s="4" t="s">
        <v>2167</v>
      </c>
      <c r="B1256" s="4" t="s">
        <v>601</v>
      </c>
      <c r="C1256" s="4" t="s">
        <v>896</v>
      </c>
      <c r="D1256" s="4">
        <v>1</v>
      </c>
      <c r="E1256" s="6">
        <v>23000</v>
      </c>
      <c r="F1256" t="str">
        <f>VLOOKUP(C1256,menu!A:B,2,FALSE)</f>
        <v>Nasi Uduk Komplit</v>
      </c>
      <c r="G1256">
        <f t="shared" si="38"/>
        <v>23000</v>
      </c>
      <c r="H1256">
        <f>VLOOKUP(C1256,menu!A:E,4,FALSE)</f>
        <v>9000</v>
      </c>
      <c r="I1256">
        <f t="shared" si="39"/>
        <v>14000</v>
      </c>
    </row>
    <row r="1257" spans="1:9" x14ac:dyDescent="0.35">
      <c r="A1257" s="4" t="s">
        <v>2168</v>
      </c>
      <c r="B1257" s="4" t="s">
        <v>601</v>
      </c>
      <c r="C1257" s="4" t="s">
        <v>919</v>
      </c>
      <c r="D1257" s="4">
        <v>1</v>
      </c>
      <c r="E1257" s="6">
        <v>20000</v>
      </c>
      <c r="F1257" t="str">
        <f>VLOOKUP(C1257,menu!A:B,2,FALSE)</f>
        <v>Gado-Gado Jakarta</v>
      </c>
      <c r="G1257">
        <f t="shared" si="38"/>
        <v>20000</v>
      </c>
      <c r="H1257">
        <f>VLOOKUP(C1257,menu!A:E,4,FALSE)</f>
        <v>8000</v>
      </c>
      <c r="I1257">
        <f t="shared" si="39"/>
        <v>12000</v>
      </c>
    </row>
    <row r="1258" spans="1:9" x14ac:dyDescent="0.35">
      <c r="A1258" s="4" t="s">
        <v>2169</v>
      </c>
      <c r="B1258" s="4" t="s">
        <v>614</v>
      </c>
      <c r="C1258" s="4" t="s">
        <v>1003</v>
      </c>
      <c r="D1258" s="4">
        <v>1</v>
      </c>
      <c r="E1258" s="6">
        <v>29000</v>
      </c>
      <c r="F1258" t="str">
        <f>VLOOKUP(C1258,menu!A:B,2,FALSE)</f>
        <v>Capcay Seafood</v>
      </c>
      <c r="G1258">
        <f t="shared" si="38"/>
        <v>29000</v>
      </c>
      <c r="H1258">
        <f>VLOOKUP(C1258,menu!A:E,4,FALSE)</f>
        <v>13000</v>
      </c>
      <c r="I1258">
        <f t="shared" si="39"/>
        <v>16000</v>
      </c>
    </row>
    <row r="1259" spans="1:9" x14ac:dyDescent="0.35">
      <c r="A1259" s="4" t="s">
        <v>2170</v>
      </c>
      <c r="B1259" s="4" t="s">
        <v>869</v>
      </c>
      <c r="C1259" s="4" t="s">
        <v>898</v>
      </c>
      <c r="D1259" s="4">
        <v>3</v>
      </c>
      <c r="E1259" s="6">
        <v>27000</v>
      </c>
      <c r="F1259" t="str">
        <f>VLOOKUP(C1259,menu!A:B,2,FALSE)</f>
        <v>Ayam Geprek Sambal Bawang</v>
      </c>
      <c r="G1259">
        <f t="shared" si="38"/>
        <v>81000</v>
      </c>
      <c r="H1259">
        <f>VLOOKUP(C1259,menu!A:E,4,FALSE)</f>
        <v>11000</v>
      </c>
      <c r="I1259">
        <f t="shared" si="39"/>
        <v>48000</v>
      </c>
    </row>
    <row r="1260" spans="1:9" x14ac:dyDescent="0.35">
      <c r="A1260" s="4" t="s">
        <v>2171</v>
      </c>
      <c r="B1260" s="4" t="s">
        <v>869</v>
      </c>
      <c r="C1260" s="4" t="s">
        <v>916</v>
      </c>
      <c r="D1260" s="4">
        <v>1</v>
      </c>
      <c r="E1260" s="6">
        <v>9000</v>
      </c>
      <c r="F1260" t="str">
        <f>VLOOKUP(C1260,menu!A:B,2,FALSE)</f>
        <v>Kopi Hitam Tubruk</v>
      </c>
      <c r="G1260">
        <f t="shared" si="38"/>
        <v>9000</v>
      </c>
      <c r="H1260">
        <f>VLOOKUP(C1260,menu!A:E,4,FALSE)</f>
        <v>2000</v>
      </c>
      <c r="I1260">
        <f t="shared" si="39"/>
        <v>7000</v>
      </c>
    </row>
    <row r="1261" spans="1:9" x14ac:dyDescent="0.35">
      <c r="A1261" s="4" t="s">
        <v>2172</v>
      </c>
      <c r="B1261" s="4" t="s">
        <v>869</v>
      </c>
      <c r="C1261" s="4" t="s">
        <v>928</v>
      </c>
      <c r="D1261" s="4">
        <v>1</v>
      </c>
      <c r="E1261" s="6">
        <v>23000</v>
      </c>
      <c r="F1261" t="str">
        <f>VLOOKUP(C1261,menu!A:B,2,FALSE)</f>
        <v>Mie Goreng Jawa</v>
      </c>
      <c r="G1261">
        <f t="shared" si="38"/>
        <v>23000</v>
      </c>
      <c r="H1261">
        <f>VLOOKUP(C1261,menu!A:E,4,FALSE)</f>
        <v>8500</v>
      </c>
      <c r="I1261">
        <f t="shared" si="39"/>
        <v>14500</v>
      </c>
    </row>
    <row r="1262" spans="1:9" x14ac:dyDescent="0.35">
      <c r="A1262" s="4" t="s">
        <v>2173</v>
      </c>
      <c r="B1262" s="4" t="s">
        <v>254</v>
      </c>
      <c r="C1262" s="4" t="s">
        <v>898</v>
      </c>
      <c r="D1262" s="4">
        <v>1</v>
      </c>
      <c r="E1262" s="6">
        <v>27000</v>
      </c>
      <c r="F1262" t="str">
        <f>VLOOKUP(C1262,menu!A:B,2,FALSE)</f>
        <v>Ayam Geprek Sambal Bawang</v>
      </c>
      <c r="G1262">
        <f t="shared" si="38"/>
        <v>27000</v>
      </c>
      <c r="H1262">
        <f>VLOOKUP(C1262,menu!A:E,4,FALSE)</f>
        <v>11000</v>
      </c>
      <c r="I1262">
        <f t="shared" si="39"/>
        <v>16000</v>
      </c>
    </row>
    <row r="1263" spans="1:9" x14ac:dyDescent="0.35">
      <c r="A1263" s="4" t="s">
        <v>2174</v>
      </c>
      <c r="B1263" s="4" t="s">
        <v>36</v>
      </c>
      <c r="C1263" s="4" t="s">
        <v>898</v>
      </c>
      <c r="D1263" s="4">
        <v>1</v>
      </c>
      <c r="E1263" s="6">
        <v>27000</v>
      </c>
      <c r="F1263" t="str">
        <f>VLOOKUP(C1263,menu!A:B,2,FALSE)</f>
        <v>Ayam Geprek Sambal Bawang</v>
      </c>
      <c r="G1263">
        <f t="shared" si="38"/>
        <v>27000</v>
      </c>
      <c r="H1263">
        <f>VLOOKUP(C1263,menu!A:E,4,FALSE)</f>
        <v>11000</v>
      </c>
      <c r="I1263">
        <f t="shared" si="39"/>
        <v>16000</v>
      </c>
    </row>
    <row r="1264" spans="1:9" x14ac:dyDescent="0.35">
      <c r="A1264" s="4" t="s">
        <v>2175</v>
      </c>
      <c r="B1264" s="4" t="s">
        <v>638</v>
      </c>
      <c r="C1264" s="4" t="s">
        <v>892</v>
      </c>
      <c r="D1264" s="4">
        <v>2</v>
      </c>
      <c r="E1264" s="6">
        <v>9000</v>
      </c>
      <c r="F1264" t="str">
        <f>VLOOKUP(C1264,menu!A:B,2,FALSE)</f>
        <v>Tempe Mendoan (5pcs)</v>
      </c>
      <c r="G1264">
        <f t="shared" si="38"/>
        <v>18000</v>
      </c>
      <c r="H1264">
        <f>VLOOKUP(C1264,menu!A:E,4,FALSE)</f>
        <v>3000</v>
      </c>
      <c r="I1264">
        <f t="shared" si="39"/>
        <v>12000</v>
      </c>
    </row>
    <row r="1265" spans="1:9" x14ac:dyDescent="0.35">
      <c r="A1265" s="4" t="s">
        <v>2176</v>
      </c>
      <c r="B1265" s="4" t="s">
        <v>638</v>
      </c>
      <c r="C1265" s="4" t="s">
        <v>896</v>
      </c>
      <c r="D1265" s="4">
        <v>1</v>
      </c>
      <c r="E1265" s="6">
        <v>23000</v>
      </c>
      <c r="F1265" t="str">
        <f>VLOOKUP(C1265,menu!A:B,2,FALSE)</f>
        <v>Nasi Uduk Komplit</v>
      </c>
      <c r="G1265">
        <f t="shared" si="38"/>
        <v>23000</v>
      </c>
      <c r="H1265">
        <f>VLOOKUP(C1265,menu!A:E,4,FALSE)</f>
        <v>9000</v>
      </c>
      <c r="I1265">
        <f t="shared" si="39"/>
        <v>14000</v>
      </c>
    </row>
    <row r="1266" spans="1:9" x14ac:dyDescent="0.35">
      <c r="A1266" s="4" t="s">
        <v>2177</v>
      </c>
      <c r="B1266" s="4" t="s">
        <v>638</v>
      </c>
      <c r="C1266" s="4" t="s">
        <v>919</v>
      </c>
      <c r="D1266" s="4">
        <v>1</v>
      </c>
      <c r="E1266" s="6">
        <v>20000</v>
      </c>
      <c r="F1266" t="str">
        <f>VLOOKUP(C1266,menu!A:B,2,FALSE)</f>
        <v>Gado-Gado Jakarta</v>
      </c>
      <c r="G1266">
        <f t="shared" si="38"/>
        <v>20000</v>
      </c>
      <c r="H1266">
        <f>VLOOKUP(C1266,menu!A:E,4,FALSE)</f>
        <v>8000</v>
      </c>
      <c r="I1266">
        <f t="shared" si="39"/>
        <v>12000</v>
      </c>
    </row>
    <row r="1267" spans="1:9" x14ac:dyDescent="0.35">
      <c r="A1267" s="4" t="s">
        <v>2178</v>
      </c>
      <c r="B1267" s="4" t="s">
        <v>587</v>
      </c>
      <c r="C1267" s="4" t="s">
        <v>1003</v>
      </c>
      <c r="D1267" s="4">
        <v>2</v>
      </c>
      <c r="E1267" s="6">
        <v>29000</v>
      </c>
      <c r="F1267" t="str">
        <f>VLOOKUP(C1267,menu!A:B,2,FALSE)</f>
        <v>Capcay Seafood</v>
      </c>
      <c r="G1267">
        <f t="shared" si="38"/>
        <v>58000</v>
      </c>
      <c r="H1267">
        <f>VLOOKUP(C1267,menu!A:E,4,FALSE)</f>
        <v>13000</v>
      </c>
      <c r="I1267">
        <f t="shared" si="39"/>
        <v>32000</v>
      </c>
    </row>
    <row r="1268" spans="1:9" x14ac:dyDescent="0.35">
      <c r="A1268" s="4" t="s">
        <v>2179</v>
      </c>
      <c r="B1268" s="4" t="s">
        <v>587</v>
      </c>
      <c r="C1268" s="4" t="s">
        <v>902</v>
      </c>
      <c r="D1268" s="4">
        <v>1</v>
      </c>
      <c r="E1268" s="6">
        <v>12000</v>
      </c>
      <c r="F1268" t="str">
        <f>VLOOKUP(C1268,menu!A:B,2,FALSE)</f>
        <v>Teh Tarik</v>
      </c>
      <c r="G1268">
        <f t="shared" si="38"/>
        <v>12000</v>
      </c>
      <c r="H1268">
        <f>VLOOKUP(C1268,menu!A:E,4,FALSE)</f>
        <v>3000</v>
      </c>
      <c r="I1268">
        <f t="shared" si="39"/>
        <v>9000</v>
      </c>
    </row>
    <row r="1269" spans="1:9" x14ac:dyDescent="0.35">
      <c r="A1269" s="4" t="s">
        <v>2180</v>
      </c>
      <c r="B1269" s="4" t="s">
        <v>587</v>
      </c>
      <c r="C1269" s="4" t="s">
        <v>894</v>
      </c>
      <c r="D1269" s="4">
        <v>1</v>
      </c>
      <c r="E1269" s="6">
        <v>5000</v>
      </c>
      <c r="F1269" t="str">
        <f>VLOOKUP(C1269,menu!A:B,2,FALSE)</f>
        <v>Air Mineral Botol</v>
      </c>
      <c r="G1269">
        <f t="shared" si="38"/>
        <v>5000</v>
      </c>
      <c r="H1269">
        <f>VLOOKUP(C1269,menu!A:E,4,FALSE)</f>
        <v>2000</v>
      </c>
      <c r="I1269">
        <f t="shared" si="39"/>
        <v>3000</v>
      </c>
    </row>
    <row r="1270" spans="1:9" x14ac:dyDescent="0.35">
      <c r="A1270" s="4" t="s">
        <v>2181</v>
      </c>
      <c r="B1270" s="4" t="s">
        <v>839</v>
      </c>
      <c r="C1270" s="4" t="s">
        <v>890</v>
      </c>
      <c r="D1270" s="4">
        <v>2</v>
      </c>
      <c r="E1270" s="6">
        <v>18000</v>
      </c>
      <c r="F1270" t="str">
        <f>VLOOKUP(C1270,menu!A:B,2,FALSE)</f>
        <v>Es Kopi Susu Gula Aren</v>
      </c>
      <c r="G1270">
        <f t="shared" si="38"/>
        <v>36000</v>
      </c>
      <c r="H1270">
        <f>VLOOKUP(C1270,menu!A:E,4,FALSE)</f>
        <v>4500</v>
      </c>
      <c r="I1270">
        <f t="shared" si="39"/>
        <v>27000</v>
      </c>
    </row>
    <row r="1271" spans="1:9" x14ac:dyDescent="0.35">
      <c r="A1271" s="4" t="s">
        <v>2182</v>
      </c>
      <c r="B1271" s="4" t="s">
        <v>465</v>
      </c>
      <c r="C1271" s="4" t="s">
        <v>896</v>
      </c>
      <c r="D1271" s="4">
        <v>1</v>
      </c>
      <c r="E1271" s="6">
        <v>23000</v>
      </c>
      <c r="F1271" t="str">
        <f>VLOOKUP(C1271,menu!A:B,2,FALSE)</f>
        <v>Nasi Uduk Komplit</v>
      </c>
      <c r="G1271">
        <f t="shared" si="38"/>
        <v>23000</v>
      </c>
      <c r="H1271">
        <f>VLOOKUP(C1271,menu!A:E,4,FALSE)</f>
        <v>9000</v>
      </c>
      <c r="I1271">
        <f t="shared" si="39"/>
        <v>14000</v>
      </c>
    </row>
    <row r="1272" spans="1:9" x14ac:dyDescent="0.35">
      <c r="A1272" s="4" t="s">
        <v>2183</v>
      </c>
      <c r="B1272" s="4" t="s">
        <v>465</v>
      </c>
      <c r="C1272" s="4" t="s">
        <v>898</v>
      </c>
      <c r="D1272" s="4">
        <v>1</v>
      </c>
      <c r="E1272" s="6">
        <v>27000</v>
      </c>
      <c r="F1272" t="str">
        <f>VLOOKUP(C1272,menu!A:B,2,FALSE)</f>
        <v>Ayam Geprek Sambal Bawang</v>
      </c>
      <c r="G1272">
        <f t="shared" si="38"/>
        <v>27000</v>
      </c>
      <c r="H1272">
        <f>VLOOKUP(C1272,menu!A:E,4,FALSE)</f>
        <v>11000</v>
      </c>
      <c r="I1272">
        <f t="shared" si="39"/>
        <v>16000</v>
      </c>
    </row>
    <row r="1273" spans="1:9" x14ac:dyDescent="0.35">
      <c r="A1273" s="4" t="s">
        <v>2184</v>
      </c>
      <c r="B1273" s="4" t="s">
        <v>465</v>
      </c>
      <c r="C1273" s="4" t="s">
        <v>931</v>
      </c>
      <c r="D1273" s="4">
        <v>1</v>
      </c>
      <c r="E1273" s="6">
        <v>5000</v>
      </c>
      <c r="F1273" t="str">
        <f>VLOOKUP(C1273,menu!A:B,2,FALSE)</f>
        <v>Kerupuk Udang</v>
      </c>
      <c r="G1273">
        <f t="shared" si="38"/>
        <v>5000</v>
      </c>
      <c r="H1273">
        <f>VLOOKUP(C1273,menu!A:E,4,FALSE)</f>
        <v>1500</v>
      </c>
      <c r="I1273">
        <f t="shared" si="39"/>
        <v>3500</v>
      </c>
    </row>
    <row r="1274" spans="1:9" x14ac:dyDescent="0.35">
      <c r="A1274" s="4" t="s">
        <v>2185</v>
      </c>
      <c r="B1274" s="4" t="s">
        <v>54</v>
      </c>
      <c r="C1274" s="4" t="s">
        <v>898</v>
      </c>
      <c r="D1274" s="4">
        <v>1</v>
      </c>
      <c r="E1274" s="6">
        <v>27000</v>
      </c>
      <c r="F1274" t="str">
        <f>VLOOKUP(C1274,menu!A:B,2,FALSE)</f>
        <v>Ayam Geprek Sambal Bawang</v>
      </c>
      <c r="G1274">
        <f t="shared" si="38"/>
        <v>27000</v>
      </c>
      <c r="H1274">
        <f>VLOOKUP(C1274,menu!A:E,4,FALSE)</f>
        <v>11000</v>
      </c>
      <c r="I1274">
        <f t="shared" si="39"/>
        <v>16000</v>
      </c>
    </row>
    <row r="1275" spans="1:9" x14ac:dyDescent="0.35">
      <c r="A1275" s="4" t="s">
        <v>2186</v>
      </c>
      <c r="B1275" s="4" t="s">
        <v>54</v>
      </c>
      <c r="C1275" s="4" t="s">
        <v>896</v>
      </c>
      <c r="D1275" s="4">
        <v>1</v>
      </c>
      <c r="E1275" s="6">
        <v>23000</v>
      </c>
      <c r="F1275" t="str">
        <f>VLOOKUP(C1275,menu!A:B,2,FALSE)</f>
        <v>Nasi Uduk Komplit</v>
      </c>
      <c r="G1275">
        <f t="shared" si="38"/>
        <v>23000</v>
      </c>
      <c r="H1275">
        <f>VLOOKUP(C1275,menu!A:E,4,FALSE)</f>
        <v>9000</v>
      </c>
      <c r="I1275">
        <f t="shared" si="39"/>
        <v>14000</v>
      </c>
    </row>
    <row r="1276" spans="1:9" x14ac:dyDescent="0.35">
      <c r="A1276" s="4" t="s">
        <v>2187</v>
      </c>
      <c r="B1276" s="4" t="s">
        <v>54</v>
      </c>
      <c r="C1276" s="4" t="s">
        <v>900</v>
      </c>
      <c r="D1276" s="4">
        <v>1</v>
      </c>
      <c r="E1276" s="6">
        <v>8000</v>
      </c>
      <c r="F1276" t="str">
        <f>VLOOKUP(C1276,menu!A:B,2,FALSE)</f>
        <v>Es Jeruk Peras</v>
      </c>
      <c r="G1276">
        <f t="shared" si="38"/>
        <v>8000</v>
      </c>
      <c r="H1276">
        <f>VLOOKUP(C1276,menu!A:E,4,FALSE)</f>
        <v>2500</v>
      </c>
      <c r="I1276">
        <f t="shared" si="39"/>
        <v>5500</v>
      </c>
    </row>
    <row r="1277" spans="1:9" x14ac:dyDescent="0.35">
      <c r="A1277" s="4" t="s">
        <v>2188</v>
      </c>
      <c r="B1277" s="4" t="s">
        <v>155</v>
      </c>
      <c r="C1277" s="4" t="s">
        <v>955</v>
      </c>
      <c r="D1277" s="4">
        <v>1</v>
      </c>
      <c r="E1277" s="6">
        <v>15000</v>
      </c>
      <c r="F1277" t="str">
        <f>VLOOKUP(C1277,menu!A:B,2,FALSE)</f>
        <v>Es Campur</v>
      </c>
      <c r="G1277">
        <f t="shared" si="38"/>
        <v>15000</v>
      </c>
      <c r="H1277">
        <f>VLOOKUP(C1277,menu!A:E,4,FALSE)</f>
        <v>6000</v>
      </c>
      <c r="I1277">
        <f t="shared" si="39"/>
        <v>9000</v>
      </c>
    </row>
    <row r="1278" spans="1:9" x14ac:dyDescent="0.35">
      <c r="A1278" s="4" t="s">
        <v>2189</v>
      </c>
      <c r="B1278" s="4" t="s">
        <v>155</v>
      </c>
      <c r="C1278" s="4" t="s">
        <v>898</v>
      </c>
      <c r="D1278" s="4">
        <v>1</v>
      </c>
      <c r="E1278" s="6">
        <v>27000</v>
      </c>
      <c r="F1278" t="str">
        <f>VLOOKUP(C1278,menu!A:B,2,FALSE)</f>
        <v>Ayam Geprek Sambal Bawang</v>
      </c>
      <c r="G1278">
        <f t="shared" si="38"/>
        <v>27000</v>
      </c>
      <c r="H1278">
        <f>VLOOKUP(C1278,menu!A:E,4,FALSE)</f>
        <v>11000</v>
      </c>
      <c r="I1278">
        <f t="shared" si="39"/>
        <v>16000</v>
      </c>
    </row>
    <row r="1279" spans="1:9" x14ac:dyDescent="0.35">
      <c r="A1279" s="4" t="s">
        <v>2190</v>
      </c>
      <c r="B1279" s="4" t="s">
        <v>155</v>
      </c>
      <c r="C1279" s="4" t="s">
        <v>894</v>
      </c>
      <c r="D1279" s="4">
        <v>1</v>
      </c>
      <c r="E1279" s="6">
        <v>5000</v>
      </c>
      <c r="F1279" t="str">
        <f>VLOOKUP(C1279,menu!A:B,2,FALSE)</f>
        <v>Air Mineral Botol</v>
      </c>
      <c r="G1279">
        <f t="shared" si="38"/>
        <v>5000</v>
      </c>
      <c r="H1279">
        <f>VLOOKUP(C1279,menu!A:E,4,FALSE)</f>
        <v>2000</v>
      </c>
      <c r="I1279">
        <f t="shared" si="39"/>
        <v>3000</v>
      </c>
    </row>
    <row r="1280" spans="1:9" x14ac:dyDescent="0.35">
      <c r="A1280" s="4" t="s">
        <v>2191</v>
      </c>
      <c r="B1280" s="4" t="s">
        <v>155</v>
      </c>
      <c r="C1280" s="4" t="s">
        <v>890</v>
      </c>
      <c r="D1280" s="4">
        <v>2</v>
      </c>
      <c r="E1280" s="6">
        <v>18000</v>
      </c>
      <c r="F1280" t="str">
        <f>VLOOKUP(C1280,menu!A:B,2,FALSE)</f>
        <v>Es Kopi Susu Gula Aren</v>
      </c>
      <c r="G1280">
        <f t="shared" si="38"/>
        <v>36000</v>
      </c>
      <c r="H1280">
        <f>VLOOKUP(C1280,menu!A:E,4,FALSE)</f>
        <v>4500</v>
      </c>
      <c r="I1280">
        <f t="shared" si="39"/>
        <v>27000</v>
      </c>
    </row>
    <row r="1281" spans="1:9" x14ac:dyDescent="0.35">
      <c r="A1281" s="4" t="s">
        <v>2192</v>
      </c>
      <c r="B1281" s="4" t="s">
        <v>155</v>
      </c>
      <c r="C1281" s="4" t="s">
        <v>937</v>
      </c>
      <c r="D1281" s="4">
        <v>1</v>
      </c>
      <c r="E1281" s="6">
        <v>26000</v>
      </c>
      <c r="F1281" t="str">
        <f>VLOOKUP(C1281,menu!A:B,2,FALSE)</f>
        <v>Nasi Campur Bali</v>
      </c>
      <c r="G1281">
        <f t="shared" si="38"/>
        <v>26000</v>
      </c>
      <c r="H1281">
        <f>VLOOKUP(C1281,menu!A:E,4,FALSE)</f>
        <v>11500</v>
      </c>
      <c r="I1281">
        <f t="shared" si="39"/>
        <v>14500</v>
      </c>
    </row>
    <row r="1282" spans="1:9" x14ac:dyDescent="0.35">
      <c r="A1282" s="4" t="s">
        <v>2193</v>
      </c>
      <c r="B1282" s="4" t="s">
        <v>221</v>
      </c>
      <c r="C1282" s="4" t="s">
        <v>906</v>
      </c>
      <c r="D1282" s="4">
        <v>1</v>
      </c>
      <c r="E1282" s="6">
        <v>28000</v>
      </c>
      <c r="F1282" t="str">
        <f>VLOOKUP(C1282,menu!A:B,2,FALSE)</f>
        <v>Sate Ayam 10 Tusuk</v>
      </c>
      <c r="G1282">
        <f t="shared" si="38"/>
        <v>28000</v>
      </c>
      <c r="H1282">
        <f>VLOOKUP(C1282,menu!A:E,4,FALSE)</f>
        <v>12000</v>
      </c>
      <c r="I1282">
        <f t="shared" si="39"/>
        <v>16000</v>
      </c>
    </row>
    <row r="1283" spans="1:9" x14ac:dyDescent="0.35">
      <c r="A1283" s="4" t="s">
        <v>2194</v>
      </c>
      <c r="B1283" s="4" t="s">
        <v>221</v>
      </c>
      <c r="C1283" s="4" t="s">
        <v>894</v>
      </c>
      <c r="D1283" s="4">
        <v>1</v>
      </c>
      <c r="E1283" s="6">
        <v>5000</v>
      </c>
      <c r="F1283" t="str">
        <f>VLOOKUP(C1283,menu!A:B,2,FALSE)</f>
        <v>Air Mineral Botol</v>
      </c>
      <c r="G1283">
        <f t="shared" ref="G1283:G1346" si="40">D1283*E1283</f>
        <v>5000</v>
      </c>
      <c r="H1283">
        <f>VLOOKUP(C1283,menu!A:E,4,FALSE)</f>
        <v>2000</v>
      </c>
      <c r="I1283">
        <f t="shared" ref="I1283:I1346" si="41">(E1283-H1283)*D1283</f>
        <v>3000</v>
      </c>
    </row>
    <row r="1284" spans="1:9" x14ac:dyDescent="0.35">
      <c r="A1284" s="4" t="s">
        <v>2195</v>
      </c>
      <c r="B1284" s="4" t="s">
        <v>221</v>
      </c>
      <c r="C1284" s="4" t="s">
        <v>892</v>
      </c>
      <c r="D1284" s="4">
        <v>1</v>
      </c>
      <c r="E1284" s="6">
        <v>9000</v>
      </c>
      <c r="F1284" t="str">
        <f>VLOOKUP(C1284,menu!A:B,2,FALSE)</f>
        <v>Tempe Mendoan (5pcs)</v>
      </c>
      <c r="G1284">
        <f t="shared" si="40"/>
        <v>9000</v>
      </c>
      <c r="H1284">
        <f>VLOOKUP(C1284,menu!A:E,4,FALSE)</f>
        <v>3000</v>
      </c>
      <c r="I1284">
        <f t="shared" si="41"/>
        <v>6000</v>
      </c>
    </row>
    <row r="1285" spans="1:9" x14ac:dyDescent="0.35">
      <c r="A1285" s="4" t="s">
        <v>2196</v>
      </c>
      <c r="B1285" s="4" t="s">
        <v>221</v>
      </c>
      <c r="C1285" s="4" t="s">
        <v>898</v>
      </c>
      <c r="D1285" s="4">
        <v>1</v>
      </c>
      <c r="E1285" s="6">
        <v>27000</v>
      </c>
      <c r="F1285" t="str">
        <f>VLOOKUP(C1285,menu!A:B,2,FALSE)</f>
        <v>Ayam Geprek Sambal Bawang</v>
      </c>
      <c r="G1285">
        <f t="shared" si="40"/>
        <v>27000</v>
      </c>
      <c r="H1285">
        <f>VLOOKUP(C1285,menu!A:E,4,FALSE)</f>
        <v>11000</v>
      </c>
      <c r="I1285">
        <f t="shared" si="41"/>
        <v>16000</v>
      </c>
    </row>
    <row r="1286" spans="1:9" x14ac:dyDescent="0.35">
      <c r="A1286" s="4" t="s">
        <v>2197</v>
      </c>
      <c r="B1286" s="4" t="s">
        <v>539</v>
      </c>
      <c r="C1286" s="4" t="s">
        <v>898</v>
      </c>
      <c r="D1286" s="4">
        <v>1</v>
      </c>
      <c r="E1286" s="6">
        <v>27000</v>
      </c>
      <c r="F1286" t="str">
        <f>VLOOKUP(C1286,menu!A:B,2,FALSE)</f>
        <v>Ayam Geprek Sambal Bawang</v>
      </c>
      <c r="G1286">
        <f t="shared" si="40"/>
        <v>27000</v>
      </c>
      <c r="H1286">
        <f>VLOOKUP(C1286,menu!A:E,4,FALSE)</f>
        <v>11000</v>
      </c>
      <c r="I1286">
        <f t="shared" si="41"/>
        <v>16000</v>
      </c>
    </row>
    <row r="1287" spans="1:9" x14ac:dyDescent="0.35">
      <c r="A1287" s="4" t="s">
        <v>2198</v>
      </c>
      <c r="B1287" s="4" t="s">
        <v>475</v>
      </c>
      <c r="C1287" s="4" t="s">
        <v>928</v>
      </c>
      <c r="D1287" s="4">
        <v>1</v>
      </c>
      <c r="E1287" s="6">
        <v>23000</v>
      </c>
      <c r="F1287" t="str">
        <f>VLOOKUP(C1287,menu!A:B,2,FALSE)</f>
        <v>Mie Goreng Jawa</v>
      </c>
      <c r="G1287">
        <f t="shared" si="40"/>
        <v>23000</v>
      </c>
      <c r="H1287">
        <f>VLOOKUP(C1287,menu!A:E,4,FALSE)</f>
        <v>8500</v>
      </c>
      <c r="I1287">
        <f t="shared" si="41"/>
        <v>14500</v>
      </c>
    </row>
    <row r="1288" spans="1:9" x14ac:dyDescent="0.35">
      <c r="A1288" s="4" t="s">
        <v>2199</v>
      </c>
      <c r="B1288" s="4" t="s">
        <v>475</v>
      </c>
      <c r="C1288" s="4" t="s">
        <v>1003</v>
      </c>
      <c r="D1288" s="4">
        <v>1</v>
      </c>
      <c r="E1288" s="6">
        <v>29000</v>
      </c>
      <c r="F1288" t="str">
        <f>VLOOKUP(C1288,menu!A:B,2,FALSE)</f>
        <v>Capcay Seafood</v>
      </c>
      <c r="G1288">
        <f t="shared" si="40"/>
        <v>29000</v>
      </c>
      <c r="H1288">
        <f>VLOOKUP(C1288,menu!A:E,4,FALSE)</f>
        <v>13000</v>
      </c>
      <c r="I1288">
        <f t="shared" si="41"/>
        <v>16000</v>
      </c>
    </row>
    <row r="1289" spans="1:9" x14ac:dyDescent="0.35">
      <c r="A1289" s="4" t="s">
        <v>2200</v>
      </c>
      <c r="B1289" s="4" t="s">
        <v>676</v>
      </c>
      <c r="C1289" s="4" t="s">
        <v>916</v>
      </c>
      <c r="D1289" s="4">
        <v>1</v>
      </c>
      <c r="E1289" s="6">
        <v>9000</v>
      </c>
      <c r="F1289" t="str">
        <f>VLOOKUP(C1289,menu!A:B,2,FALSE)</f>
        <v>Kopi Hitam Tubruk</v>
      </c>
      <c r="G1289">
        <f t="shared" si="40"/>
        <v>9000</v>
      </c>
      <c r="H1289">
        <f>VLOOKUP(C1289,menu!A:E,4,FALSE)</f>
        <v>2000</v>
      </c>
      <c r="I1289">
        <f t="shared" si="41"/>
        <v>7000</v>
      </c>
    </row>
    <row r="1290" spans="1:9" x14ac:dyDescent="0.35">
      <c r="A1290" s="4" t="s">
        <v>2201</v>
      </c>
      <c r="B1290" s="4" t="s">
        <v>676</v>
      </c>
      <c r="C1290" s="4" t="s">
        <v>919</v>
      </c>
      <c r="D1290" s="4">
        <v>1</v>
      </c>
      <c r="E1290" s="6">
        <v>20000</v>
      </c>
      <c r="F1290" t="str">
        <f>VLOOKUP(C1290,menu!A:B,2,FALSE)</f>
        <v>Gado-Gado Jakarta</v>
      </c>
      <c r="G1290">
        <f t="shared" si="40"/>
        <v>20000</v>
      </c>
      <c r="H1290">
        <f>VLOOKUP(C1290,menu!A:E,4,FALSE)</f>
        <v>8000</v>
      </c>
      <c r="I1290">
        <f t="shared" si="41"/>
        <v>12000</v>
      </c>
    </row>
    <row r="1291" spans="1:9" x14ac:dyDescent="0.35">
      <c r="A1291" s="4" t="s">
        <v>2202</v>
      </c>
      <c r="B1291" s="4" t="s">
        <v>676</v>
      </c>
      <c r="C1291" s="4" t="s">
        <v>890</v>
      </c>
      <c r="D1291" s="4">
        <v>1</v>
      </c>
      <c r="E1291" s="6">
        <v>18000</v>
      </c>
      <c r="F1291" t="str">
        <f>VLOOKUP(C1291,menu!A:B,2,FALSE)</f>
        <v>Es Kopi Susu Gula Aren</v>
      </c>
      <c r="G1291">
        <f t="shared" si="40"/>
        <v>18000</v>
      </c>
      <c r="H1291">
        <f>VLOOKUP(C1291,menu!A:E,4,FALSE)</f>
        <v>4500</v>
      </c>
      <c r="I1291">
        <f t="shared" si="41"/>
        <v>13500</v>
      </c>
    </row>
    <row r="1292" spans="1:9" x14ac:dyDescent="0.35">
      <c r="A1292" s="4" t="s">
        <v>2203</v>
      </c>
      <c r="B1292" s="4" t="s">
        <v>676</v>
      </c>
      <c r="C1292" s="4" t="s">
        <v>896</v>
      </c>
      <c r="D1292" s="4">
        <v>2</v>
      </c>
      <c r="E1292" s="6">
        <v>23000</v>
      </c>
      <c r="F1292" t="str">
        <f>VLOOKUP(C1292,menu!A:B,2,FALSE)</f>
        <v>Nasi Uduk Komplit</v>
      </c>
      <c r="G1292">
        <f t="shared" si="40"/>
        <v>46000</v>
      </c>
      <c r="H1292">
        <f>VLOOKUP(C1292,menu!A:E,4,FALSE)</f>
        <v>9000</v>
      </c>
      <c r="I1292">
        <f t="shared" si="41"/>
        <v>28000</v>
      </c>
    </row>
    <row r="1293" spans="1:9" x14ac:dyDescent="0.35">
      <c r="A1293" s="4" t="s">
        <v>2204</v>
      </c>
      <c r="B1293" s="4" t="s">
        <v>303</v>
      </c>
      <c r="C1293" s="4" t="s">
        <v>898</v>
      </c>
      <c r="D1293" s="4">
        <v>2</v>
      </c>
      <c r="E1293" s="6">
        <v>27000</v>
      </c>
      <c r="F1293" t="str">
        <f>VLOOKUP(C1293,menu!A:B,2,FALSE)</f>
        <v>Ayam Geprek Sambal Bawang</v>
      </c>
      <c r="G1293">
        <f t="shared" si="40"/>
        <v>54000</v>
      </c>
      <c r="H1293">
        <f>VLOOKUP(C1293,menu!A:E,4,FALSE)</f>
        <v>11000</v>
      </c>
      <c r="I1293">
        <f t="shared" si="41"/>
        <v>32000</v>
      </c>
    </row>
    <row r="1294" spans="1:9" x14ac:dyDescent="0.35">
      <c r="A1294" s="4" t="s">
        <v>2205</v>
      </c>
      <c r="B1294" s="4" t="s">
        <v>548</v>
      </c>
      <c r="C1294" s="4" t="s">
        <v>919</v>
      </c>
      <c r="D1294" s="4">
        <v>2</v>
      </c>
      <c r="E1294" s="6">
        <v>20000</v>
      </c>
      <c r="F1294" t="str">
        <f>VLOOKUP(C1294,menu!A:B,2,FALSE)</f>
        <v>Gado-Gado Jakarta</v>
      </c>
      <c r="G1294">
        <f t="shared" si="40"/>
        <v>40000</v>
      </c>
      <c r="H1294">
        <f>VLOOKUP(C1294,menu!A:E,4,FALSE)</f>
        <v>8000</v>
      </c>
      <c r="I1294">
        <f t="shared" si="41"/>
        <v>24000</v>
      </c>
    </row>
    <row r="1295" spans="1:9" x14ac:dyDescent="0.35">
      <c r="A1295" s="4" t="s">
        <v>2206</v>
      </c>
      <c r="B1295" s="4" t="s">
        <v>548</v>
      </c>
      <c r="C1295" s="4" t="s">
        <v>898</v>
      </c>
      <c r="D1295" s="4">
        <v>2</v>
      </c>
      <c r="E1295" s="6">
        <v>27000</v>
      </c>
      <c r="F1295" t="str">
        <f>VLOOKUP(C1295,menu!A:B,2,FALSE)</f>
        <v>Ayam Geprek Sambal Bawang</v>
      </c>
      <c r="G1295">
        <f t="shared" si="40"/>
        <v>54000</v>
      </c>
      <c r="H1295">
        <f>VLOOKUP(C1295,menu!A:E,4,FALSE)</f>
        <v>11000</v>
      </c>
      <c r="I1295">
        <f t="shared" si="41"/>
        <v>32000</v>
      </c>
    </row>
    <row r="1296" spans="1:9" x14ac:dyDescent="0.35">
      <c r="A1296" s="4" t="s">
        <v>2207</v>
      </c>
      <c r="B1296" s="4" t="s">
        <v>386</v>
      </c>
      <c r="C1296" s="4" t="s">
        <v>894</v>
      </c>
      <c r="D1296" s="4">
        <v>1</v>
      </c>
      <c r="E1296" s="6">
        <v>5000</v>
      </c>
      <c r="F1296" t="str">
        <f>VLOOKUP(C1296,menu!A:B,2,FALSE)</f>
        <v>Air Mineral Botol</v>
      </c>
      <c r="G1296">
        <f t="shared" si="40"/>
        <v>5000</v>
      </c>
      <c r="H1296">
        <f>VLOOKUP(C1296,menu!A:E,4,FALSE)</f>
        <v>2000</v>
      </c>
      <c r="I1296">
        <f t="shared" si="41"/>
        <v>3000</v>
      </c>
    </row>
    <row r="1297" spans="1:9" x14ac:dyDescent="0.35">
      <c r="A1297" s="4" t="s">
        <v>2208</v>
      </c>
      <c r="B1297" s="4" t="s">
        <v>386</v>
      </c>
      <c r="C1297" s="4" t="s">
        <v>898</v>
      </c>
      <c r="D1297" s="4">
        <v>1</v>
      </c>
      <c r="E1297" s="6">
        <v>27000</v>
      </c>
      <c r="F1297" t="str">
        <f>VLOOKUP(C1297,menu!A:B,2,FALSE)</f>
        <v>Ayam Geprek Sambal Bawang</v>
      </c>
      <c r="G1297">
        <f t="shared" si="40"/>
        <v>27000</v>
      </c>
      <c r="H1297">
        <f>VLOOKUP(C1297,menu!A:E,4,FALSE)</f>
        <v>11000</v>
      </c>
      <c r="I1297">
        <f t="shared" si="41"/>
        <v>16000</v>
      </c>
    </row>
    <row r="1298" spans="1:9" x14ac:dyDescent="0.35">
      <c r="A1298" s="4" t="s">
        <v>2209</v>
      </c>
      <c r="B1298" s="4" t="s">
        <v>386</v>
      </c>
      <c r="C1298" s="4" t="s">
        <v>904</v>
      </c>
      <c r="D1298" s="4">
        <v>1</v>
      </c>
      <c r="E1298" s="6">
        <v>22000</v>
      </c>
      <c r="F1298" t="str">
        <f>VLOOKUP(C1298,menu!A:B,2,FALSE)</f>
        <v>Pecel Lele</v>
      </c>
      <c r="G1298">
        <f t="shared" si="40"/>
        <v>22000</v>
      </c>
      <c r="H1298">
        <f>VLOOKUP(C1298,menu!A:E,4,FALSE)</f>
        <v>9500</v>
      </c>
      <c r="I1298">
        <f t="shared" si="41"/>
        <v>12500</v>
      </c>
    </row>
    <row r="1299" spans="1:9" x14ac:dyDescent="0.35">
      <c r="A1299" s="4" t="s">
        <v>2210</v>
      </c>
      <c r="B1299" s="4" t="s">
        <v>386</v>
      </c>
      <c r="C1299" s="4" t="s">
        <v>919</v>
      </c>
      <c r="D1299" s="4">
        <v>1</v>
      </c>
      <c r="E1299" s="6">
        <v>20000</v>
      </c>
      <c r="F1299" t="str">
        <f>VLOOKUP(C1299,menu!A:B,2,FALSE)</f>
        <v>Gado-Gado Jakarta</v>
      </c>
      <c r="G1299">
        <f t="shared" si="40"/>
        <v>20000</v>
      </c>
      <c r="H1299">
        <f>VLOOKUP(C1299,menu!A:E,4,FALSE)</f>
        <v>8000</v>
      </c>
      <c r="I1299">
        <f t="shared" si="41"/>
        <v>12000</v>
      </c>
    </row>
    <row r="1300" spans="1:9" x14ac:dyDescent="0.35">
      <c r="A1300" s="4" t="s">
        <v>2211</v>
      </c>
      <c r="B1300" s="4" t="s">
        <v>630</v>
      </c>
      <c r="C1300" s="4" t="s">
        <v>894</v>
      </c>
      <c r="D1300" s="4">
        <v>1</v>
      </c>
      <c r="E1300" s="6">
        <v>5000</v>
      </c>
      <c r="F1300" t="str">
        <f>VLOOKUP(C1300,menu!A:B,2,FALSE)</f>
        <v>Air Mineral Botol</v>
      </c>
      <c r="G1300">
        <f t="shared" si="40"/>
        <v>5000</v>
      </c>
      <c r="H1300">
        <f>VLOOKUP(C1300,menu!A:E,4,FALSE)</f>
        <v>2000</v>
      </c>
      <c r="I1300">
        <f t="shared" si="41"/>
        <v>3000</v>
      </c>
    </row>
    <row r="1301" spans="1:9" x14ac:dyDescent="0.35">
      <c r="A1301" s="4" t="s">
        <v>2212</v>
      </c>
      <c r="B1301" s="4" t="s">
        <v>809</v>
      </c>
      <c r="C1301" s="4" t="s">
        <v>898</v>
      </c>
      <c r="D1301" s="4">
        <v>1</v>
      </c>
      <c r="E1301" s="6">
        <v>27000</v>
      </c>
      <c r="F1301" t="str">
        <f>VLOOKUP(C1301,menu!A:B,2,FALSE)</f>
        <v>Ayam Geprek Sambal Bawang</v>
      </c>
      <c r="G1301">
        <f t="shared" si="40"/>
        <v>27000</v>
      </c>
      <c r="H1301">
        <f>VLOOKUP(C1301,menu!A:E,4,FALSE)</f>
        <v>11000</v>
      </c>
      <c r="I1301">
        <f t="shared" si="41"/>
        <v>16000</v>
      </c>
    </row>
    <row r="1302" spans="1:9" x14ac:dyDescent="0.35">
      <c r="A1302" s="4" t="s">
        <v>2213</v>
      </c>
      <c r="B1302" s="4" t="s">
        <v>809</v>
      </c>
      <c r="C1302" s="4" t="s">
        <v>1019</v>
      </c>
      <c r="D1302" s="4">
        <v>2</v>
      </c>
      <c r="E1302" s="6">
        <v>21000</v>
      </c>
      <c r="F1302" t="str">
        <f>VLOOKUP(C1302,menu!A:B,2,FALSE)</f>
        <v>Bakso Urat Spesial</v>
      </c>
      <c r="G1302">
        <f t="shared" si="40"/>
        <v>42000</v>
      </c>
      <c r="H1302">
        <f>VLOOKUP(C1302,menu!A:E,4,FALSE)</f>
        <v>8500</v>
      </c>
      <c r="I1302">
        <f t="shared" si="41"/>
        <v>25000</v>
      </c>
    </row>
    <row r="1303" spans="1:9" x14ac:dyDescent="0.35">
      <c r="A1303" s="4" t="s">
        <v>2214</v>
      </c>
      <c r="B1303" s="4" t="s">
        <v>809</v>
      </c>
      <c r="C1303" s="4" t="s">
        <v>916</v>
      </c>
      <c r="D1303" s="4">
        <v>2</v>
      </c>
      <c r="E1303" s="6">
        <v>9000</v>
      </c>
      <c r="F1303" t="str">
        <f>VLOOKUP(C1303,menu!A:B,2,FALSE)</f>
        <v>Kopi Hitam Tubruk</v>
      </c>
      <c r="G1303">
        <f t="shared" si="40"/>
        <v>18000</v>
      </c>
      <c r="H1303">
        <f>VLOOKUP(C1303,menu!A:E,4,FALSE)</f>
        <v>2000</v>
      </c>
      <c r="I1303">
        <f t="shared" si="41"/>
        <v>14000</v>
      </c>
    </row>
    <row r="1304" spans="1:9" x14ac:dyDescent="0.35">
      <c r="A1304" s="4" t="s">
        <v>2215</v>
      </c>
      <c r="B1304" s="4" t="s">
        <v>433</v>
      </c>
      <c r="C1304" s="4" t="s">
        <v>898</v>
      </c>
      <c r="D1304" s="4">
        <v>1</v>
      </c>
      <c r="E1304" s="6">
        <v>27000</v>
      </c>
      <c r="F1304" t="str">
        <f>VLOOKUP(C1304,menu!A:B,2,FALSE)</f>
        <v>Ayam Geprek Sambal Bawang</v>
      </c>
      <c r="G1304">
        <f t="shared" si="40"/>
        <v>27000</v>
      </c>
      <c r="H1304">
        <f>VLOOKUP(C1304,menu!A:E,4,FALSE)</f>
        <v>11000</v>
      </c>
      <c r="I1304">
        <f t="shared" si="41"/>
        <v>16000</v>
      </c>
    </row>
    <row r="1305" spans="1:9" x14ac:dyDescent="0.35">
      <c r="A1305" s="4" t="s">
        <v>2216</v>
      </c>
      <c r="B1305" s="4" t="s">
        <v>433</v>
      </c>
      <c r="C1305" s="4" t="s">
        <v>900</v>
      </c>
      <c r="D1305" s="4">
        <v>2</v>
      </c>
      <c r="E1305" s="6">
        <v>8000</v>
      </c>
      <c r="F1305" t="str">
        <f>VLOOKUP(C1305,menu!A:B,2,FALSE)</f>
        <v>Es Jeruk Peras</v>
      </c>
      <c r="G1305">
        <f t="shared" si="40"/>
        <v>16000</v>
      </c>
      <c r="H1305">
        <f>VLOOKUP(C1305,menu!A:E,4,FALSE)</f>
        <v>2500</v>
      </c>
      <c r="I1305">
        <f t="shared" si="41"/>
        <v>11000</v>
      </c>
    </row>
    <row r="1306" spans="1:9" x14ac:dyDescent="0.35">
      <c r="A1306" s="4" t="s">
        <v>2217</v>
      </c>
      <c r="B1306" s="4" t="s">
        <v>400</v>
      </c>
      <c r="C1306" s="4" t="s">
        <v>898</v>
      </c>
      <c r="D1306" s="4">
        <v>1</v>
      </c>
      <c r="E1306" s="6">
        <v>27000</v>
      </c>
      <c r="F1306" t="str">
        <f>VLOOKUP(C1306,menu!A:B,2,FALSE)</f>
        <v>Ayam Geprek Sambal Bawang</v>
      </c>
      <c r="G1306">
        <f t="shared" si="40"/>
        <v>27000</v>
      </c>
      <c r="H1306">
        <f>VLOOKUP(C1306,menu!A:E,4,FALSE)</f>
        <v>11000</v>
      </c>
      <c r="I1306">
        <f t="shared" si="41"/>
        <v>16000</v>
      </c>
    </row>
    <row r="1307" spans="1:9" x14ac:dyDescent="0.35">
      <c r="A1307" s="4" t="s">
        <v>2218</v>
      </c>
      <c r="B1307" s="4" t="s">
        <v>400</v>
      </c>
      <c r="C1307" s="4" t="s">
        <v>894</v>
      </c>
      <c r="D1307" s="4">
        <v>1</v>
      </c>
      <c r="E1307" s="6">
        <v>5000</v>
      </c>
      <c r="F1307" t="str">
        <f>VLOOKUP(C1307,menu!A:B,2,FALSE)</f>
        <v>Air Mineral Botol</v>
      </c>
      <c r="G1307">
        <f t="shared" si="40"/>
        <v>5000</v>
      </c>
      <c r="H1307">
        <f>VLOOKUP(C1307,menu!A:E,4,FALSE)</f>
        <v>2000</v>
      </c>
      <c r="I1307">
        <f t="shared" si="41"/>
        <v>3000</v>
      </c>
    </row>
    <row r="1308" spans="1:9" x14ac:dyDescent="0.35">
      <c r="A1308" s="4" t="s">
        <v>2219</v>
      </c>
      <c r="B1308" s="4" t="s">
        <v>400</v>
      </c>
      <c r="C1308" s="4" t="s">
        <v>919</v>
      </c>
      <c r="D1308" s="4">
        <v>1</v>
      </c>
      <c r="E1308" s="6">
        <v>20000</v>
      </c>
      <c r="F1308" t="str">
        <f>VLOOKUP(C1308,menu!A:B,2,FALSE)</f>
        <v>Gado-Gado Jakarta</v>
      </c>
      <c r="G1308">
        <f t="shared" si="40"/>
        <v>20000</v>
      </c>
      <c r="H1308">
        <f>VLOOKUP(C1308,menu!A:E,4,FALSE)</f>
        <v>8000</v>
      </c>
      <c r="I1308">
        <f t="shared" si="41"/>
        <v>12000</v>
      </c>
    </row>
    <row r="1309" spans="1:9" x14ac:dyDescent="0.35">
      <c r="A1309" s="4" t="s">
        <v>2220</v>
      </c>
      <c r="B1309" s="4" t="s">
        <v>74</v>
      </c>
      <c r="C1309" s="4" t="s">
        <v>898</v>
      </c>
      <c r="D1309" s="4">
        <v>1</v>
      </c>
      <c r="E1309" s="6">
        <v>27000</v>
      </c>
      <c r="F1309" t="str">
        <f>VLOOKUP(C1309,menu!A:B,2,FALSE)</f>
        <v>Ayam Geprek Sambal Bawang</v>
      </c>
      <c r="G1309">
        <f t="shared" si="40"/>
        <v>27000</v>
      </c>
      <c r="H1309">
        <f>VLOOKUP(C1309,menu!A:E,4,FALSE)</f>
        <v>11000</v>
      </c>
      <c r="I1309">
        <f t="shared" si="41"/>
        <v>16000</v>
      </c>
    </row>
    <row r="1310" spans="1:9" x14ac:dyDescent="0.35">
      <c r="A1310" s="4" t="s">
        <v>2221</v>
      </c>
      <c r="B1310" s="4" t="s">
        <v>74</v>
      </c>
      <c r="C1310" s="4" t="s">
        <v>894</v>
      </c>
      <c r="D1310" s="4">
        <v>2</v>
      </c>
      <c r="E1310" s="6">
        <v>5000</v>
      </c>
      <c r="F1310" t="str">
        <f>VLOOKUP(C1310,menu!A:B,2,FALSE)</f>
        <v>Air Mineral Botol</v>
      </c>
      <c r="G1310">
        <f t="shared" si="40"/>
        <v>10000</v>
      </c>
      <c r="H1310">
        <f>VLOOKUP(C1310,menu!A:E,4,FALSE)</f>
        <v>2000</v>
      </c>
      <c r="I1310">
        <f t="shared" si="41"/>
        <v>6000</v>
      </c>
    </row>
    <row r="1311" spans="1:9" x14ac:dyDescent="0.35">
      <c r="A1311" s="4" t="s">
        <v>2222</v>
      </c>
      <c r="B1311" s="4" t="s">
        <v>74</v>
      </c>
      <c r="C1311" s="4" t="s">
        <v>937</v>
      </c>
      <c r="D1311" s="4">
        <v>1</v>
      </c>
      <c r="E1311" s="6">
        <v>26000</v>
      </c>
      <c r="F1311" t="str">
        <f>VLOOKUP(C1311,menu!A:B,2,FALSE)</f>
        <v>Nasi Campur Bali</v>
      </c>
      <c r="G1311">
        <f t="shared" si="40"/>
        <v>26000</v>
      </c>
      <c r="H1311">
        <f>VLOOKUP(C1311,menu!A:E,4,FALSE)</f>
        <v>11500</v>
      </c>
      <c r="I1311">
        <f t="shared" si="41"/>
        <v>14500</v>
      </c>
    </row>
    <row r="1312" spans="1:9" x14ac:dyDescent="0.35">
      <c r="A1312" s="4" t="s">
        <v>2223</v>
      </c>
      <c r="B1312" s="4" t="s">
        <v>74</v>
      </c>
      <c r="C1312" s="4" t="s">
        <v>935</v>
      </c>
      <c r="D1312" s="4">
        <v>1</v>
      </c>
      <c r="E1312" s="6">
        <v>22000</v>
      </c>
      <c r="F1312" t="str">
        <f>VLOOKUP(C1312,menu!A:B,2,FALSE)</f>
        <v>Soto Ayam Lamongan</v>
      </c>
      <c r="G1312">
        <f t="shared" si="40"/>
        <v>22000</v>
      </c>
      <c r="H1312">
        <f>VLOOKUP(C1312,menu!A:E,4,FALSE)</f>
        <v>9500</v>
      </c>
      <c r="I1312">
        <f t="shared" si="41"/>
        <v>12500</v>
      </c>
    </row>
    <row r="1313" spans="1:9" x14ac:dyDescent="0.35">
      <c r="A1313" s="4" t="s">
        <v>2224</v>
      </c>
      <c r="B1313" s="4" t="s">
        <v>74</v>
      </c>
      <c r="C1313" s="4" t="s">
        <v>896</v>
      </c>
      <c r="D1313" s="4">
        <v>2</v>
      </c>
      <c r="E1313" s="6">
        <v>23000</v>
      </c>
      <c r="F1313" t="str">
        <f>VLOOKUP(C1313,menu!A:B,2,FALSE)</f>
        <v>Nasi Uduk Komplit</v>
      </c>
      <c r="G1313">
        <f t="shared" si="40"/>
        <v>46000</v>
      </c>
      <c r="H1313">
        <f>VLOOKUP(C1313,menu!A:E,4,FALSE)</f>
        <v>9000</v>
      </c>
      <c r="I1313">
        <f t="shared" si="41"/>
        <v>28000</v>
      </c>
    </row>
    <row r="1314" spans="1:9" x14ac:dyDescent="0.35">
      <c r="A1314" s="4" t="s">
        <v>2225</v>
      </c>
      <c r="B1314" s="4" t="s">
        <v>521</v>
      </c>
      <c r="C1314" s="4" t="s">
        <v>898</v>
      </c>
      <c r="D1314" s="4">
        <v>1</v>
      </c>
      <c r="E1314" s="6">
        <v>27000</v>
      </c>
      <c r="F1314" t="str">
        <f>VLOOKUP(C1314,menu!A:B,2,FALSE)</f>
        <v>Ayam Geprek Sambal Bawang</v>
      </c>
      <c r="G1314">
        <f t="shared" si="40"/>
        <v>27000</v>
      </c>
      <c r="H1314">
        <f>VLOOKUP(C1314,menu!A:E,4,FALSE)</f>
        <v>11000</v>
      </c>
      <c r="I1314">
        <f t="shared" si="41"/>
        <v>16000</v>
      </c>
    </row>
    <row r="1315" spans="1:9" x14ac:dyDescent="0.35">
      <c r="A1315" s="4" t="s">
        <v>2226</v>
      </c>
      <c r="B1315" s="4" t="s">
        <v>513</v>
      </c>
      <c r="C1315" s="4" t="s">
        <v>919</v>
      </c>
      <c r="D1315" s="4">
        <v>1</v>
      </c>
      <c r="E1315" s="6">
        <v>20000</v>
      </c>
      <c r="F1315" t="str">
        <f>VLOOKUP(C1315,menu!A:B,2,FALSE)</f>
        <v>Gado-Gado Jakarta</v>
      </c>
      <c r="G1315">
        <f t="shared" si="40"/>
        <v>20000</v>
      </c>
      <c r="H1315">
        <f>VLOOKUP(C1315,menu!A:E,4,FALSE)</f>
        <v>8000</v>
      </c>
      <c r="I1315">
        <f t="shared" si="41"/>
        <v>12000</v>
      </c>
    </row>
    <row r="1316" spans="1:9" x14ac:dyDescent="0.35">
      <c r="A1316" s="4" t="s">
        <v>2227</v>
      </c>
      <c r="B1316" s="4" t="s">
        <v>513</v>
      </c>
      <c r="C1316" s="4" t="s">
        <v>1019</v>
      </c>
      <c r="D1316" s="4">
        <v>1</v>
      </c>
      <c r="E1316" s="6">
        <v>21000</v>
      </c>
      <c r="F1316" t="str">
        <f>VLOOKUP(C1316,menu!A:B,2,FALSE)</f>
        <v>Bakso Urat Spesial</v>
      </c>
      <c r="G1316">
        <f t="shared" si="40"/>
        <v>21000</v>
      </c>
      <c r="H1316">
        <f>VLOOKUP(C1316,menu!A:E,4,FALSE)</f>
        <v>8500</v>
      </c>
      <c r="I1316">
        <f t="shared" si="41"/>
        <v>12500</v>
      </c>
    </row>
    <row r="1317" spans="1:9" x14ac:dyDescent="0.35">
      <c r="A1317" s="4" t="s">
        <v>2228</v>
      </c>
      <c r="B1317" s="4" t="s">
        <v>513</v>
      </c>
      <c r="C1317" s="4" t="s">
        <v>1003</v>
      </c>
      <c r="D1317" s="4">
        <v>1</v>
      </c>
      <c r="E1317" s="6">
        <v>29000</v>
      </c>
      <c r="F1317" t="str">
        <f>VLOOKUP(C1317,menu!A:B,2,FALSE)</f>
        <v>Capcay Seafood</v>
      </c>
      <c r="G1317">
        <f t="shared" si="40"/>
        <v>29000</v>
      </c>
      <c r="H1317">
        <f>VLOOKUP(C1317,menu!A:E,4,FALSE)</f>
        <v>13000</v>
      </c>
      <c r="I1317">
        <f t="shared" si="41"/>
        <v>16000</v>
      </c>
    </row>
    <row r="1318" spans="1:9" x14ac:dyDescent="0.35">
      <c r="A1318" s="4" t="s">
        <v>2229</v>
      </c>
      <c r="B1318" s="4" t="s">
        <v>513</v>
      </c>
      <c r="C1318" s="4" t="s">
        <v>896</v>
      </c>
      <c r="D1318" s="4">
        <v>1</v>
      </c>
      <c r="E1318" s="6">
        <v>23000</v>
      </c>
      <c r="F1318" t="str">
        <f>VLOOKUP(C1318,menu!A:B,2,FALSE)</f>
        <v>Nasi Uduk Komplit</v>
      </c>
      <c r="G1318">
        <f t="shared" si="40"/>
        <v>23000</v>
      </c>
      <c r="H1318">
        <f>VLOOKUP(C1318,menu!A:E,4,FALSE)</f>
        <v>9000</v>
      </c>
      <c r="I1318">
        <f t="shared" si="41"/>
        <v>14000</v>
      </c>
    </row>
    <row r="1319" spans="1:9" x14ac:dyDescent="0.35">
      <c r="A1319" s="4" t="s">
        <v>2230</v>
      </c>
      <c r="B1319" s="4" t="s">
        <v>87</v>
      </c>
      <c r="C1319" s="4" t="s">
        <v>1059</v>
      </c>
      <c r="D1319" s="4">
        <v>1</v>
      </c>
      <c r="E1319" s="6">
        <v>6000</v>
      </c>
      <c r="F1319" t="str">
        <f>VLOOKUP(C1319,menu!A:B,2,FALSE)</f>
        <v>Es Teh Manis</v>
      </c>
      <c r="G1319">
        <f t="shared" si="40"/>
        <v>6000</v>
      </c>
      <c r="H1319">
        <f>VLOOKUP(C1319,menu!A:E,4,FALSE)</f>
        <v>1500</v>
      </c>
      <c r="I1319">
        <f t="shared" si="41"/>
        <v>4500</v>
      </c>
    </row>
    <row r="1320" spans="1:9" x14ac:dyDescent="0.35">
      <c r="A1320" s="4" t="s">
        <v>2231</v>
      </c>
      <c r="B1320" s="4" t="s">
        <v>87</v>
      </c>
      <c r="C1320" s="4" t="s">
        <v>931</v>
      </c>
      <c r="D1320" s="4">
        <v>1</v>
      </c>
      <c r="E1320" s="6">
        <v>5000</v>
      </c>
      <c r="F1320" t="str">
        <f>VLOOKUP(C1320,menu!A:B,2,FALSE)</f>
        <v>Kerupuk Udang</v>
      </c>
      <c r="G1320">
        <f t="shared" si="40"/>
        <v>5000</v>
      </c>
      <c r="H1320">
        <f>VLOOKUP(C1320,menu!A:E,4,FALSE)</f>
        <v>1500</v>
      </c>
      <c r="I1320">
        <f t="shared" si="41"/>
        <v>3500</v>
      </c>
    </row>
    <row r="1321" spans="1:9" x14ac:dyDescent="0.35">
      <c r="A1321" s="4" t="s">
        <v>2232</v>
      </c>
      <c r="B1321" s="4" t="s">
        <v>87</v>
      </c>
      <c r="C1321" s="4" t="s">
        <v>900</v>
      </c>
      <c r="D1321" s="4">
        <v>1</v>
      </c>
      <c r="E1321" s="6">
        <v>8000</v>
      </c>
      <c r="F1321" t="str">
        <f>VLOOKUP(C1321,menu!A:B,2,FALSE)</f>
        <v>Es Jeruk Peras</v>
      </c>
      <c r="G1321">
        <f t="shared" si="40"/>
        <v>8000</v>
      </c>
      <c r="H1321">
        <f>VLOOKUP(C1321,menu!A:E,4,FALSE)</f>
        <v>2500</v>
      </c>
      <c r="I1321">
        <f t="shared" si="41"/>
        <v>5500</v>
      </c>
    </row>
    <row r="1322" spans="1:9" x14ac:dyDescent="0.35">
      <c r="A1322" s="4" t="s">
        <v>2233</v>
      </c>
      <c r="B1322" s="4" t="s">
        <v>813</v>
      </c>
      <c r="C1322" s="4" t="s">
        <v>898</v>
      </c>
      <c r="D1322" s="4">
        <v>2</v>
      </c>
      <c r="E1322" s="6">
        <v>27000</v>
      </c>
      <c r="F1322" t="str">
        <f>VLOOKUP(C1322,menu!A:B,2,FALSE)</f>
        <v>Ayam Geprek Sambal Bawang</v>
      </c>
      <c r="G1322">
        <f t="shared" si="40"/>
        <v>54000</v>
      </c>
      <c r="H1322">
        <f>VLOOKUP(C1322,menu!A:E,4,FALSE)</f>
        <v>11000</v>
      </c>
      <c r="I1322">
        <f t="shared" si="41"/>
        <v>32000</v>
      </c>
    </row>
    <row r="1323" spans="1:9" x14ac:dyDescent="0.35">
      <c r="A1323" s="4" t="s">
        <v>2234</v>
      </c>
      <c r="B1323" s="4" t="s">
        <v>813</v>
      </c>
      <c r="C1323" s="4" t="s">
        <v>892</v>
      </c>
      <c r="D1323" s="4">
        <v>1</v>
      </c>
      <c r="E1323" s="6">
        <v>9000</v>
      </c>
      <c r="F1323" t="str">
        <f>VLOOKUP(C1323,menu!A:B,2,FALSE)</f>
        <v>Tempe Mendoan (5pcs)</v>
      </c>
      <c r="G1323">
        <f t="shared" si="40"/>
        <v>9000</v>
      </c>
      <c r="H1323">
        <f>VLOOKUP(C1323,menu!A:E,4,FALSE)</f>
        <v>3000</v>
      </c>
      <c r="I1323">
        <f t="shared" si="41"/>
        <v>6000</v>
      </c>
    </row>
    <row r="1324" spans="1:9" x14ac:dyDescent="0.35">
      <c r="A1324" s="4" t="s">
        <v>2235</v>
      </c>
      <c r="B1324" s="4" t="s">
        <v>813</v>
      </c>
      <c r="C1324" s="4" t="s">
        <v>894</v>
      </c>
      <c r="D1324" s="4">
        <v>1</v>
      </c>
      <c r="E1324" s="6">
        <v>5000</v>
      </c>
      <c r="F1324" t="str">
        <f>VLOOKUP(C1324,menu!A:B,2,FALSE)</f>
        <v>Air Mineral Botol</v>
      </c>
      <c r="G1324">
        <f t="shared" si="40"/>
        <v>5000</v>
      </c>
      <c r="H1324">
        <f>VLOOKUP(C1324,menu!A:E,4,FALSE)</f>
        <v>2000</v>
      </c>
      <c r="I1324">
        <f t="shared" si="41"/>
        <v>3000</v>
      </c>
    </row>
    <row r="1325" spans="1:9" x14ac:dyDescent="0.35">
      <c r="A1325" s="4" t="s">
        <v>2236</v>
      </c>
      <c r="B1325" s="4" t="s">
        <v>768</v>
      </c>
      <c r="C1325" s="4" t="s">
        <v>898</v>
      </c>
      <c r="D1325" s="4">
        <v>1</v>
      </c>
      <c r="E1325" s="6">
        <v>27000</v>
      </c>
      <c r="F1325" t="str">
        <f>VLOOKUP(C1325,menu!A:B,2,FALSE)</f>
        <v>Ayam Geprek Sambal Bawang</v>
      </c>
      <c r="G1325">
        <f t="shared" si="40"/>
        <v>27000</v>
      </c>
      <c r="H1325">
        <f>VLOOKUP(C1325,menu!A:E,4,FALSE)</f>
        <v>11000</v>
      </c>
      <c r="I1325">
        <f t="shared" si="41"/>
        <v>16000</v>
      </c>
    </row>
    <row r="1326" spans="1:9" x14ac:dyDescent="0.35">
      <c r="A1326" s="4" t="s">
        <v>2237</v>
      </c>
      <c r="B1326" s="4" t="s">
        <v>768</v>
      </c>
      <c r="C1326" s="4" t="s">
        <v>902</v>
      </c>
      <c r="D1326" s="4">
        <v>1</v>
      </c>
      <c r="E1326" s="6">
        <v>12000</v>
      </c>
      <c r="F1326" t="str">
        <f>VLOOKUP(C1326,menu!A:B,2,FALSE)</f>
        <v>Teh Tarik</v>
      </c>
      <c r="G1326">
        <f t="shared" si="40"/>
        <v>12000</v>
      </c>
      <c r="H1326">
        <f>VLOOKUP(C1326,menu!A:E,4,FALSE)</f>
        <v>3000</v>
      </c>
      <c r="I1326">
        <f t="shared" si="41"/>
        <v>9000</v>
      </c>
    </row>
    <row r="1327" spans="1:9" x14ac:dyDescent="0.35">
      <c r="A1327" s="4" t="s">
        <v>2238</v>
      </c>
      <c r="B1327" s="4" t="s">
        <v>768</v>
      </c>
      <c r="C1327" s="4" t="s">
        <v>935</v>
      </c>
      <c r="D1327" s="4">
        <v>1</v>
      </c>
      <c r="E1327" s="6">
        <v>22000</v>
      </c>
      <c r="F1327" t="str">
        <f>VLOOKUP(C1327,menu!A:B,2,FALSE)</f>
        <v>Soto Ayam Lamongan</v>
      </c>
      <c r="G1327">
        <f t="shared" si="40"/>
        <v>22000</v>
      </c>
      <c r="H1327">
        <f>VLOOKUP(C1327,menu!A:E,4,FALSE)</f>
        <v>9500</v>
      </c>
      <c r="I1327">
        <f t="shared" si="41"/>
        <v>12500</v>
      </c>
    </row>
    <row r="1328" spans="1:9" x14ac:dyDescent="0.35">
      <c r="A1328" s="4" t="s">
        <v>2239</v>
      </c>
      <c r="B1328" s="4" t="s">
        <v>768</v>
      </c>
      <c r="C1328" s="4" t="s">
        <v>916</v>
      </c>
      <c r="D1328" s="4">
        <v>2</v>
      </c>
      <c r="E1328" s="6">
        <v>9000</v>
      </c>
      <c r="F1328" t="str">
        <f>VLOOKUP(C1328,menu!A:B,2,FALSE)</f>
        <v>Kopi Hitam Tubruk</v>
      </c>
      <c r="G1328">
        <f t="shared" si="40"/>
        <v>18000</v>
      </c>
      <c r="H1328">
        <f>VLOOKUP(C1328,menu!A:E,4,FALSE)</f>
        <v>2000</v>
      </c>
      <c r="I1328">
        <f t="shared" si="41"/>
        <v>14000</v>
      </c>
    </row>
    <row r="1329" spans="1:9" x14ac:dyDescent="0.35">
      <c r="A1329" s="4" t="s">
        <v>2240</v>
      </c>
      <c r="B1329" s="4" t="s">
        <v>844</v>
      </c>
      <c r="C1329" s="4" t="s">
        <v>955</v>
      </c>
      <c r="D1329" s="4">
        <v>1</v>
      </c>
      <c r="E1329" s="6">
        <v>15000</v>
      </c>
      <c r="F1329" t="str">
        <f>VLOOKUP(C1329,menu!A:B,2,FALSE)</f>
        <v>Es Campur</v>
      </c>
      <c r="G1329">
        <f t="shared" si="40"/>
        <v>15000</v>
      </c>
      <c r="H1329">
        <f>VLOOKUP(C1329,menu!A:E,4,FALSE)</f>
        <v>6000</v>
      </c>
      <c r="I1329">
        <f t="shared" si="41"/>
        <v>9000</v>
      </c>
    </row>
    <row r="1330" spans="1:9" x14ac:dyDescent="0.35">
      <c r="A1330" s="4" t="s">
        <v>2241</v>
      </c>
      <c r="B1330" s="4" t="s">
        <v>161</v>
      </c>
      <c r="C1330" s="4" t="s">
        <v>919</v>
      </c>
      <c r="D1330" s="4">
        <v>3</v>
      </c>
      <c r="E1330" s="6">
        <v>20000</v>
      </c>
      <c r="F1330" t="str">
        <f>VLOOKUP(C1330,menu!A:B,2,FALSE)</f>
        <v>Gado-Gado Jakarta</v>
      </c>
      <c r="G1330">
        <f t="shared" si="40"/>
        <v>60000</v>
      </c>
      <c r="H1330">
        <f>VLOOKUP(C1330,menu!A:E,4,FALSE)</f>
        <v>8000</v>
      </c>
      <c r="I1330">
        <f t="shared" si="41"/>
        <v>36000</v>
      </c>
    </row>
    <row r="1331" spans="1:9" x14ac:dyDescent="0.35">
      <c r="A1331" s="4" t="s">
        <v>2242</v>
      </c>
      <c r="B1331" s="4" t="s">
        <v>161</v>
      </c>
      <c r="C1331" s="4" t="s">
        <v>890</v>
      </c>
      <c r="D1331" s="4">
        <v>2</v>
      </c>
      <c r="E1331" s="6">
        <v>18000</v>
      </c>
      <c r="F1331" t="str">
        <f>VLOOKUP(C1331,menu!A:B,2,FALSE)</f>
        <v>Es Kopi Susu Gula Aren</v>
      </c>
      <c r="G1331">
        <f t="shared" si="40"/>
        <v>36000</v>
      </c>
      <c r="H1331">
        <f>VLOOKUP(C1331,menu!A:E,4,FALSE)</f>
        <v>4500</v>
      </c>
      <c r="I1331">
        <f t="shared" si="41"/>
        <v>27000</v>
      </c>
    </row>
    <row r="1332" spans="1:9" x14ac:dyDescent="0.35">
      <c r="A1332" s="4" t="s">
        <v>2243</v>
      </c>
      <c r="B1332" s="4" t="s">
        <v>161</v>
      </c>
      <c r="C1332" s="4" t="s">
        <v>894</v>
      </c>
      <c r="D1332" s="4">
        <v>1</v>
      </c>
      <c r="E1332" s="6">
        <v>5000</v>
      </c>
      <c r="F1332" t="str">
        <f>VLOOKUP(C1332,menu!A:B,2,FALSE)</f>
        <v>Air Mineral Botol</v>
      </c>
      <c r="G1332">
        <f t="shared" si="40"/>
        <v>5000</v>
      </c>
      <c r="H1332">
        <f>VLOOKUP(C1332,menu!A:E,4,FALSE)</f>
        <v>2000</v>
      </c>
      <c r="I1332">
        <f t="shared" si="41"/>
        <v>3000</v>
      </c>
    </row>
    <row r="1333" spans="1:9" x14ac:dyDescent="0.35">
      <c r="A1333" s="4" t="s">
        <v>2244</v>
      </c>
      <c r="B1333" s="4" t="s">
        <v>71</v>
      </c>
      <c r="C1333" s="4" t="s">
        <v>890</v>
      </c>
      <c r="D1333" s="4">
        <v>1</v>
      </c>
      <c r="E1333" s="6">
        <v>18000</v>
      </c>
      <c r="F1333" t="str">
        <f>VLOOKUP(C1333,menu!A:B,2,FALSE)</f>
        <v>Es Kopi Susu Gula Aren</v>
      </c>
      <c r="G1333">
        <f t="shared" si="40"/>
        <v>18000</v>
      </c>
      <c r="H1333">
        <f>VLOOKUP(C1333,menu!A:E,4,FALSE)</f>
        <v>4500</v>
      </c>
      <c r="I1333">
        <f t="shared" si="41"/>
        <v>13500</v>
      </c>
    </row>
    <row r="1334" spans="1:9" x14ac:dyDescent="0.35">
      <c r="A1334" s="4" t="s">
        <v>2245</v>
      </c>
      <c r="B1334" s="4" t="s">
        <v>71</v>
      </c>
      <c r="C1334" s="4" t="s">
        <v>908</v>
      </c>
      <c r="D1334" s="4">
        <v>2</v>
      </c>
      <c r="E1334" s="6">
        <v>16000</v>
      </c>
      <c r="F1334" t="str">
        <f>VLOOKUP(C1334,menu!A:B,2,FALSE)</f>
        <v>Jus Alpukat</v>
      </c>
      <c r="G1334">
        <f t="shared" si="40"/>
        <v>32000</v>
      </c>
      <c r="H1334">
        <f>VLOOKUP(C1334,menu!A:E,4,FALSE)</f>
        <v>5500</v>
      </c>
      <c r="I1334">
        <f t="shared" si="41"/>
        <v>21000</v>
      </c>
    </row>
    <row r="1335" spans="1:9" x14ac:dyDescent="0.35">
      <c r="A1335" s="4" t="s">
        <v>2246</v>
      </c>
      <c r="B1335" s="4" t="s">
        <v>71</v>
      </c>
      <c r="C1335" s="4" t="s">
        <v>898</v>
      </c>
      <c r="D1335" s="4">
        <v>1</v>
      </c>
      <c r="E1335" s="6">
        <v>27000</v>
      </c>
      <c r="F1335" t="str">
        <f>VLOOKUP(C1335,menu!A:B,2,FALSE)</f>
        <v>Ayam Geprek Sambal Bawang</v>
      </c>
      <c r="G1335">
        <f t="shared" si="40"/>
        <v>27000</v>
      </c>
      <c r="H1335">
        <f>VLOOKUP(C1335,menu!A:E,4,FALSE)</f>
        <v>11000</v>
      </c>
      <c r="I1335">
        <f t="shared" si="41"/>
        <v>16000</v>
      </c>
    </row>
    <row r="1336" spans="1:9" x14ac:dyDescent="0.35">
      <c r="A1336" s="4" t="s">
        <v>2247</v>
      </c>
      <c r="B1336" s="4" t="s">
        <v>71</v>
      </c>
      <c r="C1336" s="4" t="s">
        <v>935</v>
      </c>
      <c r="D1336" s="4">
        <v>1</v>
      </c>
      <c r="E1336" s="6">
        <v>22000</v>
      </c>
      <c r="F1336" t="str">
        <f>VLOOKUP(C1336,menu!A:B,2,FALSE)</f>
        <v>Soto Ayam Lamongan</v>
      </c>
      <c r="G1336">
        <f t="shared" si="40"/>
        <v>22000</v>
      </c>
      <c r="H1336">
        <f>VLOOKUP(C1336,menu!A:E,4,FALSE)</f>
        <v>9500</v>
      </c>
      <c r="I1336">
        <f t="shared" si="41"/>
        <v>12500</v>
      </c>
    </row>
    <row r="1337" spans="1:9" x14ac:dyDescent="0.35">
      <c r="A1337" s="4" t="s">
        <v>2248</v>
      </c>
      <c r="B1337" s="4" t="s">
        <v>812</v>
      </c>
      <c r="C1337" s="4" t="s">
        <v>906</v>
      </c>
      <c r="D1337" s="4">
        <v>1</v>
      </c>
      <c r="E1337" s="6">
        <v>28000</v>
      </c>
      <c r="F1337" t="str">
        <f>VLOOKUP(C1337,menu!A:B,2,FALSE)</f>
        <v>Sate Ayam 10 Tusuk</v>
      </c>
      <c r="G1337">
        <f t="shared" si="40"/>
        <v>28000</v>
      </c>
      <c r="H1337">
        <f>VLOOKUP(C1337,menu!A:E,4,FALSE)</f>
        <v>12000</v>
      </c>
      <c r="I1337">
        <f t="shared" si="41"/>
        <v>16000</v>
      </c>
    </row>
    <row r="1338" spans="1:9" x14ac:dyDescent="0.35">
      <c r="A1338" s="4" t="s">
        <v>2249</v>
      </c>
      <c r="B1338" s="4" t="s">
        <v>401</v>
      </c>
      <c r="C1338" s="4" t="s">
        <v>898</v>
      </c>
      <c r="D1338" s="4">
        <v>1</v>
      </c>
      <c r="E1338" s="6">
        <v>27000</v>
      </c>
      <c r="F1338" t="str">
        <f>VLOOKUP(C1338,menu!A:B,2,FALSE)</f>
        <v>Ayam Geprek Sambal Bawang</v>
      </c>
      <c r="G1338">
        <f t="shared" si="40"/>
        <v>27000</v>
      </c>
      <c r="H1338">
        <f>VLOOKUP(C1338,menu!A:E,4,FALSE)</f>
        <v>11000</v>
      </c>
      <c r="I1338">
        <f t="shared" si="41"/>
        <v>16000</v>
      </c>
    </row>
    <row r="1339" spans="1:9" x14ac:dyDescent="0.35">
      <c r="A1339" s="4" t="s">
        <v>2250</v>
      </c>
      <c r="B1339" s="4" t="s">
        <v>401</v>
      </c>
      <c r="C1339" s="4" t="s">
        <v>894</v>
      </c>
      <c r="D1339" s="4">
        <v>2</v>
      </c>
      <c r="E1339" s="6">
        <v>5000</v>
      </c>
      <c r="F1339" t="str">
        <f>VLOOKUP(C1339,menu!A:B,2,FALSE)</f>
        <v>Air Mineral Botol</v>
      </c>
      <c r="G1339">
        <f t="shared" si="40"/>
        <v>10000</v>
      </c>
      <c r="H1339">
        <f>VLOOKUP(C1339,menu!A:E,4,FALSE)</f>
        <v>2000</v>
      </c>
      <c r="I1339">
        <f t="shared" si="41"/>
        <v>6000</v>
      </c>
    </row>
    <row r="1340" spans="1:9" x14ac:dyDescent="0.35">
      <c r="A1340" s="4" t="s">
        <v>2251</v>
      </c>
      <c r="B1340" s="4" t="s">
        <v>401</v>
      </c>
      <c r="C1340" s="4" t="s">
        <v>916</v>
      </c>
      <c r="D1340" s="4">
        <v>1</v>
      </c>
      <c r="E1340" s="6">
        <v>9000</v>
      </c>
      <c r="F1340" t="str">
        <f>VLOOKUP(C1340,menu!A:B,2,FALSE)</f>
        <v>Kopi Hitam Tubruk</v>
      </c>
      <c r="G1340">
        <f t="shared" si="40"/>
        <v>9000</v>
      </c>
      <c r="H1340">
        <f>VLOOKUP(C1340,menu!A:E,4,FALSE)</f>
        <v>2000</v>
      </c>
      <c r="I1340">
        <f t="shared" si="41"/>
        <v>7000</v>
      </c>
    </row>
    <row r="1341" spans="1:9" x14ac:dyDescent="0.35">
      <c r="A1341" s="4" t="s">
        <v>2252</v>
      </c>
      <c r="B1341" s="4" t="s">
        <v>418</v>
      </c>
      <c r="C1341" s="4" t="s">
        <v>935</v>
      </c>
      <c r="D1341" s="4">
        <v>1</v>
      </c>
      <c r="E1341" s="6">
        <v>22000</v>
      </c>
      <c r="F1341" t="str">
        <f>VLOOKUP(C1341,menu!A:B,2,FALSE)</f>
        <v>Soto Ayam Lamongan</v>
      </c>
      <c r="G1341">
        <f t="shared" si="40"/>
        <v>22000</v>
      </c>
      <c r="H1341">
        <f>VLOOKUP(C1341,menu!A:E,4,FALSE)</f>
        <v>9500</v>
      </c>
      <c r="I1341">
        <f t="shared" si="41"/>
        <v>12500</v>
      </c>
    </row>
    <row r="1342" spans="1:9" x14ac:dyDescent="0.35">
      <c r="A1342" s="4" t="s">
        <v>2253</v>
      </c>
      <c r="B1342" s="4" t="s">
        <v>418</v>
      </c>
      <c r="C1342" s="4" t="s">
        <v>1059</v>
      </c>
      <c r="D1342" s="4">
        <v>2</v>
      </c>
      <c r="E1342" s="6">
        <v>6000</v>
      </c>
      <c r="F1342" t="str">
        <f>VLOOKUP(C1342,menu!A:B,2,FALSE)</f>
        <v>Es Teh Manis</v>
      </c>
      <c r="G1342">
        <f t="shared" si="40"/>
        <v>12000</v>
      </c>
      <c r="H1342">
        <f>VLOOKUP(C1342,menu!A:E,4,FALSE)</f>
        <v>1500</v>
      </c>
      <c r="I1342">
        <f t="shared" si="41"/>
        <v>9000</v>
      </c>
    </row>
    <row r="1343" spans="1:9" x14ac:dyDescent="0.35">
      <c r="A1343" s="4" t="s">
        <v>2254</v>
      </c>
      <c r="B1343" s="4" t="s">
        <v>418</v>
      </c>
      <c r="C1343" s="4" t="s">
        <v>955</v>
      </c>
      <c r="D1343" s="4">
        <v>2</v>
      </c>
      <c r="E1343" s="6">
        <v>15000</v>
      </c>
      <c r="F1343" t="str">
        <f>VLOOKUP(C1343,menu!A:B,2,FALSE)</f>
        <v>Es Campur</v>
      </c>
      <c r="G1343">
        <f t="shared" si="40"/>
        <v>30000</v>
      </c>
      <c r="H1343">
        <f>VLOOKUP(C1343,menu!A:E,4,FALSE)</f>
        <v>6000</v>
      </c>
      <c r="I1343">
        <f t="shared" si="41"/>
        <v>18000</v>
      </c>
    </row>
    <row r="1344" spans="1:9" x14ac:dyDescent="0.35">
      <c r="A1344" s="4" t="s">
        <v>2255</v>
      </c>
      <c r="B1344" s="4" t="s">
        <v>418</v>
      </c>
      <c r="C1344" s="4" t="s">
        <v>919</v>
      </c>
      <c r="D1344" s="4">
        <v>1</v>
      </c>
      <c r="E1344" s="6">
        <v>20000</v>
      </c>
      <c r="F1344" t="str">
        <f>VLOOKUP(C1344,menu!A:B,2,FALSE)</f>
        <v>Gado-Gado Jakarta</v>
      </c>
      <c r="G1344">
        <f t="shared" si="40"/>
        <v>20000</v>
      </c>
      <c r="H1344">
        <f>VLOOKUP(C1344,menu!A:E,4,FALSE)</f>
        <v>8000</v>
      </c>
      <c r="I1344">
        <f t="shared" si="41"/>
        <v>12000</v>
      </c>
    </row>
    <row r="1345" spans="1:9" x14ac:dyDescent="0.35">
      <c r="A1345" s="4" t="s">
        <v>2256</v>
      </c>
      <c r="B1345" s="4" t="s">
        <v>97</v>
      </c>
      <c r="C1345" s="4" t="s">
        <v>1003</v>
      </c>
      <c r="D1345" s="4">
        <v>2</v>
      </c>
      <c r="E1345" s="6">
        <v>29000</v>
      </c>
      <c r="F1345" t="str">
        <f>VLOOKUP(C1345,menu!A:B,2,FALSE)</f>
        <v>Capcay Seafood</v>
      </c>
      <c r="G1345">
        <f t="shared" si="40"/>
        <v>58000</v>
      </c>
      <c r="H1345">
        <f>VLOOKUP(C1345,menu!A:E,4,FALSE)</f>
        <v>13000</v>
      </c>
      <c r="I1345">
        <f t="shared" si="41"/>
        <v>32000</v>
      </c>
    </row>
    <row r="1346" spans="1:9" x14ac:dyDescent="0.35">
      <c r="A1346" s="4" t="s">
        <v>2257</v>
      </c>
      <c r="B1346" s="4" t="s">
        <v>526</v>
      </c>
      <c r="C1346" s="4" t="s">
        <v>894</v>
      </c>
      <c r="D1346" s="4">
        <v>3</v>
      </c>
      <c r="E1346" s="6">
        <v>5000</v>
      </c>
      <c r="F1346" t="str">
        <f>VLOOKUP(C1346,menu!A:B,2,FALSE)</f>
        <v>Air Mineral Botol</v>
      </c>
      <c r="G1346">
        <f t="shared" si="40"/>
        <v>15000</v>
      </c>
      <c r="H1346">
        <f>VLOOKUP(C1346,menu!A:E,4,FALSE)</f>
        <v>2000</v>
      </c>
      <c r="I1346">
        <f t="shared" si="41"/>
        <v>9000</v>
      </c>
    </row>
    <row r="1347" spans="1:9" x14ac:dyDescent="0.35">
      <c r="A1347" s="4" t="s">
        <v>2258</v>
      </c>
      <c r="B1347" s="4" t="s">
        <v>526</v>
      </c>
      <c r="C1347" s="4" t="s">
        <v>898</v>
      </c>
      <c r="D1347" s="4">
        <v>2</v>
      </c>
      <c r="E1347" s="6">
        <v>27000</v>
      </c>
      <c r="F1347" t="str">
        <f>VLOOKUP(C1347,menu!A:B,2,FALSE)</f>
        <v>Ayam Geprek Sambal Bawang</v>
      </c>
      <c r="G1347">
        <f t="shared" ref="G1347:G1410" si="42">D1347*E1347</f>
        <v>54000</v>
      </c>
      <c r="H1347">
        <f>VLOOKUP(C1347,menu!A:E,4,FALSE)</f>
        <v>11000</v>
      </c>
      <c r="I1347">
        <f t="shared" ref="I1347:I1410" si="43">(E1347-H1347)*D1347</f>
        <v>32000</v>
      </c>
    </row>
    <row r="1348" spans="1:9" x14ac:dyDescent="0.35">
      <c r="A1348" s="4" t="s">
        <v>2259</v>
      </c>
      <c r="B1348" s="4" t="s">
        <v>843</v>
      </c>
      <c r="C1348" s="4" t="s">
        <v>898</v>
      </c>
      <c r="D1348" s="4">
        <v>1</v>
      </c>
      <c r="E1348" s="6">
        <v>27000</v>
      </c>
      <c r="F1348" t="str">
        <f>VLOOKUP(C1348,menu!A:B,2,FALSE)</f>
        <v>Ayam Geprek Sambal Bawang</v>
      </c>
      <c r="G1348">
        <f t="shared" si="42"/>
        <v>27000</v>
      </c>
      <c r="H1348">
        <f>VLOOKUP(C1348,menu!A:E,4,FALSE)</f>
        <v>11000</v>
      </c>
      <c r="I1348">
        <f t="shared" si="43"/>
        <v>16000</v>
      </c>
    </row>
    <row r="1349" spans="1:9" x14ac:dyDescent="0.35">
      <c r="A1349" s="4" t="s">
        <v>2260</v>
      </c>
      <c r="B1349" s="4" t="s">
        <v>695</v>
      </c>
      <c r="C1349" s="4" t="s">
        <v>935</v>
      </c>
      <c r="D1349" s="4">
        <v>3</v>
      </c>
      <c r="E1349" s="6">
        <v>22000</v>
      </c>
      <c r="F1349" t="str">
        <f>VLOOKUP(C1349,menu!A:B,2,FALSE)</f>
        <v>Soto Ayam Lamongan</v>
      </c>
      <c r="G1349">
        <f t="shared" si="42"/>
        <v>66000</v>
      </c>
      <c r="H1349">
        <f>VLOOKUP(C1349,menu!A:E,4,FALSE)</f>
        <v>9500</v>
      </c>
      <c r="I1349">
        <f t="shared" si="43"/>
        <v>37500</v>
      </c>
    </row>
    <row r="1350" spans="1:9" x14ac:dyDescent="0.35">
      <c r="A1350" s="4" t="s">
        <v>2261</v>
      </c>
      <c r="B1350" s="4" t="s">
        <v>695</v>
      </c>
      <c r="C1350" s="4" t="s">
        <v>904</v>
      </c>
      <c r="D1350" s="4">
        <v>1</v>
      </c>
      <c r="E1350" s="6">
        <v>22000</v>
      </c>
      <c r="F1350" t="str">
        <f>VLOOKUP(C1350,menu!A:B,2,FALSE)</f>
        <v>Pecel Lele</v>
      </c>
      <c r="G1350">
        <f t="shared" si="42"/>
        <v>22000</v>
      </c>
      <c r="H1350">
        <f>VLOOKUP(C1350,menu!A:E,4,FALSE)</f>
        <v>9500</v>
      </c>
      <c r="I1350">
        <f t="shared" si="43"/>
        <v>12500</v>
      </c>
    </row>
    <row r="1351" spans="1:9" x14ac:dyDescent="0.35">
      <c r="A1351" s="4" t="s">
        <v>2262</v>
      </c>
      <c r="B1351" s="4" t="s">
        <v>695</v>
      </c>
      <c r="C1351" s="4" t="s">
        <v>955</v>
      </c>
      <c r="D1351" s="4">
        <v>1</v>
      </c>
      <c r="E1351" s="6">
        <v>15000</v>
      </c>
      <c r="F1351" t="str">
        <f>VLOOKUP(C1351,menu!A:B,2,FALSE)</f>
        <v>Es Campur</v>
      </c>
      <c r="G1351">
        <f t="shared" si="42"/>
        <v>15000</v>
      </c>
      <c r="H1351">
        <f>VLOOKUP(C1351,menu!A:E,4,FALSE)</f>
        <v>6000</v>
      </c>
      <c r="I1351">
        <f t="shared" si="43"/>
        <v>9000</v>
      </c>
    </row>
    <row r="1352" spans="1:9" x14ac:dyDescent="0.35">
      <c r="A1352" s="4" t="s">
        <v>2263</v>
      </c>
      <c r="B1352" s="4" t="s">
        <v>597</v>
      </c>
      <c r="C1352" s="4" t="s">
        <v>902</v>
      </c>
      <c r="D1352" s="4">
        <v>1</v>
      </c>
      <c r="E1352" s="6">
        <v>12000</v>
      </c>
      <c r="F1352" t="str">
        <f>VLOOKUP(C1352,menu!A:B,2,FALSE)</f>
        <v>Teh Tarik</v>
      </c>
      <c r="G1352">
        <f t="shared" si="42"/>
        <v>12000</v>
      </c>
      <c r="H1352">
        <f>VLOOKUP(C1352,menu!A:E,4,FALSE)</f>
        <v>3000</v>
      </c>
      <c r="I1352">
        <f t="shared" si="43"/>
        <v>9000</v>
      </c>
    </row>
    <row r="1353" spans="1:9" x14ac:dyDescent="0.35">
      <c r="A1353" s="4" t="s">
        <v>2264</v>
      </c>
      <c r="B1353" s="4" t="s">
        <v>597</v>
      </c>
      <c r="C1353" s="4" t="s">
        <v>1059</v>
      </c>
      <c r="D1353" s="4">
        <v>1</v>
      </c>
      <c r="E1353" s="6">
        <v>6000</v>
      </c>
      <c r="F1353" t="str">
        <f>VLOOKUP(C1353,menu!A:B,2,FALSE)</f>
        <v>Es Teh Manis</v>
      </c>
      <c r="G1353">
        <f t="shared" si="42"/>
        <v>6000</v>
      </c>
      <c r="H1353">
        <f>VLOOKUP(C1353,menu!A:E,4,FALSE)</f>
        <v>1500</v>
      </c>
      <c r="I1353">
        <f t="shared" si="43"/>
        <v>4500</v>
      </c>
    </row>
    <row r="1354" spans="1:9" x14ac:dyDescent="0.35">
      <c r="A1354" s="4" t="s">
        <v>2265</v>
      </c>
      <c r="B1354" s="4" t="s">
        <v>597</v>
      </c>
      <c r="C1354" s="4" t="s">
        <v>898</v>
      </c>
      <c r="D1354" s="4">
        <v>1</v>
      </c>
      <c r="E1354" s="6">
        <v>27000</v>
      </c>
      <c r="F1354" t="str">
        <f>VLOOKUP(C1354,menu!A:B,2,FALSE)</f>
        <v>Ayam Geprek Sambal Bawang</v>
      </c>
      <c r="G1354">
        <f t="shared" si="42"/>
        <v>27000</v>
      </c>
      <c r="H1354">
        <f>VLOOKUP(C1354,menu!A:E,4,FALSE)</f>
        <v>11000</v>
      </c>
      <c r="I1354">
        <f t="shared" si="43"/>
        <v>16000</v>
      </c>
    </row>
    <row r="1355" spans="1:9" x14ac:dyDescent="0.35">
      <c r="A1355" s="4" t="s">
        <v>2266</v>
      </c>
      <c r="B1355" s="4" t="s">
        <v>775</v>
      </c>
      <c r="C1355" s="4" t="s">
        <v>890</v>
      </c>
      <c r="D1355" s="4">
        <v>1</v>
      </c>
      <c r="E1355" s="6">
        <v>18000</v>
      </c>
      <c r="F1355" t="str">
        <f>VLOOKUP(C1355,menu!A:B,2,FALSE)</f>
        <v>Es Kopi Susu Gula Aren</v>
      </c>
      <c r="G1355">
        <f t="shared" si="42"/>
        <v>18000</v>
      </c>
      <c r="H1355">
        <f>VLOOKUP(C1355,menu!A:E,4,FALSE)</f>
        <v>4500</v>
      </c>
      <c r="I1355">
        <f t="shared" si="43"/>
        <v>13500</v>
      </c>
    </row>
    <row r="1356" spans="1:9" x14ac:dyDescent="0.35">
      <c r="A1356" s="4" t="s">
        <v>2267</v>
      </c>
      <c r="B1356" s="4" t="s">
        <v>775</v>
      </c>
      <c r="C1356" s="4" t="s">
        <v>904</v>
      </c>
      <c r="D1356" s="4">
        <v>1</v>
      </c>
      <c r="E1356" s="6">
        <v>22000</v>
      </c>
      <c r="F1356" t="str">
        <f>VLOOKUP(C1356,menu!A:B,2,FALSE)</f>
        <v>Pecel Lele</v>
      </c>
      <c r="G1356">
        <f t="shared" si="42"/>
        <v>22000</v>
      </c>
      <c r="H1356">
        <f>VLOOKUP(C1356,menu!A:E,4,FALSE)</f>
        <v>9500</v>
      </c>
      <c r="I1356">
        <f t="shared" si="43"/>
        <v>12500</v>
      </c>
    </row>
    <row r="1357" spans="1:9" x14ac:dyDescent="0.35">
      <c r="A1357" s="4" t="s">
        <v>2268</v>
      </c>
      <c r="B1357" s="4" t="s">
        <v>39</v>
      </c>
      <c r="C1357" s="4" t="s">
        <v>1003</v>
      </c>
      <c r="D1357" s="4">
        <v>1</v>
      </c>
      <c r="E1357" s="6">
        <v>29000</v>
      </c>
      <c r="F1357" t="str">
        <f>VLOOKUP(C1357,menu!A:B,2,FALSE)</f>
        <v>Capcay Seafood</v>
      </c>
      <c r="G1357">
        <f t="shared" si="42"/>
        <v>29000</v>
      </c>
      <c r="H1357">
        <f>VLOOKUP(C1357,menu!A:E,4,FALSE)</f>
        <v>13000</v>
      </c>
      <c r="I1357">
        <f t="shared" si="43"/>
        <v>16000</v>
      </c>
    </row>
    <row r="1358" spans="1:9" x14ac:dyDescent="0.35">
      <c r="A1358" s="4" t="s">
        <v>2269</v>
      </c>
      <c r="B1358" s="4" t="s">
        <v>39</v>
      </c>
      <c r="C1358" s="4" t="s">
        <v>898</v>
      </c>
      <c r="D1358" s="4">
        <v>1</v>
      </c>
      <c r="E1358" s="6">
        <v>27000</v>
      </c>
      <c r="F1358" t="str">
        <f>VLOOKUP(C1358,menu!A:B,2,FALSE)</f>
        <v>Ayam Geprek Sambal Bawang</v>
      </c>
      <c r="G1358">
        <f t="shared" si="42"/>
        <v>27000</v>
      </c>
      <c r="H1358">
        <f>VLOOKUP(C1358,menu!A:E,4,FALSE)</f>
        <v>11000</v>
      </c>
      <c r="I1358">
        <f t="shared" si="43"/>
        <v>16000</v>
      </c>
    </row>
    <row r="1359" spans="1:9" x14ac:dyDescent="0.35">
      <c r="A1359" s="4" t="s">
        <v>2270</v>
      </c>
      <c r="B1359" s="4" t="s">
        <v>142</v>
      </c>
      <c r="C1359" s="4" t="s">
        <v>898</v>
      </c>
      <c r="D1359" s="4">
        <v>1</v>
      </c>
      <c r="E1359" s="6">
        <v>27000</v>
      </c>
      <c r="F1359" t="str">
        <f>VLOOKUP(C1359,menu!A:B,2,FALSE)</f>
        <v>Ayam Geprek Sambal Bawang</v>
      </c>
      <c r="G1359">
        <f t="shared" si="42"/>
        <v>27000</v>
      </c>
      <c r="H1359">
        <f>VLOOKUP(C1359,menu!A:E,4,FALSE)</f>
        <v>11000</v>
      </c>
      <c r="I1359">
        <f t="shared" si="43"/>
        <v>16000</v>
      </c>
    </row>
    <row r="1360" spans="1:9" x14ac:dyDescent="0.35">
      <c r="A1360" s="4" t="s">
        <v>2271</v>
      </c>
      <c r="B1360" s="4" t="s">
        <v>142</v>
      </c>
      <c r="C1360" s="4" t="s">
        <v>935</v>
      </c>
      <c r="D1360" s="4">
        <v>1</v>
      </c>
      <c r="E1360" s="6">
        <v>22000</v>
      </c>
      <c r="F1360" t="str">
        <f>VLOOKUP(C1360,menu!A:B,2,FALSE)</f>
        <v>Soto Ayam Lamongan</v>
      </c>
      <c r="G1360">
        <f t="shared" si="42"/>
        <v>22000</v>
      </c>
      <c r="H1360">
        <f>VLOOKUP(C1360,menu!A:E,4,FALSE)</f>
        <v>9500</v>
      </c>
      <c r="I1360">
        <f t="shared" si="43"/>
        <v>12500</v>
      </c>
    </row>
    <row r="1361" spans="1:9" x14ac:dyDescent="0.35">
      <c r="A1361" s="4" t="s">
        <v>2272</v>
      </c>
      <c r="B1361" s="4" t="s">
        <v>205</v>
      </c>
      <c r="C1361" s="4" t="s">
        <v>908</v>
      </c>
      <c r="D1361" s="4">
        <v>1</v>
      </c>
      <c r="E1361" s="6">
        <v>16000</v>
      </c>
      <c r="F1361" t="str">
        <f>VLOOKUP(C1361,menu!A:B,2,FALSE)</f>
        <v>Jus Alpukat</v>
      </c>
      <c r="G1361">
        <f t="shared" si="42"/>
        <v>16000</v>
      </c>
      <c r="H1361">
        <f>VLOOKUP(C1361,menu!A:E,4,FALSE)</f>
        <v>5500</v>
      </c>
      <c r="I1361">
        <f t="shared" si="43"/>
        <v>10500</v>
      </c>
    </row>
    <row r="1362" spans="1:9" x14ac:dyDescent="0.35">
      <c r="A1362" s="4" t="s">
        <v>2273</v>
      </c>
      <c r="B1362" s="4" t="s">
        <v>205</v>
      </c>
      <c r="C1362" s="4" t="s">
        <v>898</v>
      </c>
      <c r="D1362" s="4">
        <v>2</v>
      </c>
      <c r="E1362" s="6">
        <v>27000</v>
      </c>
      <c r="F1362" t="str">
        <f>VLOOKUP(C1362,menu!A:B,2,FALSE)</f>
        <v>Ayam Geprek Sambal Bawang</v>
      </c>
      <c r="G1362">
        <f t="shared" si="42"/>
        <v>54000</v>
      </c>
      <c r="H1362">
        <f>VLOOKUP(C1362,menu!A:E,4,FALSE)</f>
        <v>11000</v>
      </c>
      <c r="I1362">
        <f t="shared" si="43"/>
        <v>32000</v>
      </c>
    </row>
    <row r="1363" spans="1:9" x14ac:dyDescent="0.35">
      <c r="A1363" s="4" t="s">
        <v>2274</v>
      </c>
      <c r="B1363" s="4" t="s">
        <v>720</v>
      </c>
      <c r="C1363" s="4" t="s">
        <v>898</v>
      </c>
      <c r="D1363" s="4">
        <v>2</v>
      </c>
      <c r="E1363" s="6">
        <v>27000</v>
      </c>
      <c r="F1363" t="str">
        <f>VLOOKUP(C1363,menu!A:B,2,FALSE)</f>
        <v>Ayam Geprek Sambal Bawang</v>
      </c>
      <c r="G1363">
        <f t="shared" si="42"/>
        <v>54000</v>
      </c>
      <c r="H1363">
        <f>VLOOKUP(C1363,menu!A:E,4,FALSE)</f>
        <v>11000</v>
      </c>
      <c r="I1363">
        <f t="shared" si="43"/>
        <v>32000</v>
      </c>
    </row>
    <row r="1364" spans="1:9" x14ac:dyDescent="0.35">
      <c r="A1364" s="4" t="s">
        <v>2275</v>
      </c>
      <c r="B1364" s="4" t="s">
        <v>271</v>
      </c>
      <c r="C1364" s="4" t="s">
        <v>896</v>
      </c>
      <c r="D1364" s="4">
        <v>1</v>
      </c>
      <c r="E1364" s="6">
        <v>23000</v>
      </c>
      <c r="F1364" t="str">
        <f>VLOOKUP(C1364,menu!A:B,2,FALSE)</f>
        <v>Nasi Uduk Komplit</v>
      </c>
      <c r="G1364">
        <f t="shared" si="42"/>
        <v>23000</v>
      </c>
      <c r="H1364">
        <f>VLOOKUP(C1364,menu!A:E,4,FALSE)</f>
        <v>9000</v>
      </c>
      <c r="I1364">
        <f t="shared" si="43"/>
        <v>14000</v>
      </c>
    </row>
    <row r="1365" spans="1:9" x14ac:dyDescent="0.35">
      <c r="A1365" s="4" t="s">
        <v>2276</v>
      </c>
      <c r="B1365" s="4" t="s">
        <v>135</v>
      </c>
      <c r="C1365" s="4" t="s">
        <v>898</v>
      </c>
      <c r="D1365" s="4">
        <v>1</v>
      </c>
      <c r="E1365" s="6">
        <v>27000</v>
      </c>
      <c r="F1365" t="str">
        <f>VLOOKUP(C1365,menu!A:B,2,FALSE)</f>
        <v>Ayam Geprek Sambal Bawang</v>
      </c>
      <c r="G1365">
        <f t="shared" si="42"/>
        <v>27000</v>
      </c>
      <c r="H1365">
        <f>VLOOKUP(C1365,menu!A:E,4,FALSE)</f>
        <v>11000</v>
      </c>
      <c r="I1365">
        <f t="shared" si="43"/>
        <v>16000</v>
      </c>
    </row>
    <row r="1366" spans="1:9" x14ac:dyDescent="0.35">
      <c r="A1366" s="4" t="s">
        <v>2277</v>
      </c>
      <c r="B1366" s="4" t="s">
        <v>135</v>
      </c>
      <c r="C1366" s="4" t="s">
        <v>908</v>
      </c>
      <c r="D1366" s="4">
        <v>2</v>
      </c>
      <c r="E1366" s="6">
        <v>16000</v>
      </c>
      <c r="F1366" t="str">
        <f>VLOOKUP(C1366,menu!A:B,2,FALSE)</f>
        <v>Jus Alpukat</v>
      </c>
      <c r="G1366">
        <f t="shared" si="42"/>
        <v>32000</v>
      </c>
      <c r="H1366">
        <f>VLOOKUP(C1366,menu!A:E,4,FALSE)</f>
        <v>5500</v>
      </c>
      <c r="I1366">
        <f t="shared" si="43"/>
        <v>21000</v>
      </c>
    </row>
    <row r="1367" spans="1:9" x14ac:dyDescent="0.35">
      <c r="A1367" s="4" t="s">
        <v>2278</v>
      </c>
      <c r="B1367" s="4" t="s">
        <v>135</v>
      </c>
      <c r="C1367" s="4" t="s">
        <v>896</v>
      </c>
      <c r="D1367" s="4">
        <v>1</v>
      </c>
      <c r="E1367" s="6">
        <v>23000</v>
      </c>
      <c r="F1367" t="str">
        <f>VLOOKUP(C1367,menu!A:B,2,FALSE)</f>
        <v>Nasi Uduk Komplit</v>
      </c>
      <c r="G1367">
        <f t="shared" si="42"/>
        <v>23000</v>
      </c>
      <c r="H1367">
        <f>VLOOKUP(C1367,menu!A:E,4,FALSE)</f>
        <v>9000</v>
      </c>
      <c r="I1367">
        <f t="shared" si="43"/>
        <v>14000</v>
      </c>
    </row>
    <row r="1368" spans="1:9" x14ac:dyDescent="0.35">
      <c r="A1368" s="4" t="s">
        <v>2279</v>
      </c>
      <c r="B1368" s="4" t="s">
        <v>882</v>
      </c>
      <c r="C1368" s="4" t="s">
        <v>898</v>
      </c>
      <c r="D1368" s="4">
        <v>1</v>
      </c>
      <c r="E1368" s="6">
        <v>27000</v>
      </c>
      <c r="F1368" t="str">
        <f>VLOOKUP(C1368,menu!A:B,2,FALSE)</f>
        <v>Ayam Geprek Sambal Bawang</v>
      </c>
      <c r="G1368">
        <f t="shared" si="42"/>
        <v>27000</v>
      </c>
      <c r="H1368">
        <f>VLOOKUP(C1368,menu!A:E,4,FALSE)</f>
        <v>11000</v>
      </c>
      <c r="I1368">
        <f t="shared" si="43"/>
        <v>16000</v>
      </c>
    </row>
    <row r="1369" spans="1:9" x14ac:dyDescent="0.35">
      <c r="A1369" s="4" t="s">
        <v>2280</v>
      </c>
      <c r="B1369" s="4" t="s">
        <v>882</v>
      </c>
      <c r="C1369" s="4" t="s">
        <v>944</v>
      </c>
      <c r="D1369" s="4">
        <v>1</v>
      </c>
      <c r="E1369" s="6">
        <v>32000</v>
      </c>
      <c r="F1369" t="str">
        <f>VLOOKUP(C1369,menu!A:B,2,FALSE)</f>
        <v>Nasi Padang Rendang</v>
      </c>
      <c r="G1369">
        <f t="shared" si="42"/>
        <v>32000</v>
      </c>
      <c r="H1369">
        <f>VLOOKUP(C1369,menu!A:E,4,FALSE)</f>
        <v>14000</v>
      </c>
      <c r="I1369">
        <f t="shared" si="43"/>
        <v>18000</v>
      </c>
    </row>
    <row r="1370" spans="1:9" x14ac:dyDescent="0.35">
      <c r="A1370" s="4" t="s">
        <v>2281</v>
      </c>
      <c r="B1370" s="4" t="s">
        <v>882</v>
      </c>
      <c r="C1370" s="4" t="s">
        <v>890</v>
      </c>
      <c r="D1370" s="4">
        <v>1</v>
      </c>
      <c r="E1370" s="6">
        <v>18000</v>
      </c>
      <c r="F1370" t="str">
        <f>VLOOKUP(C1370,menu!A:B,2,FALSE)</f>
        <v>Es Kopi Susu Gula Aren</v>
      </c>
      <c r="G1370">
        <f t="shared" si="42"/>
        <v>18000</v>
      </c>
      <c r="H1370">
        <f>VLOOKUP(C1370,menu!A:E,4,FALSE)</f>
        <v>4500</v>
      </c>
      <c r="I1370">
        <f t="shared" si="43"/>
        <v>13500</v>
      </c>
    </row>
    <row r="1371" spans="1:9" x14ac:dyDescent="0.35">
      <c r="A1371" s="4" t="s">
        <v>2282</v>
      </c>
      <c r="B1371" s="4" t="s">
        <v>346</v>
      </c>
      <c r="C1371" s="4" t="s">
        <v>898</v>
      </c>
      <c r="D1371" s="4">
        <v>2</v>
      </c>
      <c r="E1371" s="6">
        <v>27000</v>
      </c>
      <c r="F1371" t="str">
        <f>VLOOKUP(C1371,menu!A:B,2,FALSE)</f>
        <v>Ayam Geprek Sambal Bawang</v>
      </c>
      <c r="G1371">
        <f t="shared" si="42"/>
        <v>54000</v>
      </c>
      <c r="H1371">
        <f>VLOOKUP(C1371,menu!A:E,4,FALSE)</f>
        <v>11000</v>
      </c>
      <c r="I1371">
        <f t="shared" si="43"/>
        <v>32000</v>
      </c>
    </row>
    <row r="1372" spans="1:9" x14ac:dyDescent="0.35">
      <c r="A1372" s="4" t="s">
        <v>2283</v>
      </c>
      <c r="B1372" s="4" t="s">
        <v>346</v>
      </c>
      <c r="C1372" s="4" t="s">
        <v>902</v>
      </c>
      <c r="D1372" s="4">
        <v>1</v>
      </c>
      <c r="E1372" s="6">
        <v>12000</v>
      </c>
      <c r="F1372" t="str">
        <f>VLOOKUP(C1372,menu!A:B,2,FALSE)</f>
        <v>Teh Tarik</v>
      </c>
      <c r="G1372">
        <f t="shared" si="42"/>
        <v>12000</v>
      </c>
      <c r="H1372">
        <f>VLOOKUP(C1372,menu!A:E,4,FALSE)</f>
        <v>3000</v>
      </c>
      <c r="I1372">
        <f t="shared" si="43"/>
        <v>9000</v>
      </c>
    </row>
    <row r="1373" spans="1:9" x14ac:dyDescent="0.35">
      <c r="A1373" s="4" t="s">
        <v>2284</v>
      </c>
      <c r="B1373" s="4" t="s">
        <v>346</v>
      </c>
      <c r="C1373" s="4" t="s">
        <v>940</v>
      </c>
      <c r="D1373" s="4">
        <v>1</v>
      </c>
      <c r="E1373" s="6">
        <v>10000</v>
      </c>
      <c r="F1373" t="str">
        <f>VLOOKUP(C1373,menu!A:B,2,FALSE)</f>
        <v>Tahu Isi Goreng (5pcs)</v>
      </c>
      <c r="G1373">
        <f t="shared" si="42"/>
        <v>10000</v>
      </c>
      <c r="H1373">
        <f>VLOOKUP(C1373,menu!A:E,4,FALSE)</f>
        <v>3500</v>
      </c>
      <c r="I1373">
        <f t="shared" si="43"/>
        <v>6500</v>
      </c>
    </row>
    <row r="1374" spans="1:9" x14ac:dyDescent="0.35">
      <c r="A1374" s="4" t="s">
        <v>2285</v>
      </c>
      <c r="B1374" s="4" t="s">
        <v>66</v>
      </c>
      <c r="C1374" s="4" t="s">
        <v>894</v>
      </c>
      <c r="D1374" s="4">
        <v>1</v>
      </c>
      <c r="E1374" s="6">
        <v>5000</v>
      </c>
      <c r="F1374" t="str">
        <f>VLOOKUP(C1374,menu!A:B,2,FALSE)</f>
        <v>Air Mineral Botol</v>
      </c>
      <c r="G1374">
        <f t="shared" si="42"/>
        <v>5000</v>
      </c>
      <c r="H1374">
        <f>VLOOKUP(C1374,menu!A:E,4,FALSE)</f>
        <v>2000</v>
      </c>
      <c r="I1374">
        <f t="shared" si="43"/>
        <v>3000</v>
      </c>
    </row>
    <row r="1375" spans="1:9" x14ac:dyDescent="0.35">
      <c r="A1375" s="4" t="s">
        <v>2286</v>
      </c>
      <c r="B1375" s="4" t="s">
        <v>66</v>
      </c>
      <c r="C1375" s="4" t="s">
        <v>919</v>
      </c>
      <c r="D1375" s="4">
        <v>1</v>
      </c>
      <c r="E1375" s="6">
        <v>20000</v>
      </c>
      <c r="F1375" t="str">
        <f>VLOOKUP(C1375,menu!A:B,2,FALSE)</f>
        <v>Gado-Gado Jakarta</v>
      </c>
      <c r="G1375">
        <f t="shared" si="42"/>
        <v>20000</v>
      </c>
      <c r="H1375">
        <f>VLOOKUP(C1375,menu!A:E,4,FALSE)</f>
        <v>8000</v>
      </c>
      <c r="I1375">
        <f t="shared" si="43"/>
        <v>12000</v>
      </c>
    </row>
    <row r="1376" spans="1:9" x14ac:dyDescent="0.35">
      <c r="A1376" s="4" t="s">
        <v>2287</v>
      </c>
      <c r="B1376" s="4" t="s">
        <v>66</v>
      </c>
      <c r="C1376" s="4" t="s">
        <v>898</v>
      </c>
      <c r="D1376" s="4">
        <v>1</v>
      </c>
      <c r="E1376" s="6">
        <v>27000</v>
      </c>
      <c r="F1376" t="str">
        <f>VLOOKUP(C1376,menu!A:B,2,FALSE)</f>
        <v>Ayam Geprek Sambal Bawang</v>
      </c>
      <c r="G1376">
        <f t="shared" si="42"/>
        <v>27000</v>
      </c>
      <c r="H1376">
        <f>VLOOKUP(C1376,menu!A:E,4,FALSE)</f>
        <v>11000</v>
      </c>
      <c r="I1376">
        <f t="shared" si="43"/>
        <v>16000</v>
      </c>
    </row>
    <row r="1377" spans="1:9" x14ac:dyDescent="0.35">
      <c r="A1377" s="4" t="s">
        <v>2288</v>
      </c>
      <c r="B1377" s="4" t="s">
        <v>66</v>
      </c>
      <c r="C1377" s="4" t="s">
        <v>1003</v>
      </c>
      <c r="D1377" s="4">
        <v>1</v>
      </c>
      <c r="E1377" s="6">
        <v>29000</v>
      </c>
      <c r="F1377" t="str">
        <f>VLOOKUP(C1377,menu!A:B,2,FALSE)</f>
        <v>Capcay Seafood</v>
      </c>
      <c r="G1377">
        <f t="shared" si="42"/>
        <v>29000</v>
      </c>
      <c r="H1377">
        <f>VLOOKUP(C1377,menu!A:E,4,FALSE)</f>
        <v>13000</v>
      </c>
      <c r="I1377">
        <f t="shared" si="43"/>
        <v>16000</v>
      </c>
    </row>
    <row r="1378" spans="1:9" x14ac:dyDescent="0.35">
      <c r="A1378" s="4" t="s">
        <v>2289</v>
      </c>
      <c r="B1378" s="4" t="s">
        <v>805</v>
      </c>
      <c r="C1378" s="4" t="s">
        <v>937</v>
      </c>
      <c r="D1378" s="4">
        <v>1</v>
      </c>
      <c r="E1378" s="6">
        <v>26000</v>
      </c>
      <c r="F1378" t="str">
        <f>VLOOKUP(C1378,menu!A:B,2,FALSE)</f>
        <v>Nasi Campur Bali</v>
      </c>
      <c r="G1378">
        <f t="shared" si="42"/>
        <v>26000</v>
      </c>
      <c r="H1378">
        <f>VLOOKUP(C1378,menu!A:E,4,FALSE)</f>
        <v>11500</v>
      </c>
      <c r="I1378">
        <f t="shared" si="43"/>
        <v>14500</v>
      </c>
    </row>
    <row r="1379" spans="1:9" x14ac:dyDescent="0.35">
      <c r="A1379" s="4" t="s">
        <v>2290</v>
      </c>
      <c r="B1379" s="4" t="s">
        <v>805</v>
      </c>
      <c r="C1379" s="4" t="s">
        <v>898</v>
      </c>
      <c r="D1379" s="4">
        <v>3</v>
      </c>
      <c r="E1379" s="6">
        <v>27000</v>
      </c>
      <c r="F1379" t="str">
        <f>VLOOKUP(C1379,menu!A:B,2,FALSE)</f>
        <v>Ayam Geprek Sambal Bawang</v>
      </c>
      <c r="G1379">
        <f t="shared" si="42"/>
        <v>81000</v>
      </c>
      <c r="H1379">
        <f>VLOOKUP(C1379,menu!A:E,4,FALSE)</f>
        <v>11000</v>
      </c>
      <c r="I1379">
        <f t="shared" si="43"/>
        <v>48000</v>
      </c>
    </row>
    <row r="1380" spans="1:9" x14ac:dyDescent="0.35">
      <c r="A1380" s="4" t="s">
        <v>2291</v>
      </c>
      <c r="B1380" s="4" t="s">
        <v>805</v>
      </c>
      <c r="C1380" s="4" t="s">
        <v>902</v>
      </c>
      <c r="D1380" s="4">
        <v>2</v>
      </c>
      <c r="E1380" s="6">
        <v>12000</v>
      </c>
      <c r="F1380" t="str">
        <f>VLOOKUP(C1380,menu!A:B,2,FALSE)</f>
        <v>Teh Tarik</v>
      </c>
      <c r="G1380">
        <f t="shared" si="42"/>
        <v>24000</v>
      </c>
      <c r="H1380">
        <f>VLOOKUP(C1380,menu!A:E,4,FALSE)</f>
        <v>3000</v>
      </c>
      <c r="I1380">
        <f t="shared" si="43"/>
        <v>18000</v>
      </c>
    </row>
    <row r="1381" spans="1:9" x14ac:dyDescent="0.35">
      <c r="A1381" s="4" t="s">
        <v>2292</v>
      </c>
      <c r="B1381" s="4" t="s">
        <v>127</v>
      </c>
      <c r="C1381" s="4" t="s">
        <v>902</v>
      </c>
      <c r="D1381" s="4">
        <v>1</v>
      </c>
      <c r="E1381" s="6">
        <v>12000</v>
      </c>
      <c r="F1381" t="str">
        <f>VLOOKUP(C1381,menu!A:B,2,FALSE)</f>
        <v>Teh Tarik</v>
      </c>
      <c r="G1381">
        <f t="shared" si="42"/>
        <v>12000</v>
      </c>
      <c r="H1381">
        <f>VLOOKUP(C1381,menu!A:E,4,FALSE)</f>
        <v>3000</v>
      </c>
      <c r="I1381">
        <f t="shared" si="43"/>
        <v>9000</v>
      </c>
    </row>
    <row r="1382" spans="1:9" x14ac:dyDescent="0.35">
      <c r="A1382" s="4" t="s">
        <v>2293</v>
      </c>
      <c r="B1382" s="4" t="s">
        <v>127</v>
      </c>
      <c r="C1382" s="4" t="s">
        <v>898</v>
      </c>
      <c r="D1382" s="4">
        <v>3</v>
      </c>
      <c r="E1382" s="6">
        <v>27000</v>
      </c>
      <c r="F1382" t="str">
        <f>VLOOKUP(C1382,menu!A:B,2,FALSE)</f>
        <v>Ayam Geprek Sambal Bawang</v>
      </c>
      <c r="G1382">
        <f t="shared" si="42"/>
        <v>81000</v>
      </c>
      <c r="H1382">
        <f>VLOOKUP(C1382,menu!A:E,4,FALSE)</f>
        <v>11000</v>
      </c>
      <c r="I1382">
        <f t="shared" si="43"/>
        <v>48000</v>
      </c>
    </row>
    <row r="1383" spans="1:9" x14ac:dyDescent="0.35">
      <c r="A1383" s="4" t="s">
        <v>2294</v>
      </c>
      <c r="B1383" s="4" t="s">
        <v>127</v>
      </c>
      <c r="C1383" s="4" t="s">
        <v>894</v>
      </c>
      <c r="D1383" s="4">
        <v>1</v>
      </c>
      <c r="E1383" s="6">
        <v>5000</v>
      </c>
      <c r="F1383" t="str">
        <f>VLOOKUP(C1383,menu!A:B,2,FALSE)</f>
        <v>Air Mineral Botol</v>
      </c>
      <c r="G1383">
        <f t="shared" si="42"/>
        <v>5000</v>
      </c>
      <c r="H1383">
        <f>VLOOKUP(C1383,menu!A:E,4,FALSE)</f>
        <v>2000</v>
      </c>
      <c r="I1383">
        <f t="shared" si="43"/>
        <v>3000</v>
      </c>
    </row>
    <row r="1384" spans="1:9" x14ac:dyDescent="0.35">
      <c r="A1384" s="4" t="s">
        <v>2295</v>
      </c>
      <c r="B1384" s="4" t="s">
        <v>752</v>
      </c>
      <c r="C1384" s="4" t="s">
        <v>955</v>
      </c>
      <c r="D1384" s="4">
        <v>1</v>
      </c>
      <c r="E1384" s="6">
        <v>15000</v>
      </c>
      <c r="F1384" t="str">
        <f>VLOOKUP(C1384,menu!A:B,2,FALSE)</f>
        <v>Es Campur</v>
      </c>
      <c r="G1384">
        <f t="shared" si="42"/>
        <v>15000</v>
      </c>
      <c r="H1384">
        <f>VLOOKUP(C1384,menu!A:E,4,FALSE)</f>
        <v>6000</v>
      </c>
      <c r="I1384">
        <f t="shared" si="43"/>
        <v>9000</v>
      </c>
    </row>
    <row r="1385" spans="1:9" x14ac:dyDescent="0.35">
      <c r="A1385" s="4" t="s">
        <v>2296</v>
      </c>
      <c r="B1385" s="4" t="s">
        <v>622</v>
      </c>
      <c r="C1385" s="4" t="s">
        <v>931</v>
      </c>
      <c r="D1385" s="4">
        <v>1</v>
      </c>
      <c r="E1385" s="6">
        <v>5000</v>
      </c>
      <c r="F1385" t="str">
        <f>VLOOKUP(C1385,menu!A:B,2,FALSE)</f>
        <v>Kerupuk Udang</v>
      </c>
      <c r="G1385">
        <f t="shared" si="42"/>
        <v>5000</v>
      </c>
      <c r="H1385">
        <f>VLOOKUP(C1385,menu!A:E,4,FALSE)</f>
        <v>1500</v>
      </c>
      <c r="I1385">
        <f t="shared" si="43"/>
        <v>3500</v>
      </c>
    </row>
    <row r="1386" spans="1:9" x14ac:dyDescent="0.35">
      <c r="A1386" s="4" t="s">
        <v>2297</v>
      </c>
      <c r="B1386" s="4" t="s">
        <v>622</v>
      </c>
      <c r="C1386" s="4" t="s">
        <v>898</v>
      </c>
      <c r="D1386" s="4">
        <v>2</v>
      </c>
      <c r="E1386" s="6">
        <v>27000</v>
      </c>
      <c r="F1386" t="str">
        <f>VLOOKUP(C1386,menu!A:B,2,FALSE)</f>
        <v>Ayam Geprek Sambal Bawang</v>
      </c>
      <c r="G1386">
        <f t="shared" si="42"/>
        <v>54000</v>
      </c>
      <c r="H1386">
        <f>VLOOKUP(C1386,menu!A:E,4,FALSE)</f>
        <v>11000</v>
      </c>
      <c r="I1386">
        <f t="shared" si="43"/>
        <v>32000</v>
      </c>
    </row>
    <row r="1387" spans="1:9" x14ac:dyDescent="0.35">
      <c r="A1387" s="4" t="s">
        <v>2298</v>
      </c>
      <c r="B1387" s="4" t="s">
        <v>622</v>
      </c>
      <c r="C1387" s="4" t="s">
        <v>955</v>
      </c>
      <c r="D1387" s="4">
        <v>2</v>
      </c>
      <c r="E1387" s="6">
        <v>15000</v>
      </c>
      <c r="F1387" t="str">
        <f>VLOOKUP(C1387,menu!A:B,2,FALSE)</f>
        <v>Es Campur</v>
      </c>
      <c r="G1387">
        <f t="shared" si="42"/>
        <v>30000</v>
      </c>
      <c r="H1387">
        <f>VLOOKUP(C1387,menu!A:E,4,FALSE)</f>
        <v>6000</v>
      </c>
      <c r="I1387">
        <f t="shared" si="43"/>
        <v>18000</v>
      </c>
    </row>
    <row r="1388" spans="1:9" x14ac:dyDescent="0.35">
      <c r="A1388" s="4" t="s">
        <v>2299</v>
      </c>
      <c r="B1388" s="4" t="s">
        <v>622</v>
      </c>
      <c r="C1388" s="4" t="s">
        <v>1003</v>
      </c>
      <c r="D1388" s="4">
        <v>1</v>
      </c>
      <c r="E1388" s="6">
        <v>29000</v>
      </c>
      <c r="F1388" t="str">
        <f>VLOOKUP(C1388,menu!A:B,2,FALSE)</f>
        <v>Capcay Seafood</v>
      </c>
      <c r="G1388">
        <f t="shared" si="42"/>
        <v>29000</v>
      </c>
      <c r="H1388">
        <f>VLOOKUP(C1388,menu!A:E,4,FALSE)</f>
        <v>13000</v>
      </c>
      <c r="I1388">
        <f t="shared" si="43"/>
        <v>16000</v>
      </c>
    </row>
    <row r="1389" spans="1:9" x14ac:dyDescent="0.35">
      <c r="A1389" s="4" t="s">
        <v>2300</v>
      </c>
      <c r="B1389" s="4" t="s">
        <v>622</v>
      </c>
      <c r="C1389" s="4" t="s">
        <v>937</v>
      </c>
      <c r="D1389" s="4">
        <v>1</v>
      </c>
      <c r="E1389" s="6">
        <v>26000</v>
      </c>
      <c r="F1389" t="str">
        <f>VLOOKUP(C1389,menu!A:B,2,FALSE)</f>
        <v>Nasi Campur Bali</v>
      </c>
      <c r="G1389">
        <f t="shared" si="42"/>
        <v>26000</v>
      </c>
      <c r="H1389">
        <f>VLOOKUP(C1389,menu!A:E,4,FALSE)</f>
        <v>11500</v>
      </c>
      <c r="I1389">
        <f t="shared" si="43"/>
        <v>14500</v>
      </c>
    </row>
    <row r="1390" spans="1:9" x14ac:dyDescent="0.35">
      <c r="A1390" s="4" t="s">
        <v>2301</v>
      </c>
      <c r="B1390" s="4" t="s">
        <v>556</v>
      </c>
      <c r="C1390" s="4" t="s">
        <v>892</v>
      </c>
      <c r="D1390" s="4">
        <v>1</v>
      </c>
      <c r="E1390" s="6">
        <v>9000</v>
      </c>
      <c r="F1390" t="str">
        <f>VLOOKUP(C1390,menu!A:B,2,FALSE)</f>
        <v>Tempe Mendoan (5pcs)</v>
      </c>
      <c r="G1390">
        <f t="shared" si="42"/>
        <v>9000</v>
      </c>
      <c r="H1390">
        <f>VLOOKUP(C1390,menu!A:E,4,FALSE)</f>
        <v>3000</v>
      </c>
      <c r="I1390">
        <f t="shared" si="43"/>
        <v>6000</v>
      </c>
    </row>
    <row r="1391" spans="1:9" x14ac:dyDescent="0.35">
      <c r="A1391" s="4" t="s">
        <v>2302</v>
      </c>
      <c r="B1391" s="4" t="s">
        <v>556</v>
      </c>
      <c r="C1391" s="4" t="s">
        <v>898</v>
      </c>
      <c r="D1391" s="4">
        <v>1</v>
      </c>
      <c r="E1391" s="6">
        <v>27000</v>
      </c>
      <c r="F1391" t="str">
        <f>VLOOKUP(C1391,menu!A:B,2,FALSE)</f>
        <v>Ayam Geprek Sambal Bawang</v>
      </c>
      <c r="G1391">
        <f t="shared" si="42"/>
        <v>27000</v>
      </c>
      <c r="H1391">
        <f>VLOOKUP(C1391,menu!A:E,4,FALSE)</f>
        <v>11000</v>
      </c>
      <c r="I1391">
        <f t="shared" si="43"/>
        <v>16000</v>
      </c>
    </row>
    <row r="1392" spans="1:9" x14ac:dyDescent="0.35">
      <c r="A1392" s="4" t="s">
        <v>2303</v>
      </c>
      <c r="B1392" s="4" t="s">
        <v>556</v>
      </c>
      <c r="C1392" s="4" t="s">
        <v>908</v>
      </c>
      <c r="D1392" s="4">
        <v>1</v>
      </c>
      <c r="E1392" s="6">
        <v>16000</v>
      </c>
      <c r="F1392" t="str">
        <f>VLOOKUP(C1392,menu!A:B,2,FALSE)</f>
        <v>Jus Alpukat</v>
      </c>
      <c r="G1392">
        <f t="shared" si="42"/>
        <v>16000</v>
      </c>
      <c r="H1392">
        <f>VLOOKUP(C1392,menu!A:E,4,FALSE)</f>
        <v>5500</v>
      </c>
      <c r="I1392">
        <f t="shared" si="43"/>
        <v>10500</v>
      </c>
    </row>
    <row r="1393" spans="1:9" x14ac:dyDescent="0.35">
      <c r="A1393" s="4" t="s">
        <v>2304</v>
      </c>
      <c r="B1393" s="4" t="s">
        <v>556</v>
      </c>
      <c r="C1393" s="4" t="s">
        <v>1003</v>
      </c>
      <c r="D1393" s="4">
        <v>1</v>
      </c>
      <c r="E1393" s="6">
        <v>29000</v>
      </c>
      <c r="F1393" t="str">
        <f>VLOOKUP(C1393,menu!A:B,2,FALSE)</f>
        <v>Capcay Seafood</v>
      </c>
      <c r="G1393">
        <f t="shared" si="42"/>
        <v>29000</v>
      </c>
      <c r="H1393">
        <f>VLOOKUP(C1393,menu!A:E,4,FALSE)</f>
        <v>13000</v>
      </c>
      <c r="I1393">
        <f t="shared" si="43"/>
        <v>16000</v>
      </c>
    </row>
    <row r="1394" spans="1:9" x14ac:dyDescent="0.35">
      <c r="A1394" s="4" t="s">
        <v>2305</v>
      </c>
      <c r="B1394" s="4" t="s">
        <v>189</v>
      </c>
      <c r="C1394" s="4" t="s">
        <v>898</v>
      </c>
      <c r="D1394" s="4">
        <v>1</v>
      </c>
      <c r="E1394" s="6">
        <v>27000</v>
      </c>
      <c r="F1394" t="str">
        <f>VLOOKUP(C1394,menu!A:B,2,FALSE)</f>
        <v>Ayam Geprek Sambal Bawang</v>
      </c>
      <c r="G1394">
        <f t="shared" si="42"/>
        <v>27000</v>
      </c>
      <c r="H1394">
        <f>VLOOKUP(C1394,menu!A:E,4,FALSE)</f>
        <v>11000</v>
      </c>
      <c r="I1394">
        <f t="shared" si="43"/>
        <v>16000</v>
      </c>
    </row>
    <row r="1395" spans="1:9" x14ac:dyDescent="0.35">
      <c r="A1395" s="4" t="s">
        <v>2306</v>
      </c>
      <c r="B1395" s="4" t="s">
        <v>189</v>
      </c>
      <c r="C1395" s="4" t="s">
        <v>955</v>
      </c>
      <c r="D1395" s="4">
        <v>1</v>
      </c>
      <c r="E1395" s="6">
        <v>15000</v>
      </c>
      <c r="F1395" t="str">
        <f>VLOOKUP(C1395,menu!A:B,2,FALSE)</f>
        <v>Es Campur</v>
      </c>
      <c r="G1395">
        <f t="shared" si="42"/>
        <v>15000</v>
      </c>
      <c r="H1395">
        <f>VLOOKUP(C1395,menu!A:E,4,FALSE)</f>
        <v>6000</v>
      </c>
      <c r="I1395">
        <f t="shared" si="43"/>
        <v>9000</v>
      </c>
    </row>
    <row r="1396" spans="1:9" x14ac:dyDescent="0.35">
      <c r="A1396" s="4" t="s">
        <v>2307</v>
      </c>
      <c r="B1396" s="4" t="s">
        <v>189</v>
      </c>
      <c r="C1396" s="4" t="s">
        <v>892</v>
      </c>
      <c r="D1396" s="4">
        <v>1</v>
      </c>
      <c r="E1396" s="6">
        <v>9000</v>
      </c>
      <c r="F1396" t="str">
        <f>VLOOKUP(C1396,menu!A:B,2,FALSE)</f>
        <v>Tempe Mendoan (5pcs)</v>
      </c>
      <c r="G1396">
        <f t="shared" si="42"/>
        <v>9000</v>
      </c>
      <c r="H1396">
        <f>VLOOKUP(C1396,menu!A:E,4,FALSE)</f>
        <v>3000</v>
      </c>
      <c r="I1396">
        <f t="shared" si="43"/>
        <v>6000</v>
      </c>
    </row>
    <row r="1397" spans="1:9" x14ac:dyDescent="0.35">
      <c r="A1397" s="4" t="s">
        <v>2308</v>
      </c>
      <c r="B1397" s="4" t="s">
        <v>542</v>
      </c>
      <c r="C1397" s="4" t="s">
        <v>898</v>
      </c>
      <c r="D1397" s="4">
        <v>1</v>
      </c>
      <c r="E1397" s="6">
        <v>27000</v>
      </c>
      <c r="F1397" t="str">
        <f>VLOOKUP(C1397,menu!A:B,2,FALSE)</f>
        <v>Ayam Geprek Sambal Bawang</v>
      </c>
      <c r="G1397">
        <f t="shared" si="42"/>
        <v>27000</v>
      </c>
      <c r="H1397">
        <f>VLOOKUP(C1397,menu!A:E,4,FALSE)</f>
        <v>11000</v>
      </c>
      <c r="I1397">
        <f t="shared" si="43"/>
        <v>16000</v>
      </c>
    </row>
    <row r="1398" spans="1:9" x14ac:dyDescent="0.35">
      <c r="A1398" s="4" t="s">
        <v>2309</v>
      </c>
      <c r="B1398" s="4" t="s">
        <v>542</v>
      </c>
      <c r="C1398" s="4" t="s">
        <v>928</v>
      </c>
      <c r="D1398" s="4">
        <v>1</v>
      </c>
      <c r="E1398" s="6">
        <v>23000</v>
      </c>
      <c r="F1398" t="str">
        <f>VLOOKUP(C1398,menu!A:B,2,FALSE)</f>
        <v>Mie Goreng Jawa</v>
      </c>
      <c r="G1398">
        <f t="shared" si="42"/>
        <v>23000</v>
      </c>
      <c r="H1398">
        <f>VLOOKUP(C1398,menu!A:E,4,FALSE)</f>
        <v>8500</v>
      </c>
      <c r="I1398">
        <f t="shared" si="43"/>
        <v>14500</v>
      </c>
    </row>
    <row r="1399" spans="1:9" x14ac:dyDescent="0.35">
      <c r="A1399" s="4" t="s">
        <v>2310</v>
      </c>
      <c r="B1399" s="4" t="s">
        <v>542</v>
      </c>
      <c r="C1399" s="4" t="s">
        <v>937</v>
      </c>
      <c r="D1399" s="4">
        <v>1</v>
      </c>
      <c r="E1399" s="6">
        <v>26000</v>
      </c>
      <c r="F1399" t="str">
        <f>VLOOKUP(C1399,menu!A:B,2,FALSE)</f>
        <v>Nasi Campur Bali</v>
      </c>
      <c r="G1399">
        <f t="shared" si="42"/>
        <v>26000</v>
      </c>
      <c r="H1399">
        <f>VLOOKUP(C1399,menu!A:E,4,FALSE)</f>
        <v>11500</v>
      </c>
      <c r="I1399">
        <f t="shared" si="43"/>
        <v>14500</v>
      </c>
    </row>
    <row r="1400" spans="1:9" x14ac:dyDescent="0.35">
      <c r="A1400" s="4" t="s">
        <v>2311</v>
      </c>
      <c r="B1400" s="4" t="s">
        <v>714</v>
      </c>
      <c r="C1400" s="4" t="s">
        <v>902</v>
      </c>
      <c r="D1400" s="4">
        <v>1</v>
      </c>
      <c r="E1400" s="6">
        <v>12000</v>
      </c>
      <c r="F1400" t="str">
        <f>VLOOKUP(C1400,menu!A:B,2,FALSE)</f>
        <v>Teh Tarik</v>
      </c>
      <c r="G1400">
        <f t="shared" si="42"/>
        <v>12000</v>
      </c>
      <c r="H1400">
        <f>VLOOKUP(C1400,menu!A:E,4,FALSE)</f>
        <v>3000</v>
      </c>
      <c r="I1400">
        <f t="shared" si="43"/>
        <v>9000</v>
      </c>
    </row>
    <row r="1401" spans="1:9" x14ac:dyDescent="0.35">
      <c r="A1401" s="4" t="s">
        <v>2312</v>
      </c>
      <c r="B1401" s="4" t="s">
        <v>714</v>
      </c>
      <c r="C1401" s="4" t="s">
        <v>894</v>
      </c>
      <c r="D1401" s="4">
        <v>1</v>
      </c>
      <c r="E1401" s="6">
        <v>5000</v>
      </c>
      <c r="F1401" t="str">
        <f>VLOOKUP(C1401,menu!A:B,2,FALSE)</f>
        <v>Air Mineral Botol</v>
      </c>
      <c r="G1401">
        <f t="shared" si="42"/>
        <v>5000</v>
      </c>
      <c r="H1401">
        <f>VLOOKUP(C1401,menu!A:E,4,FALSE)</f>
        <v>2000</v>
      </c>
      <c r="I1401">
        <f t="shared" si="43"/>
        <v>3000</v>
      </c>
    </row>
    <row r="1402" spans="1:9" x14ac:dyDescent="0.35">
      <c r="A1402" s="4" t="s">
        <v>2313</v>
      </c>
      <c r="B1402" s="4" t="s">
        <v>108</v>
      </c>
      <c r="C1402" s="4" t="s">
        <v>1019</v>
      </c>
      <c r="D1402" s="4">
        <v>1</v>
      </c>
      <c r="E1402" s="6">
        <v>21000</v>
      </c>
      <c r="F1402" t="str">
        <f>VLOOKUP(C1402,menu!A:B,2,FALSE)</f>
        <v>Bakso Urat Spesial</v>
      </c>
      <c r="G1402">
        <f t="shared" si="42"/>
        <v>21000</v>
      </c>
      <c r="H1402">
        <f>VLOOKUP(C1402,menu!A:E,4,FALSE)</f>
        <v>8500</v>
      </c>
      <c r="I1402">
        <f t="shared" si="43"/>
        <v>12500</v>
      </c>
    </row>
    <row r="1403" spans="1:9" x14ac:dyDescent="0.35">
      <c r="A1403" s="4" t="s">
        <v>2314</v>
      </c>
      <c r="B1403" s="4" t="s">
        <v>108</v>
      </c>
      <c r="C1403" s="4" t="s">
        <v>937</v>
      </c>
      <c r="D1403" s="4">
        <v>3</v>
      </c>
      <c r="E1403" s="6">
        <v>26000</v>
      </c>
      <c r="F1403" t="str">
        <f>VLOOKUP(C1403,menu!A:B,2,FALSE)</f>
        <v>Nasi Campur Bali</v>
      </c>
      <c r="G1403">
        <f t="shared" si="42"/>
        <v>78000</v>
      </c>
      <c r="H1403">
        <f>VLOOKUP(C1403,menu!A:E,4,FALSE)</f>
        <v>11500</v>
      </c>
      <c r="I1403">
        <f t="shared" si="43"/>
        <v>43500</v>
      </c>
    </row>
    <row r="1404" spans="1:9" x14ac:dyDescent="0.35">
      <c r="A1404" s="4" t="s">
        <v>2315</v>
      </c>
      <c r="B1404" s="4" t="s">
        <v>874</v>
      </c>
      <c r="C1404" s="4" t="s">
        <v>919</v>
      </c>
      <c r="D1404" s="4">
        <v>1</v>
      </c>
      <c r="E1404" s="6">
        <v>20000</v>
      </c>
      <c r="F1404" t="str">
        <f>VLOOKUP(C1404,menu!A:B,2,FALSE)</f>
        <v>Gado-Gado Jakarta</v>
      </c>
      <c r="G1404">
        <f t="shared" si="42"/>
        <v>20000</v>
      </c>
      <c r="H1404">
        <f>VLOOKUP(C1404,menu!A:E,4,FALSE)</f>
        <v>8000</v>
      </c>
      <c r="I1404">
        <f t="shared" si="43"/>
        <v>12000</v>
      </c>
    </row>
    <row r="1405" spans="1:9" x14ac:dyDescent="0.35">
      <c r="A1405" s="4" t="s">
        <v>2316</v>
      </c>
      <c r="B1405" s="4" t="s">
        <v>874</v>
      </c>
      <c r="C1405" s="4" t="s">
        <v>898</v>
      </c>
      <c r="D1405" s="4">
        <v>1</v>
      </c>
      <c r="E1405" s="6">
        <v>27000</v>
      </c>
      <c r="F1405" t="str">
        <f>VLOOKUP(C1405,menu!A:B,2,FALSE)</f>
        <v>Ayam Geprek Sambal Bawang</v>
      </c>
      <c r="G1405">
        <f t="shared" si="42"/>
        <v>27000</v>
      </c>
      <c r="H1405">
        <f>VLOOKUP(C1405,menu!A:E,4,FALSE)</f>
        <v>11000</v>
      </c>
      <c r="I1405">
        <f t="shared" si="43"/>
        <v>16000</v>
      </c>
    </row>
    <row r="1406" spans="1:9" x14ac:dyDescent="0.35">
      <c r="A1406" s="4" t="s">
        <v>2317</v>
      </c>
      <c r="B1406" s="4" t="s">
        <v>874</v>
      </c>
      <c r="C1406" s="4" t="s">
        <v>935</v>
      </c>
      <c r="D1406" s="4">
        <v>3</v>
      </c>
      <c r="E1406" s="6">
        <v>22000</v>
      </c>
      <c r="F1406" t="str">
        <f>VLOOKUP(C1406,menu!A:B,2,FALSE)</f>
        <v>Soto Ayam Lamongan</v>
      </c>
      <c r="G1406">
        <f t="shared" si="42"/>
        <v>66000</v>
      </c>
      <c r="H1406">
        <f>VLOOKUP(C1406,menu!A:E,4,FALSE)</f>
        <v>9500</v>
      </c>
      <c r="I1406">
        <f t="shared" si="43"/>
        <v>37500</v>
      </c>
    </row>
    <row r="1407" spans="1:9" x14ac:dyDescent="0.35">
      <c r="A1407" s="4" t="s">
        <v>2318</v>
      </c>
      <c r="B1407" s="4" t="s">
        <v>735</v>
      </c>
      <c r="C1407" s="4" t="s">
        <v>898</v>
      </c>
      <c r="D1407" s="4">
        <v>1</v>
      </c>
      <c r="E1407" s="6">
        <v>27000</v>
      </c>
      <c r="F1407" t="str">
        <f>VLOOKUP(C1407,menu!A:B,2,FALSE)</f>
        <v>Ayam Geprek Sambal Bawang</v>
      </c>
      <c r="G1407">
        <f t="shared" si="42"/>
        <v>27000</v>
      </c>
      <c r="H1407">
        <f>VLOOKUP(C1407,menu!A:E,4,FALSE)</f>
        <v>11000</v>
      </c>
      <c r="I1407">
        <f t="shared" si="43"/>
        <v>16000</v>
      </c>
    </row>
    <row r="1408" spans="1:9" x14ac:dyDescent="0.35">
      <c r="A1408" s="4" t="s">
        <v>2319</v>
      </c>
      <c r="B1408" s="4" t="s">
        <v>735</v>
      </c>
      <c r="C1408" s="4" t="s">
        <v>1003</v>
      </c>
      <c r="D1408" s="4">
        <v>1</v>
      </c>
      <c r="E1408" s="6">
        <v>29000</v>
      </c>
      <c r="F1408" t="str">
        <f>VLOOKUP(C1408,menu!A:B,2,FALSE)</f>
        <v>Capcay Seafood</v>
      </c>
      <c r="G1408">
        <f t="shared" si="42"/>
        <v>29000</v>
      </c>
      <c r="H1408">
        <f>VLOOKUP(C1408,menu!A:E,4,FALSE)</f>
        <v>13000</v>
      </c>
      <c r="I1408">
        <f t="shared" si="43"/>
        <v>16000</v>
      </c>
    </row>
    <row r="1409" spans="1:9" x14ac:dyDescent="0.35">
      <c r="A1409" s="4" t="s">
        <v>2320</v>
      </c>
      <c r="B1409" s="4" t="s">
        <v>339</v>
      </c>
      <c r="C1409" s="4" t="s">
        <v>919</v>
      </c>
      <c r="D1409" s="4">
        <v>1</v>
      </c>
      <c r="E1409" s="6">
        <v>20000</v>
      </c>
      <c r="F1409" t="str">
        <f>VLOOKUP(C1409,menu!A:B,2,FALSE)</f>
        <v>Gado-Gado Jakarta</v>
      </c>
      <c r="G1409">
        <f t="shared" si="42"/>
        <v>20000</v>
      </c>
      <c r="H1409">
        <f>VLOOKUP(C1409,menu!A:E,4,FALSE)</f>
        <v>8000</v>
      </c>
      <c r="I1409">
        <f t="shared" si="43"/>
        <v>12000</v>
      </c>
    </row>
    <row r="1410" spans="1:9" x14ac:dyDescent="0.35">
      <c r="A1410" s="4" t="s">
        <v>2321</v>
      </c>
      <c r="B1410" s="4" t="s">
        <v>339</v>
      </c>
      <c r="C1410" s="4" t="s">
        <v>1003</v>
      </c>
      <c r="D1410" s="4">
        <v>1</v>
      </c>
      <c r="E1410" s="6">
        <v>29000</v>
      </c>
      <c r="F1410" t="str">
        <f>VLOOKUP(C1410,menu!A:B,2,FALSE)</f>
        <v>Capcay Seafood</v>
      </c>
      <c r="G1410">
        <f t="shared" si="42"/>
        <v>29000</v>
      </c>
      <c r="H1410">
        <f>VLOOKUP(C1410,menu!A:E,4,FALSE)</f>
        <v>13000</v>
      </c>
      <c r="I1410">
        <f t="shared" si="43"/>
        <v>16000</v>
      </c>
    </row>
    <row r="1411" spans="1:9" x14ac:dyDescent="0.35">
      <c r="A1411" s="4" t="s">
        <v>2322</v>
      </c>
      <c r="B1411" s="4" t="s">
        <v>339</v>
      </c>
      <c r="C1411" s="4" t="s">
        <v>898</v>
      </c>
      <c r="D1411" s="4">
        <v>1</v>
      </c>
      <c r="E1411" s="6">
        <v>27000</v>
      </c>
      <c r="F1411" t="str">
        <f>VLOOKUP(C1411,menu!A:B,2,FALSE)</f>
        <v>Ayam Geprek Sambal Bawang</v>
      </c>
      <c r="G1411">
        <f t="shared" ref="G1411:G1474" si="44">D1411*E1411</f>
        <v>27000</v>
      </c>
      <c r="H1411">
        <f>VLOOKUP(C1411,menu!A:E,4,FALSE)</f>
        <v>11000</v>
      </c>
      <c r="I1411">
        <f t="shared" ref="I1411:I1474" si="45">(E1411-H1411)*D1411</f>
        <v>16000</v>
      </c>
    </row>
    <row r="1412" spans="1:9" x14ac:dyDescent="0.35">
      <c r="A1412" s="4" t="s">
        <v>2323</v>
      </c>
      <c r="B1412" s="4" t="s">
        <v>339</v>
      </c>
      <c r="C1412" s="4" t="s">
        <v>890</v>
      </c>
      <c r="D1412" s="4">
        <v>1</v>
      </c>
      <c r="E1412" s="6">
        <v>18000</v>
      </c>
      <c r="F1412" t="str">
        <f>VLOOKUP(C1412,menu!A:B,2,FALSE)</f>
        <v>Es Kopi Susu Gula Aren</v>
      </c>
      <c r="G1412">
        <f t="shared" si="44"/>
        <v>18000</v>
      </c>
      <c r="H1412">
        <f>VLOOKUP(C1412,menu!A:E,4,FALSE)</f>
        <v>4500</v>
      </c>
      <c r="I1412">
        <f t="shared" si="45"/>
        <v>13500</v>
      </c>
    </row>
    <row r="1413" spans="1:9" x14ac:dyDescent="0.35">
      <c r="A1413" s="4" t="s">
        <v>2324</v>
      </c>
      <c r="B1413" s="4" t="s">
        <v>490</v>
      </c>
      <c r="C1413" s="4" t="s">
        <v>955</v>
      </c>
      <c r="D1413" s="4">
        <v>2</v>
      </c>
      <c r="E1413" s="6">
        <v>15000</v>
      </c>
      <c r="F1413" t="str">
        <f>VLOOKUP(C1413,menu!A:B,2,FALSE)</f>
        <v>Es Campur</v>
      </c>
      <c r="G1413">
        <f t="shared" si="44"/>
        <v>30000</v>
      </c>
      <c r="H1413">
        <f>VLOOKUP(C1413,menu!A:E,4,FALSE)</f>
        <v>6000</v>
      </c>
      <c r="I1413">
        <f t="shared" si="45"/>
        <v>18000</v>
      </c>
    </row>
    <row r="1414" spans="1:9" x14ac:dyDescent="0.35">
      <c r="A1414" s="4" t="s">
        <v>2325</v>
      </c>
      <c r="B1414" s="4" t="s">
        <v>490</v>
      </c>
      <c r="C1414" s="4" t="s">
        <v>937</v>
      </c>
      <c r="D1414" s="4">
        <v>1</v>
      </c>
      <c r="E1414" s="6">
        <v>26000</v>
      </c>
      <c r="F1414" t="str">
        <f>VLOOKUP(C1414,menu!A:B,2,FALSE)</f>
        <v>Nasi Campur Bali</v>
      </c>
      <c r="G1414">
        <f t="shared" si="44"/>
        <v>26000</v>
      </c>
      <c r="H1414">
        <f>VLOOKUP(C1414,menu!A:E,4,FALSE)</f>
        <v>11500</v>
      </c>
      <c r="I1414">
        <f t="shared" si="45"/>
        <v>14500</v>
      </c>
    </row>
    <row r="1415" spans="1:9" x14ac:dyDescent="0.35">
      <c r="A1415" s="4" t="s">
        <v>2326</v>
      </c>
      <c r="B1415" s="4" t="s">
        <v>422</v>
      </c>
      <c r="C1415" s="4" t="s">
        <v>1003</v>
      </c>
      <c r="D1415" s="4">
        <v>2</v>
      </c>
      <c r="E1415" s="6">
        <v>29000</v>
      </c>
      <c r="F1415" t="str">
        <f>VLOOKUP(C1415,menu!A:B,2,FALSE)</f>
        <v>Capcay Seafood</v>
      </c>
      <c r="G1415">
        <f t="shared" si="44"/>
        <v>58000</v>
      </c>
      <c r="H1415">
        <f>VLOOKUP(C1415,menu!A:E,4,FALSE)</f>
        <v>13000</v>
      </c>
      <c r="I1415">
        <f t="shared" si="45"/>
        <v>32000</v>
      </c>
    </row>
    <row r="1416" spans="1:9" x14ac:dyDescent="0.35">
      <c r="A1416" s="4" t="s">
        <v>2327</v>
      </c>
      <c r="B1416" s="4" t="s">
        <v>422</v>
      </c>
      <c r="C1416" s="4" t="s">
        <v>931</v>
      </c>
      <c r="D1416" s="4">
        <v>1</v>
      </c>
      <c r="E1416" s="6">
        <v>5000</v>
      </c>
      <c r="F1416" t="str">
        <f>VLOOKUP(C1416,menu!A:B,2,FALSE)</f>
        <v>Kerupuk Udang</v>
      </c>
      <c r="G1416">
        <f t="shared" si="44"/>
        <v>5000</v>
      </c>
      <c r="H1416">
        <f>VLOOKUP(C1416,menu!A:E,4,FALSE)</f>
        <v>1500</v>
      </c>
      <c r="I1416">
        <f t="shared" si="45"/>
        <v>3500</v>
      </c>
    </row>
    <row r="1417" spans="1:9" x14ac:dyDescent="0.35">
      <c r="A1417" s="4" t="s">
        <v>2328</v>
      </c>
      <c r="B1417" s="4" t="s">
        <v>422</v>
      </c>
      <c r="C1417" s="4" t="s">
        <v>898</v>
      </c>
      <c r="D1417" s="4">
        <v>1</v>
      </c>
      <c r="E1417" s="6">
        <v>27000</v>
      </c>
      <c r="F1417" t="str">
        <f>VLOOKUP(C1417,menu!A:B,2,FALSE)</f>
        <v>Ayam Geprek Sambal Bawang</v>
      </c>
      <c r="G1417">
        <f t="shared" si="44"/>
        <v>27000</v>
      </c>
      <c r="H1417">
        <f>VLOOKUP(C1417,menu!A:E,4,FALSE)</f>
        <v>11000</v>
      </c>
      <c r="I1417">
        <f t="shared" si="45"/>
        <v>16000</v>
      </c>
    </row>
    <row r="1418" spans="1:9" x14ac:dyDescent="0.35">
      <c r="A1418" s="4" t="s">
        <v>2329</v>
      </c>
      <c r="B1418" s="4" t="s">
        <v>242</v>
      </c>
      <c r="C1418" s="4" t="s">
        <v>896</v>
      </c>
      <c r="D1418" s="4">
        <v>3</v>
      </c>
      <c r="E1418" s="6">
        <v>23000</v>
      </c>
      <c r="F1418" t="str">
        <f>VLOOKUP(C1418,menu!A:B,2,FALSE)</f>
        <v>Nasi Uduk Komplit</v>
      </c>
      <c r="G1418">
        <f t="shared" si="44"/>
        <v>69000</v>
      </c>
      <c r="H1418">
        <f>VLOOKUP(C1418,menu!A:E,4,FALSE)</f>
        <v>9000</v>
      </c>
      <c r="I1418">
        <f t="shared" si="45"/>
        <v>42000</v>
      </c>
    </row>
    <row r="1419" spans="1:9" x14ac:dyDescent="0.35">
      <c r="A1419" s="4" t="s">
        <v>2330</v>
      </c>
      <c r="B1419" s="4" t="s">
        <v>242</v>
      </c>
      <c r="C1419" s="4" t="s">
        <v>898</v>
      </c>
      <c r="D1419" s="4">
        <v>1</v>
      </c>
      <c r="E1419" s="6">
        <v>27000</v>
      </c>
      <c r="F1419" t="str">
        <f>VLOOKUP(C1419,menu!A:B,2,FALSE)</f>
        <v>Ayam Geprek Sambal Bawang</v>
      </c>
      <c r="G1419">
        <f t="shared" si="44"/>
        <v>27000</v>
      </c>
      <c r="H1419">
        <f>VLOOKUP(C1419,menu!A:E,4,FALSE)</f>
        <v>11000</v>
      </c>
      <c r="I1419">
        <f t="shared" si="45"/>
        <v>16000</v>
      </c>
    </row>
    <row r="1420" spans="1:9" x14ac:dyDescent="0.35">
      <c r="A1420" s="4" t="s">
        <v>2331</v>
      </c>
      <c r="B1420" s="4" t="s">
        <v>242</v>
      </c>
      <c r="C1420" s="4" t="s">
        <v>1059</v>
      </c>
      <c r="D1420" s="4">
        <v>1</v>
      </c>
      <c r="E1420" s="6">
        <v>6000</v>
      </c>
      <c r="F1420" t="str">
        <f>VLOOKUP(C1420,menu!A:B,2,FALSE)</f>
        <v>Es Teh Manis</v>
      </c>
      <c r="G1420">
        <f t="shared" si="44"/>
        <v>6000</v>
      </c>
      <c r="H1420">
        <f>VLOOKUP(C1420,menu!A:E,4,FALSE)</f>
        <v>1500</v>
      </c>
      <c r="I1420">
        <f t="shared" si="45"/>
        <v>4500</v>
      </c>
    </row>
    <row r="1421" spans="1:9" x14ac:dyDescent="0.35">
      <c r="A1421" s="4" t="s">
        <v>2332</v>
      </c>
      <c r="B1421" s="4" t="s">
        <v>78</v>
      </c>
      <c r="C1421" s="4" t="s">
        <v>898</v>
      </c>
      <c r="D1421" s="4">
        <v>3</v>
      </c>
      <c r="E1421" s="6">
        <v>27000</v>
      </c>
      <c r="F1421" t="str">
        <f>VLOOKUP(C1421,menu!A:B,2,FALSE)</f>
        <v>Ayam Geprek Sambal Bawang</v>
      </c>
      <c r="G1421">
        <f t="shared" si="44"/>
        <v>81000</v>
      </c>
      <c r="H1421">
        <f>VLOOKUP(C1421,menu!A:E,4,FALSE)</f>
        <v>11000</v>
      </c>
      <c r="I1421">
        <f t="shared" si="45"/>
        <v>48000</v>
      </c>
    </row>
    <row r="1422" spans="1:9" x14ac:dyDescent="0.35">
      <c r="A1422" s="4" t="s">
        <v>2333</v>
      </c>
      <c r="B1422" s="4" t="s">
        <v>721</v>
      </c>
      <c r="C1422" s="4" t="s">
        <v>898</v>
      </c>
      <c r="D1422" s="4">
        <v>1</v>
      </c>
      <c r="E1422" s="6">
        <v>27000</v>
      </c>
      <c r="F1422" t="str">
        <f>VLOOKUP(C1422,menu!A:B,2,FALSE)</f>
        <v>Ayam Geprek Sambal Bawang</v>
      </c>
      <c r="G1422">
        <f t="shared" si="44"/>
        <v>27000</v>
      </c>
      <c r="H1422">
        <f>VLOOKUP(C1422,menu!A:E,4,FALSE)</f>
        <v>11000</v>
      </c>
      <c r="I1422">
        <f t="shared" si="45"/>
        <v>16000</v>
      </c>
    </row>
    <row r="1423" spans="1:9" x14ac:dyDescent="0.35">
      <c r="A1423" s="4" t="s">
        <v>2334</v>
      </c>
      <c r="B1423" s="4" t="s">
        <v>640</v>
      </c>
      <c r="C1423" s="4" t="s">
        <v>902</v>
      </c>
      <c r="D1423" s="4">
        <v>1</v>
      </c>
      <c r="E1423" s="6">
        <v>12000</v>
      </c>
      <c r="F1423" t="str">
        <f>VLOOKUP(C1423,menu!A:B,2,FALSE)</f>
        <v>Teh Tarik</v>
      </c>
      <c r="G1423">
        <f t="shared" si="44"/>
        <v>12000</v>
      </c>
      <c r="H1423">
        <f>VLOOKUP(C1423,menu!A:E,4,FALSE)</f>
        <v>3000</v>
      </c>
      <c r="I1423">
        <f t="shared" si="45"/>
        <v>9000</v>
      </c>
    </row>
    <row r="1424" spans="1:9" x14ac:dyDescent="0.35">
      <c r="A1424" s="4" t="s">
        <v>2335</v>
      </c>
      <c r="B1424" s="4" t="s">
        <v>640</v>
      </c>
      <c r="C1424" s="4" t="s">
        <v>890</v>
      </c>
      <c r="D1424" s="4">
        <v>1</v>
      </c>
      <c r="E1424" s="6">
        <v>18000</v>
      </c>
      <c r="F1424" t="str">
        <f>VLOOKUP(C1424,menu!A:B,2,FALSE)</f>
        <v>Es Kopi Susu Gula Aren</v>
      </c>
      <c r="G1424">
        <f t="shared" si="44"/>
        <v>18000</v>
      </c>
      <c r="H1424">
        <f>VLOOKUP(C1424,menu!A:E,4,FALSE)</f>
        <v>4500</v>
      </c>
      <c r="I1424">
        <f t="shared" si="45"/>
        <v>13500</v>
      </c>
    </row>
    <row r="1425" spans="1:9" x14ac:dyDescent="0.35">
      <c r="A1425" s="4" t="s">
        <v>2336</v>
      </c>
      <c r="B1425" s="4" t="s">
        <v>688</v>
      </c>
      <c r="C1425" s="4" t="s">
        <v>898</v>
      </c>
      <c r="D1425" s="4">
        <v>1</v>
      </c>
      <c r="E1425" s="6">
        <v>27000</v>
      </c>
      <c r="F1425" t="str">
        <f>VLOOKUP(C1425,menu!A:B,2,FALSE)</f>
        <v>Ayam Geprek Sambal Bawang</v>
      </c>
      <c r="G1425">
        <f t="shared" si="44"/>
        <v>27000</v>
      </c>
      <c r="H1425">
        <f>VLOOKUP(C1425,menu!A:E,4,FALSE)</f>
        <v>11000</v>
      </c>
      <c r="I1425">
        <f t="shared" si="45"/>
        <v>16000</v>
      </c>
    </row>
    <row r="1426" spans="1:9" x14ac:dyDescent="0.35">
      <c r="A1426" s="4" t="s">
        <v>2337</v>
      </c>
      <c r="B1426" s="4" t="s">
        <v>493</v>
      </c>
      <c r="C1426" s="4" t="s">
        <v>955</v>
      </c>
      <c r="D1426" s="4">
        <v>1</v>
      </c>
      <c r="E1426" s="6">
        <v>15000</v>
      </c>
      <c r="F1426" t="str">
        <f>VLOOKUP(C1426,menu!A:B,2,FALSE)</f>
        <v>Es Campur</v>
      </c>
      <c r="G1426">
        <f t="shared" si="44"/>
        <v>15000</v>
      </c>
      <c r="H1426">
        <f>VLOOKUP(C1426,menu!A:E,4,FALSE)</f>
        <v>6000</v>
      </c>
      <c r="I1426">
        <f t="shared" si="45"/>
        <v>9000</v>
      </c>
    </row>
    <row r="1427" spans="1:9" x14ac:dyDescent="0.35">
      <c r="A1427" s="4" t="s">
        <v>2338</v>
      </c>
      <c r="B1427" s="4" t="s">
        <v>323</v>
      </c>
      <c r="C1427" s="4" t="s">
        <v>898</v>
      </c>
      <c r="D1427" s="4">
        <v>1</v>
      </c>
      <c r="E1427" s="6">
        <v>27000</v>
      </c>
      <c r="F1427" t="str">
        <f>VLOOKUP(C1427,menu!A:B,2,FALSE)</f>
        <v>Ayam Geprek Sambal Bawang</v>
      </c>
      <c r="G1427">
        <f t="shared" si="44"/>
        <v>27000</v>
      </c>
      <c r="H1427">
        <f>VLOOKUP(C1427,menu!A:E,4,FALSE)</f>
        <v>11000</v>
      </c>
      <c r="I1427">
        <f t="shared" si="45"/>
        <v>16000</v>
      </c>
    </row>
    <row r="1428" spans="1:9" x14ac:dyDescent="0.35">
      <c r="A1428" s="4" t="s">
        <v>2339</v>
      </c>
      <c r="B1428" s="4" t="s">
        <v>323</v>
      </c>
      <c r="C1428" s="4" t="s">
        <v>892</v>
      </c>
      <c r="D1428" s="4">
        <v>1</v>
      </c>
      <c r="E1428" s="6">
        <v>9000</v>
      </c>
      <c r="F1428" t="str">
        <f>VLOOKUP(C1428,menu!A:B,2,FALSE)</f>
        <v>Tempe Mendoan (5pcs)</v>
      </c>
      <c r="G1428">
        <f t="shared" si="44"/>
        <v>9000</v>
      </c>
      <c r="H1428">
        <f>VLOOKUP(C1428,menu!A:E,4,FALSE)</f>
        <v>3000</v>
      </c>
      <c r="I1428">
        <f t="shared" si="45"/>
        <v>6000</v>
      </c>
    </row>
    <row r="1429" spans="1:9" x14ac:dyDescent="0.35">
      <c r="A1429" s="4" t="s">
        <v>2340</v>
      </c>
      <c r="B1429" s="4" t="s">
        <v>323</v>
      </c>
      <c r="C1429" s="4" t="s">
        <v>919</v>
      </c>
      <c r="D1429" s="4">
        <v>1</v>
      </c>
      <c r="E1429" s="6">
        <v>20000</v>
      </c>
      <c r="F1429" t="str">
        <f>VLOOKUP(C1429,menu!A:B,2,FALSE)</f>
        <v>Gado-Gado Jakarta</v>
      </c>
      <c r="G1429">
        <f t="shared" si="44"/>
        <v>20000</v>
      </c>
      <c r="H1429">
        <f>VLOOKUP(C1429,menu!A:E,4,FALSE)</f>
        <v>8000</v>
      </c>
      <c r="I1429">
        <f t="shared" si="45"/>
        <v>12000</v>
      </c>
    </row>
    <row r="1430" spans="1:9" x14ac:dyDescent="0.35">
      <c r="A1430" s="4" t="s">
        <v>2341</v>
      </c>
      <c r="B1430" s="4" t="s">
        <v>323</v>
      </c>
      <c r="C1430" s="4" t="s">
        <v>894</v>
      </c>
      <c r="D1430" s="4">
        <v>2</v>
      </c>
      <c r="E1430" s="6">
        <v>5000</v>
      </c>
      <c r="F1430" t="str">
        <f>VLOOKUP(C1430,menu!A:B,2,FALSE)</f>
        <v>Air Mineral Botol</v>
      </c>
      <c r="G1430">
        <f t="shared" si="44"/>
        <v>10000</v>
      </c>
      <c r="H1430">
        <f>VLOOKUP(C1430,menu!A:E,4,FALSE)</f>
        <v>2000</v>
      </c>
      <c r="I1430">
        <f t="shared" si="45"/>
        <v>6000</v>
      </c>
    </row>
    <row r="1431" spans="1:9" x14ac:dyDescent="0.35">
      <c r="A1431" s="4" t="s">
        <v>2342</v>
      </c>
      <c r="B1431" s="4" t="s">
        <v>836</v>
      </c>
      <c r="C1431" s="4" t="s">
        <v>894</v>
      </c>
      <c r="D1431" s="4">
        <v>3</v>
      </c>
      <c r="E1431" s="6">
        <v>5000</v>
      </c>
      <c r="F1431" t="str">
        <f>VLOOKUP(C1431,menu!A:B,2,FALSE)</f>
        <v>Air Mineral Botol</v>
      </c>
      <c r="G1431">
        <f t="shared" si="44"/>
        <v>15000</v>
      </c>
      <c r="H1431">
        <f>VLOOKUP(C1431,menu!A:E,4,FALSE)</f>
        <v>2000</v>
      </c>
      <c r="I1431">
        <f t="shared" si="45"/>
        <v>9000</v>
      </c>
    </row>
    <row r="1432" spans="1:9" x14ac:dyDescent="0.35">
      <c r="A1432" s="4" t="s">
        <v>2343</v>
      </c>
      <c r="B1432" s="4" t="s">
        <v>836</v>
      </c>
      <c r="C1432" s="4" t="s">
        <v>898</v>
      </c>
      <c r="D1432" s="4">
        <v>1</v>
      </c>
      <c r="E1432" s="6">
        <v>27000</v>
      </c>
      <c r="F1432" t="str">
        <f>VLOOKUP(C1432,menu!A:B,2,FALSE)</f>
        <v>Ayam Geprek Sambal Bawang</v>
      </c>
      <c r="G1432">
        <f t="shared" si="44"/>
        <v>27000</v>
      </c>
      <c r="H1432">
        <f>VLOOKUP(C1432,menu!A:E,4,FALSE)</f>
        <v>11000</v>
      </c>
      <c r="I1432">
        <f t="shared" si="45"/>
        <v>16000</v>
      </c>
    </row>
    <row r="1433" spans="1:9" x14ac:dyDescent="0.35">
      <c r="A1433" s="4" t="s">
        <v>2344</v>
      </c>
      <c r="B1433" s="4" t="s">
        <v>836</v>
      </c>
      <c r="C1433" s="4" t="s">
        <v>904</v>
      </c>
      <c r="D1433" s="4">
        <v>1</v>
      </c>
      <c r="E1433" s="6">
        <v>22000</v>
      </c>
      <c r="F1433" t="str">
        <f>VLOOKUP(C1433,menu!A:B,2,FALSE)</f>
        <v>Pecel Lele</v>
      </c>
      <c r="G1433">
        <f t="shared" si="44"/>
        <v>22000</v>
      </c>
      <c r="H1433">
        <f>VLOOKUP(C1433,menu!A:E,4,FALSE)</f>
        <v>9500</v>
      </c>
      <c r="I1433">
        <f t="shared" si="45"/>
        <v>12500</v>
      </c>
    </row>
    <row r="1434" spans="1:9" x14ac:dyDescent="0.35">
      <c r="A1434" s="4" t="s">
        <v>2345</v>
      </c>
      <c r="B1434" s="4" t="s">
        <v>836</v>
      </c>
      <c r="C1434" s="4" t="s">
        <v>890</v>
      </c>
      <c r="D1434" s="4">
        <v>1</v>
      </c>
      <c r="E1434" s="6">
        <v>18000</v>
      </c>
      <c r="F1434" t="str">
        <f>VLOOKUP(C1434,menu!A:B,2,FALSE)</f>
        <v>Es Kopi Susu Gula Aren</v>
      </c>
      <c r="G1434">
        <f t="shared" si="44"/>
        <v>18000</v>
      </c>
      <c r="H1434">
        <f>VLOOKUP(C1434,menu!A:E,4,FALSE)</f>
        <v>4500</v>
      </c>
      <c r="I1434">
        <f t="shared" si="45"/>
        <v>13500</v>
      </c>
    </row>
    <row r="1435" spans="1:9" x14ac:dyDescent="0.35">
      <c r="A1435" s="4" t="s">
        <v>2346</v>
      </c>
      <c r="B1435" s="4" t="s">
        <v>498</v>
      </c>
      <c r="C1435" s="4" t="s">
        <v>890</v>
      </c>
      <c r="D1435" s="4">
        <v>1</v>
      </c>
      <c r="E1435" s="6">
        <v>18000</v>
      </c>
      <c r="F1435" t="str">
        <f>VLOOKUP(C1435,menu!A:B,2,FALSE)</f>
        <v>Es Kopi Susu Gula Aren</v>
      </c>
      <c r="G1435">
        <f t="shared" si="44"/>
        <v>18000</v>
      </c>
      <c r="H1435">
        <f>VLOOKUP(C1435,menu!A:E,4,FALSE)</f>
        <v>4500</v>
      </c>
      <c r="I1435">
        <f t="shared" si="45"/>
        <v>13500</v>
      </c>
    </row>
    <row r="1436" spans="1:9" x14ac:dyDescent="0.35">
      <c r="A1436" s="4" t="s">
        <v>2347</v>
      </c>
      <c r="B1436" s="4" t="s">
        <v>115</v>
      </c>
      <c r="C1436" s="4" t="s">
        <v>898</v>
      </c>
      <c r="D1436" s="4">
        <v>3</v>
      </c>
      <c r="E1436" s="6">
        <v>27000</v>
      </c>
      <c r="F1436" t="str">
        <f>VLOOKUP(C1436,menu!A:B,2,FALSE)</f>
        <v>Ayam Geprek Sambal Bawang</v>
      </c>
      <c r="G1436">
        <f t="shared" si="44"/>
        <v>81000</v>
      </c>
      <c r="H1436">
        <f>VLOOKUP(C1436,menu!A:E,4,FALSE)</f>
        <v>11000</v>
      </c>
      <c r="I1436">
        <f t="shared" si="45"/>
        <v>48000</v>
      </c>
    </row>
    <row r="1437" spans="1:9" x14ac:dyDescent="0.35">
      <c r="A1437" s="4" t="s">
        <v>2348</v>
      </c>
      <c r="B1437" s="4" t="s">
        <v>671</v>
      </c>
      <c r="C1437" s="4" t="s">
        <v>898</v>
      </c>
      <c r="D1437" s="4">
        <v>1</v>
      </c>
      <c r="E1437" s="6">
        <v>27000</v>
      </c>
      <c r="F1437" t="str">
        <f>VLOOKUP(C1437,menu!A:B,2,FALSE)</f>
        <v>Ayam Geprek Sambal Bawang</v>
      </c>
      <c r="G1437">
        <f t="shared" si="44"/>
        <v>27000</v>
      </c>
      <c r="H1437">
        <f>VLOOKUP(C1437,menu!A:E,4,FALSE)</f>
        <v>11000</v>
      </c>
      <c r="I1437">
        <f t="shared" si="45"/>
        <v>16000</v>
      </c>
    </row>
    <row r="1438" spans="1:9" x14ac:dyDescent="0.35">
      <c r="A1438" s="4" t="s">
        <v>2349</v>
      </c>
      <c r="B1438" s="4" t="s">
        <v>671</v>
      </c>
      <c r="C1438" s="4" t="s">
        <v>1003</v>
      </c>
      <c r="D1438" s="4">
        <v>1</v>
      </c>
      <c r="E1438" s="6">
        <v>29000</v>
      </c>
      <c r="F1438" t="str">
        <f>VLOOKUP(C1438,menu!A:B,2,FALSE)</f>
        <v>Capcay Seafood</v>
      </c>
      <c r="G1438">
        <f t="shared" si="44"/>
        <v>29000</v>
      </c>
      <c r="H1438">
        <f>VLOOKUP(C1438,menu!A:E,4,FALSE)</f>
        <v>13000</v>
      </c>
      <c r="I1438">
        <f t="shared" si="45"/>
        <v>16000</v>
      </c>
    </row>
    <row r="1439" spans="1:9" x14ac:dyDescent="0.35">
      <c r="A1439" s="4" t="s">
        <v>2350</v>
      </c>
      <c r="B1439" s="4" t="s">
        <v>739</v>
      </c>
      <c r="C1439" s="4" t="s">
        <v>898</v>
      </c>
      <c r="D1439" s="4">
        <v>1</v>
      </c>
      <c r="E1439" s="6">
        <v>27000</v>
      </c>
      <c r="F1439" t="str">
        <f>VLOOKUP(C1439,menu!A:B,2,FALSE)</f>
        <v>Ayam Geprek Sambal Bawang</v>
      </c>
      <c r="G1439">
        <f t="shared" si="44"/>
        <v>27000</v>
      </c>
      <c r="H1439">
        <f>VLOOKUP(C1439,menu!A:E,4,FALSE)</f>
        <v>11000</v>
      </c>
      <c r="I1439">
        <f t="shared" si="45"/>
        <v>16000</v>
      </c>
    </row>
    <row r="1440" spans="1:9" x14ac:dyDescent="0.35">
      <c r="A1440" s="4" t="s">
        <v>2351</v>
      </c>
      <c r="B1440" s="4" t="s">
        <v>276</v>
      </c>
      <c r="C1440" s="4" t="s">
        <v>896</v>
      </c>
      <c r="D1440" s="4">
        <v>2</v>
      </c>
      <c r="E1440" s="6">
        <v>23000</v>
      </c>
      <c r="F1440" t="str">
        <f>VLOOKUP(C1440,menu!A:B,2,FALSE)</f>
        <v>Nasi Uduk Komplit</v>
      </c>
      <c r="G1440">
        <f t="shared" si="44"/>
        <v>46000</v>
      </c>
      <c r="H1440">
        <f>VLOOKUP(C1440,menu!A:E,4,FALSE)</f>
        <v>9000</v>
      </c>
      <c r="I1440">
        <f t="shared" si="45"/>
        <v>28000</v>
      </c>
    </row>
    <row r="1441" spans="1:9" x14ac:dyDescent="0.35">
      <c r="A1441" s="4" t="s">
        <v>2352</v>
      </c>
      <c r="B1441" s="4" t="s">
        <v>276</v>
      </c>
      <c r="C1441" s="4" t="s">
        <v>935</v>
      </c>
      <c r="D1441" s="4">
        <v>1</v>
      </c>
      <c r="E1441" s="6">
        <v>22000</v>
      </c>
      <c r="F1441" t="str">
        <f>VLOOKUP(C1441,menu!A:B,2,FALSE)</f>
        <v>Soto Ayam Lamongan</v>
      </c>
      <c r="G1441">
        <f t="shared" si="44"/>
        <v>22000</v>
      </c>
      <c r="H1441">
        <f>VLOOKUP(C1441,menu!A:E,4,FALSE)</f>
        <v>9500</v>
      </c>
      <c r="I1441">
        <f t="shared" si="45"/>
        <v>12500</v>
      </c>
    </row>
    <row r="1442" spans="1:9" x14ac:dyDescent="0.35">
      <c r="A1442" s="4" t="s">
        <v>2353</v>
      </c>
      <c r="B1442" s="4" t="s">
        <v>276</v>
      </c>
      <c r="C1442" s="4" t="s">
        <v>902</v>
      </c>
      <c r="D1442" s="4">
        <v>2</v>
      </c>
      <c r="E1442" s="6">
        <v>12000</v>
      </c>
      <c r="F1442" t="str">
        <f>VLOOKUP(C1442,menu!A:B,2,FALSE)</f>
        <v>Teh Tarik</v>
      </c>
      <c r="G1442">
        <f t="shared" si="44"/>
        <v>24000</v>
      </c>
      <c r="H1442">
        <f>VLOOKUP(C1442,menu!A:E,4,FALSE)</f>
        <v>3000</v>
      </c>
      <c r="I1442">
        <f t="shared" si="45"/>
        <v>18000</v>
      </c>
    </row>
    <row r="1443" spans="1:9" x14ac:dyDescent="0.35">
      <c r="A1443" s="4" t="s">
        <v>2354</v>
      </c>
      <c r="B1443" s="4" t="s">
        <v>867</v>
      </c>
      <c r="C1443" s="4" t="s">
        <v>931</v>
      </c>
      <c r="D1443" s="4">
        <v>1</v>
      </c>
      <c r="E1443" s="6">
        <v>5000</v>
      </c>
      <c r="F1443" t="str">
        <f>VLOOKUP(C1443,menu!A:B,2,FALSE)</f>
        <v>Kerupuk Udang</v>
      </c>
      <c r="G1443">
        <f t="shared" si="44"/>
        <v>5000</v>
      </c>
      <c r="H1443">
        <f>VLOOKUP(C1443,menu!A:E,4,FALSE)</f>
        <v>1500</v>
      </c>
      <c r="I1443">
        <f t="shared" si="45"/>
        <v>3500</v>
      </c>
    </row>
    <row r="1444" spans="1:9" x14ac:dyDescent="0.35">
      <c r="A1444" s="4" t="s">
        <v>2355</v>
      </c>
      <c r="B1444" s="4" t="s">
        <v>867</v>
      </c>
      <c r="C1444" s="4" t="s">
        <v>940</v>
      </c>
      <c r="D1444" s="4">
        <v>1</v>
      </c>
      <c r="E1444" s="6">
        <v>10000</v>
      </c>
      <c r="F1444" t="str">
        <f>VLOOKUP(C1444,menu!A:B,2,FALSE)</f>
        <v>Tahu Isi Goreng (5pcs)</v>
      </c>
      <c r="G1444">
        <f t="shared" si="44"/>
        <v>10000</v>
      </c>
      <c r="H1444">
        <f>VLOOKUP(C1444,menu!A:E,4,FALSE)</f>
        <v>3500</v>
      </c>
      <c r="I1444">
        <f t="shared" si="45"/>
        <v>6500</v>
      </c>
    </row>
    <row r="1445" spans="1:9" x14ac:dyDescent="0.35">
      <c r="A1445" s="4" t="s">
        <v>2356</v>
      </c>
      <c r="B1445" s="4" t="s">
        <v>867</v>
      </c>
      <c r="C1445" s="4" t="s">
        <v>898</v>
      </c>
      <c r="D1445" s="4">
        <v>1</v>
      </c>
      <c r="E1445" s="6">
        <v>27000</v>
      </c>
      <c r="F1445" t="str">
        <f>VLOOKUP(C1445,menu!A:B,2,FALSE)</f>
        <v>Ayam Geprek Sambal Bawang</v>
      </c>
      <c r="G1445">
        <f t="shared" si="44"/>
        <v>27000</v>
      </c>
      <c r="H1445">
        <f>VLOOKUP(C1445,menu!A:E,4,FALSE)</f>
        <v>11000</v>
      </c>
      <c r="I1445">
        <f t="shared" si="45"/>
        <v>16000</v>
      </c>
    </row>
    <row r="1446" spans="1:9" x14ac:dyDescent="0.35">
      <c r="A1446" s="4" t="s">
        <v>2357</v>
      </c>
      <c r="B1446" s="4" t="s">
        <v>710</v>
      </c>
      <c r="C1446" s="4" t="s">
        <v>898</v>
      </c>
      <c r="D1446" s="4">
        <v>1</v>
      </c>
      <c r="E1446" s="6">
        <v>27000</v>
      </c>
      <c r="F1446" t="str">
        <f>VLOOKUP(C1446,menu!A:B,2,FALSE)</f>
        <v>Ayam Geprek Sambal Bawang</v>
      </c>
      <c r="G1446">
        <f t="shared" si="44"/>
        <v>27000</v>
      </c>
      <c r="H1446">
        <f>VLOOKUP(C1446,menu!A:E,4,FALSE)</f>
        <v>11000</v>
      </c>
      <c r="I1446">
        <f t="shared" si="45"/>
        <v>16000</v>
      </c>
    </row>
    <row r="1447" spans="1:9" x14ac:dyDescent="0.35">
      <c r="A1447" s="4" t="s">
        <v>2358</v>
      </c>
      <c r="B1447" s="4" t="s">
        <v>338</v>
      </c>
      <c r="C1447" s="4" t="s">
        <v>896</v>
      </c>
      <c r="D1447" s="4">
        <v>3</v>
      </c>
      <c r="E1447" s="6">
        <v>23000</v>
      </c>
      <c r="F1447" t="str">
        <f>VLOOKUP(C1447,menu!A:B,2,FALSE)</f>
        <v>Nasi Uduk Komplit</v>
      </c>
      <c r="G1447">
        <f t="shared" si="44"/>
        <v>69000</v>
      </c>
      <c r="H1447">
        <f>VLOOKUP(C1447,menu!A:E,4,FALSE)</f>
        <v>9000</v>
      </c>
      <c r="I1447">
        <f t="shared" si="45"/>
        <v>42000</v>
      </c>
    </row>
    <row r="1448" spans="1:9" x14ac:dyDescent="0.35">
      <c r="A1448" s="4" t="s">
        <v>2359</v>
      </c>
      <c r="B1448" s="4" t="s">
        <v>338</v>
      </c>
      <c r="C1448" s="4" t="s">
        <v>898</v>
      </c>
      <c r="D1448" s="4">
        <v>1</v>
      </c>
      <c r="E1448" s="6">
        <v>27000</v>
      </c>
      <c r="F1448" t="str">
        <f>VLOOKUP(C1448,menu!A:B,2,FALSE)</f>
        <v>Ayam Geprek Sambal Bawang</v>
      </c>
      <c r="G1448">
        <f t="shared" si="44"/>
        <v>27000</v>
      </c>
      <c r="H1448">
        <f>VLOOKUP(C1448,menu!A:E,4,FALSE)</f>
        <v>11000</v>
      </c>
      <c r="I1448">
        <f t="shared" si="45"/>
        <v>16000</v>
      </c>
    </row>
    <row r="1449" spans="1:9" x14ac:dyDescent="0.35">
      <c r="A1449" s="4" t="s">
        <v>2360</v>
      </c>
      <c r="B1449" s="4" t="s">
        <v>133</v>
      </c>
      <c r="C1449" s="4" t="s">
        <v>898</v>
      </c>
      <c r="D1449" s="4">
        <v>1</v>
      </c>
      <c r="E1449" s="6">
        <v>27000</v>
      </c>
      <c r="F1449" t="str">
        <f>VLOOKUP(C1449,menu!A:B,2,FALSE)</f>
        <v>Ayam Geprek Sambal Bawang</v>
      </c>
      <c r="G1449">
        <f t="shared" si="44"/>
        <v>27000</v>
      </c>
      <c r="H1449">
        <f>VLOOKUP(C1449,menu!A:E,4,FALSE)</f>
        <v>11000</v>
      </c>
      <c r="I1449">
        <f t="shared" si="45"/>
        <v>16000</v>
      </c>
    </row>
    <row r="1450" spans="1:9" x14ac:dyDescent="0.35">
      <c r="A1450" s="4" t="s">
        <v>2361</v>
      </c>
      <c r="B1450" s="4" t="s">
        <v>64</v>
      </c>
      <c r="C1450" s="4" t="s">
        <v>931</v>
      </c>
      <c r="D1450" s="4">
        <v>1</v>
      </c>
      <c r="E1450" s="6">
        <v>5000</v>
      </c>
      <c r="F1450" t="str">
        <f>VLOOKUP(C1450,menu!A:B,2,FALSE)</f>
        <v>Kerupuk Udang</v>
      </c>
      <c r="G1450">
        <f t="shared" si="44"/>
        <v>5000</v>
      </c>
      <c r="H1450">
        <f>VLOOKUP(C1450,menu!A:E,4,FALSE)</f>
        <v>1500</v>
      </c>
      <c r="I1450">
        <f t="shared" si="45"/>
        <v>3500</v>
      </c>
    </row>
    <row r="1451" spans="1:9" x14ac:dyDescent="0.35">
      <c r="A1451" s="4" t="s">
        <v>2362</v>
      </c>
      <c r="B1451" s="4" t="s">
        <v>64</v>
      </c>
      <c r="C1451" s="4" t="s">
        <v>894</v>
      </c>
      <c r="D1451" s="4">
        <v>1</v>
      </c>
      <c r="E1451" s="6">
        <v>5000</v>
      </c>
      <c r="F1451" t="str">
        <f>VLOOKUP(C1451,menu!A:B,2,FALSE)</f>
        <v>Air Mineral Botol</v>
      </c>
      <c r="G1451">
        <f t="shared" si="44"/>
        <v>5000</v>
      </c>
      <c r="H1451">
        <f>VLOOKUP(C1451,menu!A:E,4,FALSE)</f>
        <v>2000</v>
      </c>
      <c r="I1451">
        <f t="shared" si="45"/>
        <v>3000</v>
      </c>
    </row>
    <row r="1452" spans="1:9" x14ac:dyDescent="0.35">
      <c r="A1452" s="4" t="s">
        <v>2363</v>
      </c>
      <c r="B1452" s="4" t="s">
        <v>64</v>
      </c>
      <c r="C1452" s="4" t="s">
        <v>896</v>
      </c>
      <c r="D1452" s="4">
        <v>1</v>
      </c>
      <c r="E1452" s="6">
        <v>23000</v>
      </c>
      <c r="F1452" t="str">
        <f>VLOOKUP(C1452,menu!A:B,2,FALSE)</f>
        <v>Nasi Uduk Komplit</v>
      </c>
      <c r="G1452">
        <f t="shared" si="44"/>
        <v>23000</v>
      </c>
      <c r="H1452">
        <f>VLOOKUP(C1452,menu!A:E,4,FALSE)</f>
        <v>9000</v>
      </c>
      <c r="I1452">
        <f t="shared" si="45"/>
        <v>14000</v>
      </c>
    </row>
    <row r="1453" spans="1:9" x14ac:dyDescent="0.35">
      <c r="A1453" s="4" t="s">
        <v>2364</v>
      </c>
      <c r="B1453" s="4" t="s">
        <v>64</v>
      </c>
      <c r="C1453" s="4" t="s">
        <v>898</v>
      </c>
      <c r="D1453" s="4">
        <v>1</v>
      </c>
      <c r="E1453" s="6">
        <v>27000</v>
      </c>
      <c r="F1453" t="str">
        <f>VLOOKUP(C1453,menu!A:B,2,FALSE)</f>
        <v>Ayam Geprek Sambal Bawang</v>
      </c>
      <c r="G1453">
        <f t="shared" si="44"/>
        <v>27000</v>
      </c>
      <c r="H1453">
        <f>VLOOKUP(C1453,menu!A:E,4,FALSE)</f>
        <v>11000</v>
      </c>
      <c r="I1453">
        <f t="shared" si="45"/>
        <v>16000</v>
      </c>
    </row>
    <row r="1454" spans="1:9" x14ac:dyDescent="0.35">
      <c r="A1454" s="4" t="s">
        <v>2365</v>
      </c>
      <c r="B1454" s="4" t="s">
        <v>755</v>
      </c>
      <c r="C1454" s="4" t="s">
        <v>890</v>
      </c>
      <c r="D1454" s="4">
        <v>2</v>
      </c>
      <c r="E1454" s="6">
        <v>18000</v>
      </c>
      <c r="F1454" t="str">
        <f>VLOOKUP(C1454,menu!A:B,2,FALSE)</f>
        <v>Es Kopi Susu Gula Aren</v>
      </c>
      <c r="G1454">
        <f t="shared" si="44"/>
        <v>36000</v>
      </c>
      <c r="H1454">
        <f>VLOOKUP(C1454,menu!A:E,4,FALSE)</f>
        <v>4500</v>
      </c>
      <c r="I1454">
        <f t="shared" si="45"/>
        <v>27000</v>
      </c>
    </row>
    <row r="1455" spans="1:9" x14ac:dyDescent="0.35">
      <c r="A1455" s="4" t="s">
        <v>2366</v>
      </c>
      <c r="B1455" s="4" t="s">
        <v>755</v>
      </c>
      <c r="C1455" s="4" t="s">
        <v>896</v>
      </c>
      <c r="D1455" s="4">
        <v>3</v>
      </c>
      <c r="E1455" s="6">
        <v>23000</v>
      </c>
      <c r="F1455" t="str">
        <f>VLOOKUP(C1455,menu!A:B,2,FALSE)</f>
        <v>Nasi Uduk Komplit</v>
      </c>
      <c r="G1455">
        <f t="shared" si="44"/>
        <v>69000</v>
      </c>
      <c r="H1455">
        <f>VLOOKUP(C1455,menu!A:E,4,FALSE)</f>
        <v>9000</v>
      </c>
      <c r="I1455">
        <f t="shared" si="45"/>
        <v>42000</v>
      </c>
    </row>
    <row r="1456" spans="1:9" x14ac:dyDescent="0.35">
      <c r="A1456" s="4" t="s">
        <v>2367</v>
      </c>
      <c r="B1456" s="4" t="s">
        <v>713</v>
      </c>
      <c r="C1456" s="4" t="s">
        <v>892</v>
      </c>
      <c r="D1456" s="4">
        <v>3</v>
      </c>
      <c r="E1456" s="6">
        <v>9000</v>
      </c>
      <c r="F1456" t="str">
        <f>VLOOKUP(C1456,menu!A:B,2,FALSE)</f>
        <v>Tempe Mendoan (5pcs)</v>
      </c>
      <c r="G1456">
        <f t="shared" si="44"/>
        <v>27000</v>
      </c>
      <c r="H1456">
        <f>VLOOKUP(C1456,menu!A:E,4,FALSE)</f>
        <v>3000</v>
      </c>
      <c r="I1456">
        <f t="shared" si="45"/>
        <v>18000</v>
      </c>
    </row>
    <row r="1457" spans="1:9" x14ac:dyDescent="0.35">
      <c r="A1457" s="4" t="s">
        <v>2368</v>
      </c>
      <c r="B1457" s="4" t="s">
        <v>713</v>
      </c>
      <c r="C1457" s="4" t="s">
        <v>900</v>
      </c>
      <c r="D1457" s="4">
        <v>1</v>
      </c>
      <c r="E1457" s="6">
        <v>8000</v>
      </c>
      <c r="F1457" t="str">
        <f>VLOOKUP(C1457,menu!A:B,2,FALSE)</f>
        <v>Es Jeruk Peras</v>
      </c>
      <c r="G1457">
        <f t="shared" si="44"/>
        <v>8000</v>
      </c>
      <c r="H1457">
        <f>VLOOKUP(C1457,menu!A:E,4,FALSE)</f>
        <v>2500</v>
      </c>
      <c r="I1457">
        <f t="shared" si="45"/>
        <v>5500</v>
      </c>
    </row>
    <row r="1458" spans="1:9" x14ac:dyDescent="0.35">
      <c r="A1458" s="4" t="s">
        <v>2369</v>
      </c>
      <c r="B1458" s="4" t="s">
        <v>713</v>
      </c>
      <c r="C1458" s="4" t="s">
        <v>902</v>
      </c>
      <c r="D1458" s="4">
        <v>2</v>
      </c>
      <c r="E1458" s="6">
        <v>12000</v>
      </c>
      <c r="F1458" t="str">
        <f>VLOOKUP(C1458,menu!A:B,2,FALSE)</f>
        <v>Teh Tarik</v>
      </c>
      <c r="G1458">
        <f t="shared" si="44"/>
        <v>24000</v>
      </c>
      <c r="H1458">
        <f>VLOOKUP(C1458,menu!A:E,4,FALSE)</f>
        <v>3000</v>
      </c>
      <c r="I1458">
        <f t="shared" si="45"/>
        <v>18000</v>
      </c>
    </row>
    <row r="1459" spans="1:9" x14ac:dyDescent="0.35">
      <c r="A1459" s="4" t="s">
        <v>2370</v>
      </c>
      <c r="B1459" s="4" t="s">
        <v>307</v>
      </c>
      <c r="C1459" s="4" t="s">
        <v>892</v>
      </c>
      <c r="D1459" s="4">
        <v>1</v>
      </c>
      <c r="E1459" s="6">
        <v>9000</v>
      </c>
      <c r="F1459" t="str">
        <f>VLOOKUP(C1459,menu!A:B,2,FALSE)</f>
        <v>Tempe Mendoan (5pcs)</v>
      </c>
      <c r="G1459">
        <f t="shared" si="44"/>
        <v>9000</v>
      </c>
      <c r="H1459">
        <f>VLOOKUP(C1459,menu!A:E,4,FALSE)</f>
        <v>3000</v>
      </c>
      <c r="I1459">
        <f t="shared" si="45"/>
        <v>6000</v>
      </c>
    </row>
    <row r="1460" spans="1:9" x14ac:dyDescent="0.35">
      <c r="A1460" s="4" t="s">
        <v>2371</v>
      </c>
      <c r="B1460" s="4" t="s">
        <v>375</v>
      </c>
      <c r="C1460" s="4" t="s">
        <v>898</v>
      </c>
      <c r="D1460" s="4">
        <v>1</v>
      </c>
      <c r="E1460" s="6">
        <v>27000</v>
      </c>
      <c r="F1460" t="str">
        <f>VLOOKUP(C1460,menu!A:B,2,FALSE)</f>
        <v>Ayam Geprek Sambal Bawang</v>
      </c>
      <c r="G1460">
        <f t="shared" si="44"/>
        <v>27000</v>
      </c>
      <c r="H1460">
        <f>VLOOKUP(C1460,menu!A:E,4,FALSE)</f>
        <v>11000</v>
      </c>
      <c r="I1460">
        <f t="shared" si="45"/>
        <v>16000</v>
      </c>
    </row>
    <row r="1461" spans="1:9" x14ac:dyDescent="0.35">
      <c r="A1461" s="4" t="s">
        <v>2372</v>
      </c>
      <c r="B1461" s="4" t="s">
        <v>375</v>
      </c>
      <c r="C1461" s="4" t="s">
        <v>935</v>
      </c>
      <c r="D1461" s="4">
        <v>1</v>
      </c>
      <c r="E1461" s="6">
        <v>22000</v>
      </c>
      <c r="F1461" t="str">
        <f>VLOOKUP(C1461,menu!A:B,2,FALSE)</f>
        <v>Soto Ayam Lamongan</v>
      </c>
      <c r="G1461">
        <f t="shared" si="44"/>
        <v>22000</v>
      </c>
      <c r="H1461">
        <f>VLOOKUP(C1461,menu!A:E,4,FALSE)</f>
        <v>9500</v>
      </c>
      <c r="I1461">
        <f t="shared" si="45"/>
        <v>12500</v>
      </c>
    </row>
    <row r="1462" spans="1:9" x14ac:dyDescent="0.35">
      <c r="A1462" s="4" t="s">
        <v>2373</v>
      </c>
      <c r="B1462" s="4" t="s">
        <v>206</v>
      </c>
      <c r="C1462" s="4" t="s">
        <v>892</v>
      </c>
      <c r="D1462" s="4">
        <v>1</v>
      </c>
      <c r="E1462" s="6">
        <v>9000</v>
      </c>
      <c r="F1462" t="str">
        <f>VLOOKUP(C1462,menu!A:B,2,FALSE)</f>
        <v>Tempe Mendoan (5pcs)</v>
      </c>
      <c r="G1462">
        <f t="shared" si="44"/>
        <v>9000</v>
      </c>
      <c r="H1462">
        <f>VLOOKUP(C1462,menu!A:E,4,FALSE)</f>
        <v>3000</v>
      </c>
      <c r="I1462">
        <f t="shared" si="45"/>
        <v>6000</v>
      </c>
    </row>
    <row r="1463" spans="1:9" x14ac:dyDescent="0.35">
      <c r="A1463" s="4" t="s">
        <v>2374</v>
      </c>
      <c r="B1463" s="4" t="s">
        <v>206</v>
      </c>
      <c r="C1463" s="4" t="s">
        <v>898</v>
      </c>
      <c r="D1463" s="4">
        <v>1</v>
      </c>
      <c r="E1463" s="6">
        <v>27000</v>
      </c>
      <c r="F1463" t="str">
        <f>VLOOKUP(C1463,menu!A:B,2,FALSE)</f>
        <v>Ayam Geprek Sambal Bawang</v>
      </c>
      <c r="G1463">
        <f t="shared" si="44"/>
        <v>27000</v>
      </c>
      <c r="H1463">
        <f>VLOOKUP(C1463,menu!A:E,4,FALSE)</f>
        <v>11000</v>
      </c>
      <c r="I1463">
        <f t="shared" si="45"/>
        <v>16000</v>
      </c>
    </row>
    <row r="1464" spans="1:9" x14ac:dyDescent="0.35">
      <c r="A1464" s="4" t="s">
        <v>2375</v>
      </c>
      <c r="B1464" s="4" t="s">
        <v>440</v>
      </c>
      <c r="C1464" s="4" t="s">
        <v>908</v>
      </c>
      <c r="D1464" s="4">
        <v>1</v>
      </c>
      <c r="E1464" s="6">
        <v>16000</v>
      </c>
      <c r="F1464" t="str">
        <f>VLOOKUP(C1464,menu!A:B,2,FALSE)</f>
        <v>Jus Alpukat</v>
      </c>
      <c r="G1464">
        <f t="shared" si="44"/>
        <v>16000</v>
      </c>
      <c r="H1464">
        <f>VLOOKUP(C1464,menu!A:E,4,FALSE)</f>
        <v>5500</v>
      </c>
      <c r="I1464">
        <f t="shared" si="45"/>
        <v>10500</v>
      </c>
    </row>
    <row r="1465" spans="1:9" x14ac:dyDescent="0.35">
      <c r="A1465" s="4" t="s">
        <v>2376</v>
      </c>
      <c r="B1465" s="4" t="s">
        <v>492</v>
      </c>
      <c r="C1465" s="4" t="s">
        <v>1003</v>
      </c>
      <c r="D1465" s="4">
        <v>1</v>
      </c>
      <c r="E1465" s="6">
        <v>29000</v>
      </c>
      <c r="F1465" t="str">
        <f>VLOOKUP(C1465,menu!A:B,2,FALSE)</f>
        <v>Capcay Seafood</v>
      </c>
      <c r="G1465">
        <f t="shared" si="44"/>
        <v>29000</v>
      </c>
      <c r="H1465">
        <f>VLOOKUP(C1465,menu!A:E,4,FALSE)</f>
        <v>13000</v>
      </c>
      <c r="I1465">
        <f t="shared" si="45"/>
        <v>16000</v>
      </c>
    </row>
    <row r="1466" spans="1:9" x14ac:dyDescent="0.35">
      <c r="A1466" s="4" t="s">
        <v>2377</v>
      </c>
      <c r="B1466" s="4" t="s">
        <v>492</v>
      </c>
      <c r="C1466" s="4" t="s">
        <v>919</v>
      </c>
      <c r="D1466" s="4">
        <v>2</v>
      </c>
      <c r="E1466" s="6">
        <v>20000</v>
      </c>
      <c r="F1466" t="str">
        <f>VLOOKUP(C1466,menu!A:B,2,FALSE)</f>
        <v>Gado-Gado Jakarta</v>
      </c>
      <c r="G1466">
        <f t="shared" si="44"/>
        <v>40000</v>
      </c>
      <c r="H1466">
        <f>VLOOKUP(C1466,menu!A:E,4,FALSE)</f>
        <v>8000</v>
      </c>
      <c r="I1466">
        <f t="shared" si="45"/>
        <v>24000</v>
      </c>
    </row>
    <row r="1467" spans="1:9" x14ac:dyDescent="0.35">
      <c r="A1467" s="4" t="s">
        <v>2378</v>
      </c>
      <c r="B1467" s="4" t="s">
        <v>492</v>
      </c>
      <c r="C1467" s="4" t="s">
        <v>898</v>
      </c>
      <c r="D1467" s="4">
        <v>1</v>
      </c>
      <c r="E1467" s="6">
        <v>27000</v>
      </c>
      <c r="F1467" t="str">
        <f>VLOOKUP(C1467,menu!A:B,2,FALSE)</f>
        <v>Ayam Geprek Sambal Bawang</v>
      </c>
      <c r="G1467">
        <f t="shared" si="44"/>
        <v>27000</v>
      </c>
      <c r="H1467">
        <f>VLOOKUP(C1467,menu!A:E,4,FALSE)</f>
        <v>11000</v>
      </c>
      <c r="I1467">
        <f t="shared" si="45"/>
        <v>16000</v>
      </c>
    </row>
    <row r="1468" spans="1:9" x14ac:dyDescent="0.35">
      <c r="A1468" s="4" t="s">
        <v>2379</v>
      </c>
      <c r="B1468" s="4" t="s">
        <v>67</v>
      </c>
      <c r="C1468" s="4" t="s">
        <v>894</v>
      </c>
      <c r="D1468" s="4">
        <v>1</v>
      </c>
      <c r="E1468" s="6">
        <v>5000</v>
      </c>
      <c r="F1468" t="str">
        <f>VLOOKUP(C1468,menu!A:B,2,FALSE)</f>
        <v>Air Mineral Botol</v>
      </c>
      <c r="G1468">
        <f t="shared" si="44"/>
        <v>5000</v>
      </c>
      <c r="H1468">
        <f>VLOOKUP(C1468,menu!A:E,4,FALSE)</f>
        <v>2000</v>
      </c>
      <c r="I1468">
        <f t="shared" si="45"/>
        <v>3000</v>
      </c>
    </row>
    <row r="1469" spans="1:9" x14ac:dyDescent="0.35">
      <c r="A1469" s="4" t="s">
        <v>2380</v>
      </c>
      <c r="B1469" s="4" t="s">
        <v>67</v>
      </c>
      <c r="C1469" s="4" t="s">
        <v>898</v>
      </c>
      <c r="D1469" s="4">
        <v>1</v>
      </c>
      <c r="E1469" s="6">
        <v>27000</v>
      </c>
      <c r="F1469" t="str">
        <f>VLOOKUP(C1469,menu!A:B,2,FALSE)</f>
        <v>Ayam Geprek Sambal Bawang</v>
      </c>
      <c r="G1469">
        <f t="shared" si="44"/>
        <v>27000</v>
      </c>
      <c r="H1469">
        <f>VLOOKUP(C1469,menu!A:E,4,FALSE)</f>
        <v>11000</v>
      </c>
      <c r="I1469">
        <f t="shared" si="45"/>
        <v>16000</v>
      </c>
    </row>
    <row r="1470" spans="1:9" x14ac:dyDescent="0.35">
      <c r="A1470" s="4" t="s">
        <v>2381</v>
      </c>
      <c r="B1470" s="4" t="s">
        <v>67</v>
      </c>
      <c r="C1470" s="4" t="s">
        <v>892</v>
      </c>
      <c r="D1470" s="4">
        <v>1</v>
      </c>
      <c r="E1470" s="6">
        <v>9000</v>
      </c>
      <c r="F1470" t="str">
        <f>VLOOKUP(C1470,menu!A:B,2,FALSE)</f>
        <v>Tempe Mendoan (5pcs)</v>
      </c>
      <c r="G1470">
        <f t="shared" si="44"/>
        <v>9000</v>
      </c>
      <c r="H1470">
        <f>VLOOKUP(C1470,menu!A:E,4,FALSE)</f>
        <v>3000</v>
      </c>
      <c r="I1470">
        <f t="shared" si="45"/>
        <v>6000</v>
      </c>
    </row>
    <row r="1471" spans="1:9" x14ac:dyDescent="0.35">
      <c r="A1471" s="4" t="s">
        <v>2382</v>
      </c>
      <c r="B1471" s="4" t="s">
        <v>67</v>
      </c>
      <c r="C1471" s="4" t="s">
        <v>896</v>
      </c>
      <c r="D1471" s="4">
        <v>1</v>
      </c>
      <c r="E1471" s="6">
        <v>23000</v>
      </c>
      <c r="F1471" t="str">
        <f>VLOOKUP(C1471,menu!A:B,2,FALSE)</f>
        <v>Nasi Uduk Komplit</v>
      </c>
      <c r="G1471">
        <f t="shared" si="44"/>
        <v>23000</v>
      </c>
      <c r="H1471">
        <f>VLOOKUP(C1471,menu!A:E,4,FALSE)</f>
        <v>9000</v>
      </c>
      <c r="I1471">
        <f t="shared" si="45"/>
        <v>14000</v>
      </c>
    </row>
    <row r="1472" spans="1:9" x14ac:dyDescent="0.35">
      <c r="A1472" s="4" t="s">
        <v>2383</v>
      </c>
      <c r="B1472" s="4" t="s">
        <v>877</v>
      </c>
      <c r="C1472" s="4" t="s">
        <v>931</v>
      </c>
      <c r="D1472" s="4">
        <v>1</v>
      </c>
      <c r="E1472" s="6">
        <v>5000</v>
      </c>
      <c r="F1472" t="str">
        <f>VLOOKUP(C1472,menu!A:B,2,FALSE)</f>
        <v>Kerupuk Udang</v>
      </c>
      <c r="G1472">
        <f t="shared" si="44"/>
        <v>5000</v>
      </c>
      <c r="H1472">
        <f>VLOOKUP(C1472,menu!A:E,4,FALSE)</f>
        <v>1500</v>
      </c>
      <c r="I1472">
        <f t="shared" si="45"/>
        <v>3500</v>
      </c>
    </row>
    <row r="1473" spans="1:9" x14ac:dyDescent="0.35">
      <c r="A1473" s="4" t="s">
        <v>2384</v>
      </c>
      <c r="B1473" s="4" t="s">
        <v>877</v>
      </c>
      <c r="C1473" s="4" t="s">
        <v>919</v>
      </c>
      <c r="D1473" s="4">
        <v>1</v>
      </c>
      <c r="E1473" s="6">
        <v>20000</v>
      </c>
      <c r="F1473" t="str">
        <f>VLOOKUP(C1473,menu!A:B,2,FALSE)</f>
        <v>Gado-Gado Jakarta</v>
      </c>
      <c r="G1473">
        <f t="shared" si="44"/>
        <v>20000</v>
      </c>
      <c r="H1473">
        <f>VLOOKUP(C1473,menu!A:E,4,FALSE)</f>
        <v>8000</v>
      </c>
      <c r="I1473">
        <f t="shared" si="45"/>
        <v>12000</v>
      </c>
    </row>
    <row r="1474" spans="1:9" x14ac:dyDescent="0.35">
      <c r="A1474" s="4" t="s">
        <v>2385</v>
      </c>
      <c r="B1474" s="4" t="s">
        <v>877</v>
      </c>
      <c r="C1474" s="4" t="s">
        <v>908</v>
      </c>
      <c r="D1474" s="4">
        <v>1</v>
      </c>
      <c r="E1474" s="6">
        <v>16000</v>
      </c>
      <c r="F1474" t="str">
        <f>VLOOKUP(C1474,menu!A:B,2,FALSE)</f>
        <v>Jus Alpukat</v>
      </c>
      <c r="G1474">
        <f t="shared" si="44"/>
        <v>16000</v>
      </c>
      <c r="H1474">
        <f>VLOOKUP(C1474,menu!A:E,4,FALSE)</f>
        <v>5500</v>
      </c>
      <c r="I1474">
        <f t="shared" si="45"/>
        <v>10500</v>
      </c>
    </row>
    <row r="1475" spans="1:9" x14ac:dyDescent="0.35">
      <c r="A1475" s="4" t="s">
        <v>2386</v>
      </c>
      <c r="B1475" s="4" t="s">
        <v>877</v>
      </c>
      <c r="C1475" s="4" t="s">
        <v>900</v>
      </c>
      <c r="D1475" s="4">
        <v>1</v>
      </c>
      <c r="E1475" s="6">
        <v>8000</v>
      </c>
      <c r="F1475" t="str">
        <f>VLOOKUP(C1475,menu!A:B,2,FALSE)</f>
        <v>Es Jeruk Peras</v>
      </c>
      <c r="G1475">
        <f t="shared" ref="G1475:G1538" si="46">D1475*E1475</f>
        <v>8000</v>
      </c>
      <c r="H1475">
        <f>VLOOKUP(C1475,menu!A:E,4,FALSE)</f>
        <v>2500</v>
      </c>
      <c r="I1475">
        <f t="shared" ref="I1475:I1538" si="47">(E1475-H1475)*D1475</f>
        <v>5500</v>
      </c>
    </row>
    <row r="1476" spans="1:9" x14ac:dyDescent="0.35">
      <c r="A1476" s="4" t="s">
        <v>2387</v>
      </c>
      <c r="B1476" s="4" t="s">
        <v>111</v>
      </c>
      <c r="C1476" s="4" t="s">
        <v>916</v>
      </c>
      <c r="D1476" s="4">
        <v>1</v>
      </c>
      <c r="E1476" s="6">
        <v>9000</v>
      </c>
      <c r="F1476" t="str">
        <f>VLOOKUP(C1476,menu!A:B,2,FALSE)</f>
        <v>Kopi Hitam Tubruk</v>
      </c>
      <c r="G1476">
        <f t="shared" si="46"/>
        <v>9000</v>
      </c>
      <c r="H1476">
        <f>VLOOKUP(C1476,menu!A:E,4,FALSE)</f>
        <v>2000</v>
      </c>
      <c r="I1476">
        <f t="shared" si="47"/>
        <v>7000</v>
      </c>
    </row>
    <row r="1477" spans="1:9" x14ac:dyDescent="0.35">
      <c r="A1477" s="4" t="s">
        <v>2388</v>
      </c>
      <c r="B1477" s="4" t="s">
        <v>350</v>
      </c>
      <c r="C1477" s="4" t="s">
        <v>898</v>
      </c>
      <c r="D1477" s="4">
        <v>1</v>
      </c>
      <c r="E1477" s="6">
        <v>27000</v>
      </c>
      <c r="F1477" t="str">
        <f>VLOOKUP(C1477,menu!A:B,2,FALSE)</f>
        <v>Ayam Geprek Sambal Bawang</v>
      </c>
      <c r="G1477">
        <f t="shared" si="46"/>
        <v>27000</v>
      </c>
      <c r="H1477">
        <f>VLOOKUP(C1477,menu!A:E,4,FALSE)</f>
        <v>11000</v>
      </c>
      <c r="I1477">
        <f t="shared" si="47"/>
        <v>16000</v>
      </c>
    </row>
    <row r="1478" spans="1:9" x14ac:dyDescent="0.35">
      <c r="A1478" s="4" t="s">
        <v>2389</v>
      </c>
      <c r="B1478" s="4" t="s">
        <v>350</v>
      </c>
      <c r="C1478" s="4" t="s">
        <v>894</v>
      </c>
      <c r="D1478" s="4">
        <v>1</v>
      </c>
      <c r="E1478" s="6">
        <v>5000</v>
      </c>
      <c r="F1478" t="str">
        <f>VLOOKUP(C1478,menu!A:B,2,FALSE)</f>
        <v>Air Mineral Botol</v>
      </c>
      <c r="G1478">
        <f t="shared" si="46"/>
        <v>5000</v>
      </c>
      <c r="H1478">
        <f>VLOOKUP(C1478,menu!A:E,4,FALSE)</f>
        <v>2000</v>
      </c>
      <c r="I1478">
        <f t="shared" si="47"/>
        <v>3000</v>
      </c>
    </row>
    <row r="1479" spans="1:9" x14ac:dyDescent="0.35">
      <c r="A1479" s="4" t="s">
        <v>2390</v>
      </c>
      <c r="B1479" s="4" t="s">
        <v>350</v>
      </c>
      <c r="C1479" s="4" t="s">
        <v>896</v>
      </c>
      <c r="D1479" s="4">
        <v>1</v>
      </c>
      <c r="E1479" s="6">
        <v>23000</v>
      </c>
      <c r="F1479" t="str">
        <f>VLOOKUP(C1479,menu!A:B,2,FALSE)</f>
        <v>Nasi Uduk Komplit</v>
      </c>
      <c r="G1479">
        <f t="shared" si="46"/>
        <v>23000</v>
      </c>
      <c r="H1479">
        <f>VLOOKUP(C1479,menu!A:E,4,FALSE)</f>
        <v>9000</v>
      </c>
      <c r="I1479">
        <f t="shared" si="47"/>
        <v>14000</v>
      </c>
    </row>
    <row r="1480" spans="1:9" x14ac:dyDescent="0.35">
      <c r="A1480" s="4" t="s">
        <v>2391</v>
      </c>
      <c r="B1480" s="4" t="s">
        <v>792</v>
      </c>
      <c r="C1480" s="4" t="s">
        <v>898</v>
      </c>
      <c r="D1480" s="4">
        <v>1</v>
      </c>
      <c r="E1480" s="6">
        <v>27000</v>
      </c>
      <c r="F1480" t="str">
        <f>VLOOKUP(C1480,menu!A:B,2,FALSE)</f>
        <v>Ayam Geprek Sambal Bawang</v>
      </c>
      <c r="G1480">
        <f t="shared" si="46"/>
        <v>27000</v>
      </c>
      <c r="H1480">
        <f>VLOOKUP(C1480,menu!A:E,4,FALSE)</f>
        <v>11000</v>
      </c>
      <c r="I1480">
        <f t="shared" si="47"/>
        <v>16000</v>
      </c>
    </row>
    <row r="1481" spans="1:9" x14ac:dyDescent="0.35">
      <c r="A1481" s="4" t="s">
        <v>2392</v>
      </c>
      <c r="B1481" s="4" t="s">
        <v>792</v>
      </c>
      <c r="C1481" s="4" t="s">
        <v>931</v>
      </c>
      <c r="D1481" s="4">
        <v>1</v>
      </c>
      <c r="E1481" s="6">
        <v>5000</v>
      </c>
      <c r="F1481" t="str">
        <f>VLOOKUP(C1481,menu!A:B,2,FALSE)</f>
        <v>Kerupuk Udang</v>
      </c>
      <c r="G1481">
        <f t="shared" si="46"/>
        <v>5000</v>
      </c>
      <c r="H1481">
        <f>VLOOKUP(C1481,menu!A:E,4,FALSE)</f>
        <v>1500</v>
      </c>
      <c r="I1481">
        <f t="shared" si="47"/>
        <v>3500</v>
      </c>
    </row>
    <row r="1482" spans="1:9" x14ac:dyDescent="0.35">
      <c r="A1482" s="4" t="s">
        <v>2393</v>
      </c>
      <c r="B1482" s="4" t="s">
        <v>792</v>
      </c>
      <c r="C1482" s="4" t="s">
        <v>908</v>
      </c>
      <c r="D1482" s="4">
        <v>2</v>
      </c>
      <c r="E1482" s="6">
        <v>16000</v>
      </c>
      <c r="F1482" t="str">
        <f>VLOOKUP(C1482,menu!A:B,2,FALSE)</f>
        <v>Jus Alpukat</v>
      </c>
      <c r="G1482">
        <f t="shared" si="46"/>
        <v>32000</v>
      </c>
      <c r="H1482">
        <f>VLOOKUP(C1482,menu!A:E,4,FALSE)</f>
        <v>5500</v>
      </c>
      <c r="I1482">
        <f t="shared" si="47"/>
        <v>21000</v>
      </c>
    </row>
    <row r="1483" spans="1:9" x14ac:dyDescent="0.35">
      <c r="A1483" s="4" t="s">
        <v>2394</v>
      </c>
      <c r="B1483" s="4" t="s">
        <v>825</v>
      </c>
      <c r="C1483" s="4" t="s">
        <v>894</v>
      </c>
      <c r="D1483" s="4">
        <v>1</v>
      </c>
      <c r="E1483" s="6">
        <v>5000</v>
      </c>
      <c r="F1483" t="str">
        <f>VLOOKUP(C1483,menu!A:B,2,FALSE)</f>
        <v>Air Mineral Botol</v>
      </c>
      <c r="G1483">
        <f t="shared" si="46"/>
        <v>5000</v>
      </c>
      <c r="H1483">
        <f>VLOOKUP(C1483,menu!A:E,4,FALSE)</f>
        <v>2000</v>
      </c>
      <c r="I1483">
        <f t="shared" si="47"/>
        <v>3000</v>
      </c>
    </row>
    <row r="1484" spans="1:9" x14ac:dyDescent="0.35">
      <c r="A1484" s="4" t="s">
        <v>2395</v>
      </c>
      <c r="B1484" s="4" t="s">
        <v>825</v>
      </c>
      <c r="C1484" s="4" t="s">
        <v>898</v>
      </c>
      <c r="D1484" s="4">
        <v>1</v>
      </c>
      <c r="E1484" s="6">
        <v>27000</v>
      </c>
      <c r="F1484" t="str">
        <f>VLOOKUP(C1484,menu!A:B,2,FALSE)</f>
        <v>Ayam Geprek Sambal Bawang</v>
      </c>
      <c r="G1484">
        <f t="shared" si="46"/>
        <v>27000</v>
      </c>
      <c r="H1484">
        <f>VLOOKUP(C1484,menu!A:E,4,FALSE)</f>
        <v>11000</v>
      </c>
      <c r="I1484">
        <f t="shared" si="47"/>
        <v>16000</v>
      </c>
    </row>
    <row r="1485" spans="1:9" x14ac:dyDescent="0.35">
      <c r="A1485" s="4" t="s">
        <v>2396</v>
      </c>
      <c r="B1485" s="4" t="s">
        <v>315</v>
      </c>
      <c r="C1485" s="4" t="s">
        <v>898</v>
      </c>
      <c r="D1485" s="4">
        <v>2</v>
      </c>
      <c r="E1485" s="6">
        <v>27000</v>
      </c>
      <c r="F1485" t="str">
        <f>VLOOKUP(C1485,menu!A:B,2,FALSE)</f>
        <v>Ayam Geprek Sambal Bawang</v>
      </c>
      <c r="G1485">
        <f t="shared" si="46"/>
        <v>54000</v>
      </c>
      <c r="H1485">
        <f>VLOOKUP(C1485,menu!A:E,4,FALSE)</f>
        <v>11000</v>
      </c>
      <c r="I1485">
        <f t="shared" si="47"/>
        <v>32000</v>
      </c>
    </row>
    <row r="1486" spans="1:9" x14ac:dyDescent="0.35">
      <c r="A1486" s="4" t="s">
        <v>2397</v>
      </c>
      <c r="B1486" s="4" t="s">
        <v>315</v>
      </c>
      <c r="C1486" s="4" t="s">
        <v>892</v>
      </c>
      <c r="D1486" s="4">
        <v>1</v>
      </c>
      <c r="E1486" s="6">
        <v>9000</v>
      </c>
      <c r="F1486" t="str">
        <f>VLOOKUP(C1486,menu!A:B,2,FALSE)</f>
        <v>Tempe Mendoan (5pcs)</v>
      </c>
      <c r="G1486">
        <f t="shared" si="46"/>
        <v>9000</v>
      </c>
      <c r="H1486">
        <f>VLOOKUP(C1486,menu!A:E,4,FALSE)</f>
        <v>3000</v>
      </c>
      <c r="I1486">
        <f t="shared" si="47"/>
        <v>6000</v>
      </c>
    </row>
    <row r="1487" spans="1:9" x14ac:dyDescent="0.35">
      <c r="A1487" s="4" t="s">
        <v>2398</v>
      </c>
      <c r="B1487" s="4" t="s">
        <v>315</v>
      </c>
      <c r="C1487" s="4" t="s">
        <v>890</v>
      </c>
      <c r="D1487" s="4">
        <v>3</v>
      </c>
      <c r="E1487" s="6">
        <v>18000</v>
      </c>
      <c r="F1487" t="str">
        <f>VLOOKUP(C1487,menu!A:B,2,FALSE)</f>
        <v>Es Kopi Susu Gula Aren</v>
      </c>
      <c r="G1487">
        <f t="shared" si="46"/>
        <v>54000</v>
      </c>
      <c r="H1487">
        <f>VLOOKUP(C1487,menu!A:E,4,FALSE)</f>
        <v>4500</v>
      </c>
      <c r="I1487">
        <f t="shared" si="47"/>
        <v>40500</v>
      </c>
    </row>
    <row r="1488" spans="1:9" x14ac:dyDescent="0.35">
      <c r="A1488" s="4" t="s">
        <v>2399</v>
      </c>
      <c r="B1488" s="4" t="s">
        <v>456</v>
      </c>
      <c r="C1488" s="4" t="s">
        <v>942</v>
      </c>
      <c r="D1488" s="4">
        <v>1</v>
      </c>
      <c r="E1488" s="6">
        <v>13000</v>
      </c>
      <c r="F1488" t="str">
        <f>VLOOKUP(C1488,menu!A:B,2,FALSE)</f>
        <v>Pisang Goreng Keju (4pcs)</v>
      </c>
      <c r="G1488">
        <f t="shared" si="46"/>
        <v>13000</v>
      </c>
      <c r="H1488">
        <f>VLOOKUP(C1488,menu!A:E,4,FALSE)</f>
        <v>4000</v>
      </c>
      <c r="I1488">
        <f t="shared" si="47"/>
        <v>9000</v>
      </c>
    </row>
    <row r="1489" spans="1:9" x14ac:dyDescent="0.35">
      <c r="A1489" s="4" t="s">
        <v>2400</v>
      </c>
      <c r="B1489" s="4" t="s">
        <v>456</v>
      </c>
      <c r="C1489" s="4" t="s">
        <v>908</v>
      </c>
      <c r="D1489" s="4">
        <v>2</v>
      </c>
      <c r="E1489" s="6">
        <v>16000</v>
      </c>
      <c r="F1489" t="str">
        <f>VLOOKUP(C1489,menu!A:B,2,FALSE)</f>
        <v>Jus Alpukat</v>
      </c>
      <c r="G1489">
        <f t="shared" si="46"/>
        <v>32000</v>
      </c>
      <c r="H1489">
        <f>VLOOKUP(C1489,menu!A:E,4,FALSE)</f>
        <v>5500</v>
      </c>
      <c r="I1489">
        <f t="shared" si="47"/>
        <v>21000</v>
      </c>
    </row>
    <row r="1490" spans="1:9" x14ac:dyDescent="0.35">
      <c r="A1490" s="4" t="s">
        <v>2401</v>
      </c>
      <c r="B1490" s="4" t="s">
        <v>89</v>
      </c>
      <c r="C1490" s="4" t="s">
        <v>937</v>
      </c>
      <c r="D1490" s="4">
        <v>1</v>
      </c>
      <c r="E1490" s="6">
        <v>26000</v>
      </c>
      <c r="F1490" t="str">
        <f>VLOOKUP(C1490,menu!A:B,2,FALSE)</f>
        <v>Nasi Campur Bali</v>
      </c>
      <c r="G1490">
        <f t="shared" si="46"/>
        <v>26000</v>
      </c>
      <c r="H1490">
        <f>VLOOKUP(C1490,menu!A:E,4,FALSE)</f>
        <v>11500</v>
      </c>
      <c r="I1490">
        <f t="shared" si="47"/>
        <v>14500</v>
      </c>
    </row>
    <row r="1491" spans="1:9" x14ac:dyDescent="0.35">
      <c r="A1491" s="4" t="s">
        <v>2402</v>
      </c>
      <c r="B1491" s="4" t="s">
        <v>618</v>
      </c>
      <c r="C1491" s="4" t="s">
        <v>890</v>
      </c>
      <c r="D1491" s="4">
        <v>1</v>
      </c>
      <c r="E1491" s="6">
        <v>18000</v>
      </c>
      <c r="F1491" t="str">
        <f>VLOOKUP(C1491,menu!A:B,2,FALSE)</f>
        <v>Es Kopi Susu Gula Aren</v>
      </c>
      <c r="G1491">
        <f t="shared" si="46"/>
        <v>18000</v>
      </c>
      <c r="H1491">
        <f>VLOOKUP(C1491,menu!A:E,4,FALSE)</f>
        <v>4500</v>
      </c>
      <c r="I1491">
        <f t="shared" si="47"/>
        <v>13500</v>
      </c>
    </row>
    <row r="1492" spans="1:9" x14ac:dyDescent="0.35">
      <c r="A1492" s="4" t="s">
        <v>2403</v>
      </c>
      <c r="B1492" s="4" t="s">
        <v>618</v>
      </c>
      <c r="C1492" s="4" t="s">
        <v>900</v>
      </c>
      <c r="D1492" s="4">
        <v>1</v>
      </c>
      <c r="E1492" s="6">
        <v>8000</v>
      </c>
      <c r="F1492" t="str">
        <f>VLOOKUP(C1492,menu!A:B,2,FALSE)</f>
        <v>Es Jeruk Peras</v>
      </c>
      <c r="G1492">
        <f t="shared" si="46"/>
        <v>8000</v>
      </c>
      <c r="H1492">
        <f>VLOOKUP(C1492,menu!A:E,4,FALSE)</f>
        <v>2500</v>
      </c>
      <c r="I1492">
        <f t="shared" si="47"/>
        <v>5500</v>
      </c>
    </row>
    <row r="1493" spans="1:9" x14ac:dyDescent="0.35">
      <c r="A1493" s="4" t="s">
        <v>2404</v>
      </c>
      <c r="B1493" s="4" t="s">
        <v>618</v>
      </c>
      <c r="C1493" s="4" t="s">
        <v>919</v>
      </c>
      <c r="D1493" s="4">
        <v>1</v>
      </c>
      <c r="E1493" s="6">
        <v>20000</v>
      </c>
      <c r="F1493" t="str">
        <f>VLOOKUP(C1493,menu!A:B,2,FALSE)</f>
        <v>Gado-Gado Jakarta</v>
      </c>
      <c r="G1493">
        <f t="shared" si="46"/>
        <v>20000</v>
      </c>
      <c r="H1493">
        <f>VLOOKUP(C1493,menu!A:E,4,FALSE)</f>
        <v>8000</v>
      </c>
      <c r="I1493">
        <f t="shared" si="47"/>
        <v>12000</v>
      </c>
    </row>
    <row r="1494" spans="1:9" x14ac:dyDescent="0.35">
      <c r="A1494" s="4" t="s">
        <v>2405</v>
      </c>
      <c r="B1494" s="4" t="s">
        <v>618</v>
      </c>
      <c r="C1494" s="4" t="s">
        <v>898</v>
      </c>
      <c r="D1494" s="4">
        <v>1</v>
      </c>
      <c r="E1494" s="6">
        <v>27000</v>
      </c>
      <c r="F1494" t="str">
        <f>VLOOKUP(C1494,menu!A:B,2,FALSE)</f>
        <v>Ayam Geprek Sambal Bawang</v>
      </c>
      <c r="G1494">
        <f t="shared" si="46"/>
        <v>27000</v>
      </c>
      <c r="H1494">
        <f>VLOOKUP(C1494,menu!A:E,4,FALSE)</f>
        <v>11000</v>
      </c>
      <c r="I1494">
        <f t="shared" si="47"/>
        <v>16000</v>
      </c>
    </row>
    <row r="1495" spans="1:9" x14ac:dyDescent="0.35">
      <c r="A1495" s="4" t="s">
        <v>2406</v>
      </c>
      <c r="B1495" s="4" t="s">
        <v>285</v>
      </c>
      <c r="C1495" s="4" t="s">
        <v>955</v>
      </c>
      <c r="D1495" s="4">
        <v>1</v>
      </c>
      <c r="E1495" s="6">
        <v>15000</v>
      </c>
      <c r="F1495" t="str">
        <f>VLOOKUP(C1495,menu!A:B,2,FALSE)</f>
        <v>Es Campur</v>
      </c>
      <c r="G1495">
        <f t="shared" si="46"/>
        <v>15000</v>
      </c>
      <c r="H1495">
        <f>VLOOKUP(C1495,menu!A:E,4,FALSE)</f>
        <v>6000</v>
      </c>
      <c r="I1495">
        <f t="shared" si="47"/>
        <v>9000</v>
      </c>
    </row>
    <row r="1496" spans="1:9" x14ac:dyDescent="0.35">
      <c r="A1496" s="4" t="s">
        <v>2407</v>
      </c>
      <c r="B1496" s="4" t="s">
        <v>285</v>
      </c>
      <c r="C1496" s="4" t="s">
        <v>892</v>
      </c>
      <c r="D1496" s="4">
        <v>1</v>
      </c>
      <c r="E1496" s="6">
        <v>9000</v>
      </c>
      <c r="F1496" t="str">
        <f>VLOOKUP(C1496,menu!A:B,2,FALSE)</f>
        <v>Tempe Mendoan (5pcs)</v>
      </c>
      <c r="G1496">
        <f t="shared" si="46"/>
        <v>9000</v>
      </c>
      <c r="H1496">
        <f>VLOOKUP(C1496,menu!A:E,4,FALSE)</f>
        <v>3000</v>
      </c>
      <c r="I1496">
        <f t="shared" si="47"/>
        <v>6000</v>
      </c>
    </row>
    <row r="1497" spans="1:9" x14ac:dyDescent="0.35">
      <c r="A1497" s="4" t="s">
        <v>2408</v>
      </c>
      <c r="B1497" s="4" t="s">
        <v>808</v>
      </c>
      <c r="C1497" s="4" t="s">
        <v>1003</v>
      </c>
      <c r="D1497" s="4">
        <v>1</v>
      </c>
      <c r="E1497" s="6">
        <v>29000</v>
      </c>
      <c r="F1497" t="str">
        <f>VLOOKUP(C1497,menu!A:B,2,FALSE)</f>
        <v>Capcay Seafood</v>
      </c>
      <c r="G1497">
        <f t="shared" si="46"/>
        <v>29000</v>
      </c>
      <c r="H1497">
        <f>VLOOKUP(C1497,menu!A:E,4,FALSE)</f>
        <v>13000</v>
      </c>
      <c r="I1497">
        <f t="shared" si="47"/>
        <v>16000</v>
      </c>
    </row>
    <row r="1498" spans="1:9" x14ac:dyDescent="0.35">
      <c r="A1498" s="4" t="s">
        <v>2409</v>
      </c>
      <c r="B1498" s="4" t="s">
        <v>808</v>
      </c>
      <c r="C1498" s="4" t="s">
        <v>898</v>
      </c>
      <c r="D1498" s="4">
        <v>1</v>
      </c>
      <c r="E1498" s="6">
        <v>27000</v>
      </c>
      <c r="F1498" t="str">
        <f>VLOOKUP(C1498,menu!A:B,2,FALSE)</f>
        <v>Ayam Geprek Sambal Bawang</v>
      </c>
      <c r="G1498">
        <f t="shared" si="46"/>
        <v>27000</v>
      </c>
      <c r="H1498">
        <f>VLOOKUP(C1498,menu!A:E,4,FALSE)</f>
        <v>11000</v>
      </c>
      <c r="I1498">
        <f t="shared" si="47"/>
        <v>16000</v>
      </c>
    </row>
    <row r="1499" spans="1:9" x14ac:dyDescent="0.35">
      <c r="A1499" s="4" t="s">
        <v>2410</v>
      </c>
      <c r="B1499" s="4" t="s">
        <v>808</v>
      </c>
      <c r="C1499" s="4" t="s">
        <v>908</v>
      </c>
      <c r="D1499" s="4">
        <v>1</v>
      </c>
      <c r="E1499" s="6">
        <v>16000</v>
      </c>
      <c r="F1499" t="str">
        <f>VLOOKUP(C1499,menu!A:B,2,FALSE)</f>
        <v>Jus Alpukat</v>
      </c>
      <c r="G1499">
        <f t="shared" si="46"/>
        <v>16000</v>
      </c>
      <c r="H1499">
        <f>VLOOKUP(C1499,menu!A:E,4,FALSE)</f>
        <v>5500</v>
      </c>
      <c r="I1499">
        <f t="shared" si="47"/>
        <v>10500</v>
      </c>
    </row>
    <row r="1500" spans="1:9" x14ac:dyDescent="0.35">
      <c r="A1500" s="4" t="s">
        <v>2411</v>
      </c>
      <c r="B1500" s="4" t="s">
        <v>479</v>
      </c>
      <c r="C1500" s="4" t="s">
        <v>898</v>
      </c>
      <c r="D1500" s="4">
        <v>1</v>
      </c>
      <c r="E1500" s="6">
        <v>27000</v>
      </c>
      <c r="F1500" t="str">
        <f>VLOOKUP(C1500,menu!A:B,2,FALSE)</f>
        <v>Ayam Geprek Sambal Bawang</v>
      </c>
      <c r="G1500">
        <f t="shared" si="46"/>
        <v>27000</v>
      </c>
      <c r="H1500">
        <f>VLOOKUP(C1500,menu!A:E,4,FALSE)</f>
        <v>11000</v>
      </c>
      <c r="I1500">
        <f t="shared" si="47"/>
        <v>16000</v>
      </c>
    </row>
    <row r="1501" spans="1:9" x14ac:dyDescent="0.35">
      <c r="A1501" s="4" t="s">
        <v>2412</v>
      </c>
      <c r="B1501" s="4" t="s">
        <v>479</v>
      </c>
      <c r="C1501" s="4" t="s">
        <v>940</v>
      </c>
      <c r="D1501" s="4">
        <v>1</v>
      </c>
      <c r="E1501" s="6">
        <v>10000</v>
      </c>
      <c r="F1501" t="str">
        <f>VLOOKUP(C1501,menu!A:B,2,FALSE)</f>
        <v>Tahu Isi Goreng (5pcs)</v>
      </c>
      <c r="G1501">
        <f t="shared" si="46"/>
        <v>10000</v>
      </c>
      <c r="H1501">
        <f>VLOOKUP(C1501,menu!A:E,4,FALSE)</f>
        <v>3500</v>
      </c>
      <c r="I1501">
        <f t="shared" si="47"/>
        <v>6500</v>
      </c>
    </row>
    <row r="1502" spans="1:9" x14ac:dyDescent="0.35">
      <c r="A1502" s="4" t="s">
        <v>2413</v>
      </c>
      <c r="B1502" s="4" t="s">
        <v>485</v>
      </c>
      <c r="C1502" s="4" t="s">
        <v>908</v>
      </c>
      <c r="D1502" s="4">
        <v>1</v>
      </c>
      <c r="E1502" s="6">
        <v>16000</v>
      </c>
      <c r="F1502" t="str">
        <f>VLOOKUP(C1502,menu!A:B,2,FALSE)</f>
        <v>Jus Alpukat</v>
      </c>
      <c r="G1502">
        <f t="shared" si="46"/>
        <v>16000</v>
      </c>
      <c r="H1502">
        <f>VLOOKUP(C1502,menu!A:E,4,FALSE)</f>
        <v>5500</v>
      </c>
      <c r="I1502">
        <f t="shared" si="47"/>
        <v>10500</v>
      </c>
    </row>
    <row r="1503" spans="1:9" x14ac:dyDescent="0.35">
      <c r="A1503" s="4" t="s">
        <v>2414</v>
      </c>
      <c r="B1503" s="4" t="s">
        <v>559</v>
      </c>
      <c r="C1503" s="4" t="s">
        <v>898</v>
      </c>
      <c r="D1503" s="4">
        <v>1</v>
      </c>
      <c r="E1503" s="6">
        <v>27000</v>
      </c>
      <c r="F1503" t="str">
        <f>VLOOKUP(C1503,menu!A:B,2,FALSE)</f>
        <v>Ayam Geprek Sambal Bawang</v>
      </c>
      <c r="G1503">
        <f t="shared" si="46"/>
        <v>27000</v>
      </c>
      <c r="H1503">
        <f>VLOOKUP(C1503,menu!A:E,4,FALSE)</f>
        <v>11000</v>
      </c>
      <c r="I1503">
        <f t="shared" si="47"/>
        <v>16000</v>
      </c>
    </row>
    <row r="1504" spans="1:9" x14ac:dyDescent="0.35">
      <c r="A1504" s="4" t="s">
        <v>2415</v>
      </c>
      <c r="B1504" s="4" t="s">
        <v>559</v>
      </c>
      <c r="C1504" s="4" t="s">
        <v>892</v>
      </c>
      <c r="D1504" s="4">
        <v>1</v>
      </c>
      <c r="E1504" s="6">
        <v>9000</v>
      </c>
      <c r="F1504" t="str">
        <f>VLOOKUP(C1504,menu!A:B,2,FALSE)</f>
        <v>Tempe Mendoan (5pcs)</v>
      </c>
      <c r="G1504">
        <f t="shared" si="46"/>
        <v>9000</v>
      </c>
      <c r="H1504">
        <f>VLOOKUP(C1504,menu!A:E,4,FALSE)</f>
        <v>3000</v>
      </c>
      <c r="I1504">
        <f t="shared" si="47"/>
        <v>6000</v>
      </c>
    </row>
    <row r="1505" spans="1:9" x14ac:dyDescent="0.35">
      <c r="A1505" s="4" t="s">
        <v>2416</v>
      </c>
      <c r="B1505" s="4" t="s">
        <v>559</v>
      </c>
      <c r="C1505" s="4" t="s">
        <v>916</v>
      </c>
      <c r="D1505" s="4">
        <v>1</v>
      </c>
      <c r="E1505" s="6">
        <v>9000</v>
      </c>
      <c r="F1505" t="str">
        <f>VLOOKUP(C1505,menu!A:B,2,FALSE)</f>
        <v>Kopi Hitam Tubruk</v>
      </c>
      <c r="G1505">
        <f t="shared" si="46"/>
        <v>9000</v>
      </c>
      <c r="H1505">
        <f>VLOOKUP(C1505,menu!A:E,4,FALSE)</f>
        <v>2000</v>
      </c>
      <c r="I1505">
        <f t="shared" si="47"/>
        <v>7000</v>
      </c>
    </row>
    <row r="1506" spans="1:9" x14ac:dyDescent="0.35">
      <c r="A1506" s="4" t="s">
        <v>2417</v>
      </c>
      <c r="B1506" s="4" t="s">
        <v>559</v>
      </c>
      <c r="C1506" s="4" t="s">
        <v>890</v>
      </c>
      <c r="D1506" s="4">
        <v>2</v>
      </c>
      <c r="E1506" s="6">
        <v>18000</v>
      </c>
      <c r="F1506" t="str">
        <f>VLOOKUP(C1506,menu!A:B,2,FALSE)</f>
        <v>Es Kopi Susu Gula Aren</v>
      </c>
      <c r="G1506">
        <f t="shared" si="46"/>
        <v>36000</v>
      </c>
      <c r="H1506">
        <f>VLOOKUP(C1506,menu!A:E,4,FALSE)</f>
        <v>4500</v>
      </c>
      <c r="I1506">
        <f t="shared" si="47"/>
        <v>27000</v>
      </c>
    </row>
    <row r="1507" spans="1:9" x14ac:dyDescent="0.35">
      <c r="A1507" s="4" t="s">
        <v>2418</v>
      </c>
      <c r="B1507" s="4" t="s">
        <v>841</v>
      </c>
      <c r="C1507" s="4" t="s">
        <v>902</v>
      </c>
      <c r="D1507" s="4">
        <v>2</v>
      </c>
      <c r="E1507" s="6">
        <v>12000</v>
      </c>
      <c r="F1507" t="str">
        <f>VLOOKUP(C1507,menu!A:B,2,FALSE)</f>
        <v>Teh Tarik</v>
      </c>
      <c r="G1507">
        <f t="shared" si="46"/>
        <v>24000</v>
      </c>
      <c r="H1507">
        <f>VLOOKUP(C1507,menu!A:E,4,FALSE)</f>
        <v>3000</v>
      </c>
      <c r="I1507">
        <f t="shared" si="47"/>
        <v>18000</v>
      </c>
    </row>
    <row r="1508" spans="1:9" x14ac:dyDescent="0.35">
      <c r="A1508" s="4" t="s">
        <v>2419</v>
      </c>
      <c r="B1508" s="4" t="s">
        <v>841</v>
      </c>
      <c r="C1508" s="4" t="s">
        <v>898</v>
      </c>
      <c r="D1508" s="4">
        <v>3</v>
      </c>
      <c r="E1508" s="6">
        <v>27000</v>
      </c>
      <c r="F1508" t="str">
        <f>VLOOKUP(C1508,menu!A:B,2,FALSE)</f>
        <v>Ayam Geprek Sambal Bawang</v>
      </c>
      <c r="G1508">
        <f t="shared" si="46"/>
        <v>81000</v>
      </c>
      <c r="H1508">
        <f>VLOOKUP(C1508,menu!A:E,4,FALSE)</f>
        <v>11000</v>
      </c>
      <c r="I1508">
        <f t="shared" si="47"/>
        <v>48000</v>
      </c>
    </row>
    <row r="1509" spans="1:9" x14ac:dyDescent="0.35">
      <c r="A1509" s="4" t="s">
        <v>2420</v>
      </c>
      <c r="B1509" s="4" t="s">
        <v>241</v>
      </c>
      <c r="C1509" s="4" t="s">
        <v>898</v>
      </c>
      <c r="D1509" s="4">
        <v>1</v>
      </c>
      <c r="E1509" s="6">
        <v>27000</v>
      </c>
      <c r="F1509" t="str">
        <f>VLOOKUP(C1509,menu!A:B,2,FALSE)</f>
        <v>Ayam Geprek Sambal Bawang</v>
      </c>
      <c r="G1509">
        <f t="shared" si="46"/>
        <v>27000</v>
      </c>
      <c r="H1509">
        <f>VLOOKUP(C1509,menu!A:E,4,FALSE)</f>
        <v>11000</v>
      </c>
      <c r="I1509">
        <f t="shared" si="47"/>
        <v>16000</v>
      </c>
    </row>
    <row r="1510" spans="1:9" x14ac:dyDescent="0.35">
      <c r="A1510" s="4" t="s">
        <v>2421</v>
      </c>
      <c r="B1510" s="4" t="s">
        <v>241</v>
      </c>
      <c r="C1510" s="4" t="s">
        <v>902</v>
      </c>
      <c r="D1510" s="4">
        <v>1</v>
      </c>
      <c r="E1510" s="6">
        <v>12000</v>
      </c>
      <c r="F1510" t="str">
        <f>VLOOKUP(C1510,menu!A:B,2,FALSE)</f>
        <v>Teh Tarik</v>
      </c>
      <c r="G1510">
        <f t="shared" si="46"/>
        <v>12000</v>
      </c>
      <c r="H1510">
        <f>VLOOKUP(C1510,menu!A:E,4,FALSE)</f>
        <v>3000</v>
      </c>
      <c r="I1510">
        <f t="shared" si="47"/>
        <v>9000</v>
      </c>
    </row>
    <row r="1511" spans="1:9" x14ac:dyDescent="0.35">
      <c r="A1511" s="4" t="s">
        <v>2422</v>
      </c>
      <c r="B1511" s="4" t="s">
        <v>241</v>
      </c>
      <c r="C1511" s="4" t="s">
        <v>894</v>
      </c>
      <c r="D1511" s="4">
        <v>1</v>
      </c>
      <c r="E1511" s="6">
        <v>5000</v>
      </c>
      <c r="F1511" t="str">
        <f>VLOOKUP(C1511,menu!A:B,2,FALSE)</f>
        <v>Air Mineral Botol</v>
      </c>
      <c r="G1511">
        <f t="shared" si="46"/>
        <v>5000</v>
      </c>
      <c r="H1511">
        <f>VLOOKUP(C1511,menu!A:E,4,FALSE)</f>
        <v>2000</v>
      </c>
      <c r="I1511">
        <f t="shared" si="47"/>
        <v>3000</v>
      </c>
    </row>
    <row r="1512" spans="1:9" x14ac:dyDescent="0.35">
      <c r="A1512" s="4" t="s">
        <v>2423</v>
      </c>
      <c r="B1512" s="4" t="s">
        <v>241</v>
      </c>
      <c r="C1512" s="4" t="s">
        <v>919</v>
      </c>
      <c r="D1512" s="4">
        <v>1</v>
      </c>
      <c r="E1512" s="6">
        <v>20000</v>
      </c>
      <c r="F1512" t="str">
        <f>VLOOKUP(C1512,menu!A:B,2,FALSE)</f>
        <v>Gado-Gado Jakarta</v>
      </c>
      <c r="G1512">
        <f t="shared" si="46"/>
        <v>20000</v>
      </c>
      <c r="H1512">
        <f>VLOOKUP(C1512,menu!A:E,4,FALSE)</f>
        <v>8000</v>
      </c>
      <c r="I1512">
        <f t="shared" si="47"/>
        <v>12000</v>
      </c>
    </row>
    <row r="1513" spans="1:9" x14ac:dyDescent="0.35">
      <c r="A1513" s="4" t="s">
        <v>2424</v>
      </c>
      <c r="B1513" s="4" t="s">
        <v>241</v>
      </c>
      <c r="C1513" s="4" t="s">
        <v>928</v>
      </c>
      <c r="D1513" s="4">
        <v>2</v>
      </c>
      <c r="E1513" s="6">
        <v>23000</v>
      </c>
      <c r="F1513" t="str">
        <f>VLOOKUP(C1513,menu!A:B,2,FALSE)</f>
        <v>Mie Goreng Jawa</v>
      </c>
      <c r="G1513">
        <f t="shared" si="46"/>
        <v>46000</v>
      </c>
      <c r="H1513">
        <f>VLOOKUP(C1513,menu!A:E,4,FALSE)</f>
        <v>8500</v>
      </c>
      <c r="I1513">
        <f t="shared" si="47"/>
        <v>29000</v>
      </c>
    </row>
    <row r="1514" spans="1:9" x14ac:dyDescent="0.35">
      <c r="A1514" s="4" t="s">
        <v>2425</v>
      </c>
      <c r="B1514" s="4" t="s">
        <v>157</v>
      </c>
      <c r="C1514" s="4" t="s">
        <v>916</v>
      </c>
      <c r="D1514" s="4">
        <v>1</v>
      </c>
      <c r="E1514" s="6">
        <v>9000</v>
      </c>
      <c r="F1514" t="str">
        <f>VLOOKUP(C1514,menu!A:B,2,FALSE)</f>
        <v>Kopi Hitam Tubruk</v>
      </c>
      <c r="G1514">
        <f t="shared" si="46"/>
        <v>9000</v>
      </c>
      <c r="H1514">
        <f>VLOOKUP(C1514,menu!A:E,4,FALSE)</f>
        <v>2000</v>
      </c>
      <c r="I1514">
        <f t="shared" si="47"/>
        <v>7000</v>
      </c>
    </row>
    <row r="1515" spans="1:9" x14ac:dyDescent="0.35">
      <c r="A1515" s="4" t="s">
        <v>2426</v>
      </c>
      <c r="B1515" s="4" t="s">
        <v>55</v>
      </c>
      <c r="C1515" s="4" t="s">
        <v>892</v>
      </c>
      <c r="D1515" s="4">
        <v>1</v>
      </c>
      <c r="E1515" s="6">
        <v>9000</v>
      </c>
      <c r="F1515" t="str">
        <f>VLOOKUP(C1515,menu!A:B,2,FALSE)</f>
        <v>Tempe Mendoan (5pcs)</v>
      </c>
      <c r="G1515">
        <f t="shared" si="46"/>
        <v>9000</v>
      </c>
      <c r="H1515">
        <f>VLOOKUP(C1515,menu!A:E,4,FALSE)</f>
        <v>3000</v>
      </c>
      <c r="I1515">
        <f t="shared" si="47"/>
        <v>6000</v>
      </c>
    </row>
    <row r="1516" spans="1:9" x14ac:dyDescent="0.35">
      <c r="A1516" s="4" t="s">
        <v>2427</v>
      </c>
      <c r="B1516" s="4" t="s">
        <v>55</v>
      </c>
      <c r="C1516" s="4" t="s">
        <v>935</v>
      </c>
      <c r="D1516" s="4">
        <v>1</v>
      </c>
      <c r="E1516" s="6">
        <v>22000</v>
      </c>
      <c r="F1516" t="str">
        <f>VLOOKUP(C1516,menu!A:B,2,FALSE)</f>
        <v>Soto Ayam Lamongan</v>
      </c>
      <c r="G1516">
        <f t="shared" si="46"/>
        <v>22000</v>
      </c>
      <c r="H1516">
        <f>VLOOKUP(C1516,menu!A:E,4,FALSE)</f>
        <v>9500</v>
      </c>
      <c r="I1516">
        <f t="shared" si="47"/>
        <v>12500</v>
      </c>
    </row>
    <row r="1517" spans="1:9" x14ac:dyDescent="0.35">
      <c r="A1517" s="4" t="s">
        <v>2428</v>
      </c>
      <c r="B1517" s="4" t="s">
        <v>55</v>
      </c>
      <c r="C1517" s="4" t="s">
        <v>919</v>
      </c>
      <c r="D1517" s="4">
        <v>1</v>
      </c>
      <c r="E1517" s="6">
        <v>20000</v>
      </c>
      <c r="F1517" t="str">
        <f>VLOOKUP(C1517,menu!A:B,2,FALSE)</f>
        <v>Gado-Gado Jakarta</v>
      </c>
      <c r="G1517">
        <f t="shared" si="46"/>
        <v>20000</v>
      </c>
      <c r="H1517">
        <f>VLOOKUP(C1517,menu!A:E,4,FALSE)</f>
        <v>8000</v>
      </c>
      <c r="I1517">
        <f t="shared" si="47"/>
        <v>12000</v>
      </c>
    </row>
    <row r="1518" spans="1:9" x14ac:dyDescent="0.35">
      <c r="A1518" s="4" t="s">
        <v>2429</v>
      </c>
      <c r="B1518" s="4" t="s">
        <v>442</v>
      </c>
      <c r="C1518" s="4" t="s">
        <v>894</v>
      </c>
      <c r="D1518" s="4">
        <v>2</v>
      </c>
      <c r="E1518" s="6">
        <v>5000</v>
      </c>
      <c r="F1518" t="str">
        <f>VLOOKUP(C1518,menu!A:B,2,FALSE)</f>
        <v>Air Mineral Botol</v>
      </c>
      <c r="G1518">
        <f t="shared" si="46"/>
        <v>10000</v>
      </c>
      <c r="H1518">
        <f>VLOOKUP(C1518,menu!A:E,4,FALSE)</f>
        <v>2000</v>
      </c>
      <c r="I1518">
        <f t="shared" si="47"/>
        <v>6000</v>
      </c>
    </row>
    <row r="1519" spans="1:9" x14ac:dyDescent="0.35">
      <c r="A1519" s="4" t="s">
        <v>2430</v>
      </c>
      <c r="B1519" s="4" t="s">
        <v>442</v>
      </c>
      <c r="C1519" s="4" t="s">
        <v>937</v>
      </c>
      <c r="D1519" s="4">
        <v>2</v>
      </c>
      <c r="E1519" s="6">
        <v>26000</v>
      </c>
      <c r="F1519" t="str">
        <f>VLOOKUP(C1519,menu!A:B,2,FALSE)</f>
        <v>Nasi Campur Bali</v>
      </c>
      <c r="G1519">
        <f t="shared" si="46"/>
        <v>52000</v>
      </c>
      <c r="H1519">
        <f>VLOOKUP(C1519,menu!A:E,4,FALSE)</f>
        <v>11500</v>
      </c>
      <c r="I1519">
        <f t="shared" si="47"/>
        <v>29000</v>
      </c>
    </row>
    <row r="1520" spans="1:9" x14ac:dyDescent="0.35">
      <c r="A1520" s="4" t="s">
        <v>2431</v>
      </c>
      <c r="B1520" s="4" t="s">
        <v>442</v>
      </c>
      <c r="C1520" s="4" t="s">
        <v>892</v>
      </c>
      <c r="D1520" s="4">
        <v>1</v>
      </c>
      <c r="E1520" s="6">
        <v>9000</v>
      </c>
      <c r="F1520" t="str">
        <f>VLOOKUP(C1520,menu!A:B,2,FALSE)</f>
        <v>Tempe Mendoan (5pcs)</v>
      </c>
      <c r="G1520">
        <f t="shared" si="46"/>
        <v>9000</v>
      </c>
      <c r="H1520">
        <f>VLOOKUP(C1520,menu!A:E,4,FALSE)</f>
        <v>3000</v>
      </c>
      <c r="I1520">
        <f t="shared" si="47"/>
        <v>6000</v>
      </c>
    </row>
    <row r="1521" spans="1:9" x14ac:dyDescent="0.35">
      <c r="A1521" s="4" t="s">
        <v>2432</v>
      </c>
      <c r="B1521" s="4" t="s">
        <v>609</v>
      </c>
      <c r="C1521" s="4" t="s">
        <v>937</v>
      </c>
      <c r="D1521" s="4">
        <v>1</v>
      </c>
      <c r="E1521" s="6">
        <v>26000</v>
      </c>
      <c r="F1521" t="str">
        <f>VLOOKUP(C1521,menu!A:B,2,FALSE)</f>
        <v>Nasi Campur Bali</v>
      </c>
      <c r="G1521">
        <f t="shared" si="46"/>
        <v>26000</v>
      </c>
      <c r="H1521">
        <f>VLOOKUP(C1521,menu!A:E,4,FALSE)</f>
        <v>11500</v>
      </c>
      <c r="I1521">
        <f t="shared" si="47"/>
        <v>14500</v>
      </c>
    </row>
    <row r="1522" spans="1:9" x14ac:dyDescent="0.35">
      <c r="A1522" s="4" t="s">
        <v>2433</v>
      </c>
      <c r="B1522" s="4" t="s">
        <v>609</v>
      </c>
      <c r="C1522" s="4" t="s">
        <v>919</v>
      </c>
      <c r="D1522" s="4">
        <v>2</v>
      </c>
      <c r="E1522" s="6">
        <v>20000</v>
      </c>
      <c r="F1522" t="str">
        <f>VLOOKUP(C1522,menu!A:B,2,FALSE)</f>
        <v>Gado-Gado Jakarta</v>
      </c>
      <c r="G1522">
        <f t="shared" si="46"/>
        <v>40000</v>
      </c>
      <c r="H1522">
        <f>VLOOKUP(C1522,menu!A:E,4,FALSE)</f>
        <v>8000</v>
      </c>
      <c r="I1522">
        <f t="shared" si="47"/>
        <v>24000</v>
      </c>
    </row>
    <row r="1523" spans="1:9" x14ac:dyDescent="0.35">
      <c r="A1523" s="4" t="s">
        <v>2434</v>
      </c>
      <c r="B1523" s="4" t="s">
        <v>609</v>
      </c>
      <c r="C1523" s="4" t="s">
        <v>898</v>
      </c>
      <c r="D1523" s="4">
        <v>3</v>
      </c>
      <c r="E1523" s="6">
        <v>27000</v>
      </c>
      <c r="F1523" t="str">
        <f>VLOOKUP(C1523,menu!A:B,2,FALSE)</f>
        <v>Ayam Geprek Sambal Bawang</v>
      </c>
      <c r="G1523">
        <f t="shared" si="46"/>
        <v>81000</v>
      </c>
      <c r="H1523">
        <f>VLOOKUP(C1523,menu!A:E,4,FALSE)</f>
        <v>11000</v>
      </c>
      <c r="I1523">
        <f t="shared" si="47"/>
        <v>48000</v>
      </c>
    </row>
    <row r="1524" spans="1:9" x14ac:dyDescent="0.35">
      <c r="A1524" s="4" t="s">
        <v>2435</v>
      </c>
      <c r="B1524" s="4" t="s">
        <v>609</v>
      </c>
      <c r="C1524" s="4" t="s">
        <v>892</v>
      </c>
      <c r="D1524" s="4">
        <v>1</v>
      </c>
      <c r="E1524" s="6">
        <v>9000</v>
      </c>
      <c r="F1524" t="str">
        <f>VLOOKUP(C1524,menu!A:B,2,FALSE)</f>
        <v>Tempe Mendoan (5pcs)</v>
      </c>
      <c r="G1524">
        <f t="shared" si="46"/>
        <v>9000</v>
      </c>
      <c r="H1524">
        <f>VLOOKUP(C1524,menu!A:E,4,FALSE)</f>
        <v>3000</v>
      </c>
      <c r="I1524">
        <f t="shared" si="47"/>
        <v>6000</v>
      </c>
    </row>
    <row r="1525" spans="1:9" x14ac:dyDescent="0.35">
      <c r="A1525" s="4" t="s">
        <v>2436</v>
      </c>
      <c r="B1525" s="4" t="s">
        <v>222</v>
      </c>
      <c r="C1525" s="4" t="s">
        <v>894</v>
      </c>
      <c r="D1525" s="4">
        <v>1</v>
      </c>
      <c r="E1525" s="6">
        <v>5000</v>
      </c>
      <c r="F1525" t="str">
        <f>VLOOKUP(C1525,menu!A:B,2,FALSE)</f>
        <v>Air Mineral Botol</v>
      </c>
      <c r="G1525">
        <f t="shared" si="46"/>
        <v>5000</v>
      </c>
      <c r="H1525">
        <f>VLOOKUP(C1525,menu!A:E,4,FALSE)</f>
        <v>2000</v>
      </c>
      <c r="I1525">
        <f t="shared" si="47"/>
        <v>3000</v>
      </c>
    </row>
    <row r="1526" spans="1:9" x14ac:dyDescent="0.35">
      <c r="A1526" s="4" t="s">
        <v>2437</v>
      </c>
      <c r="B1526" s="4" t="s">
        <v>222</v>
      </c>
      <c r="C1526" s="4" t="s">
        <v>898</v>
      </c>
      <c r="D1526" s="4">
        <v>1</v>
      </c>
      <c r="E1526" s="6">
        <v>27000</v>
      </c>
      <c r="F1526" t="str">
        <f>VLOOKUP(C1526,menu!A:B,2,FALSE)</f>
        <v>Ayam Geprek Sambal Bawang</v>
      </c>
      <c r="G1526">
        <f t="shared" si="46"/>
        <v>27000</v>
      </c>
      <c r="H1526">
        <f>VLOOKUP(C1526,menu!A:E,4,FALSE)</f>
        <v>11000</v>
      </c>
      <c r="I1526">
        <f t="shared" si="47"/>
        <v>16000</v>
      </c>
    </row>
    <row r="1527" spans="1:9" x14ac:dyDescent="0.35">
      <c r="A1527" s="4" t="s">
        <v>2438</v>
      </c>
      <c r="B1527" s="4" t="s">
        <v>222</v>
      </c>
      <c r="C1527" s="4" t="s">
        <v>1671</v>
      </c>
      <c r="D1527" s="4">
        <v>1</v>
      </c>
      <c r="E1527" s="6">
        <v>25000</v>
      </c>
      <c r="F1527" t="str">
        <f>VLOOKUP(C1527,menu!A:B,2,FALSE)</f>
        <v>Nasi Goreng Spesial</v>
      </c>
      <c r="G1527">
        <f t="shared" si="46"/>
        <v>25000</v>
      </c>
      <c r="H1527">
        <f>VLOOKUP(C1527,menu!A:E,4,FALSE)</f>
        <v>9000</v>
      </c>
      <c r="I1527">
        <f t="shared" si="47"/>
        <v>16000</v>
      </c>
    </row>
    <row r="1528" spans="1:9" x14ac:dyDescent="0.35">
      <c r="A1528" s="4" t="s">
        <v>2439</v>
      </c>
      <c r="B1528" s="4" t="s">
        <v>222</v>
      </c>
      <c r="C1528" s="4" t="s">
        <v>892</v>
      </c>
      <c r="D1528" s="4">
        <v>2</v>
      </c>
      <c r="E1528" s="6">
        <v>9000</v>
      </c>
      <c r="F1528" t="str">
        <f>VLOOKUP(C1528,menu!A:B,2,FALSE)</f>
        <v>Tempe Mendoan (5pcs)</v>
      </c>
      <c r="G1528">
        <f t="shared" si="46"/>
        <v>18000</v>
      </c>
      <c r="H1528">
        <f>VLOOKUP(C1528,menu!A:E,4,FALSE)</f>
        <v>3000</v>
      </c>
      <c r="I1528">
        <f t="shared" si="47"/>
        <v>12000</v>
      </c>
    </row>
    <row r="1529" spans="1:9" x14ac:dyDescent="0.35">
      <c r="A1529" s="4" t="s">
        <v>2440</v>
      </c>
      <c r="B1529" s="4" t="s">
        <v>102</v>
      </c>
      <c r="C1529" s="4" t="s">
        <v>898</v>
      </c>
      <c r="D1529" s="4">
        <v>1</v>
      </c>
      <c r="E1529" s="6">
        <v>27000</v>
      </c>
      <c r="F1529" t="str">
        <f>VLOOKUP(C1529,menu!A:B,2,FALSE)</f>
        <v>Ayam Geprek Sambal Bawang</v>
      </c>
      <c r="G1529">
        <f t="shared" si="46"/>
        <v>27000</v>
      </c>
      <c r="H1529">
        <f>VLOOKUP(C1529,menu!A:E,4,FALSE)</f>
        <v>11000</v>
      </c>
      <c r="I1529">
        <f t="shared" si="47"/>
        <v>16000</v>
      </c>
    </row>
    <row r="1530" spans="1:9" x14ac:dyDescent="0.35">
      <c r="A1530" s="4" t="s">
        <v>2441</v>
      </c>
      <c r="B1530" s="4" t="s">
        <v>102</v>
      </c>
      <c r="C1530" s="4" t="s">
        <v>931</v>
      </c>
      <c r="D1530" s="4">
        <v>1</v>
      </c>
      <c r="E1530" s="6">
        <v>5000</v>
      </c>
      <c r="F1530" t="str">
        <f>VLOOKUP(C1530,menu!A:B,2,FALSE)</f>
        <v>Kerupuk Udang</v>
      </c>
      <c r="G1530">
        <f t="shared" si="46"/>
        <v>5000</v>
      </c>
      <c r="H1530">
        <f>VLOOKUP(C1530,menu!A:E,4,FALSE)</f>
        <v>1500</v>
      </c>
      <c r="I1530">
        <f t="shared" si="47"/>
        <v>3500</v>
      </c>
    </row>
    <row r="1531" spans="1:9" x14ac:dyDescent="0.35">
      <c r="A1531" s="4" t="s">
        <v>2442</v>
      </c>
      <c r="B1531" s="4" t="s">
        <v>102</v>
      </c>
      <c r="C1531" s="4" t="s">
        <v>902</v>
      </c>
      <c r="D1531" s="4">
        <v>1</v>
      </c>
      <c r="E1531" s="6">
        <v>12000</v>
      </c>
      <c r="F1531" t="str">
        <f>VLOOKUP(C1531,menu!A:B,2,FALSE)</f>
        <v>Teh Tarik</v>
      </c>
      <c r="G1531">
        <f t="shared" si="46"/>
        <v>12000</v>
      </c>
      <c r="H1531">
        <f>VLOOKUP(C1531,menu!A:E,4,FALSE)</f>
        <v>3000</v>
      </c>
      <c r="I1531">
        <f t="shared" si="47"/>
        <v>9000</v>
      </c>
    </row>
    <row r="1532" spans="1:9" x14ac:dyDescent="0.35">
      <c r="A1532" s="4" t="s">
        <v>2443</v>
      </c>
      <c r="B1532" s="4" t="s">
        <v>703</v>
      </c>
      <c r="C1532" s="4" t="s">
        <v>940</v>
      </c>
      <c r="D1532" s="4">
        <v>1</v>
      </c>
      <c r="E1532" s="6">
        <v>10000</v>
      </c>
      <c r="F1532" t="str">
        <f>VLOOKUP(C1532,menu!A:B,2,FALSE)</f>
        <v>Tahu Isi Goreng (5pcs)</v>
      </c>
      <c r="G1532">
        <f t="shared" si="46"/>
        <v>10000</v>
      </c>
      <c r="H1532">
        <f>VLOOKUP(C1532,menu!A:E,4,FALSE)</f>
        <v>3500</v>
      </c>
      <c r="I1532">
        <f t="shared" si="47"/>
        <v>6500</v>
      </c>
    </row>
    <row r="1533" spans="1:9" x14ac:dyDescent="0.35">
      <c r="A1533" s="4" t="s">
        <v>2444</v>
      </c>
      <c r="B1533" s="4" t="s">
        <v>703</v>
      </c>
      <c r="C1533" s="4" t="s">
        <v>928</v>
      </c>
      <c r="D1533" s="4">
        <v>1</v>
      </c>
      <c r="E1533" s="6">
        <v>23000</v>
      </c>
      <c r="F1533" t="str">
        <f>VLOOKUP(C1533,menu!A:B,2,FALSE)</f>
        <v>Mie Goreng Jawa</v>
      </c>
      <c r="G1533">
        <f t="shared" si="46"/>
        <v>23000</v>
      </c>
      <c r="H1533">
        <f>VLOOKUP(C1533,menu!A:E,4,FALSE)</f>
        <v>8500</v>
      </c>
      <c r="I1533">
        <f t="shared" si="47"/>
        <v>14500</v>
      </c>
    </row>
    <row r="1534" spans="1:9" x14ac:dyDescent="0.35">
      <c r="A1534" s="4" t="s">
        <v>2445</v>
      </c>
      <c r="B1534" s="4" t="s">
        <v>231</v>
      </c>
      <c r="C1534" s="4" t="s">
        <v>890</v>
      </c>
      <c r="D1534" s="4">
        <v>2</v>
      </c>
      <c r="E1534" s="6">
        <v>18000</v>
      </c>
      <c r="F1534" t="str">
        <f>VLOOKUP(C1534,menu!A:B,2,FALSE)</f>
        <v>Es Kopi Susu Gula Aren</v>
      </c>
      <c r="G1534">
        <f t="shared" si="46"/>
        <v>36000</v>
      </c>
      <c r="H1534">
        <f>VLOOKUP(C1534,menu!A:E,4,FALSE)</f>
        <v>4500</v>
      </c>
      <c r="I1534">
        <f t="shared" si="47"/>
        <v>27000</v>
      </c>
    </row>
    <row r="1535" spans="1:9" x14ac:dyDescent="0.35">
      <c r="A1535" s="4" t="s">
        <v>2446</v>
      </c>
      <c r="B1535" s="4" t="s">
        <v>231</v>
      </c>
      <c r="C1535" s="4" t="s">
        <v>931</v>
      </c>
      <c r="D1535" s="4">
        <v>3</v>
      </c>
      <c r="E1535" s="6">
        <v>5000</v>
      </c>
      <c r="F1535" t="str">
        <f>VLOOKUP(C1535,menu!A:B,2,FALSE)</f>
        <v>Kerupuk Udang</v>
      </c>
      <c r="G1535">
        <f t="shared" si="46"/>
        <v>15000</v>
      </c>
      <c r="H1535">
        <f>VLOOKUP(C1535,menu!A:E,4,FALSE)</f>
        <v>1500</v>
      </c>
      <c r="I1535">
        <f t="shared" si="47"/>
        <v>10500</v>
      </c>
    </row>
    <row r="1536" spans="1:9" x14ac:dyDescent="0.35">
      <c r="A1536" s="4" t="s">
        <v>2447</v>
      </c>
      <c r="B1536" s="4" t="s">
        <v>231</v>
      </c>
      <c r="C1536" s="4" t="s">
        <v>898</v>
      </c>
      <c r="D1536" s="4">
        <v>1</v>
      </c>
      <c r="E1536" s="6">
        <v>27000</v>
      </c>
      <c r="F1536" t="str">
        <f>VLOOKUP(C1536,menu!A:B,2,FALSE)</f>
        <v>Ayam Geprek Sambal Bawang</v>
      </c>
      <c r="G1536">
        <f t="shared" si="46"/>
        <v>27000</v>
      </c>
      <c r="H1536">
        <f>VLOOKUP(C1536,menu!A:E,4,FALSE)</f>
        <v>11000</v>
      </c>
      <c r="I1536">
        <f t="shared" si="47"/>
        <v>16000</v>
      </c>
    </row>
    <row r="1537" spans="1:9" x14ac:dyDescent="0.35">
      <c r="A1537" s="4" t="s">
        <v>2448</v>
      </c>
      <c r="B1537" s="4" t="s">
        <v>231</v>
      </c>
      <c r="C1537" s="4" t="s">
        <v>955</v>
      </c>
      <c r="D1537" s="4">
        <v>1</v>
      </c>
      <c r="E1537" s="6">
        <v>15000</v>
      </c>
      <c r="F1537" t="str">
        <f>VLOOKUP(C1537,menu!A:B,2,FALSE)</f>
        <v>Es Campur</v>
      </c>
      <c r="G1537">
        <f t="shared" si="46"/>
        <v>15000</v>
      </c>
      <c r="H1537">
        <f>VLOOKUP(C1537,menu!A:E,4,FALSE)</f>
        <v>6000</v>
      </c>
      <c r="I1537">
        <f t="shared" si="47"/>
        <v>9000</v>
      </c>
    </row>
    <row r="1538" spans="1:9" x14ac:dyDescent="0.35">
      <c r="A1538" s="4" t="s">
        <v>2449</v>
      </c>
      <c r="B1538" s="4" t="s">
        <v>337</v>
      </c>
      <c r="C1538" s="4" t="s">
        <v>898</v>
      </c>
      <c r="D1538" s="4">
        <v>1</v>
      </c>
      <c r="E1538" s="6">
        <v>27000</v>
      </c>
      <c r="F1538" t="str">
        <f>VLOOKUP(C1538,menu!A:B,2,FALSE)</f>
        <v>Ayam Geprek Sambal Bawang</v>
      </c>
      <c r="G1538">
        <f t="shared" si="46"/>
        <v>27000</v>
      </c>
      <c r="H1538">
        <f>VLOOKUP(C1538,menu!A:E,4,FALSE)</f>
        <v>11000</v>
      </c>
      <c r="I1538">
        <f t="shared" si="47"/>
        <v>16000</v>
      </c>
    </row>
    <row r="1539" spans="1:9" x14ac:dyDescent="0.35">
      <c r="A1539" s="4" t="s">
        <v>2450</v>
      </c>
      <c r="B1539" s="4" t="s">
        <v>337</v>
      </c>
      <c r="C1539" s="4" t="s">
        <v>908</v>
      </c>
      <c r="D1539" s="4">
        <v>3</v>
      </c>
      <c r="E1539" s="6">
        <v>16000</v>
      </c>
      <c r="F1539" t="str">
        <f>VLOOKUP(C1539,menu!A:B,2,FALSE)</f>
        <v>Jus Alpukat</v>
      </c>
      <c r="G1539">
        <f t="shared" ref="G1539:G1602" si="48">D1539*E1539</f>
        <v>48000</v>
      </c>
      <c r="H1539">
        <f>VLOOKUP(C1539,menu!A:E,4,FALSE)</f>
        <v>5500</v>
      </c>
      <c r="I1539">
        <f t="shared" ref="I1539:I1602" si="49">(E1539-H1539)*D1539</f>
        <v>31500</v>
      </c>
    </row>
    <row r="1540" spans="1:9" x14ac:dyDescent="0.35">
      <c r="A1540" s="4" t="s">
        <v>2451</v>
      </c>
      <c r="B1540" s="4" t="s">
        <v>436</v>
      </c>
      <c r="C1540" s="4" t="s">
        <v>890</v>
      </c>
      <c r="D1540" s="4">
        <v>1</v>
      </c>
      <c r="E1540" s="6">
        <v>18000</v>
      </c>
      <c r="F1540" t="str">
        <f>VLOOKUP(C1540,menu!A:B,2,FALSE)</f>
        <v>Es Kopi Susu Gula Aren</v>
      </c>
      <c r="G1540">
        <f t="shared" si="48"/>
        <v>18000</v>
      </c>
      <c r="H1540">
        <f>VLOOKUP(C1540,menu!A:E,4,FALSE)</f>
        <v>4500</v>
      </c>
      <c r="I1540">
        <f t="shared" si="49"/>
        <v>13500</v>
      </c>
    </row>
    <row r="1541" spans="1:9" x14ac:dyDescent="0.35">
      <c r="A1541" s="4" t="s">
        <v>2452</v>
      </c>
      <c r="B1541" s="4" t="s">
        <v>628</v>
      </c>
      <c r="C1541" s="4" t="s">
        <v>898</v>
      </c>
      <c r="D1541" s="4">
        <v>2</v>
      </c>
      <c r="E1541" s="6">
        <v>27000</v>
      </c>
      <c r="F1541" t="str">
        <f>VLOOKUP(C1541,menu!A:B,2,FALSE)</f>
        <v>Ayam Geprek Sambal Bawang</v>
      </c>
      <c r="G1541">
        <f t="shared" si="48"/>
        <v>54000</v>
      </c>
      <c r="H1541">
        <f>VLOOKUP(C1541,menu!A:E,4,FALSE)</f>
        <v>11000</v>
      </c>
      <c r="I1541">
        <f t="shared" si="49"/>
        <v>32000</v>
      </c>
    </row>
    <row r="1542" spans="1:9" x14ac:dyDescent="0.35">
      <c r="A1542" s="4" t="s">
        <v>2453</v>
      </c>
      <c r="B1542" s="4" t="s">
        <v>628</v>
      </c>
      <c r="C1542" s="4" t="s">
        <v>1003</v>
      </c>
      <c r="D1542" s="4">
        <v>1</v>
      </c>
      <c r="E1542" s="6">
        <v>29000</v>
      </c>
      <c r="F1542" t="str">
        <f>VLOOKUP(C1542,menu!A:B,2,FALSE)</f>
        <v>Capcay Seafood</v>
      </c>
      <c r="G1542">
        <f t="shared" si="48"/>
        <v>29000</v>
      </c>
      <c r="H1542">
        <f>VLOOKUP(C1542,menu!A:E,4,FALSE)</f>
        <v>13000</v>
      </c>
      <c r="I1542">
        <f t="shared" si="49"/>
        <v>16000</v>
      </c>
    </row>
    <row r="1543" spans="1:9" x14ac:dyDescent="0.35">
      <c r="A1543" s="4" t="s">
        <v>2454</v>
      </c>
      <c r="B1543" s="4" t="s">
        <v>628</v>
      </c>
      <c r="C1543" s="4" t="s">
        <v>916</v>
      </c>
      <c r="D1543" s="4">
        <v>1</v>
      </c>
      <c r="E1543" s="6">
        <v>9000</v>
      </c>
      <c r="F1543" t="str">
        <f>VLOOKUP(C1543,menu!A:B,2,FALSE)</f>
        <v>Kopi Hitam Tubruk</v>
      </c>
      <c r="G1543">
        <f t="shared" si="48"/>
        <v>9000</v>
      </c>
      <c r="H1543">
        <f>VLOOKUP(C1543,menu!A:E,4,FALSE)</f>
        <v>2000</v>
      </c>
      <c r="I1543">
        <f t="shared" si="49"/>
        <v>7000</v>
      </c>
    </row>
    <row r="1544" spans="1:9" x14ac:dyDescent="0.35">
      <c r="A1544" s="4" t="s">
        <v>2455</v>
      </c>
      <c r="B1544" s="4" t="s">
        <v>616</v>
      </c>
      <c r="C1544" s="4" t="s">
        <v>935</v>
      </c>
      <c r="D1544" s="4">
        <v>2</v>
      </c>
      <c r="E1544" s="6">
        <v>22000</v>
      </c>
      <c r="F1544" t="str">
        <f>VLOOKUP(C1544,menu!A:B,2,FALSE)</f>
        <v>Soto Ayam Lamongan</v>
      </c>
      <c r="G1544">
        <f t="shared" si="48"/>
        <v>44000</v>
      </c>
      <c r="H1544">
        <f>VLOOKUP(C1544,menu!A:E,4,FALSE)</f>
        <v>9500</v>
      </c>
      <c r="I1544">
        <f t="shared" si="49"/>
        <v>25000</v>
      </c>
    </row>
    <row r="1545" spans="1:9" x14ac:dyDescent="0.35">
      <c r="A1545" s="4" t="s">
        <v>2456</v>
      </c>
      <c r="B1545" s="4" t="s">
        <v>616</v>
      </c>
      <c r="C1545" s="4" t="s">
        <v>919</v>
      </c>
      <c r="D1545" s="4">
        <v>1</v>
      </c>
      <c r="E1545" s="6">
        <v>20000</v>
      </c>
      <c r="F1545" t="str">
        <f>VLOOKUP(C1545,menu!A:B,2,FALSE)</f>
        <v>Gado-Gado Jakarta</v>
      </c>
      <c r="G1545">
        <f t="shared" si="48"/>
        <v>20000</v>
      </c>
      <c r="H1545">
        <f>VLOOKUP(C1545,menu!A:E,4,FALSE)</f>
        <v>8000</v>
      </c>
      <c r="I1545">
        <f t="shared" si="49"/>
        <v>12000</v>
      </c>
    </row>
    <row r="1546" spans="1:9" x14ac:dyDescent="0.35">
      <c r="A1546" s="4" t="s">
        <v>2457</v>
      </c>
      <c r="B1546" s="4" t="s">
        <v>616</v>
      </c>
      <c r="C1546" s="4" t="s">
        <v>894</v>
      </c>
      <c r="D1546" s="4">
        <v>1</v>
      </c>
      <c r="E1546" s="6">
        <v>5000</v>
      </c>
      <c r="F1546" t="str">
        <f>VLOOKUP(C1546,menu!A:B,2,FALSE)</f>
        <v>Air Mineral Botol</v>
      </c>
      <c r="G1546">
        <f t="shared" si="48"/>
        <v>5000</v>
      </c>
      <c r="H1546">
        <f>VLOOKUP(C1546,menu!A:E,4,FALSE)</f>
        <v>2000</v>
      </c>
      <c r="I1546">
        <f t="shared" si="49"/>
        <v>3000</v>
      </c>
    </row>
    <row r="1547" spans="1:9" x14ac:dyDescent="0.35">
      <c r="A1547" s="4" t="s">
        <v>2458</v>
      </c>
      <c r="B1547" s="4" t="s">
        <v>706</v>
      </c>
      <c r="C1547" s="4" t="s">
        <v>890</v>
      </c>
      <c r="D1547" s="4">
        <v>2</v>
      </c>
      <c r="E1547" s="6">
        <v>18000</v>
      </c>
      <c r="F1547" t="str">
        <f>VLOOKUP(C1547,menu!A:B,2,FALSE)</f>
        <v>Es Kopi Susu Gula Aren</v>
      </c>
      <c r="G1547">
        <f t="shared" si="48"/>
        <v>36000</v>
      </c>
      <c r="H1547">
        <f>VLOOKUP(C1547,menu!A:E,4,FALSE)</f>
        <v>4500</v>
      </c>
      <c r="I1547">
        <f t="shared" si="49"/>
        <v>27000</v>
      </c>
    </row>
    <row r="1548" spans="1:9" x14ac:dyDescent="0.35">
      <c r="A1548" s="4" t="s">
        <v>2459</v>
      </c>
      <c r="B1548" s="4" t="s">
        <v>706</v>
      </c>
      <c r="C1548" s="4" t="s">
        <v>1059</v>
      </c>
      <c r="D1548" s="4">
        <v>2</v>
      </c>
      <c r="E1548" s="6">
        <v>6000</v>
      </c>
      <c r="F1548" t="str">
        <f>VLOOKUP(C1548,menu!A:B,2,FALSE)</f>
        <v>Es Teh Manis</v>
      </c>
      <c r="G1548">
        <f t="shared" si="48"/>
        <v>12000</v>
      </c>
      <c r="H1548">
        <f>VLOOKUP(C1548,menu!A:E,4,FALSE)</f>
        <v>1500</v>
      </c>
      <c r="I1548">
        <f t="shared" si="49"/>
        <v>9000</v>
      </c>
    </row>
    <row r="1549" spans="1:9" x14ac:dyDescent="0.35">
      <c r="A1549" s="4" t="s">
        <v>2460</v>
      </c>
      <c r="B1549" s="4" t="s">
        <v>193</v>
      </c>
      <c r="C1549" s="4" t="s">
        <v>894</v>
      </c>
      <c r="D1549" s="4">
        <v>1</v>
      </c>
      <c r="E1549" s="6">
        <v>5000</v>
      </c>
      <c r="F1549" t="str">
        <f>VLOOKUP(C1549,menu!A:B,2,FALSE)</f>
        <v>Air Mineral Botol</v>
      </c>
      <c r="G1549">
        <f t="shared" si="48"/>
        <v>5000</v>
      </c>
      <c r="H1549">
        <f>VLOOKUP(C1549,menu!A:E,4,FALSE)</f>
        <v>2000</v>
      </c>
      <c r="I1549">
        <f t="shared" si="49"/>
        <v>3000</v>
      </c>
    </row>
    <row r="1550" spans="1:9" x14ac:dyDescent="0.35">
      <c r="A1550" s="4" t="s">
        <v>2461</v>
      </c>
      <c r="B1550" s="4" t="s">
        <v>193</v>
      </c>
      <c r="C1550" s="4" t="s">
        <v>898</v>
      </c>
      <c r="D1550" s="4">
        <v>1</v>
      </c>
      <c r="E1550" s="6">
        <v>27000</v>
      </c>
      <c r="F1550" t="str">
        <f>VLOOKUP(C1550,menu!A:B,2,FALSE)</f>
        <v>Ayam Geprek Sambal Bawang</v>
      </c>
      <c r="G1550">
        <f t="shared" si="48"/>
        <v>27000</v>
      </c>
      <c r="H1550">
        <f>VLOOKUP(C1550,menu!A:E,4,FALSE)</f>
        <v>11000</v>
      </c>
      <c r="I1550">
        <f t="shared" si="49"/>
        <v>16000</v>
      </c>
    </row>
    <row r="1551" spans="1:9" x14ac:dyDescent="0.35">
      <c r="A1551" s="4" t="s">
        <v>2462</v>
      </c>
      <c r="B1551" s="4" t="s">
        <v>471</v>
      </c>
      <c r="C1551" s="4" t="s">
        <v>916</v>
      </c>
      <c r="D1551" s="4">
        <v>2</v>
      </c>
      <c r="E1551" s="6">
        <v>9000</v>
      </c>
      <c r="F1551" t="str">
        <f>VLOOKUP(C1551,menu!A:B,2,FALSE)</f>
        <v>Kopi Hitam Tubruk</v>
      </c>
      <c r="G1551">
        <f t="shared" si="48"/>
        <v>18000</v>
      </c>
      <c r="H1551">
        <f>VLOOKUP(C1551,menu!A:E,4,FALSE)</f>
        <v>2000</v>
      </c>
      <c r="I1551">
        <f t="shared" si="49"/>
        <v>14000</v>
      </c>
    </row>
    <row r="1552" spans="1:9" x14ac:dyDescent="0.35">
      <c r="A1552" s="4" t="s">
        <v>2463</v>
      </c>
      <c r="B1552" s="4" t="s">
        <v>471</v>
      </c>
      <c r="C1552" s="4" t="s">
        <v>898</v>
      </c>
      <c r="D1552" s="4">
        <v>3</v>
      </c>
      <c r="E1552" s="6">
        <v>27000</v>
      </c>
      <c r="F1552" t="str">
        <f>VLOOKUP(C1552,menu!A:B,2,FALSE)</f>
        <v>Ayam Geprek Sambal Bawang</v>
      </c>
      <c r="G1552">
        <f t="shared" si="48"/>
        <v>81000</v>
      </c>
      <c r="H1552">
        <f>VLOOKUP(C1552,menu!A:E,4,FALSE)</f>
        <v>11000</v>
      </c>
      <c r="I1552">
        <f t="shared" si="49"/>
        <v>48000</v>
      </c>
    </row>
    <row r="1553" spans="1:9" x14ac:dyDescent="0.35">
      <c r="A1553" s="4" t="s">
        <v>2464</v>
      </c>
      <c r="B1553" s="4" t="s">
        <v>471</v>
      </c>
      <c r="C1553" s="4" t="s">
        <v>937</v>
      </c>
      <c r="D1553" s="4">
        <v>1</v>
      </c>
      <c r="E1553" s="6">
        <v>26000</v>
      </c>
      <c r="F1553" t="str">
        <f>VLOOKUP(C1553,menu!A:B,2,FALSE)</f>
        <v>Nasi Campur Bali</v>
      </c>
      <c r="G1553">
        <f t="shared" si="48"/>
        <v>26000</v>
      </c>
      <c r="H1553">
        <f>VLOOKUP(C1553,menu!A:E,4,FALSE)</f>
        <v>11500</v>
      </c>
      <c r="I1553">
        <f t="shared" si="49"/>
        <v>14500</v>
      </c>
    </row>
    <row r="1554" spans="1:9" x14ac:dyDescent="0.35">
      <c r="A1554" s="4" t="s">
        <v>2465</v>
      </c>
      <c r="B1554" s="4" t="s">
        <v>471</v>
      </c>
      <c r="C1554" s="4" t="s">
        <v>1003</v>
      </c>
      <c r="D1554" s="4">
        <v>1</v>
      </c>
      <c r="E1554" s="6">
        <v>29000</v>
      </c>
      <c r="F1554" t="str">
        <f>VLOOKUP(C1554,menu!A:B,2,FALSE)</f>
        <v>Capcay Seafood</v>
      </c>
      <c r="G1554">
        <f t="shared" si="48"/>
        <v>29000</v>
      </c>
      <c r="H1554">
        <f>VLOOKUP(C1554,menu!A:E,4,FALSE)</f>
        <v>13000</v>
      </c>
      <c r="I1554">
        <f t="shared" si="49"/>
        <v>16000</v>
      </c>
    </row>
    <row r="1555" spans="1:9" x14ac:dyDescent="0.35">
      <c r="A1555" s="4" t="s">
        <v>2466</v>
      </c>
      <c r="B1555" s="4" t="s">
        <v>329</v>
      </c>
      <c r="C1555" s="4" t="s">
        <v>1003</v>
      </c>
      <c r="D1555" s="4">
        <v>1</v>
      </c>
      <c r="E1555" s="6">
        <v>29000</v>
      </c>
      <c r="F1555" t="str">
        <f>VLOOKUP(C1555,menu!A:B,2,FALSE)</f>
        <v>Capcay Seafood</v>
      </c>
      <c r="G1555">
        <f t="shared" si="48"/>
        <v>29000</v>
      </c>
      <c r="H1555">
        <f>VLOOKUP(C1555,menu!A:E,4,FALSE)</f>
        <v>13000</v>
      </c>
      <c r="I1555">
        <f t="shared" si="49"/>
        <v>16000</v>
      </c>
    </row>
    <row r="1556" spans="1:9" x14ac:dyDescent="0.35">
      <c r="A1556" s="4" t="s">
        <v>2467</v>
      </c>
      <c r="B1556" s="4" t="s">
        <v>329</v>
      </c>
      <c r="C1556" s="4" t="s">
        <v>896</v>
      </c>
      <c r="D1556" s="4">
        <v>1</v>
      </c>
      <c r="E1556" s="6">
        <v>23000</v>
      </c>
      <c r="F1556" t="str">
        <f>VLOOKUP(C1556,menu!A:B,2,FALSE)</f>
        <v>Nasi Uduk Komplit</v>
      </c>
      <c r="G1556">
        <f t="shared" si="48"/>
        <v>23000</v>
      </c>
      <c r="H1556">
        <f>VLOOKUP(C1556,menu!A:E,4,FALSE)</f>
        <v>9000</v>
      </c>
      <c r="I1556">
        <f t="shared" si="49"/>
        <v>14000</v>
      </c>
    </row>
    <row r="1557" spans="1:9" x14ac:dyDescent="0.35">
      <c r="A1557" s="4" t="s">
        <v>2468</v>
      </c>
      <c r="B1557" s="4" t="s">
        <v>501</v>
      </c>
      <c r="C1557" s="4" t="s">
        <v>955</v>
      </c>
      <c r="D1557" s="4">
        <v>1</v>
      </c>
      <c r="E1557" s="6">
        <v>15000</v>
      </c>
      <c r="F1557" t="str">
        <f>VLOOKUP(C1557,menu!A:B,2,FALSE)</f>
        <v>Es Campur</v>
      </c>
      <c r="G1557">
        <f t="shared" si="48"/>
        <v>15000</v>
      </c>
      <c r="H1557">
        <f>VLOOKUP(C1557,menu!A:E,4,FALSE)</f>
        <v>6000</v>
      </c>
      <c r="I1557">
        <f t="shared" si="49"/>
        <v>9000</v>
      </c>
    </row>
    <row r="1558" spans="1:9" x14ac:dyDescent="0.35">
      <c r="A1558" s="4" t="s">
        <v>2469</v>
      </c>
      <c r="B1558" s="4" t="s">
        <v>253</v>
      </c>
      <c r="C1558" s="4" t="s">
        <v>898</v>
      </c>
      <c r="D1558" s="4">
        <v>1</v>
      </c>
      <c r="E1558" s="6">
        <v>27000</v>
      </c>
      <c r="F1558" t="str">
        <f>VLOOKUP(C1558,menu!A:B,2,FALSE)</f>
        <v>Ayam Geprek Sambal Bawang</v>
      </c>
      <c r="G1558">
        <f t="shared" si="48"/>
        <v>27000</v>
      </c>
      <c r="H1558">
        <f>VLOOKUP(C1558,menu!A:E,4,FALSE)</f>
        <v>11000</v>
      </c>
      <c r="I1558">
        <f t="shared" si="49"/>
        <v>16000</v>
      </c>
    </row>
    <row r="1559" spans="1:9" x14ac:dyDescent="0.35">
      <c r="A1559" s="4" t="s">
        <v>2470</v>
      </c>
      <c r="B1559" s="4" t="s">
        <v>253</v>
      </c>
      <c r="C1559" s="4" t="s">
        <v>894</v>
      </c>
      <c r="D1559" s="4">
        <v>1</v>
      </c>
      <c r="E1559" s="6">
        <v>5000</v>
      </c>
      <c r="F1559" t="str">
        <f>VLOOKUP(C1559,menu!A:B,2,FALSE)</f>
        <v>Air Mineral Botol</v>
      </c>
      <c r="G1559">
        <f t="shared" si="48"/>
        <v>5000</v>
      </c>
      <c r="H1559">
        <f>VLOOKUP(C1559,menu!A:E,4,FALSE)</f>
        <v>2000</v>
      </c>
      <c r="I1559">
        <f t="shared" si="49"/>
        <v>3000</v>
      </c>
    </row>
    <row r="1560" spans="1:9" x14ac:dyDescent="0.35">
      <c r="A1560" s="4" t="s">
        <v>2471</v>
      </c>
      <c r="B1560" s="4" t="s">
        <v>253</v>
      </c>
      <c r="C1560" s="4" t="s">
        <v>937</v>
      </c>
      <c r="D1560" s="4">
        <v>1</v>
      </c>
      <c r="E1560" s="6">
        <v>26000</v>
      </c>
      <c r="F1560" t="str">
        <f>VLOOKUP(C1560,menu!A:B,2,FALSE)</f>
        <v>Nasi Campur Bali</v>
      </c>
      <c r="G1560">
        <f t="shared" si="48"/>
        <v>26000</v>
      </c>
      <c r="H1560">
        <f>VLOOKUP(C1560,menu!A:E,4,FALSE)</f>
        <v>11500</v>
      </c>
      <c r="I1560">
        <f t="shared" si="49"/>
        <v>14500</v>
      </c>
    </row>
    <row r="1561" spans="1:9" x14ac:dyDescent="0.35">
      <c r="A1561" s="4" t="s">
        <v>2472</v>
      </c>
      <c r="B1561" s="4" t="s">
        <v>253</v>
      </c>
      <c r="C1561" s="4" t="s">
        <v>896</v>
      </c>
      <c r="D1561" s="4">
        <v>1</v>
      </c>
      <c r="E1561" s="6">
        <v>23000</v>
      </c>
      <c r="F1561" t="str">
        <f>VLOOKUP(C1561,menu!A:B,2,FALSE)</f>
        <v>Nasi Uduk Komplit</v>
      </c>
      <c r="G1561">
        <f t="shared" si="48"/>
        <v>23000</v>
      </c>
      <c r="H1561">
        <f>VLOOKUP(C1561,menu!A:E,4,FALSE)</f>
        <v>9000</v>
      </c>
      <c r="I1561">
        <f t="shared" si="49"/>
        <v>14000</v>
      </c>
    </row>
    <row r="1562" spans="1:9" x14ac:dyDescent="0.35">
      <c r="A1562" s="4" t="s">
        <v>2473</v>
      </c>
      <c r="B1562" s="4" t="s">
        <v>390</v>
      </c>
      <c r="C1562" s="4" t="s">
        <v>898</v>
      </c>
      <c r="D1562" s="4">
        <v>1</v>
      </c>
      <c r="E1562" s="6">
        <v>27000</v>
      </c>
      <c r="F1562" t="str">
        <f>VLOOKUP(C1562,menu!A:B,2,FALSE)</f>
        <v>Ayam Geprek Sambal Bawang</v>
      </c>
      <c r="G1562">
        <f t="shared" si="48"/>
        <v>27000</v>
      </c>
      <c r="H1562">
        <f>VLOOKUP(C1562,menu!A:E,4,FALSE)</f>
        <v>11000</v>
      </c>
      <c r="I1562">
        <f t="shared" si="49"/>
        <v>16000</v>
      </c>
    </row>
    <row r="1563" spans="1:9" x14ac:dyDescent="0.35">
      <c r="A1563" s="4" t="s">
        <v>2474</v>
      </c>
      <c r="B1563" s="4" t="s">
        <v>390</v>
      </c>
      <c r="C1563" s="4" t="s">
        <v>1003</v>
      </c>
      <c r="D1563" s="4">
        <v>1</v>
      </c>
      <c r="E1563" s="6">
        <v>29000</v>
      </c>
      <c r="F1563" t="str">
        <f>VLOOKUP(C1563,menu!A:B,2,FALSE)</f>
        <v>Capcay Seafood</v>
      </c>
      <c r="G1563">
        <f t="shared" si="48"/>
        <v>29000</v>
      </c>
      <c r="H1563">
        <f>VLOOKUP(C1563,menu!A:E,4,FALSE)</f>
        <v>13000</v>
      </c>
      <c r="I1563">
        <f t="shared" si="49"/>
        <v>16000</v>
      </c>
    </row>
    <row r="1564" spans="1:9" x14ac:dyDescent="0.35">
      <c r="A1564" s="4" t="s">
        <v>2475</v>
      </c>
      <c r="B1564" s="4" t="s">
        <v>50</v>
      </c>
      <c r="C1564" s="4" t="s">
        <v>898</v>
      </c>
      <c r="D1564" s="4">
        <v>1</v>
      </c>
      <c r="E1564" s="6">
        <v>27000</v>
      </c>
      <c r="F1564" t="str">
        <f>VLOOKUP(C1564,menu!A:B,2,FALSE)</f>
        <v>Ayam Geprek Sambal Bawang</v>
      </c>
      <c r="G1564">
        <f t="shared" si="48"/>
        <v>27000</v>
      </c>
      <c r="H1564">
        <f>VLOOKUP(C1564,menu!A:E,4,FALSE)</f>
        <v>11000</v>
      </c>
      <c r="I1564">
        <f t="shared" si="49"/>
        <v>16000</v>
      </c>
    </row>
    <row r="1565" spans="1:9" x14ac:dyDescent="0.35">
      <c r="A1565" s="4" t="s">
        <v>2476</v>
      </c>
      <c r="B1565" s="4" t="s">
        <v>50</v>
      </c>
      <c r="C1565" s="4" t="s">
        <v>1003</v>
      </c>
      <c r="D1565" s="4">
        <v>1</v>
      </c>
      <c r="E1565" s="6">
        <v>29000</v>
      </c>
      <c r="F1565" t="str">
        <f>VLOOKUP(C1565,menu!A:B,2,FALSE)</f>
        <v>Capcay Seafood</v>
      </c>
      <c r="G1565">
        <f t="shared" si="48"/>
        <v>29000</v>
      </c>
      <c r="H1565">
        <f>VLOOKUP(C1565,menu!A:E,4,FALSE)</f>
        <v>13000</v>
      </c>
      <c r="I1565">
        <f t="shared" si="49"/>
        <v>16000</v>
      </c>
    </row>
    <row r="1566" spans="1:9" x14ac:dyDescent="0.35">
      <c r="A1566" s="4" t="s">
        <v>2477</v>
      </c>
      <c r="B1566" s="4" t="s">
        <v>50</v>
      </c>
      <c r="C1566" s="4" t="s">
        <v>931</v>
      </c>
      <c r="D1566" s="4">
        <v>1</v>
      </c>
      <c r="E1566" s="6">
        <v>5000</v>
      </c>
      <c r="F1566" t="str">
        <f>VLOOKUP(C1566,menu!A:B,2,FALSE)</f>
        <v>Kerupuk Udang</v>
      </c>
      <c r="G1566">
        <f t="shared" si="48"/>
        <v>5000</v>
      </c>
      <c r="H1566">
        <f>VLOOKUP(C1566,menu!A:E,4,FALSE)</f>
        <v>1500</v>
      </c>
      <c r="I1566">
        <f t="shared" si="49"/>
        <v>3500</v>
      </c>
    </row>
    <row r="1567" spans="1:9" x14ac:dyDescent="0.35">
      <c r="A1567" s="4" t="s">
        <v>2478</v>
      </c>
      <c r="B1567" s="4" t="s">
        <v>443</v>
      </c>
      <c r="C1567" s="4" t="s">
        <v>894</v>
      </c>
      <c r="D1567" s="4">
        <v>3</v>
      </c>
      <c r="E1567" s="6">
        <v>5000</v>
      </c>
      <c r="F1567" t="str">
        <f>VLOOKUP(C1567,menu!A:B,2,FALSE)</f>
        <v>Air Mineral Botol</v>
      </c>
      <c r="G1567">
        <f t="shared" si="48"/>
        <v>15000</v>
      </c>
      <c r="H1567">
        <f>VLOOKUP(C1567,menu!A:E,4,FALSE)</f>
        <v>2000</v>
      </c>
      <c r="I1567">
        <f t="shared" si="49"/>
        <v>9000</v>
      </c>
    </row>
    <row r="1568" spans="1:9" x14ac:dyDescent="0.35">
      <c r="A1568" s="4" t="s">
        <v>2479</v>
      </c>
      <c r="B1568" s="4" t="s">
        <v>680</v>
      </c>
      <c r="C1568" s="4" t="s">
        <v>940</v>
      </c>
      <c r="D1568" s="4">
        <v>1</v>
      </c>
      <c r="E1568" s="6">
        <v>10000</v>
      </c>
      <c r="F1568" t="str">
        <f>VLOOKUP(C1568,menu!A:B,2,FALSE)</f>
        <v>Tahu Isi Goreng (5pcs)</v>
      </c>
      <c r="G1568">
        <f t="shared" si="48"/>
        <v>10000</v>
      </c>
      <c r="H1568">
        <f>VLOOKUP(C1568,menu!A:E,4,FALSE)</f>
        <v>3500</v>
      </c>
      <c r="I1568">
        <f t="shared" si="49"/>
        <v>6500</v>
      </c>
    </row>
    <row r="1569" spans="1:9" x14ac:dyDescent="0.35">
      <c r="A1569" s="4" t="s">
        <v>2480</v>
      </c>
      <c r="B1569" s="4" t="s">
        <v>554</v>
      </c>
      <c r="C1569" s="4" t="s">
        <v>898</v>
      </c>
      <c r="D1569" s="4">
        <v>1</v>
      </c>
      <c r="E1569" s="6">
        <v>27000</v>
      </c>
      <c r="F1569" t="str">
        <f>VLOOKUP(C1569,menu!A:B,2,FALSE)</f>
        <v>Ayam Geprek Sambal Bawang</v>
      </c>
      <c r="G1569">
        <f t="shared" si="48"/>
        <v>27000</v>
      </c>
      <c r="H1569">
        <f>VLOOKUP(C1569,menu!A:E,4,FALSE)</f>
        <v>11000</v>
      </c>
      <c r="I1569">
        <f t="shared" si="49"/>
        <v>16000</v>
      </c>
    </row>
    <row r="1570" spans="1:9" x14ac:dyDescent="0.35">
      <c r="A1570" s="4" t="s">
        <v>2481</v>
      </c>
      <c r="B1570" s="4" t="s">
        <v>554</v>
      </c>
      <c r="C1570" s="4" t="s">
        <v>902</v>
      </c>
      <c r="D1570" s="4">
        <v>1</v>
      </c>
      <c r="E1570" s="6">
        <v>12000</v>
      </c>
      <c r="F1570" t="str">
        <f>VLOOKUP(C1570,menu!A:B,2,FALSE)</f>
        <v>Teh Tarik</v>
      </c>
      <c r="G1570">
        <f t="shared" si="48"/>
        <v>12000</v>
      </c>
      <c r="H1570">
        <f>VLOOKUP(C1570,menu!A:E,4,FALSE)</f>
        <v>3000</v>
      </c>
      <c r="I1570">
        <f t="shared" si="49"/>
        <v>9000</v>
      </c>
    </row>
    <row r="1571" spans="1:9" x14ac:dyDescent="0.35">
      <c r="A1571" s="4" t="s">
        <v>2482</v>
      </c>
      <c r="B1571" s="4" t="s">
        <v>554</v>
      </c>
      <c r="C1571" s="4" t="s">
        <v>942</v>
      </c>
      <c r="D1571" s="4">
        <v>3</v>
      </c>
      <c r="E1571" s="6">
        <v>13000</v>
      </c>
      <c r="F1571" t="str">
        <f>VLOOKUP(C1571,menu!A:B,2,FALSE)</f>
        <v>Pisang Goreng Keju (4pcs)</v>
      </c>
      <c r="G1571">
        <f t="shared" si="48"/>
        <v>39000</v>
      </c>
      <c r="H1571">
        <f>VLOOKUP(C1571,menu!A:E,4,FALSE)</f>
        <v>4000</v>
      </c>
      <c r="I1571">
        <f t="shared" si="49"/>
        <v>27000</v>
      </c>
    </row>
    <row r="1572" spans="1:9" x14ac:dyDescent="0.35">
      <c r="A1572" s="4" t="s">
        <v>2483</v>
      </c>
      <c r="B1572" s="4" t="s">
        <v>554</v>
      </c>
      <c r="C1572" s="4" t="s">
        <v>931</v>
      </c>
      <c r="D1572" s="4">
        <v>1</v>
      </c>
      <c r="E1572" s="6">
        <v>5000</v>
      </c>
      <c r="F1572" t="str">
        <f>VLOOKUP(C1572,menu!A:B,2,FALSE)</f>
        <v>Kerupuk Udang</v>
      </c>
      <c r="G1572">
        <f t="shared" si="48"/>
        <v>5000</v>
      </c>
      <c r="H1572">
        <f>VLOOKUP(C1572,menu!A:E,4,FALSE)</f>
        <v>1500</v>
      </c>
      <c r="I1572">
        <f t="shared" si="49"/>
        <v>3500</v>
      </c>
    </row>
    <row r="1573" spans="1:9" x14ac:dyDescent="0.35">
      <c r="A1573" s="4" t="s">
        <v>2484</v>
      </c>
      <c r="B1573" s="4" t="s">
        <v>554</v>
      </c>
      <c r="C1573" s="4" t="s">
        <v>892</v>
      </c>
      <c r="D1573" s="4">
        <v>1</v>
      </c>
      <c r="E1573" s="6">
        <v>9000</v>
      </c>
      <c r="F1573" t="str">
        <f>VLOOKUP(C1573,menu!A:B,2,FALSE)</f>
        <v>Tempe Mendoan (5pcs)</v>
      </c>
      <c r="G1573">
        <f t="shared" si="48"/>
        <v>9000</v>
      </c>
      <c r="H1573">
        <f>VLOOKUP(C1573,menu!A:E,4,FALSE)</f>
        <v>3000</v>
      </c>
      <c r="I1573">
        <f t="shared" si="49"/>
        <v>6000</v>
      </c>
    </row>
    <row r="1574" spans="1:9" x14ac:dyDescent="0.35">
      <c r="A1574" s="4" t="s">
        <v>2485</v>
      </c>
      <c r="B1574" s="4" t="s">
        <v>311</v>
      </c>
      <c r="C1574" s="4" t="s">
        <v>919</v>
      </c>
      <c r="D1574" s="4">
        <v>1</v>
      </c>
      <c r="E1574" s="6">
        <v>20000</v>
      </c>
      <c r="F1574" t="str">
        <f>VLOOKUP(C1574,menu!A:B,2,FALSE)</f>
        <v>Gado-Gado Jakarta</v>
      </c>
      <c r="G1574">
        <f t="shared" si="48"/>
        <v>20000</v>
      </c>
      <c r="H1574">
        <f>VLOOKUP(C1574,menu!A:E,4,FALSE)</f>
        <v>8000</v>
      </c>
      <c r="I1574">
        <f t="shared" si="49"/>
        <v>12000</v>
      </c>
    </row>
    <row r="1575" spans="1:9" x14ac:dyDescent="0.35">
      <c r="A1575" s="4" t="s">
        <v>2486</v>
      </c>
      <c r="B1575" s="4" t="s">
        <v>883</v>
      </c>
      <c r="C1575" s="4" t="s">
        <v>896</v>
      </c>
      <c r="D1575" s="4">
        <v>1</v>
      </c>
      <c r="E1575" s="6">
        <v>23000</v>
      </c>
      <c r="F1575" t="str">
        <f>VLOOKUP(C1575,menu!A:B,2,FALSE)</f>
        <v>Nasi Uduk Komplit</v>
      </c>
      <c r="G1575">
        <f t="shared" si="48"/>
        <v>23000</v>
      </c>
      <c r="H1575">
        <f>VLOOKUP(C1575,menu!A:E,4,FALSE)</f>
        <v>9000</v>
      </c>
      <c r="I1575">
        <f t="shared" si="49"/>
        <v>14000</v>
      </c>
    </row>
    <row r="1576" spans="1:9" x14ac:dyDescent="0.35">
      <c r="A1576" s="4" t="s">
        <v>2487</v>
      </c>
      <c r="B1576" s="4" t="s">
        <v>883</v>
      </c>
      <c r="C1576" s="4" t="s">
        <v>919</v>
      </c>
      <c r="D1576" s="4">
        <v>1</v>
      </c>
      <c r="E1576" s="6">
        <v>20000</v>
      </c>
      <c r="F1576" t="str">
        <f>VLOOKUP(C1576,menu!A:B,2,FALSE)</f>
        <v>Gado-Gado Jakarta</v>
      </c>
      <c r="G1576">
        <f t="shared" si="48"/>
        <v>20000</v>
      </c>
      <c r="H1576">
        <f>VLOOKUP(C1576,menu!A:E,4,FALSE)</f>
        <v>8000</v>
      </c>
      <c r="I1576">
        <f t="shared" si="49"/>
        <v>12000</v>
      </c>
    </row>
    <row r="1577" spans="1:9" x14ac:dyDescent="0.35">
      <c r="A1577" s="4" t="s">
        <v>2488</v>
      </c>
      <c r="B1577" s="4" t="s">
        <v>760</v>
      </c>
      <c r="C1577" s="4" t="s">
        <v>898</v>
      </c>
      <c r="D1577" s="4">
        <v>1</v>
      </c>
      <c r="E1577" s="6">
        <v>27000</v>
      </c>
      <c r="F1577" t="str">
        <f>VLOOKUP(C1577,menu!A:B,2,FALSE)</f>
        <v>Ayam Geprek Sambal Bawang</v>
      </c>
      <c r="G1577">
        <f t="shared" si="48"/>
        <v>27000</v>
      </c>
      <c r="H1577">
        <f>VLOOKUP(C1577,menu!A:E,4,FALSE)</f>
        <v>11000</v>
      </c>
      <c r="I1577">
        <f t="shared" si="49"/>
        <v>16000</v>
      </c>
    </row>
    <row r="1578" spans="1:9" x14ac:dyDescent="0.35">
      <c r="A1578" s="4" t="s">
        <v>2489</v>
      </c>
      <c r="B1578" s="4" t="s">
        <v>371</v>
      </c>
      <c r="C1578" s="4" t="s">
        <v>898</v>
      </c>
      <c r="D1578" s="4">
        <v>1</v>
      </c>
      <c r="E1578" s="6">
        <v>27000</v>
      </c>
      <c r="F1578" t="str">
        <f>VLOOKUP(C1578,menu!A:B,2,FALSE)</f>
        <v>Ayam Geprek Sambal Bawang</v>
      </c>
      <c r="G1578">
        <f t="shared" si="48"/>
        <v>27000</v>
      </c>
      <c r="H1578">
        <f>VLOOKUP(C1578,menu!A:E,4,FALSE)</f>
        <v>11000</v>
      </c>
      <c r="I1578">
        <f t="shared" si="49"/>
        <v>16000</v>
      </c>
    </row>
    <row r="1579" spans="1:9" x14ac:dyDescent="0.35">
      <c r="A1579" s="4" t="s">
        <v>2490</v>
      </c>
      <c r="B1579" s="4" t="s">
        <v>371</v>
      </c>
      <c r="C1579" s="4" t="s">
        <v>908</v>
      </c>
      <c r="D1579" s="4">
        <v>1</v>
      </c>
      <c r="E1579" s="6">
        <v>16000</v>
      </c>
      <c r="F1579" t="str">
        <f>VLOOKUP(C1579,menu!A:B,2,FALSE)</f>
        <v>Jus Alpukat</v>
      </c>
      <c r="G1579">
        <f t="shared" si="48"/>
        <v>16000</v>
      </c>
      <c r="H1579">
        <f>VLOOKUP(C1579,menu!A:E,4,FALSE)</f>
        <v>5500</v>
      </c>
      <c r="I1579">
        <f t="shared" si="49"/>
        <v>10500</v>
      </c>
    </row>
    <row r="1580" spans="1:9" x14ac:dyDescent="0.35">
      <c r="A1580" s="4" t="s">
        <v>2491</v>
      </c>
      <c r="B1580" s="4" t="s">
        <v>371</v>
      </c>
      <c r="C1580" s="4" t="s">
        <v>919</v>
      </c>
      <c r="D1580" s="4">
        <v>1</v>
      </c>
      <c r="E1580" s="6">
        <v>20000</v>
      </c>
      <c r="F1580" t="str">
        <f>VLOOKUP(C1580,menu!A:B,2,FALSE)</f>
        <v>Gado-Gado Jakarta</v>
      </c>
      <c r="G1580">
        <f t="shared" si="48"/>
        <v>20000</v>
      </c>
      <c r="H1580">
        <f>VLOOKUP(C1580,menu!A:E,4,FALSE)</f>
        <v>8000</v>
      </c>
      <c r="I1580">
        <f t="shared" si="49"/>
        <v>12000</v>
      </c>
    </row>
    <row r="1581" spans="1:9" x14ac:dyDescent="0.35">
      <c r="A1581" s="4" t="s">
        <v>2492</v>
      </c>
      <c r="B1581" s="4" t="s">
        <v>732</v>
      </c>
      <c r="C1581" s="4" t="s">
        <v>904</v>
      </c>
      <c r="D1581" s="4">
        <v>3</v>
      </c>
      <c r="E1581" s="6">
        <v>22000</v>
      </c>
      <c r="F1581" t="str">
        <f>VLOOKUP(C1581,menu!A:B,2,FALSE)</f>
        <v>Pecel Lele</v>
      </c>
      <c r="G1581">
        <f t="shared" si="48"/>
        <v>66000</v>
      </c>
      <c r="H1581">
        <f>VLOOKUP(C1581,menu!A:E,4,FALSE)</f>
        <v>9500</v>
      </c>
      <c r="I1581">
        <f t="shared" si="49"/>
        <v>37500</v>
      </c>
    </row>
    <row r="1582" spans="1:9" x14ac:dyDescent="0.35">
      <c r="A1582" s="4" t="s">
        <v>2493</v>
      </c>
      <c r="B1582" s="4" t="s">
        <v>670</v>
      </c>
      <c r="C1582" s="4" t="s">
        <v>898</v>
      </c>
      <c r="D1582" s="4">
        <v>1</v>
      </c>
      <c r="E1582" s="6">
        <v>27000</v>
      </c>
      <c r="F1582" t="str">
        <f>VLOOKUP(C1582,menu!A:B,2,FALSE)</f>
        <v>Ayam Geprek Sambal Bawang</v>
      </c>
      <c r="G1582">
        <f t="shared" si="48"/>
        <v>27000</v>
      </c>
      <c r="H1582">
        <f>VLOOKUP(C1582,menu!A:E,4,FALSE)</f>
        <v>11000</v>
      </c>
      <c r="I1582">
        <f t="shared" si="49"/>
        <v>16000</v>
      </c>
    </row>
    <row r="1583" spans="1:9" x14ac:dyDescent="0.35">
      <c r="A1583" s="4" t="s">
        <v>2494</v>
      </c>
      <c r="B1583" s="4" t="s">
        <v>670</v>
      </c>
      <c r="C1583" s="4" t="s">
        <v>894</v>
      </c>
      <c r="D1583" s="4">
        <v>1</v>
      </c>
      <c r="E1583" s="6">
        <v>5000</v>
      </c>
      <c r="F1583" t="str">
        <f>VLOOKUP(C1583,menu!A:B,2,FALSE)</f>
        <v>Air Mineral Botol</v>
      </c>
      <c r="G1583">
        <f t="shared" si="48"/>
        <v>5000</v>
      </c>
      <c r="H1583">
        <f>VLOOKUP(C1583,menu!A:E,4,FALSE)</f>
        <v>2000</v>
      </c>
      <c r="I1583">
        <f t="shared" si="49"/>
        <v>3000</v>
      </c>
    </row>
    <row r="1584" spans="1:9" x14ac:dyDescent="0.35">
      <c r="A1584" s="4" t="s">
        <v>2495</v>
      </c>
      <c r="B1584" s="4" t="s">
        <v>100</v>
      </c>
      <c r="C1584" s="4" t="s">
        <v>919</v>
      </c>
      <c r="D1584" s="4">
        <v>2</v>
      </c>
      <c r="E1584" s="6">
        <v>20000</v>
      </c>
      <c r="F1584" t="str">
        <f>VLOOKUP(C1584,menu!A:B,2,FALSE)</f>
        <v>Gado-Gado Jakarta</v>
      </c>
      <c r="G1584">
        <f t="shared" si="48"/>
        <v>40000</v>
      </c>
      <c r="H1584">
        <f>VLOOKUP(C1584,menu!A:E,4,FALSE)</f>
        <v>8000</v>
      </c>
      <c r="I1584">
        <f t="shared" si="49"/>
        <v>24000</v>
      </c>
    </row>
    <row r="1585" spans="1:9" x14ac:dyDescent="0.35">
      <c r="A1585" s="4" t="s">
        <v>2496</v>
      </c>
      <c r="B1585" s="4" t="s">
        <v>100</v>
      </c>
      <c r="C1585" s="4" t="s">
        <v>955</v>
      </c>
      <c r="D1585" s="4">
        <v>1</v>
      </c>
      <c r="E1585" s="6">
        <v>15000</v>
      </c>
      <c r="F1585" t="str">
        <f>VLOOKUP(C1585,menu!A:B,2,FALSE)</f>
        <v>Es Campur</v>
      </c>
      <c r="G1585">
        <f t="shared" si="48"/>
        <v>15000</v>
      </c>
      <c r="H1585">
        <f>VLOOKUP(C1585,menu!A:E,4,FALSE)</f>
        <v>6000</v>
      </c>
      <c r="I1585">
        <f t="shared" si="49"/>
        <v>9000</v>
      </c>
    </row>
    <row r="1586" spans="1:9" x14ac:dyDescent="0.35">
      <c r="A1586" s="4" t="s">
        <v>2497</v>
      </c>
      <c r="B1586" s="4" t="s">
        <v>100</v>
      </c>
      <c r="C1586" s="4" t="s">
        <v>898</v>
      </c>
      <c r="D1586" s="4">
        <v>1</v>
      </c>
      <c r="E1586" s="6">
        <v>27000</v>
      </c>
      <c r="F1586" t="str">
        <f>VLOOKUP(C1586,menu!A:B,2,FALSE)</f>
        <v>Ayam Geprek Sambal Bawang</v>
      </c>
      <c r="G1586">
        <f t="shared" si="48"/>
        <v>27000</v>
      </c>
      <c r="H1586">
        <f>VLOOKUP(C1586,menu!A:E,4,FALSE)</f>
        <v>11000</v>
      </c>
      <c r="I1586">
        <f t="shared" si="49"/>
        <v>16000</v>
      </c>
    </row>
    <row r="1587" spans="1:9" x14ac:dyDescent="0.35">
      <c r="A1587" s="4" t="s">
        <v>2498</v>
      </c>
      <c r="B1587" s="4" t="s">
        <v>438</v>
      </c>
      <c r="C1587" s="4" t="s">
        <v>896</v>
      </c>
      <c r="D1587" s="4">
        <v>1</v>
      </c>
      <c r="E1587" s="6">
        <v>23000</v>
      </c>
      <c r="F1587" t="str">
        <f>VLOOKUP(C1587,menu!A:B,2,FALSE)</f>
        <v>Nasi Uduk Komplit</v>
      </c>
      <c r="G1587">
        <f t="shared" si="48"/>
        <v>23000</v>
      </c>
      <c r="H1587">
        <f>VLOOKUP(C1587,menu!A:E,4,FALSE)</f>
        <v>9000</v>
      </c>
      <c r="I1587">
        <f t="shared" si="49"/>
        <v>14000</v>
      </c>
    </row>
    <row r="1588" spans="1:9" x14ac:dyDescent="0.35">
      <c r="A1588" s="4" t="s">
        <v>2499</v>
      </c>
      <c r="B1588" s="4" t="s">
        <v>438</v>
      </c>
      <c r="C1588" s="4" t="s">
        <v>908</v>
      </c>
      <c r="D1588" s="4">
        <v>1</v>
      </c>
      <c r="E1588" s="6">
        <v>16000</v>
      </c>
      <c r="F1588" t="str">
        <f>VLOOKUP(C1588,menu!A:B,2,FALSE)</f>
        <v>Jus Alpukat</v>
      </c>
      <c r="G1588">
        <f t="shared" si="48"/>
        <v>16000</v>
      </c>
      <c r="H1588">
        <f>VLOOKUP(C1588,menu!A:E,4,FALSE)</f>
        <v>5500</v>
      </c>
      <c r="I1588">
        <f t="shared" si="49"/>
        <v>10500</v>
      </c>
    </row>
    <row r="1589" spans="1:9" x14ac:dyDescent="0.35">
      <c r="A1589" s="4" t="s">
        <v>2500</v>
      </c>
      <c r="B1589" s="4" t="s">
        <v>438</v>
      </c>
      <c r="C1589" s="4" t="s">
        <v>900</v>
      </c>
      <c r="D1589" s="4">
        <v>1</v>
      </c>
      <c r="E1589" s="6">
        <v>8000</v>
      </c>
      <c r="F1589" t="str">
        <f>VLOOKUP(C1589,menu!A:B,2,FALSE)</f>
        <v>Es Jeruk Peras</v>
      </c>
      <c r="G1589">
        <f t="shared" si="48"/>
        <v>8000</v>
      </c>
      <c r="H1589">
        <f>VLOOKUP(C1589,menu!A:E,4,FALSE)</f>
        <v>2500</v>
      </c>
      <c r="I1589">
        <f t="shared" si="49"/>
        <v>5500</v>
      </c>
    </row>
    <row r="1590" spans="1:9" x14ac:dyDescent="0.35">
      <c r="A1590" s="4" t="s">
        <v>2501</v>
      </c>
      <c r="B1590" s="4" t="s">
        <v>438</v>
      </c>
      <c r="C1590" s="4" t="s">
        <v>898</v>
      </c>
      <c r="D1590" s="4">
        <v>1</v>
      </c>
      <c r="E1590" s="6">
        <v>27000</v>
      </c>
      <c r="F1590" t="str">
        <f>VLOOKUP(C1590,menu!A:B,2,FALSE)</f>
        <v>Ayam Geprek Sambal Bawang</v>
      </c>
      <c r="G1590">
        <f t="shared" si="48"/>
        <v>27000</v>
      </c>
      <c r="H1590">
        <f>VLOOKUP(C1590,menu!A:E,4,FALSE)</f>
        <v>11000</v>
      </c>
      <c r="I1590">
        <f t="shared" si="49"/>
        <v>16000</v>
      </c>
    </row>
    <row r="1591" spans="1:9" x14ac:dyDescent="0.35">
      <c r="A1591" s="4" t="s">
        <v>2502</v>
      </c>
      <c r="B1591" s="4" t="s">
        <v>438</v>
      </c>
      <c r="C1591" s="4" t="s">
        <v>906</v>
      </c>
      <c r="D1591" s="4">
        <v>1</v>
      </c>
      <c r="E1591" s="6">
        <v>28000</v>
      </c>
      <c r="F1591" t="str">
        <f>VLOOKUP(C1591,menu!A:B,2,FALSE)</f>
        <v>Sate Ayam 10 Tusuk</v>
      </c>
      <c r="G1591">
        <f t="shared" si="48"/>
        <v>28000</v>
      </c>
      <c r="H1591">
        <f>VLOOKUP(C1591,menu!A:E,4,FALSE)</f>
        <v>12000</v>
      </c>
      <c r="I1591">
        <f t="shared" si="49"/>
        <v>16000</v>
      </c>
    </row>
    <row r="1592" spans="1:9" x14ac:dyDescent="0.35">
      <c r="A1592" s="4" t="s">
        <v>2503</v>
      </c>
      <c r="B1592" s="4" t="s">
        <v>631</v>
      </c>
      <c r="C1592" s="4" t="s">
        <v>898</v>
      </c>
      <c r="D1592" s="4">
        <v>1</v>
      </c>
      <c r="E1592" s="6">
        <v>27000</v>
      </c>
      <c r="F1592" t="str">
        <f>VLOOKUP(C1592,menu!A:B,2,FALSE)</f>
        <v>Ayam Geprek Sambal Bawang</v>
      </c>
      <c r="G1592">
        <f t="shared" si="48"/>
        <v>27000</v>
      </c>
      <c r="H1592">
        <f>VLOOKUP(C1592,menu!A:E,4,FALSE)</f>
        <v>11000</v>
      </c>
      <c r="I1592">
        <f t="shared" si="49"/>
        <v>16000</v>
      </c>
    </row>
    <row r="1593" spans="1:9" x14ac:dyDescent="0.35">
      <c r="A1593" s="4" t="s">
        <v>2504</v>
      </c>
      <c r="B1593" s="4" t="s">
        <v>631</v>
      </c>
      <c r="C1593" s="4" t="s">
        <v>935</v>
      </c>
      <c r="D1593" s="4">
        <v>1</v>
      </c>
      <c r="E1593" s="6">
        <v>22000</v>
      </c>
      <c r="F1593" t="str">
        <f>VLOOKUP(C1593,menu!A:B,2,FALSE)</f>
        <v>Soto Ayam Lamongan</v>
      </c>
      <c r="G1593">
        <f t="shared" si="48"/>
        <v>22000</v>
      </c>
      <c r="H1593">
        <f>VLOOKUP(C1593,menu!A:E,4,FALSE)</f>
        <v>9500</v>
      </c>
      <c r="I1593">
        <f t="shared" si="49"/>
        <v>12500</v>
      </c>
    </row>
    <row r="1594" spans="1:9" x14ac:dyDescent="0.35">
      <c r="A1594" s="4" t="s">
        <v>2505</v>
      </c>
      <c r="B1594" s="4" t="s">
        <v>631</v>
      </c>
      <c r="C1594" s="4" t="s">
        <v>890</v>
      </c>
      <c r="D1594" s="4">
        <v>3</v>
      </c>
      <c r="E1594" s="6">
        <v>18000</v>
      </c>
      <c r="F1594" t="str">
        <f>VLOOKUP(C1594,menu!A:B,2,FALSE)</f>
        <v>Es Kopi Susu Gula Aren</v>
      </c>
      <c r="G1594">
        <f t="shared" si="48"/>
        <v>54000</v>
      </c>
      <c r="H1594">
        <f>VLOOKUP(C1594,menu!A:E,4,FALSE)</f>
        <v>4500</v>
      </c>
      <c r="I1594">
        <f t="shared" si="49"/>
        <v>40500</v>
      </c>
    </row>
    <row r="1595" spans="1:9" x14ac:dyDescent="0.35">
      <c r="A1595" s="4" t="s">
        <v>2506</v>
      </c>
      <c r="B1595" s="4" t="s">
        <v>631</v>
      </c>
      <c r="C1595" s="4" t="s">
        <v>892</v>
      </c>
      <c r="D1595" s="4">
        <v>1</v>
      </c>
      <c r="E1595" s="6">
        <v>9000</v>
      </c>
      <c r="F1595" t="str">
        <f>VLOOKUP(C1595,menu!A:B,2,FALSE)</f>
        <v>Tempe Mendoan (5pcs)</v>
      </c>
      <c r="G1595">
        <f t="shared" si="48"/>
        <v>9000</v>
      </c>
      <c r="H1595">
        <f>VLOOKUP(C1595,menu!A:E,4,FALSE)</f>
        <v>3000</v>
      </c>
      <c r="I1595">
        <f t="shared" si="49"/>
        <v>6000</v>
      </c>
    </row>
    <row r="1596" spans="1:9" x14ac:dyDescent="0.35">
      <c r="A1596" s="4" t="s">
        <v>2507</v>
      </c>
      <c r="B1596" s="4" t="s">
        <v>610</v>
      </c>
      <c r="C1596" s="4" t="s">
        <v>944</v>
      </c>
      <c r="D1596" s="4">
        <v>1</v>
      </c>
      <c r="E1596" s="6">
        <v>32000</v>
      </c>
      <c r="F1596" t="str">
        <f>VLOOKUP(C1596,menu!A:B,2,FALSE)</f>
        <v>Nasi Padang Rendang</v>
      </c>
      <c r="G1596">
        <f t="shared" si="48"/>
        <v>32000</v>
      </c>
      <c r="H1596">
        <f>VLOOKUP(C1596,menu!A:E,4,FALSE)</f>
        <v>14000</v>
      </c>
      <c r="I1596">
        <f t="shared" si="49"/>
        <v>18000</v>
      </c>
    </row>
    <row r="1597" spans="1:9" x14ac:dyDescent="0.35">
      <c r="A1597" s="4" t="s">
        <v>2508</v>
      </c>
      <c r="B1597" s="4" t="s">
        <v>610</v>
      </c>
      <c r="C1597" s="4" t="s">
        <v>896</v>
      </c>
      <c r="D1597" s="4">
        <v>2</v>
      </c>
      <c r="E1597" s="6">
        <v>23000</v>
      </c>
      <c r="F1597" t="str">
        <f>VLOOKUP(C1597,menu!A:B,2,FALSE)</f>
        <v>Nasi Uduk Komplit</v>
      </c>
      <c r="G1597">
        <f t="shared" si="48"/>
        <v>46000</v>
      </c>
      <c r="H1597">
        <f>VLOOKUP(C1597,menu!A:E,4,FALSE)</f>
        <v>9000</v>
      </c>
      <c r="I1597">
        <f t="shared" si="49"/>
        <v>28000</v>
      </c>
    </row>
    <row r="1598" spans="1:9" x14ac:dyDescent="0.35">
      <c r="A1598" s="4" t="s">
        <v>2509</v>
      </c>
      <c r="B1598" s="4" t="s">
        <v>360</v>
      </c>
      <c r="C1598" s="4" t="s">
        <v>898</v>
      </c>
      <c r="D1598" s="4">
        <v>1</v>
      </c>
      <c r="E1598" s="6">
        <v>27000</v>
      </c>
      <c r="F1598" t="str">
        <f>VLOOKUP(C1598,menu!A:B,2,FALSE)</f>
        <v>Ayam Geprek Sambal Bawang</v>
      </c>
      <c r="G1598">
        <f t="shared" si="48"/>
        <v>27000</v>
      </c>
      <c r="H1598">
        <f>VLOOKUP(C1598,menu!A:E,4,FALSE)</f>
        <v>11000</v>
      </c>
      <c r="I1598">
        <f t="shared" si="49"/>
        <v>16000</v>
      </c>
    </row>
    <row r="1599" spans="1:9" x14ac:dyDescent="0.35">
      <c r="A1599" s="4" t="s">
        <v>2510</v>
      </c>
      <c r="B1599" s="4" t="s">
        <v>360</v>
      </c>
      <c r="C1599" s="4" t="s">
        <v>935</v>
      </c>
      <c r="D1599" s="4">
        <v>1</v>
      </c>
      <c r="E1599" s="6">
        <v>22000</v>
      </c>
      <c r="F1599" t="str">
        <f>VLOOKUP(C1599,menu!A:B,2,FALSE)</f>
        <v>Soto Ayam Lamongan</v>
      </c>
      <c r="G1599">
        <f t="shared" si="48"/>
        <v>22000</v>
      </c>
      <c r="H1599">
        <f>VLOOKUP(C1599,menu!A:E,4,FALSE)</f>
        <v>9500</v>
      </c>
      <c r="I1599">
        <f t="shared" si="49"/>
        <v>12500</v>
      </c>
    </row>
    <row r="1600" spans="1:9" x14ac:dyDescent="0.35">
      <c r="A1600" s="4" t="s">
        <v>2511</v>
      </c>
      <c r="B1600" s="4" t="s">
        <v>360</v>
      </c>
      <c r="C1600" s="4" t="s">
        <v>937</v>
      </c>
      <c r="D1600" s="4">
        <v>1</v>
      </c>
      <c r="E1600" s="6">
        <v>26000</v>
      </c>
      <c r="F1600" t="str">
        <f>VLOOKUP(C1600,menu!A:B,2,FALSE)</f>
        <v>Nasi Campur Bali</v>
      </c>
      <c r="G1600">
        <f t="shared" si="48"/>
        <v>26000</v>
      </c>
      <c r="H1600">
        <f>VLOOKUP(C1600,menu!A:E,4,FALSE)</f>
        <v>11500</v>
      </c>
      <c r="I1600">
        <f t="shared" si="49"/>
        <v>14500</v>
      </c>
    </row>
    <row r="1601" spans="1:9" x14ac:dyDescent="0.35">
      <c r="A1601" s="4" t="s">
        <v>2512</v>
      </c>
      <c r="B1601" s="4" t="s">
        <v>360</v>
      </c>
      <c r="C1601" s="4" t="s">
        <v>894</v>
      </c>
      <c r="D1601" s="4">
        <v>2</v>
      </c>
      <c r="E1601" s="6">
        <v>5000</v>
      </c>
      <c r="F1601" t="str">
        <f>VLOOKUP(C1601,menu!A:B,2,FALSE)</f>
        <v>Air Mineral Botol</v>
      </c>
      <c r="G1601">
        <f t="shared" si="48"/>
        <v>10000</v>
      </c>
      <c r="H1601">
        <f>VLOOKUP(C1601,menu!A:E,4,FALSE)</f>
        <v>2000</v>
      </c>
      <c r="I1601">
        <f t="shared" si="49"/>
        <v>6000</v>
      </c>
    </row>
    <row r="1602" spans="1:9" x14ac:dyDescent="0.35">
      <c r="A1602" s="4" t="s">
        <v>2513</v>
      </c>
      <c r="B1602" s="4" t="s">
        <v>360</v>
      </c>
      <c r="C1602" s="4" t="s">
        <v>908</v>
      </c>
      <c r="D1602" s="4">
        <v>1</v>
      </c>
      <c r="E1602" s="6">
        <v>16000</v>
      </c>
      <c r="F1602" t="str">
        <f>VLOOKUP(C1602,menu!A:B,2,FALSE)</f>
        <v>Jus Alpukat</v>
      </c>
      <c r="G1602">
        <f t="shared" si="48"/>
        <v>16000</v>
      </c>
      <c r="H1602">
        <f>VLOOKUP(C1602,menu!A:E,4,FALSE)</f>
        <v>5500</v>
      </c>
      <c r="I1602">
        <f t="shared" si="49"/>
        <v>10500</v>
      </c>
    </row>
    <row r="1603" spans="1:9" x14ac:dyDescent="0.35">
      <c r="A1603" s="4" t="s">
        <v>2514</v>
      </c>
      <c r="B1603" s="4" t="s">
        <v>474</v>
      </c>
      <c r="C1603" s="4" t="s">
        <v>892</v>
      </c>
      <c r="D1603" s="4">
        <v>1</v>
      </c>
      <c r="E1603" s="6">
        <v>9000</v>
      </c>
      <c r="F1603" t="str">
        <f>VLOOKUP(C1603,menu!A:B,2,FALSE)</f>
        <v>Tempe Mendoan (5pcs)</v>
      </c>
      <c r="G1603">
        <f t="shared" ref="G1603:G1666" si="50">D1603*E1603</f>
        <v>9000</v>
      </c>
      <c r="H1603">
        <f>VLOOKUP(C1603,menu!A:E,4,FALSE)</f>
        <v>3000</v>
      </c>
      <c r="I1603">
        <f t="shared" ref="I1603:I1666" si="51">(E1603-H1603)*D1603</f>
        <v>6000</v>
      </c>
    </row>
    <row r="1604" spans="1:9" x14ac:dyDescent="0.35">
      <c r="A1604" s="4" t="s">
        <v>2515</v>
      </c>
      <c r="B1604" s="4" t="s">
        <v>484</v>
      </c>
      <c r="C1604" s="4" t="s">
        <v>898</v>
      </c>
      <c r="D1604" s="4">
        <v>3</v>
      </c>
      <c r="E1604" s="6">
        <v>27000</v>
      </c>
      <c r="F1604" t="str">
        <f>VLOOKUP(C1604,menu!A:B,2,FALSE)</f>
        <v>Ayam Geprek Sambal Bawang</v>
      </c>
      <c r="G1604">
        <f t="shared" si="50"/>
        <v>81000</v>
      </c>
      <c r="H1604">
        <f>VLOOKUP(C1604,menu!A:E,4,FALSE)</f>
        <v>11000</v>
      </c>
      <c r="I1604">
        <f t="shared" si="51"/>
        <v>48000</v>
      </c>
    </row>
    <row r="1605" spans="1:9" x14ac:dyDescent="0.35">
      <c r="A1605" s="4" t="s">
        <v>2516</v>
      </c>
      <c r="B1605" s="4" t="s">
        <v>484</v>
      </c>
      <c r="C1605" s="4" t="s">
        <v>940</v>
      </c>
      <c r="D1605" s="4">
        <v>2</v>
      </c>
      <c r="E1605" s="6">
        <v>10000</v>
      </c>
      <c r="F1605" t="str">
        <f>VLOOKUP(C1605,menu!A:B,2,FALSE)</f>
        <v>Tahu Isi Goreng (5pcs)</v>
      </c>
      <c r="G1605">
        <f t="shared" si="50"/>
        <v>20000</v>
      </c>
      <c r="H1605">
        <f>VLOOKUP(C1605,menu!A:E,4,FALSE)</f>
        <v>3500</v>
      </c>
      <c r="I1605">
        <f t="shared" si="51"/>
        <v>13000</v>
      </c>
    </row>
    <row r="1606" spans="1:9" x14ac:dyDescent="0.35">
      <c r="A1606" s="4" t="s">
        <v>2517</v>
      </c>
      <c r="B1606" s="4" t="s">
        <v>34</v>
      </c>
      <c r="C1606" s="4" t="s">
        <v>940</v>
      </c>
      <c r="D1606" s="4">
        <v>1</v>
      </c>
      <c r="E1606" s="6">
        <v>10000</v>
      </c>
      <c r="F1606" t="str">
        <f>VLOOKUP(C1606,menu!A:B,2,FALSE)</f>
        <v>Tahu Isi Goreng (5pcs)</v>
      </c>
      <c r="G1606">
        <f t="shared" si="50"/>
        <v>10000</v>
      </c>
      <c r="H1606">
        <f>VLOOKUP(C1606,menu!A:E,4,FALSE)</f>
        <v>3500</v>
      </c>
      <c r="I1606">
        <f t="shared" si="51"/>
        <v>6500</v>
      </c>
    </row>
    <row r="1607" spans="1:9" x14ac:dyDescent="0.35">
      <c r="A1607" s="4" t="s">
        <v>2518</v>
      </c>
      <c r="B1607" s="4" t="s">
        <v>34</v>
      </c>
      <c r="C1607" s="4" t="s">
        <v>890</v>
      </c>
      <c r="D1607" s="4">
        <v>1</v>
      </c>
      <c r="E1607" s="6">
        <v>18000</v>
      </c>
      <c r="F1607" t="str">
        <f>VLOOKUP(C1607,menu!A:B,2,FALSE)</f>
        <v>Es Kopi Susu Gula Aren</v>
      </c>
      <c r="G1607">
        <f t="shared" si="50"/>
        <v>18000</v>
      </c>
      <c r="H1607">
        <f>VLOOKUP(C1607,menu!A:E,4,FALSE)</f>
        <v>4500</v>
      </c>
      <c r="I1607">
        <f t="shared" si="51"/>
        <v>13500</v>
      </c>
    </row>
    <row r="1608" spans="1:9" x14ac:dyDescent="0.35">
      <c r="A1608" s="4" t="s">
        <v>2519</v>
      </c>
      <c r="B1608" s="4" t="s">
        <v>121</v>
      </c>
      <c r="C1608" s="4" t="s">
        <v>892</v>
      </c>
      <c r="D1608" s="4">
        <v>3</v>
      </c>
      <c r="E1608" s="6">
        <v>9000</v>
      </c>
      <c r="F1608" t="str">
        <f>VLOOKUP(C1608,menu!A:B,2,FALSE)</f>
        <v>Tempe Mendoan (5pcs)</v>
      </c>
      <c r="G1608">
        <f t="shared" si="50"/>
        <v>27000</v>
      </c>
      <c r="H1608">
        <f>VLOOKUP(C1608,menu!A:E,4,FALSE)</f>
        <v>3000</v>
      </c>
      <c r="I1608">
        <f t="shared" si="51"/>
        <v>18000</v>
      </c>
    </row>
    <row r="1609" spans="1:9" x14ac:dyDescent="0.35">
      <c r="A1609" s="4" t="s">
        <v>2520</v>
      </c>
      <c r="B1609" s="4" t="s">
        <v>420</v>
      </c>
      <c r="C1609" s="4" t="s">
        <v>898</v>
      </c>
      <c r="D1609" s="4">
        <v>1</v>
      </c>
      <c r="E1609" s="6">
        <v>27000</v>
      </c>
      <c r="F1609" t="str">
        <f>VLOOKUP(C1609,menu!A:B,2,FALSE)</f>
        <v>Ayam Geprek Sambal Bawang</v>
      </c>
      <c r="G1609">
        <f t="shared" si="50"/>
        <v>27000</v>
      </c>
      <c r="H1609">
        <f>VLOOKUP(C1609,menu!A:E,4,FALSE)</f>
        <v>11000</v>
      </c>
      <c r="I1609">
        <f t="shared" si="51"/>
        <v>16000</v>
      </c>
    </row>
    <row r="1610" spans="1:9" x14ac:dyDescent="0.35">
      <c r="A1610" s="4" t="s">
        <v>2521</v>
      </c>
      <c r="B1610" s="4" t="s">
        <v>420</v>
      </c>
      <c r="C1610" s="4" t="s">
        <v>931</v>
      </c>
      <c r="D1610" s="4">
        <v>2</v>
      </c>
      <c r="E1610" s="6">
        <v>5000</v>
      </c>
      <c r="F1610" t="str">
        <f>VLOOKUP(C1610,menu!A:B,2,FALSE)</f>
        <v>Kerupuk Udang</v>
      </c>
      <c r="G1610">
        <f t="shared" si="50"/>
        <v>10000</v>
      </c>
      <c r="H1610">
        <f>VLOOKUP(C1610,menu!A:E,4,FALSE)</f>
        <v>1500</v>
      </c>
      <c r="I1610">
        <f t="shared" si="51"/>
        <v>7000</v>
      </c>
    </row>
    <row r="1611" spans="1:9" x14ac:dyDescent="0.35">
      <c r="A1611" s="4" t="s">
        <v>2522</v>
      </c>
      <c r="B1611" s="4" t="s">
        <v>420</v>
      </c>
      <c r="C1611" s="4" t="s">
        <v>1019</v>
      </c>
      <c r="D1611" s="4">
        <v>1</v>
      </c>
      <c r="E1611" s="6">
        <v>21000</v>
      </c>
      <c r="F1611" t="str">
        <f>VLOOKUP(C1611,menu!A:B,2,FALSE)</f>
        <v>Bakso Urat Spesial</v>
      </c>
      <c r="G1611">
        <f t="shared" si="50"/>
        <v>21000</v>
      </c>
      <c r="H1611">
        <f>VLOOKUP(C1611,menu!A:E,4,FALSE)</f>
        <v>8500</v>
      </c>
      <c r="I1611">
        <f t="shared" si="51"/>
        <v>12500</v>
      </c>
    </row>
    <row r="1612" spans="1:9" x14ac:dyDescent="0.35">
      <c r="A1612" s="4" t="s">
        <v>2523</v>
      </c>
      <c r="B1612" s="4" t="s">
        <v>420</v>
      </c>
      <c r="C1612" s="4" t="s">
        <v>935</v>
      </c>
      <c r="D1612" s="4">
        <v>1</v>
      </c>
      <c r="E1612" s="6">
        <v>22000</v>
      </c>
      <c r="F1612" t="str">
        <f>VLOOKUP(C1612,menu!A:B,2,FALSE)</f>
        <v>Soto Ayam Lamongan</v>
      </c>
      <c r="G1612">
        <f t="shared" si="50"/>
        <v>22000</v>
      </c>
      <c r="H1612">
        <f>VLOOKUP(C1612,menu!A:E,4,FALSE)</f>
        <v>9500</v>
      </c>
      <c r="I1612">
        <f t="shared" si="51"/>
        <v>12500</v>
      </c>
    </row>
    <row r="1613" spans="1:9" x14ac:dyDescent="0.35">
      <c r="A1613" s="4" t="s">
        <v>2524</v>
      </c>
      <c r="B1613" s="4" t="s">
        <v>109</v>
      </c>
      <c r="C1613" s="4" t="s">
        <v>935</v>
      </c>
      <c r="D1613" s="4">
        <v>1</v>
      </c>
      <c r="E1613" s="6">
        <v>22000</v>
      </c>
      <c r="F1613" t="str">
        <f>VLOOKUP(C1613,menu!A:B,2,FALSE)</f>
        <v>Soto Ayam Lamongan</v>
      </c>
      <c r="G1613">
        <f t="shared" si="50"/>
        <v>22000</v>
      </c>
      <c r="H1613">
        <f>VLOOKUP(C1613,menu!A:E,4,FALSE)</f>
        <v>9500</v>
      </c>
      <c r="I1613">
        <f t="shared" si="51"/>
        <v>12500</v>
      </c>
    </row>
    <row r="1614" spans="1:9" x14ac:dyDescent="0.35">
      <c r="A1614" s="4" t="s">
        <v>2525</v>
      </c>
      <c r="B1614" s="4" t="s">
        <v>634</v>
      </c>
      <c r="C1614" s="4" t="s">
        <v>898</v>
      </c>
      <c r="D1614" s="4">
        <v>1</v>
      </c>
      <c r="E1614" s="6">
        <v>27000</v>
      </c>
      <c r="F1614" t="str">
        <f>VLOOKUP(C1614,menu!A:B,2,FALSE)</f>
        <v>Ayam Geprek Sambal Bawang</v>
      </c>
      <c r="G1614">
        <f t="shared" si="50"/>
        <v>27000</v>
      </c>
      <c r="H1614">
        <f>VLOOKUP(C1614,menu!A:E,4,FALSE)</f>
        <v>11000</v>
      </c>
      <c r="I1614">
        <f t="shared" si="51"/>
        <v>16000</v>
      </c>
    </row>
    <row r="1615" spans="1:9" x14ac:dyDescent="0.35">
      <c r="A1615" s="4" t="s">
        <v>2526</v>
      </c>
      <c r="B1615" s="4" t="s">
        <v>210</v>
      </c>
      <c r="C1615" s="4" t="s">
        <v>916</v>
      </c>
      <c r="D1615" s="4">
        <v>1</v>
      </c>
      <c r="E1615" s="6">
        <v>9000</v>
      </c>
      <c r="F1615" t="str">
        <f>VLOOKUP(C1615,menu!A:B,2,FALSE)</f>
        <v>Kopi Hitam Tubruk</v>
      </c>
      <c r="G1615">
        <f t="shared" si="50"/>
        <v>9000</v>
      </c>
      <c r="H1615">
        <f>VLOOKUP(C1615,menu!A:E,4,FALSE)</f>
        <v>2000</v>
      </c>
      <c r="I1615">
        <f t="shared" si="51"/>
        <v>7000</v>
      </c>
    </row>
    <row r="1616" spans="1:9" x14ac:dyDescent="0.35">
      <c r="A1616" s="4" t="s">
        <v>2527</v>
      </c>
      <c r="B1616" s="4" t="s">
        <v>210</v>
      </c>
      <c r="C1616" s="4" t="s">
        <v>898</v>
      </c>
      <c r="D1616" s="4">
        <v>1</v>
      </c>
      <c r="E1616" s="6">
        <v>27000</v>
      </c>
      <c r="F1616" t="str">
        <f>VLOOKUP(C1616,menu!A:B,2,FALSE)</f>
        <v>Ayam Geprek Sambal Bawang</v>
      </c>
      <c r="G1616">
        <f t="shared" si="50"/>
        <v>27000</v>
      </c>
      <c r="H1616">
        <f>VLOOKUP(C1616,menu!A:E,4,FALSE)</f>
        <v>11000</v>
      </c>
      <c r="I1616">
        <f t="shared" si="51"/>
        <v>16000</v>
      </c>
    </row>
    <row r="1617" spans="1:9" x14ac:dyDescent="0.35">
      <c r="A1617" s="4" t="s">
        <v>2528</v>
      </c>
      <c r="B1617" s="4" t="s">
        <v>210</v>
      </c>
      <c r="C1617" s="4" t="s">
        <v>902</v>
      </c>
      <c r="D1617" s="4">
        <v>1</v>
      </c>
      <c r="E1617" s="6">
        <v>12000</v>
      </c>
      <c r="F1617" t="str">
        <f>VLOOKUP(C1617,menu!A:B,2,FALSE)</f>
        <v>Teh Tarik</v>
      </c>
      <c r="G1617">
        <f t="shared" si="50"/>
        <v>12000</v>
      </c>
      <c r="H1617">
        <f>VLOOKUP(C1617,menu!A:E,4,FALSE)</f>
        <v>3000</v>
      </c>
      <c r="I1617">
        <f t="shared" si="51"/>
        <v>9000</v>
      </c>
    </row>
    <row r="1618" spans="1:9" x14ac:dyDescent="0.35">
      <c r="A1618" s="4" t="s">
        <v>2529</v>
      </c>
      <c r="B1618" s="4" t="s">
        <v>210</v>
      </c>
      <c r="C1618" s="4" t="s">
        <v>890</v>
      </c>
      <c r="D1618" s="4">
        <v>1</v>
      </c>
      <c r="E1618" s="6">
        <v>18000</v>
      </c>
      <c r="F1618" t="str">
        <f>VLOOKUP(C1618,menu!A:B,2,FALSE)</f>
        <v>Es Kopi Susu Gula Aren</v>
      </c>
      <c r="G1618">
        <f t="shared" si="50"/>
        <v>18000</v>
      </c>
      <c r="H1618">
        <f>VLOOKUP(C1618,menu!A:E,4,FALSE)</f>
        <v>4500</v>
      </c>
      <c r="I1618">
        <f t="shared" si="51"/>
        <v>13500</v>
      </c>
    </row>
    <row r="1619" spans="1:9" x14ac:dyDescent="0.35">
      <c r="A1619" s="4" t="s">
        <v>2530</v>
      </c>
      <c r="B1619" s="4" t="s">
        <v>317</v>
      </c>
      <c r="C1619" s="4" t="s">
        <v>894</v>
      </c>
      <c r="D1619" s="4">
        <v>1</v>
      </c>
      <c r="E1619" s="6">
        <v>5000</v>
      </c>
      <c r="F1619" t="str">
        <f>VLOOKUP(C1619,menu!A:B,2,FALSE)</f>
        <v>Air Mineral Botol</v>
      </c>
      <c r="G1619">
        <f t="shared" si="50"/>
        <v>5000</v>
      </c>
      <c r="H1619">
        <f>VLOOKUP(C1619,menu!A:E,4,FALSE)</f>
        <v>2000</v>
      </c>
      <c r="I1619">
        <f t="shared" si="51"/>
        <v>3000</v>
      </c>
    </row>
    <row r="1620" spans="1:9" x14ac:dyDescent="0.35">
      <c r="A1620" s="4" t="s">
        <v>2531</v>
      </c>
      <c r="B1620" s="4" t="s">
        <v>317</v>
      </c>
      <c r="C1620" s="4" t="s">
        <v>890</v>
      </c>
      <c r="D1620" s="4">
        <v>1</v>
      </c>
      <c r="E1620" s="6">
        <v>18000</v>
      </c>
      <c r="F1620" t="str">
        <f>VLOOKUP(C1620,menu!A:B,2,FALSE)</f>
        <v>Es Kopi Susu Gula Aren</v>
      </c>
      <c r="G1620">
        <f t="shared" si="50"/>
        <v>18000</v>
      </c>
      <c r="H1620">
        <f>VLOOKUP(C1620,menu!A:E,4,FALSE)</f>
        <v>4500</v>
      </c>
      <c r="I1620">
        <f t="shared" si="51"/>
        <v>13500</v>
      </c>
    </row>
    <row r="1621" spans="1:9" x14ac:dyDescent="0.35">
      <c r="A1621" s="4" t="s">
        <v>2532</v>
      </c>
      <c r="B1621" s="4" t="s">
        <v>165</v>
      </c>
      <c r="C1621" s="4" t="s">
        <v>898</v>
      </c>
      <c r="D1621" s="4">
        <v>1</v>
      </c>
      <c r="E1621" s="6">
        <v>27000</v>
      </c>
      <c r="F1621" t="str">
        <f>VLOOKUP(C1621,menu!A:B,2,FALSE)</f>
        <v>Ayam Geprek Sambal Bawang</v>
      </c>
      <c r="G1621">
        <f t="shared" si="50"/>
        <v>27000</v>
      </c>
      <c r="H1621">
        <f>VLOOKUP(C1621,menu!A:E,4,FALSE)</f>
        <v>11000</v>
      </c>
      <c r="I1621">
        <f t="shared" si="51"/>
        <v>16000</v>
      </c>
    </row>
    <row r="1622" spans="1:9" x14ac:dyDescent="0.35">
      <c r="A1622" s="4" t="s">
        <v>2533</v>
      </c>
      <c r="B1622" s="4" t="s">
        <v>62</v>
      </c>
      <c r="C1622" s="4" t="s">
        <v>890</v>
      </c>
      <c r="D1622" s="4">
        <v>1</v>
      </c>
      <c r="E1622" s="6">
        <v>18000</v>
      </c>
      <c r="F1622" t="str">
        <f>VLOOKUP(C1622,menu!A:B,2,FALSE)</f>
        <v>Es Kopi Susu Gula Aren</v>
      </c>
      <c r="G1622">
        <f t="shared" si="50"/>
        <v>18000</v>
      </c>
      <c r="H1622">
        <f>VLOOKUP(C1622,menu!A:E,4,FALSE)</f>
        <v>4500</v>
      </c>
      <c r="I1622">
        <f t="shared" si="51"/>
        <v>13500</v>
      </c>
    </row>
    <row r="1623" spans="1:9" x14ac:dyDescent="0.35">
      <c r="A1623" s="4" t="s">
        <v>2534</v>
      </c>
      <c r="B1623" s="4" t="s">
        <v>354</v>
      </c>
      <c r="C1623" s="4" t="s">
        <v>942</v>
      </c>
      <c r="D1623" s="4">
        <v>1</v>
      </c>
      <c r="E1623" s="6">
        <v>13000</v>
      </c>
      <c r="F1623" t="str">
        <f>VLOOKUP(C1623,menu!A:B,2,FALSE)</f>
        <v>Pisang Goreng Keju (4pcs)</v>
      </c>
      <c r="G1623">
        <f t="shared" si="50"/>
        <v>13000</v>
      </c>
      <c r="H1623">
        <f>VLOOKUP(C1623,menu!A:E,4,FALSE)</f>
        <v>4000</v>
      </c>
      <c r="I1623">
        <f t="shared" si="51"/>
        <v>9000</v>
      </c>
    </row>
    <row r="1624" spans="1:9" x14ac:dyDescent="0.35">
      <c r="A1624" s="4" t="s">
        <v>2535</v>
      </c>
      <c r="B1624" s="4" t="s">
        <v>354</v>
      </c>
      <c r="C1624" s="4" t="s">
        <v>898</v>
      </c>
      <c r="D1624" s="4">
        <v>1</v>
      </c>
      <c r="E1624" s="6">
        <v>27000</v>
      </c>
      <c r="F1624" t="str">
        <f>VLOOKUP(C1624,menu!A:B,2,FALSE)</f>
        <v>Ayam Geprek Sambal Bawang</v>
      </c>
      <c r="G1624">
        <f t="shared" si="50"/>
        <v>27000</v>
      </c>
      <c r="H1624">
        <f>VLOOKUP(C1624,menu!A:E,4,FALSE)</f>
        <v>11000</v>
      </c>
      <c r="I1624">
        <f t="shared" si="51"/>
        <v>16000</v>
      </c>
    </row>
    <row r="1625" spans="1:9" x14ac:dyDescent="0.35">
      <c r="A1625" s="4" t="s">
        <v>2536</v>
      </c>
      <c r="B1625" s="4" t="s">
        <v>354</v>
      </c>
      <c r="C1625" s="4" t="s">
        <v>892</v>
      </c>
      <c r="D1625" s="4">
        <v>1</v>
      </c>
      <c r="E1625" s="6">
        <v>9000</v>
      </c>
      <c r="F1625" t="str">
        <f>VLOOKUP(C1625,menu!A:B,2,FALSE)</f>
        <v>Tempe Mendoan (5pcs)</v>
      </c>
      <c r="G1625">
        <f t="shared" si="50"/>
        <v>9000</v>
      </c>
      <c r="H1625">
        <f>VLOOKUP(C1625,menu!A:E,4,FALSE)</f>
        <v>3000</v>
      </c>
      <c r="I1625">
        <f t="shared" si="51"/>
        <v>6000</v>
      </c>
    </row>
    <row r="1626" spans="1:9" x14ac:dyDescent="0.35">
      <c r="A1626" s="4" t="s">
        <v>2537</v>
      </c>
      <c r="B1626" s="4" t="s">
        <v>790</v>
      </c>
      <c r="C1626" s="4" t="s">
        <v>898</v>
      </c>
      <c r="D1626" s="4">
        <v>1</v>
      </c>
      <c r="E1626" s="6">
        <v>27000</v>
      </c>
      <c r="F1626" t="str">
        <f>VLOOKUP(C1626,menu!A:B,2,FALSE)</f>
        <v>Ayam Geprek Sambal Bawang</v>
      </c>
      <c r="G1626">
        <f t="shared" si="50"/>
        <v>27000</v>
      </c>
      <c r="H1626">
        <f>VLOOKUP(C1626,menu!A:E,4,FALSE)</f>
        <v>11000</v>
      </c>
      <c r="I1626">
        <f t="shared" si="51"/>
        <v>16000</v>
      </c>
    </row>
    <row r="1627" spans="1:9" x14ac:dyDescent="0.35">
      <c r="A1627" s="4" t="s">
        <v>2538</v>
      </c>
      <c r="B1627" s="4" t="s">
        <v>790</v>
      </c>
      <c r="C1627" s="4" t="s">
        <v>1019</v>
      </c>
      <c r="D1627" s="4">
        <v>1</v>
      </c>
      <c r="E1627" s="6">
        <v>21000</v>
      </c>
      <c r="F1627" t="str">
        <f>VLOOKUP(C1627,menu!A:B,2,FALSE)</f>
        <v>Bakso Urat Spesial</v>
      </c>
      <c r="G1627">
        <f t="shared" si="50"/>
        <v>21000</v>
      </c>
      <c r="H1627">
        <f>VLOOKUP(C1627,menu!A:E,4,FALSE)</f>
        <v>8500</v>
      </c>
      <c r="I1627">
        <f t="shared" si="51"/>
        <v>12500</v>
      </c>
    </row>
    <row r="1628" spans="1:9" x14ac:dyDescent="0.35">
      <c r="A1628" s="4" t="s">
        <v>2539</v>
      </c>
      <c r="B1628" s="4" t="s">
        <v>332</v>
      </c>
      <c r="C1628" s="4" t="s">
        <v>908</v>
      </c>
      <c r="D1628" s="4">
        <v>1</v>
      </c>
      <c r="E1628" s="6">
        <v>16000</v>
      </c>
      <c r="F1628" t="str">
        <f>VLOOKUP(C1628,menu!A:B,2,FALSE)</f>
        <v>Jus Alpukat</v>
      </c>
      <c r="G1628">
        <f t="shared" si="50"/>
        <v>16000</v>
      </c>
      <c r="H1628">
        <f>VLOOKUP(C1628,menu!A:E,4,FALSE)</f>
        <v>5500</v>
      </c>
      <c r="I1628">
        <f t="shared" si="51"/>
        <v>10500</v>
      </c>
    </row>
    <row r="1629" spans="1:9" x14ac:dyDescent="0.35">
      <c r="A1629" s="4" t="s">
        <v>2540</v>
      </c>
      <c r="B1629" s="4" t="s">
        <v>332</v>
      </c>
      <c r="C1629" s="4" t="s">
        <v>937</v>
      </c>
      <c r="D1629" s="4">
        <v>1</v>
      </c>
      <c r="E1629" s="6">
        <v>26000</v>
      </c>
      <c r="F1629" t="str">
        <f>VLOOKUP(C1629,menu!A:B,2,FALSE)</f>
        <v>Nasi Campur Bali</v>
      </c>
      <c r="G1629">
        <f t="shared" si="50"/>
        <v>26000</v>
      </c>
      <c r="H1629">
        <f>VLOOKUP(C1629,menu!A:E,4,FALSE)</f>
        <v>11500</v>
      </c>
      <c r="I1629">
        <f t="shared" si="51"/>
        <v>14500</v>
      </c>
    </row>
    <row r="1630" spans="1:9" x14ac:dyDescent="0.35">
      <c r="A1630" s="4" t="s">
        <v>2541</v>
      </c>
      <c r="B1630" s="4" t="s">
        <v>332</v>
      </c>
      <c r="C1630" s="4" t="s">
        <v>898</v>
      </c>
      <c r="D1630" s="4">
        <v>1</v>
      </c>
      <c r="E1630" s="6">
        <v>27000</v>
      </c>
      <c r="F1630" t="str">
        <f>VLOOKUP(C1630,menu!A:B,2,FALSE)</f>
        <v>Ayam Geprek Sambal Bawang</v>
      </c>
      <c r="G1630">
        <f t="shared" si="50"/>
        <v>27000</v>
      </c>
      <c r="H1630">
        <f>VLOOKUP(C1630,menu!A:E,4,FALSE)</f>
        <v>11000</v>
      </c>
      <c r="I1630">
        <f t="shared" si="51"/>
        <v>16000</v>
      </c>
    </row>
    <row r="1631" spans="1:9" x14ac:dyDescent="0.35">
      <c r="A1631" s="4" t="s">
        <v>2542</v>
      </c>
      <c r="B1631" s="4" t="s">
        <v>332</v>
      </c>
      <c r="C1631" s="4" t="s">
        <v>1003</v>
      </c>
      <c r="D1631" s="4">
        <v>3</v>
      </c>
      <c r="E1631" s="6">
        <v>29000</v>
      </c>
      <c r="F1631" t="str">
        <f>VLOOKUP(C1631,menu!A:B,2,FALSE)</f>
        <v>Capcay Seafood</v>
      </c>
      <c r="G1631">
        <f t="shared" si="50"/>
        <v>87000</v>
      </c>
      <c r="H1631">
        <f>VLOOKUP(C1631,menu!A:E,4,FALSE)</f>
        <v>13000</v>
      </c>
      <c r="I1631">
        <f t="shared" si="51"/>
        <v>48000</v>
      </c>
    </row>
    <row r="1632" spans="1:9" x14ac:dyDescent="0.35">
      <c r="A1632" s="4" t="s">
        <v>2543</v>
      </c>
      <c r="B1632" s="4" t="s">
        <v>452</v>
      </c>
      <c r="C1632" s="4" t="s">
        <v>898</v>
      </c>
      <c r="D1632" s="4">
        <v>1</v>
      </c>
      <c r="E1632" s="6">
        <v>27000</v>
      </c>
      <c r="F1632" t="str">
        <f>VLOOKUP(C1632,menu!A:B,2,FALSE)</f>
        <v>Ayam Geprek Sambal Bawang</v>
      </c>
      <c r="G1632">
        <f t="shared" si="50"/>
        <v>27000</v>
      </c>
      <c r="H1632">
        <f>VLOOKUP(C1632,menu!A:E,4,FALSE)</f>
        <v>11000</v>
      </c>
      <c r="I1632">
        <f t="shared" si="51"/>
        <v>16000</v>
      </c>
    </row>
    <row r="1633" spans="1:9" x14ac:dyDescent="0.35">
      <c r="A1633" s="4" t="s">
        <v>2544</v>
      </c>
      <c r="B1633" s="4" t="s">
        <v>452</v>
      </c>
      <c r="C1633" s="4" t="s">
        <v>892</v>
      </c>
      <c r="D1633" s="4">
        <v>1</v>
      </c>
      <c r="E1633" s="6">
        <v>9000</v>
      </c>
      <c r="F1633" t="str">
        <f>VLOOKUP(C1633,menu!A:B,2,FALSE)</f>
        <v>Tempe Mendoan (5pcs)</v>
      </c>
      <c r="G1633">
        <f t="shared" si="50"/>
        <v>9000</v>
      </c>
      <c r="H1633">
        <f>VLOOKUP(C1633,menu!A:E,4,FALSE)</f>
        <v>3000</v>
      </c>
      <c r="I1633">
        <f t="shared" si="51"/>
        <v>6000</v>
      </c>
    </row>
    <row r="1634" spans="1:9" x14ac:dyDescent="0.35">
      <c r="A1634" s="4" t="s">
        <v>2545</v>
      </c>
      <c r="B1634" s="4" t="s">
        <v>452</v>
      </c>
      <c r="C1634" s="4" t="s">
        <v>919</v>
      </c>
      <c r="D1634" s="4">
        <v>1</v>
      </c>
      <c r="E1634" s="6">
        <v>20000</v>
      </c>
      <c r="F1634" t="str">
        <f>VLOOKUP(C1634,menu!A:B,2,FALSE)</f>
        <v>Gado-Gado Jakarta</v>
      </c>
      <c r="G1634">
        <f t="shared" si="50"/>
        <v>20000</v>
      </c>
      <c r="H1634">
        <f>VLOOKUP(C1634,menu!A:E,4,FALSE)</f>
        <v>8000</v>
      </c>
      <c r="I1634">
        <f t="shared" si="51"/>
        <v>12000</v>
      </c>
    </row>
    <row r="1635" spans="1:9" x14ac:dyDescent="0.35">
      <c r="A1635" s="4" t="s">
        <v>2546</v>
      </c>
      <c r="B1635" s="4" t="s">
        <v>452</v>
      </c>
      <c r="C1635" s="4" t="s">
        <v>906</v>
      </c>
      <c r="D1635" s="4">
        <v>1</v>
      </c>
      <c r="E1635" s="6">
        <v>28000</v>
      </c>
      <c r="F1635" t="str">
        <f>VLOOKUP(C1635,menu!A:B,2,FALSE)</f>
        <v>Sate Ayam 10 Tusuk</v>
      </c>
      <c r="G1635">
        <f t="shared" si="50"/>
        <v>28000</v>
      </c>
      <c r="H1635">
        <f>VLOOKUP(C1635,menu!A:E,4,FALSE)</f>
        <v>12000</v>
      </c>
      <c r="I1635">
        <f t="shared" si="51"/>
        <v>16000</v>
      </c>
    </row>
    <row r="1636" spans="1:9" x14ac:dyDescent="0.35">
      <c r="A1636" s="4" t="s">
        <v>2547</v>
      </c>
      <c r="B1636" s="4" t="s">
        <v>264</v>
      </c>
      <c r="C1636" s="4" t="s">
        <v>898</v>
      </c>
      <c r="D1636" s="4">
        <v>1</v>
      </c>
      <c r="E1636" s="6">
        <v>27000</v>
      </c>
      <c r="F1636" t="str">
        <f>VLOOKUP(C1636,menu!A:B,2,FALSE)</f>
        <v>Ayam Geprek Sambal Bawang</v>
      </c>
      <c r="G1636">
        <f t="shared" si="50"/>
        <v>27000</v>
      </c>
      <c r="H1636">
        <f>VLOOKUP(C1636,menu!A:E,4,FALSE)</f>
        <v>11000</v>
      </c>
      <c r="I1636">
        <f t="shared" si="51"/>
        <v>16000</v>
      </c>
    </row>
    <row r="1637" spans="1:9" x14ac:dyDescent="0.35">
      <c r="A1637" s="4" t="s">
        <v>2548</v>
      </c>
      <c r="B1637" s="4" t="s">
        <v>264</v>
      </c>
      <c r="C1637" s="4" t="s">
        <v>892</v>
      </c>
      <c r="D1637" s="4">
        <v>1</v>
      </c>
      <c r="E1637" s="6">
        <v>9000</v>
      </c>
      <c r="F1637" t="str">
        <f>VLOOKUP(C1637,menu!A:B,2,FALSE)</f>
        <v>Tempe Mendoan (5pcs)</v>
      </c>
      <c r="G1637">
        <f t="shared" si="50"/>
        <v>9000</v>
      </c>
      <c r="H1637">
        <f>VLOOKUP(C1637,menu!A:E,4,FALSE)</f>
        <v>3000</v>
      </c>
      <c r="I1637">
        <f t="shared" si="51"/>
        <v>6000</v>
      </c>
    </row>
    <row r="1638" spans="1:9" x14ac:dyDescent="0.35">
      <c r="A1638" s="4" t="s">
        <v>2549</v>
      </c>
      <c r="B1638" s="4" t="s">
        <v>264</v>
      </c>
      <c r="C1638" s="4" t="s">
        <v>928</v>
      </c>
      <c r="D1638" s="4">
        <v>2</v>
      </c>
      <c r="E1638" s="6">
        <v>23000</v>
      </c>
      <c r="F1638" t="str">
        <f>VLOOKUP(C1638,menu!A:B,2,FALSE)</f>
        <v>Mie Goreng Jawa</v>
      </c>
      <c r="G1638">
        <f t="shared" si="50"/>
        <v>46000</v>
      </c>
      <c r="H1638">
        <f>VLOOKUP(C1638,menu!A:E,4,FALSE)</f>
        <v>8500</v>
      </c>
      <c r="I1638">
        <f t="shared" si="51"/>
        <v>29000</v>
      </c>
    </row>
    <row r="1639" spans="1:9" x14ac:dyDescent="0.35">
      <c r="A1639" s="4" t="s">
        <v>2550</v>
      </c>
      <c r="B1639" s="4" t="s">
        <v>588</v>
      </c>
      <c r="C1639" s="4" t="s">
        <v>890</v>
      </c>
      <c r="D1639" s="4">
        <v>1</v>
      </c>
      <c r="E1639" s="6">
        <v>18000</v>
      </c>
      <c r="F1639" t="str">
        <f>VLOOKUP(C1639,menu!A:B,2,FALSE)</f>
        <v>Es Kopi Susu Gula Aren</v>
      </c>
      <c r="G1639">
        <f t="shared" si="50"/>
        <v>18000</v>
      </c>
      <c r="H1639">
        <f>VLOOKUP(C1639,menu!A:E,4,FALSE)</f>
        <v>4500</v>
      </c>
      <c r="I1639">
        <f t="shared" si="51"/>
        <v>13500</v>
      </c>
    </row>
    <row r="1640" spans="1:9" x14ac:dyDescent="0.35">
      <c r="A1640" s="4" t="s">
        <v>2551</v>
      </c>
      <c r="B1640" s="4" t="s">
        <v>588</v>
      </c>
      <c r="C1640" s="4" t="s">
        <v>935</v>
      </c>
      <c r="D1640" s="4">
        <v>1</v>
      </c>
      <c r="E1640" s="6">
        <v>22000</v>
      </c>
      <c r="F1640" t="str">
        <f>VLOOKUP(C1640,menu!A:B,2,FALSE)</f>
        <v>Soto Ayam Lamongan</v>
      </c>
      <c r="G1640">
        <f t="shared" si="50"/>
        <v>22000</v>
      </c>
      <c r="H1640">
        <f>VLOOKUP(C1640,menu!A:E,4,FALSE)</f>
        <v>9500</v>
      </c>
      <c r="I1640">
        <f t="shared" si="51"/>
        <v>12500</v>
      </c>
    </row>
    <row r="1641" spans="1:9" x14ac:dyDescent="0.35">
      <c r="A1641" s="4" t="s">
        <v>2552</v>
      </c>
      <c r="B1641" s="4" t="s">
        <v>588</v>
      </c>
      <c r="C1641" s="4" t="s">
        <v>898</v>
      </c>
      <c r="D1641" s="4">
        <v>1</v>
      </c>
      <c r="E1641" s="6">
        <v>27000</v>
      </c>
      <c r="F1641" t="str">
        <f>VLOOKUP(C1641,menu!A:B,2,FALSE)</f>
        <v>Ayam Geprek Sambal Bawang</v>
      </c>
      <c r="G1641">
        <f t="shared" si="50"/>
        <v>27000</v>
      </c>
      <c r="H1641">
        <f>VLOOKUP(C1641,menu!A:E,4,FALSE)</f>
        <v>11000</v>
      </c>
      <c r="I1641">
        <f t="shared" si="51"/>
        <v>16000</v>
      </c>
    </row>
    <row r="1642" spans="1:9" x14ac:dyDescent="0.35">
      <c r="A1642" s="4" t="s">
        <v>2553</v>
      </c>
      <c r="B1642" s="4" t="s">
        <v>588</v>
      </c>
      <c r="C1642" s="4" t="s">
        <v>1003</v>
      </c>
      <c r="D1642" s="4">
        <v>1</v>
      </c>
      <c r="E1642" s="6">
        <v>29000</v>
      </c>
      <c r="F1642" t="str">
        <f>VLOOKUP(C1642,menu!A:B,2,FALSE)</f>
        <v>Capcay Seafood</v>
      </c>
      <c r="G1642">
        <f t="shared" si="50"/>
        <v>29000</v>
      </c>
      <c r="H1642">
        <f>VLOOKUP(C1642,menu!A:E,4,FALSE)</f>
        <v>13000</v>
      </c>
      <c r="I1642">
        <f t="shared" si="51"/>
        <v>16000</v>
      </c>
    </row>
    <row r="1643" spans="1:9" x14ac:dyDescent="0.35">
      <c r="A1643" s="4" t="s">
        <v>2554</v>
      </c>
      <c r="B1643" s="4" t="s">
        <v>377</v>
      </c>
      <c r="C1643" s="4" t="s">
        <v>894</v>
      </c>
      <c r="D1643" s="4">
        <v>1</v>
      </c>
      <c r="E1643" s="6">
        <v>5000</v>
      </c>
      <c r="F1643" t="str">
        <f>VLOOKUP(C1643,menu!A:B,2,FALSE)</f>
        <v>Air Mineral Botol</v>
      </c>
      <c r="G1643">
        <f t="shared" si="50"/>
        <v>5000</v>
      </c>
      <c r="H1643">
        <f>VLOOKUP(C1643,menu!A:E,4,FALSE)</f>
        <v>2000</v>
      </c>
      <c r="I1643">
        <f t="shared" si="51"/>
        <v>3000</v>
      </c>
    </row>
    <row r="1644" spans="1:9" x14ac:dyDescent="0.35">
      <c r="A1644" s="4" t="s">
        <v>2555</v>
      </c>
      <c r="B1644" s="4" t="s">
        <v>377</v>
      </c>
      <c r="C1644" s="4" t="s">
        <v>896</v>
      </c>
      <c r="D1644" s="4">
        <v>1</v>
      </c>
      <c r="E1644" s="6">
        <v>23000</v>
      </c>
      <c r="F1644" t="str">
        <f>VLOOKUP(C1644,menu!A:B,2,FALSE)</f>
        <v>Nasi Uduk Komplit</v>
      </c>
      <c r="G1644">
        <f t="shared" si="50"/>
        <v>23000</v>
      </c>
      <c r="H1644">
        <f>VLOOKUP(C1644,menu!A:E,4,FALSE)</f>
        <v>9000</v>
      </c>
      <c r="I1644">
        <f t="shared" si="51"/>
        <v>14000</v>
      </c>
    </row>
    <row r="1645" spans="1:9" x14ac:dyDescent="0.35">
      <c r="A1645" s="4" t="s">
        <v>2556</v>
      </c>
      <c r="B1645" s="4" t="s">
        <v>525</v>
      </c>
      <c r="C1645" s="4" t="s">
        <v>896</v>
      </c>
      <c r="D1645" s="4">
        <v>1</v>
      </c>
      <c r="E1645" s="6">
        <v>23000</v>
      </c>
      <c r="F1645" t="str">
        <f>VLOOKUP(C1645,menu!A:B,2,FALSE)</f>
        <v>Nasi Uduk Komplit</v>
      </c>
      <c r="G1645">
        <f t="shared" si="50"/>
        <v>23000</v>
      </c>
      <c r="H1645">
        <f>VLOOKUP(C1645,menu!A:E,4,FALSE)</f>
        <v>9000</v>
      </c>
      <c r="I1645">
        <f t="shared" si="51"/>
        <v>14000</v>
      </c>
    </row>
    <row r="1646" spans="1:9" x14ac:dyDescent="0.35">
      <c r="A1646" s="4" t="s">
        <v>2557</v>
      </c>
      <c r="B1646" s="4" t="s">
        <v>741</v>
      </c>
      <c r="C1646" s="4" t="s">
        <v>896</v>
      </c>
      <c r="D1646" s="4">
        <v>1</v>
      </c>
      <c r="E1646" s="6">
        <v>23000</v>
      </c>
      <c r="F1646" t="str">
        <f>VLOOKUP(C1646,menu!A:B,2,FALSE)</f>
        <v>Nasi Uduk Komplit</v>
      </c>
      <c r="G1646">
        <f t="shared" si="50"/>
        <v>23000</v>
      </c>
      <c r="H1646">
        <f>VLOOKUP(C1646,menu!A:E,4,FALSE)</f>
        <v>9000</v>
      </c>
      <c r="I1646">
        <f t="shared" si="51"/>
        <v>14000</v>
      </c>
    </row>
    <row r="1647" spans="1:9" x14ac:dyDescent="0.35">
      <c r="A1647" s="4" t="s">
        <v>2558</v>
      </c>
      <c r="B1647" s="4" t="s">
        <v>741</v>
      </c>
      <c r="C1647" s="4" t="s">
        <v>890</v>
      </c>
      <c r="D1647" s="4">
        <v>1</v>
      </c>
      <c r="E1647" s="6">
        <v>18000</v>
      </c>
      <c r="F1647" t="str">
        <f>VLOOKUP(C1647,menu!A:B,2,FALSE)</f>
        <v>Es Kopi Susu Gula Aren</v>
      </c>
      <c r="G1647">
        <f t="shared" si="50"/>
        <v>18000</v>
      </c>
      <c r="H1647">
        <f>VLOOKUP(C1647,menu!A:E,4,FALSE)</f>
        <v>4500</v>
      </c>
      <c r="I1647">
        <f t="shared" si="51"/>
        <v>13500</v>
      </c>
    </row>
    <row r="1648" spans="1:9" x14ac:dyDescent="0.35">
      <c r="A1648" s="4" t="s">
        <v>2559</v>
      </c>
      <c r="B1648" s="4" t="s">
        <v>741</v>
      </c>
      <c r="C1648" s="4" t="s">
        <v>898</v>
      </c>
      <c r="D1648" s="4">
        <v>1</v>
      </c>
      <c r="E1648" s="6">
        <v>27000</v>
      </c>
      <c r="F1648" t="str">
        <f>VLOOKUP(C1648,menu!A:B,2,FALSE)</f>
        <v>Ayam Geprek Sambal Bawang</v>
      </c>
      <c r="G1648">
        <f t="shared" si="50"/>
        <v>27000</v>
      </c>
      <c r="H1648">
        <f>VLOOKUP(C1648,menu!A:E,4,FALSE)</f>
        <v>11000</v>
      </c>
      <c r="I1648">
        <f t="shared" si="51"/>
        <v>16000</v>
      </c>
    </row>
    <row r="1649" spans="1:9" x14ac:dyDescent="0.35">
      <c r="A1649" s="4" t="s">
        <v>2560</v>
      </c>
      <c r="B1649" s="4" t="s">
        <v>51</v>
      </c>
      <c r="C1649" s="4" t="s">
        <v>898</v>
      </c>
      <c r="D1649" s="4">
        <v>2</v>
      </c>
      <c r="E1649" s="6">
        <v>27000</v>
      </c>
      <c r="F1649" t="str">
        <f>VLOOKUP(C1649,menu!A:B,2,FALSE)</f>
        <v>Ayam Geprek Sambal Bawang</v>
      </c>
      <c r="G1649">
        <f t="shared" si="50"/>
        <v>54000</v>
      </c>
      <c r="H1649">
        <f>VLOOKUP(C1649,menu!A:E,4,FALSE)</f>
        <v>11000</v>
      </c>
      <c r="I1649">
        <f t="shared" si="51"/>
        <v>32000</v>
      </c>
    </row>
    <row r="1650" spans="1:9" x14ac:dyDescent="0.35">
      <c r="A1650" s="4" t="s">
        <v>2561</v>
      </c>
      <c r="B1650" s="4" t="s">
        <v>51</v>
      </c>
      <c r="C1650" s="4" t="s">
        <v>892</v>
      </c>
      <c r="D1650" s="4">
        <v>1</v>
      </c>
      <c r="E1650" s="6">
        <v>9000</v>
      </c>
      <c r="F1650" t="str">
        <f>VLOOKUP(C1650,menu!A:B,2,FALSE)</f>
        <v>Tempe Mendoan (5pcs)</v>
      </c>
      <c r="G1650">
        <f t="shared" si="50"/>
        <v>9000</v>
      </c>
      <c r="H1650">
        <f>VLOOKUP(C1650,menu!A:E,4,FALSE)</f>
        <v>3000</v>
      </c>
      <c r="I1650">
        <f t="shared" si="51"/>
        <v>6000</v>
      </c>
    </row>
    <row r="1651" spans="1:9" x14ac:dyDescent="0.35">
      <c r="A1651" s="4" t="s">
        <v>2562</v>
      </c>
      <c r="B1651" s="4" t="s">
        <v>51</v>
      </c>
      <c r="C1651" s="4" t="s">
        <v>1019</v>
      </c>
      <c r="D1651" s="4">
        <v>1</v>
      </c>
      <c r="E1651" s="6">
        <v>21000</v>
      </c>
      <c r="F1651" t="str">
        <f>VLOOKUP(C1651,menu!A:B,2,FALSE)</f>
        <v>Bakso Urat Spesial</v>
      </c>
      <c r="G1651">
        <f t="shared" si="50"/>
        <v>21000</v>
      </c>
      <c r="H1651">
        <f>VLOOKUP(C1651,menu!A:E,4,FALSE)</f>
        <v>8500</v>
      </c>
      <c r="I1651">
        <f t="shared" si="51"/>
        <v>12500</v>
      </c>
    </row>
    <row r="1652" spans="1:9" x14ac:dyDescent="0.35">
      <c r="A1652" s="4" t="s">
        <v>2563</v>
      </c>
      <c r="B1652" s="4" t="s">
        <v>51</v>
      </c>
      <c r="C1652" s="4" t="s">
        <v>919</v>
      </c>
      <c r="D1652" s="4">
        <v>2</v>
      </c>
      <c r="E1652" s="6">
        <v>20000</v>
      </c>
      <c r="F1652" t="str">
        <f>VLOOKUP(C1652,menu!A:B,2,FALSE)</f>
        <v>Gado-Gado Jakarta</v>
      </c>
      <c r="G1652">
        <f t="shared" si="50"/>
        <v>40000</v>
      </c>
      <c r="H1652">
        <f>VLOOKUP(C1652,menu!A:E,4,FALSE)</f>
        <v>8000</v>
      </c>
      <c r="I1652">
        <f t="shared" si="51"/>
        <v>24000</v>
      </c>
    </row>
    <row r="1653" spans="1:9" x14ac:dyDescent="0.35">
      <c r="A1653" s="4" t="s">
        <v>2564</v>
      </c>
      <c r="B1653" s="4" t="s">
        <v>862</v>
      </c>
      <c r="C1653" s="4" t="s">
        <v>892</v>
      </c>
      <c r="D1653" s="4">
        <v>1</v>
      </c>
      <c r="E1653" s="6">
        <v>9000</v>
      </c>
      <c r="F1653" t="str">
        <f>VLOOKUP(C1653,menu!A:B,2,FALSE)</f>
        <v>Tempe Mendoan (5pcs)</v>
      </c>
      <c r="G1653">
        <f t="shared" si="50"/>
        <v>9000</v>
      </c>
      <c r="H1653">
        <f>VLOOKUP(C1653,menu!A:E,4,FALSE)</f>
        <v>3000</v>
      </c>
      <c r="I1653">
        <f t="shared" si="51"/>
        <v>6000</v>
      </c>
    </row>
    <row r="1654" spans="1:9" x14ac:dyDescent="0.35">
      <c r="A1654" s="4" t="s">
        <v>2565</v>
      </c>
      <c r="B1654" s="4" t="s">
        <v>862</v>
      </c>
      <c r="C1654" s="4" t="s">
        <v>898</v>
      </c>
      <c r="D1654" s="4">
        <v>2</v>
      </c>
      <c r="E1654" s="6">
        <v>27000</v>
      </c>
      <c r="F1654" t="str">
        <f>VLOOKUP(C1654,menu!A:B,2,FALSE)</f>
        <v>Ayam Geprek Sambal Bawang</v>
      </c>
      <c r="G1654">
        <f t="shared" si="50"/>
        <v>54000</v>
      </c>
      <c r="H1654">
        <f>VLOOKUP(C1654,menu!A:E,4,FALSE)</f>
        <v>11000</v>
      </c>
      <c r="I1654">
        <f t="shared" si="51"/>
        <v>32000</v>
      </c>
    </row>
    <row r="1655" spans="1:9" x14ac:dyDescent="0.35">
      <c r="A1655" s="4" t="s">
        <v>2566</v>
      </c>
      <c r="B1655" s="4" t="s">
        <v>862</v>
      </c>
      <c r="C1655" s="4" t="s">
        <v>906</v>
      </c>
      <c r="D1655" s="4">
        <v>2</v>
      </c>
      <c r="E1655" s="6">
        <v>28000</v>
      </c>
      <c r="F1655" t="str">
        <f>VLOOKUP(C1655,menu!A:B,2,FALSE)</f>
        <v>Sate Ayam 10 Tusuk</v>
      </c>
      <c r="G1655">
        <f t="shared" si="50"/>
        <v>56000</v>
      </c>
      <c r="H1655">
        <f>VLOOKUP(C1655,menu!A:E,4,FALSE)</f>
        <v>12000</v>
      </c>
      <c r="I1655">
        <f t="shared" si="51"/>
        <v>32000</v>
      </c>
    </row>
    <row r="1656" spans="1:9" x14ac:dyDescent="0.35">
      <c r="A1656" s="4" t="s">
        <v>2567</v>
      </c>
      <c r="B1656" s="4" t="s">
        <v>754</v>
      </c>
      <c r="C1656" s="4" t="s">
        <v>919</v>
      </c>
      <c r="D1656" s="4">
        <v>1</v>
      </c>
      <c r="E1656" s="6">
        <v>20000</v>
      </c>
      <c r="F1656" t="str">
        <f>VLOOKUP(C1656,menu!A:B,2,FALSE)</f>
        <v>Gado-Gado Jakarta</v>
      </c>
      <c r="G1656">
        <f t="shared" si="50"/>
        <v>20000</v>
      </c>
      <c r="H1656">
        <f>VLOOKUP(C1656,menu!A:E,4,FALSE)</f>
        <v>8000</v>
      </c>
      <c r="I1656">
        <f t="shared" si="51"/>
        <v>12000</v>
      </c>
    </row>
    <row r="1657" spans="1:9" x14ac:dyDescent="0.35">
      <c r="A1657" s="4" t="s">
        <v>2568</v>
      </c>
      <c r="B1657" s="4" t="s">
        <v>754</v>
      </c>
      <c r="C1657" s="4" t="s">
        <v>928</v>
      </c>
      <c r="D1657" s="4">
        <v>1</v>
      </c>
      <c r="E1657" s="6">
        <v>23000</v>
      </c>
      <c r="F1657" t="str">
        <f>VLOOKUP(C1657,menu!A:B,2,FALSE)</f>
        <v>Mie Goreng Jawa</v>
      </c>
      <c r="G1657">
        <f t="shared" si="50"/>
        <v>23000</v>
      </c>
      <c r="H1657">
        <f>VLOOKUP(C1657,menu!A:E,4,FALSE)</f>
        <v>8500</v>
      </c>
      <c r="I1657">
        <f t="shared" si="51"/>
        <v>14500</v>
      </c>
    </row>
    <row r="1658" spans="1:9" x14ac:dyDescent="0.35">
      <c r="A1658" s="4" t="s">
        <v>2569</v>
      </c>
      <c r="B1658" s="4" t="s">
        <v>441</v>
      </c>
      <c r="C1658" s="4" t="s">
        <v>898</v>
      </c>
      <c r="D1658" s="4">
        <v>1</v>
      </c>
      <c r="E1658" s="6">
        <v>27000</v>
      </c>
      <c r="F1658" t="str">
        <f>VLOOKUP(C1658,menu!A:B,2,FALSE)</f>
        <v>Ayam Geprek Sambal Bawang</v>
      </c>
      <c r="G1658">
        <f t="shared" si="50"/>
        <v>27000</v>
      </c>
      <c r="H1658">
        <f>VLOOKUP(C1658,menu!A:E,4,FALSE)</f>
        <v>11000</v>
      </c>
      <c r="I1658">
        <f t="shared" si="51"/>
        <v>16000</v>
      </c>
    </row>
    <row r="1659" spans="1:9" x14ac:dyDescent="0.35">
      <c r="A1659" s="4" t="s">
        <v>2570</v>
      </c>
      <c r="B1659" s="4" t="s">
        <v>437</v>
      </c>
      <c r="C1659" s="4" t="s">
        <v>894</v>
      </c>
      <c r="D1659" s="4">
        <v>2</v>
      </c>
      <c r="E1659" s="6">
        <v>5000</v>
      </c>
      <c r="F1659" t="str">
        <f>VLOOKUP(C1659,menu!A:B,2,FALSE)</f>
        <v>Air Mineral Botol</v>
      </c>
      <c r="G1659">
        <f t="shared" si="50"/>
        <v>10000</v>
      </c>
      <c r="H1659">
        <f>VLOOKUP(C1659,menu!A:E,4,FALSE)</f>
        <v>2000</v>
      </c>
      <c r="I1659">
        <f t="shared" si="51"/>
        <v>6000</v>
      </c>
    </row>
    <row r="1660" spans="1:9" x14ac:dyDescent="0.35">
      <c r="A1660" s="4" t="s">
        <v>2571</v>
      </c>
      <c r="B1660" s="4" t="s">
        <v>421</v>
      </c>
      <c r="C1660" s="4" t="s">
        <v>898</v>
      </c>
      <c r="D1660" s="4">
        <v>1</v>
      </c>
      <c r="E1660" s="6">
        <v>27000</v>
      </c>
      <c r="F1660" t="str">
        <f>VLOOKUP(C1660,menu!A:B,2,FALSE)</f>
        <v>Ayam Geprek Sambal Bawang</v>
      </c>
      <c r="G1660">
        <f t="shared" si="50"/>
        <v>27000</v>
      </c>
      <c r="H1660">
        <f>VLOOKUP(C1660,menu!A:E,4,FALSE)</f>
        <v>11000</v>
      </c>
      <c r="I1660">
        <f t="shared" si="51"/>
        <v>16000</v>
      </c>
    </row>
    <row r="1661" spans="1:9" x14ac:dyDescent="0.35">
      <c r="A1661" s="4" t="s">
        <v>2572</v>
      </c>
      <c r="B1661" s="4" t="s">
        <v>708</v>
      </c>
      <c r="C1661" s="4" t="s">
        <v>935</v>
      </c>
      <c r="D1661" s="4">
        <v>1</v>
      </c>
      <c r="E1661" s="6">
        <v>22000</v>
      </c>
      <c r="F1661" t="str">
        <f>VLOOKUP(C1661,menu!A:B,2,FALSE)</f>
        <v>Soto Ayam Lamongan</v>
      </c>
      <c r="G1661">
        <f t="shared" si="50"/>
        <v>22000</v>
      </c>
      <c r="H1661">
        <f>VLOOKUP(C1661,menu!A:E,4,FALSE)</f>
        <v>9500</v>
      </c>
      <c r="I1661">
        <f t="shared" si="51"/>
        <v>12500</v>
      </c>
    </row>
    <row r="1662" spans="1:9" x14ac:dyDescent="0.35">
      <c r="A1662" s="4" t="s">
        <v>2573</v>
      </c>
      <c r="B1662" s="4" t="s">
        <v>708</v>
      </c>
      <c r="C1662" s="4" t="s">
        <v>940</v>
      </c>
      <c r="D1662" s="4">
        <v>1</v>
      </c>
      <c r="E1662" s="6">
        <v>10000</v>
      </c>
      <c r="F1662" t="str">
        <f>VLOOKUP(C1662,menu!A:B,2,FALSE)</f>
        <v>Tahu Isi Goreng (5pcs)</v>
      </c>
      <c r="G1662">
        <f t="shared" si="50"/>
        <v>10000</v>
      </c>
      <c r="H1662">
        <f>VLOOKUP(C1662,menu!A:E,4,FALSE)</f>
        <v>3500</v>
      </c>
      <c r="I1662">
        <f t="shared" si="51"/>
        <v>6500</v>
      </c>
    </row>
    <row r="1663" spans="1:9" x14ac:dyDescent="0.35">
      <c r="A1663" s="4" t="s">
        <v>2574</v>
      </c>
      <c r="B1663" s="4" t="s">
        <v>708</v>
      </c>
      <c r="C1663" s="4" t="s">
        <v>908</v>
      </c>
      <c r="D1663" s="4">
        <v>1</v>
      </c>
      <c r="E1663" s="6">
        <v>16000</v>
      </c>
      <c r="F1663" t="str">
        <f>VLOOKUP(C1663,menu!A:B,2,FALSE)</f>
        <v>Jus Alpukat</v>
      </c>
      <c r="G1663">
        <f t="shared" si="50"/>
        <v>16000</v>
      </c>
      <c r="H1663">
        <f>VLOOKUP(C1663,menu!A:E,4,FALSE)</f>
        <v>5500</v>
      </c>
      <c r="I1663">
        <f t="shared" si="51"/>
        <v>10500</v>
      </c>
    </row>
    <row r="1664" spans="1:9" x14ac:dyDescent="0.35">
      <c r="A1664" s="4" t="s">
        <v>2575</v>
      </c>
      <c r="B1664" s="4" t="s">
        <v>708</v>
      </c>
      <c r="C1664" s="4" t="s">
        <v>898</v>
      </c>
      <c r="D1664" s="4">
        <v>3</v>
      </c>
      <c r="E1664" s="6">
        <v>27000</v>
      </c>
      <c r="F1664" t="str">
        <f>VLOOKUP(C1664,menu!A:B,2,FALSE)</f>
        <v>Ayam Geprek Sambal Bawang</v>
      </c>
      <c r="G1664">
        <f t="shared" si="50"/>
        <v>81000</v>
      </c>
      <c r="H1664">
        <f>VLOOKUP(C1664,menu!A:E,4,FALSE)</f>
        <v>11000</v>
      </c>
      <c r="I1664">
        <f t="shared" si="51"/>
        <v>48000</v>
      </c>
    </row>
    <row r="1665" spans="1:9" x14ac:dyDescent="0.35">
      <c r="A1665" s="4" t="s">
        <v>2576</v>
      </c>
      <c r="B1665" s="4" t="s">
        <v>458</v>
      </c>
      <c r="C1665" s="4" t="s">
        <v>898</v>
      </c>
      <c r="D1665" s="4">
        <v>3</v>
      </c>
      <c r="E1665" s="6">
        <v>27000</v>
      </c>
      <c r="F1665" t="str">
        <f>VLOOKUP(C1665,menu!A:B,2,FALSE)</f>
        <v>Ayam Geprek Sambal Bawang</v>
      </c>
      <c r="G1665">
        <f t="shared" si="50"/>
        <v>81000</v>
      </c>
      <c r="H1665">
        <f>VLOOKUP(C1665,menu!A:E,4,FALSE)</f>
        <v>11000</v>
      </c>
      <c r="I1665">
        <f t="shared" si="51"/>
        <v>48000</v>
      </c>
    </row>
    <row r="1666" spans="1:9" x14ac:dyDescent="0.35">
      <c r="A1666" s="4" t="s">
        <v>2577</v>
      </c>
      <c r="B1666" s="4" t="s">
        <v>816</v>
      </c>
      <c r="C1666" s="4" t="s">
        <v>896</v>
      </c>
      <c r="D1666" s="4">
        <v>3</v>
      </c>
      <c r="E1666" s="6">
        <v>23000</v>
      </c>
      <c r="F1666" t="str">
        <f>VLOOKUP(C1666,menu!A:B,2,FALSE)</f>
        <v>Nasi Uduk Komplit</v>
      </c>
      <c r="G1666">
        <f t="shared" si="50"/>
        <v>69000</v>
      </c>
      <c r="H1666">
        <f>VLOOKUP(C1666,menu!A:E,4,FALSE)</f>
        <v>9000</v>
      </c>
      <c r="I1666">
        <f t="shared" si="51"/>
        <v>42000</v>
      </c>
    </row>
    <row r="1667" spans="1:9" x14ac:dyDescent="0.35">
      <c r="A1667" s="4" t="s">
        <v>2578</v>
      </c>
      <c r="B1667" s="4" t="s">
        <v>816</v>
      </c>
      <c r="C1667" s="4" t="s">
        <v>1059</v>
      </c>
      <c r="D1667" s="4">
        <v>2</v>
      </c>
      <c r="E1667" s="6">
        <v>6000</v>
      </c>
      <c r="F1667" t="str">
        <f>VLOOKUP(C1667,menu!A:B,2,FALSE)</f>
        <v>Es Teh Manis</v>
      </c>
      <c r="G1667">
        <f t="shared" ref="G1667:G1730" si="52">D1667*E1667</f>
        <v>12000</v>
      </c>
      <c r="H1667">
        <f>VLOOKUP(C1667,menu!A:E,4,FALSE)</f>
        <v>1500</v>
      </c>
      <c r="I1667">
        <f t="shared" ref="I1667:I1730" si="53">(E1667-H1667)*D1667</f>
        <v>9000</v>
      </c>
    </row>
    <row r="1668" spans="1:9" x14ac:dyDescent="0.35">
      <c r="A1668" s="4" t="s">
        <v>2579</v>
      </c>
      <c r="B1668" s="4" t="s">
        <v>816</v>
      </c>
      <c r="C1668" s="4" t="s">
        <v>955</v>
      </c>
      <c r="D1668" s="4">
        <v>1</v>
      </c>
      <c r="E1668" s="6">
        <v>15000</v>
      </c>
      <c r="F1668" t="str">
        <f>VLOOKUP(C1668,menu!A:B,2,FALSE)</f>
        <v>Es Campur</v>
      </c>
      <c r="G1668">
        <f t="shared" si="52"/>
        <v>15000</v>
      </c>
      <c r="H1668">
        <f>VLOOKUP(C1668,menu!A:E,4,FALSE)</f>
        <v>6000</v>
      </c>
      <c r="I1668">
        <f t="shared" si="53"/>
        <v>9000</v>
      </c>
    </row>
    <row r="1669" spans="1:9" x14ac:dyDescent="0.35">
      <c r="A1669" s="4" t="s">
        <v>2580</v>
      </c>
      <c r="B1669" s="4" t="s">
        <v>816</v>
      </c>
      <c r="C1669" s="4" t="s">
        <v>919</v>
      </c>
      <c r="D1669" s="4">
        <v>2</v>
      </c>
      <c r="E1669" s="6">
        <v>20000</v>
      </c>
      <c r="F1669" t="str">
        <f>VLOOKUP(C1669,menu!A:B,2,FALSE)</f>
        <v>Gado-Gado Jakarta</v>
      </c>
      <c r="G1669">
        <f t="shared" si="52"/>
        <v>40000</v>
      </c>
      <c r="H1669">
        <f>VLOOKUP(C1669,menu!A:E,4,FALSE)</f>
        <v>8000</v>
      </c>
      <c r="I1669">
        <f t="shared" si="53"/>
        <v>24000</v>
      </c>
    </row>
    <row r="1670" spans="1:9" x14ac:dyDescent="0.35">
      <c r="A1670" s="4" t="s">
        <v>2581</v>
      </c>
      <c r="B1670" s="4" t="s">
        <v>816</v>
      </c>
      <c r="C1670" s="4" t="s">
        <v>902</v>
      </c>
      <c r="D1670" s="4">
        <v>1</v>
      </c>
      <c r="E1670" s="6">
        <v>12000</v>
      </c>
      <c r="F1670" t="str">
        <f>VLOOKUP(C1670,menu!A:B,2,FALSE)</f>
        <v>Teh Tarik</v>
      </c>
      <c r="G1670">
        <f t="shared" si="52"/>
        <v>12000</v>
      </c>
      <c r="H1670">
        <f>VLOOKUP(C1670,menu!A:E,4,FALSE)</f>
        <v>3000</v>
      </c>
      <c r="I1670">
        <f t="shared" si="53"/>
        <v>9000</v>
      </c>
    </row>
    <row r="1671" spans="1:9" x14ac:dyDescent="0.35">
      <c r="A1671" s="4" t="s">
        <v>2582</v>
      </c>
      <c r="B1671" s="4" t="s">
        <v>181</v>
      </c>
      <c r="C1671" s="4" t="s">
        <v>898</v>
      </c>
      <c r="D1671" s="4">
        <v>1</v>
      </c>
      <c r="E1671" s="6">
        <v>27000</v>
      </c>
      <c r="F1671" t="str">
        <f>VLOOKUP(C1671,menu!A:B,2,FALSE)</f>
        <v>Ayam Geprek Sambal Bawang</v>
      </c>
      <c r="G1671">
        <f t="shared" si="52"/>
        <v>27000</v>
      </c>
      <c r="H1671">
        <f>VLOOKUP(C1671,menu!A:E,4,FALSE)</f>
        <v>11000</v>
      </c>
      <c r="I1671">
        <f t="shared" si="53"/>
        <v>16000</v>
      </c>
    </row>
    <row r="1672" spans="1:9" x14ac:dyDescent="0.35">
      <c r="A1672" s="4" t="s">
        <v>2583</v>
      </c>
      <c r="B1672" s="4" t="s">
        <v>181</v>
      </c>
      <c r="C1672" s="4" t="s">
        <v>890</v>
      </c>
      <c r="D1672" s="4">
        <v>1</v>
      </c>
      <c r="E1672" s="6">
        <v>18000</v>
      </c>
      <c r="F1672" t="str">
        <f>VLOOKUP(C1672,menu!A:B,2,FALSE)</f>
        <v>Es Kopi Susu Gula Aren</v>
      </c>
      <c r="G1672">
        <f t="shared" si="52"/>
        <v>18000</v>
      </c>
      <c r="H1672">
        <f>VLOOKUP(C1672,menu!A:E,4,FALSE)</f>
        <v>4500</v>
      </c>
      <c r="I1672">
        <f t="shared" si="53"/>
        <v>13500</v>
      </c>
    </row>
    <row r="1673" spans="1:9" x14ac:dyDescent="0.35">
      <c r="A1673" s="4" t="s">
        <v>2584</v>
      </c>
      <c r="B1673" s="4" t="s">
        <v>181</v>
      </c>
      <c r="C1673" s="4" t="s">
        <v>892</v>
      </c>
      <c r="D1673" s="4">
        <v>1</v>
      </c>
      <c r="E1673" s="6">
        <v>9000</v>
      </c>
      <c r="F1673" t="str">
        <f>VLOOKUP(C1673,menu!A:B,2,FALSE)</f>
        <v>Tempe Mendoan (5pcs)</v>
      </c>
      <c r="G1673">
        <f t="shared" si="52"/>
        <v>9000</v>
      </c>
      <c r="H1673">
        <f>VLOOKUP(C1673,menu!A:E,4,FALSE)</f>
        <v>3000</v>
      </c>
      <c r="I1673">
        <f t="shared" si="53"/>
        <v>6000</v>
      </c>
    </row>
    <row r="1674" spans="1:9" x14ac:dyDescent="0.35">
      <c r="A1674" s="4" t="s">
        <v>2585</v>
      </c>
      <c r="B1674" s="4" t="s">
        <v>428</v>
      </c>
      <c r="C1674" s="4" t="s">
        <v>940</v>
      </c>
      <c r="D1674" s="4">
        <v>1</v>
      </c>
      <c r="E1674" s="6">
        <v>10000</v>
      </c>
      <c r="F1674" t="str">
        <f>VLOOKUP(C1674,menu!A:B,2,FALSE)</f>
        <v>Tahu Isi Goreng (5pcs)</v>
      </c>
      <c r="G1674">
        <f t="shared" si="52"/>
        <v>10000</v>
      </c>
      <c r="H1674">
        <f>VLOOKUP(C1674,menu!A:E,4,FALSE)</f>
        <v>3500</v>
      </c>
      <c r="I1674">
        <f t="shared" si="53"/>
        <v>6500</v>
      </c>
    </row>
    <row r="1675" spans="1:9" x14ac:dyDescent="0.35">
      <c r="A1675" s="4" t="s">
        <v>2586</v>
      </c>
      <c r="B1675" s="4" t="s">
        <v>828</v>
      </c>
      <c r="C1675" s="4" t="s">
        <v>898</v>
      </c>
      <c r="D1675" s="4">
        <v>1</v>
      </c>
      <c r="E1675" s="6">
        <v>27000</v>
      </c>
      <c r="F1675" t="str">
        <f>VLOOKUP(C1675,menu!A:B,2,FALSE)</f>
        <v>Ayam Geprek Sambal Bawang</v>
      </c>
      <c r="G1675">
        <f t="shared" si="52"/>
        <v>27000</v>
      </c>
      <c r="H1675">
        <f>VLOOKUP(C1675,menu!A:E,4,FALSE)</f>
        <v>11000</v>
      </c>
      <c r="I1675">
        <f t="shared" si="53"/>
        <v>16000</v>
      </c>
    </row>
    <row r="1676" spans="1:9" x14ac:dyDescent="0.35">
      <c r="A1676" s="4" t="s">
        <v>2587</v>
      </c>
      <c r="B1676" s="4" t="s">
        <v>76</v>
      </c>
      <c r="C1676" s="4" t="s">
        <v>898</v>
      </c>
      <c r="D1676" s="4">
        <v>1</v>
      </c>
      <c r="E1676" s="6">
        <v>27000</v>
      </c>
      <c r="F1676" t="str">
        <f>VLOOKUP(C1676,menu!A:B,2,FALSE)</f>
        <v>Ayam Geprek Sambal Bawang</v>
      </c>
      <c r="G1676">
        <f t="shared" si="52"/>
        <v>27000</v>
      </c>
      <c r="H1676">
        <f>VLOOKUP(C1676,menu!A:E,4,FALSE)</f>
        <v>11000</v>
      </c>
      <c r="I1676">
        <f t="shared" si="53"/>
        <v>16000</v>
      </c>
    </row>
    <row r="1677" spans="1:9" x14ac:dyDescent="0.35">
      <c r="A1677" s="4" t="s">
        <v>2588</v>
      </c>
      <c r="B1677" s="4" t="s">
        <v>771</v>
      </c>
      <c r="C1677" s="4" t="s">
        <v>908</v>
      </c>
      <c r="D1677" s="4">
        <v>1</v>
      </c>
      <c r="E1677" s="6">
        <v>16000</v>
      </c>
      <c r="F1677" t="str">
        <f>VLOOKUP(C1677,menu!A:B,2,FALSE)</f>
        <v>Jus Alpukat</v>
      </c>
      <c r="G1677">
        <f t="shared" si="52"/>
        <v>16000</v>
      </c>
      <c r="H1677">
        <f>VLOOKUP(C1677,menu!A:E,4,FALSE)</f>
        <v>5500</v>
      </c>
      <c r="I1677">
        <f t="shared" si="53"/>
        <v>10500</v>
      </c>
    </row>
    <row r="1678" spans="1:9" x14ac:dyDescent="0.35">
      <c r="A1678" s="4" t="s">
        <v>2589</v>
      </c>
      <c r="B1678" s="4" t="s">
        <v>771</v>
      </c>
      <c r="C1678" s="4" t="s">
        <v>894</v>
      </c>
      <c r="D1678" s="4">
        <v>1</v>
      </c>
      <c r="E1678" s="6">
        <v>5000</v>
      </c>
      <c r="F1678" t="str">
        <f>VLOOKUP(C1678,menu!A:B,2,FALSE)</f>
        <v>Air Mineral Botol</v>
      </c>
      <c r="G1678">
        <f t="shared" si="52"/>
        <v>5000</v>
      </c>
      <c r="H1678">
        <f>VLOOKUP(C1678,menu!A:E,4,FALSE)</f>
        <v>2000</v>
      </c>
      <c r="I1678">
        <f t="shared" si="53"/>
        <v>3000</v>
      </c>
    </row>
    <row r="1679" spans="1:9" x14ac:dyDescent="0.35">
      <c r="A1679" s="4" t="s">
        <v>2590</v>
      </c>
      <c r="B1679" s="4" t="s">
        <v>771</v>
      </c>
      <c r="C1679" s="4" t="s">
        <v>916</v>
      </c>
      <c r="D1679" s="4">
        <v>1</v>
      </c>
      <c r="E1679" s="6">
        <v>9000</v>
      </c>
      <c r="F1679" t="str">
        <f>VLOOKUP(C1679,menu!A:B,2,FALSE)</f>
        <v>Kopi Hitam Tubruk</v>
      </c>
      <c r="G1679">
        <f t="shared" si="52"/>
        <v>9000</v>
      </c>
      <c r="H1679">
        <f>VLOOKUP(C1679,menu!A:E,4,FALSE)</f>
        <v>2000</v>
      </c>
      <c r="I1679">
        <f t="shared" si="53"/>
        <v>7000</v>
      </c>
    </row>
    <row r="1680" spans="1:9" x14ac:dyDescent="0.35">
      <c r="A1680" s="4" t="s">
        <v>2591</v>
      </c>
      <c r="B1680" s="4" t="s">
        <v>774</v>
      </c>
      <c r="C1680" s="4" t="s">
        <v>898</v>
      </c>
      <c r="D1680" s="4">
        <v>1</v>
      </c>
      <c r="E1680" s="6">
        <v>27000</v>
      </c>
      <c r="F1680" t="str">
        <f>VLOOKUP(C1680,menu!A:B,2,FALSE)</f>
        <v>Ayam Geprek Sambal Bawang</v>
      </c>
      <c r="G1680">
        <f t="shared" si="52"/>
        <v>27000</v>
      </c>
      <c r="H1680">
        <f>VLOOKUP(C1680,menu!A:E,4,FALSE)</f>
        <v>11000</v>
      </c>
      <c r="I1680">
        <f t="shared" si="53"/>
        <v>16000</v>
      </c>
    </row>
    <row r="1681" spans="1:9" x14ac:dyDescent="0.35">
      <c r="A1681" s="4" t="s">
        <v>2592</v>
      </c>
      <c r="B1681" s="4" t="s">
        <v>69</v>
      </c>
      <c r="C1681" s="4" t="s">
        <v>937</v>
      </c>
      <c r="D1681" s="4">
        <v>1</v>
      </c>
      <c r="E1681" s="6">
        <v>26000</v>
      </c>
      <c r="F1681" t="str">
        <f>VLOOKUP(C1681,menu!A:B,2,FALSE)</f>
        <v>Nasi Campur Bali</v>
      </c>
      <c r="G1681">
        <f t="shared" si="52"/>
        <v>26000</v>
      </c>
      <c r="H1681">
        <f>VLOOKUP(C1681,menu!A:E,4,FALSE)</f>
        <v>11500</v>
      </c>
      <c r="I1681">
        <f t="shared" si="53"/>
        <v>14500</v>
      </c>
    </row>
    <row r="1682" spans="1:9" x14ac:dyDescent="0.35">
      <c r="A1682" s="4" t="s">
        <v>2593</v>
      </c>
      <c r="B1682" s="4" t="s">
        <v>69</v>
      </c>
      <c r="C1682" s="4" t="s">
        <v>898</v>
      </c>
      <c r="D1682" s="4">
        <v>3</v>
      </c>
      <c r="E1682" s="6">
        <v>27000</v>
      </c>
      <c r="F1682" t="str">
        <f>VLOOKUP(C1682,menu!A:B,2,FALSE)</f>
        <v>Ayam Geprek Sambal Bawang</v>
      </c>
      <c r="G1682">
        <f t="shared" si="52"/>
        <v>81000</v>
      </c>
      <c r="H1682">
        <f>VLOOKUP(C1682,menu!A:E,4,FALSE)</f>
        <v>11000</v>
      </c>
      <c r="I1682">
        <f t="shared" si="53"/>
        <v>48000</v>
      </c>
    </row>
    <row r="1683" spans="1:9" x14ac:dyDescent="0.35">
      <c r="A1683" s="4" t="s">
        <v>2594</v>
      </c>
      <c r="B1683" s="4" t="s">
        <v>69</v>
      </c>
      <c r="C1683" s="4" t="s">
        <v>902</v>
      </c>
      <c r="D1683" s="4">
        <v>1</v>
      </c>
      <c r="E1683" s="6">
        <v>12000</v>
      </c>
      <c r="F1683" t="str">
        <f>VLOOKUP(C1683,menu!A:B,2,FALSE)</f>
        <v>Teh Tarik</v>
      </c>
      <c r="G1683">
        <f t="shared" si="52"/>
        <v>12000</v>
      </c>
      <c r="H1683">
        <f>VLOOKUP(C1683,menu!A:E,4,FALSE)</f>
        <v>3000</v>
      </c>
      <c r="I1683">
        <f t="shared" si="53"/>
        <v>9000</v>
      </c>
    </row>
    <row r="1684" spans="1:9" x14ac:dyDescent="0.35">
      <c r="A1684" s="4" t="s">
        <v>2595</v>
      </c>
      <c r="B1684" s="4" t="s">
        <v>69</v>
      </c>
      <c r="C1684" s="4" t="s">
        <v>892</v>
      </c>
      <c r="D1684" s="4">
        <v>1</v>
      </c>
      <c r="E1684" s="6">
        <v>9000</v>
      </c>
      <c r="F1684" t="str">
        <f>VLOOKUP(C1684,menu!A:B,2,FALSE)</f>
        <v>Tempe Mendoan (5pcs)</v>
      </c>
      <c r="G1684">
        <f t="shared" si="52"/>
        <v>9000</v>
      </c>
      <c r="H1684">
        <f>VLOOKUP(C1684,menu!A:E,4,FALSE)</f>
        <v>3000</v>
      </c>
      <c r="I1684">
        <f t="shared" si="53"/>
        <v>6000</v>
      </c>
    </row>
    <row r="1685" spans="1:9" x14ac:dyDescent="0.35">
      <c r="A1685" s="4" t="s">
        <v>2596</v>
      </c>
      <c r="B1685" s="4" t="s">
        <v>194</v>
      </c>
      <c r="C1685" s="4" t="s">
        <v>898</v>
      </c>
      <c r="D1685" s="4">
        <v>1</v>
      </c>
      <c r="E1685" s="6">
        <v>27000</v>
      </c>
      <c r="F1685" t="str">
        <f>VLOOKUP(C1685,menu!A:B,2,FALSE)</f>
        <v>Ayam Geprek Sambal Bawang</v>
      </c>
      <c r="G1685">
        <f t="shared" si="52"/>
        <v>27000</v>
      </c>
      <c r="H1685">
        <f>VLOOKUP(C1685,menu!A:E,4,FALSE)</f>
        <v>11000</v>
      </c>
      <c r="I1685">
        <f t="shared" si="53"/>
        <v>16000</v>
      </c>
    </row>
    <row r="1686" spans="1:9" x14ac:dyDescent="0.35">
      <c r="A1686" s="4" t="s">
        <v>2597</v>
      </c>
      <c r="B1686" s="4" t="s">
        <v>194</v>
      </c>
      <c r="C1686" s="4" t="s">
        <v>894</v>
      </c>
      <c r="D1686" s="4">
        <v>1</v>
      </c>
      <c r="E1686" s="6">
        <v>5000</v>
      </c>
      <c r="F1686" t="str">
        <f>VLOOKUP(C1686,menu!A:B,2,FALSE)</f>
        <v>Air Mineral Botol</v>
      </c>
      <c r="G1686">
        <f t="shared" si="52"/>
        <v>5000</v>
      </c>
      <c r="H1686">
        <f>VLOOKUP(C1686,menu!A:E,4,FALSE)</f>
        <v>2000</v>
      </c>
      <c r="I1686">
        <f t="shared" si="53"/>
        <v>3000</v>
      </c>
    </row>
    <row r="1687" spans="1:9" x14ac:dyDescent="0.35">
      <c r="A1687" s="4" t="s">
        <v>2598</v>
      </c>
      <c r="B1687" s="4" t="s">
        <v>194</v>
      </c>
      <c r="C1687" s="4" t="s">
        <v>931</v>
      </c>
      <c r="D1687" s="4">
        <v>2</v>
      </c>
      <c r="E1687" s="6">
        <v>5000</v>
      </c>
      <c r="F1687" t="str">
        <f>VLOOKUP(C1687,menu!A:B,2,FALSE)</f>
        <v>Kerupuk Udang</v>
      </c>
      <c r="G1687">
        <f t="shared" si="52"/>
        <v>10000</v>
      </c>
      <c r="H1687">
        <f>VLOOKUP(C1687,menu!A:E,4,FALSE)</f>
        <v>1500</v>
      </c>
      <c r="I1687">
        <f t="shared" si="53"/>
        <v>7000</v>
      </c>
    </row>
    <row r="1688" spans="1:9" x14ac:dyDescent="0.35">
      <c r="A1688" s="4" t="s">
        <v>2599</v>
      </c>
      <c r="B1688" s="4" t="s">
        <v>194</v>
      </c>
      <c r="C1688" s="4" t="s">
        <v>890</v>
      </c>
      <c r="D1688" s="4">
        <v>1</v>
      </c>
      <c r="E1688" s="6">
        <v>18000</v>
      </c>
      <c r="F1688" t="str">
        <f>VLOOKUP(C1688,menu!A:B,2,FALSE)</f>
        <v>Es Kopi Susu Gula Aren</v>
      </c>
      <c r="G1688">
        <f t="shared" si="52"/>
        <v>18000</v>
      </c>
      <c r="H1688">
        <f>VLOOKUP(C1688,menu!A:E,4,FALSE)</f>
        <v>4500</v>
      </c>
      <c r="I1688">
        <f t="shared" si="53"/>
        <v>13500</v>
      </c>
    </row>
    <row r="1689" spans="1:9" x14ac:dyDescent="0.35">
      <c r="A1689" s="4" t="s">
        <v>2600</v>
      </c>
      <c r="B1689" s="4" t="s">
        <v>383</v>
      </c>
      <c r="C1689" s="4" t="s">
        <v>898</v>
      </c>
      <c r="D1689" s="4">
        <v>1</v>
      </c>
      <c r="E1689" s="6">
        <v>27000</v>
      </c>
      <c r="F1689" t="str">
        <f>VLOOKUP(C1689,menu!A:B,2,FALSE)</f>
        <v>Ayam Geprek Sambal Bawang</v>
      </c>
      <c r="G1689">
        <f t="shared" si="52"/>
        <v>27000</v>
      </c>
      <c r="H1689">
        <f>VLOOKUP(C1689,menu!A:E,4,FALSE)</f>
        <v>11000</v>
      </c>
      <c r="I1689">
        <f t="shared" si="53"/>
        <v>16000</v>
      </c>
    </row>
    <row r="1690" spans="1:9" x14ac:dyDescent="0.35">
      <c r="A1690" s="4" t="s">
        <v>2601</v>
      </c>
      <c r="B1690" s="4" t="s">
        <v>800</v>
      </c>
      <c r="C1690" s="4" t="s">
        <v>894</v>
      </c>
      <c r="D1690" s="4">
        <v>1</v>
      </c>
      <c r="E1690" s="6">
        <v>5000</v>
      </c>
      <c r="F1690" t="str">
        <f>VLOOKUP(C1690,menu!A:B,2,FALSE)</f>
        <v>Air Mineral Botol</v>
      </c>
      <c r="G1690">
        <f t="shared" si="52"/>
        <v>5000</v>
      </c>
      <c r="H1690">
        <f>VLOOKUP(C1690,menu!A:E,4,FALSE)</f>
        <v>2000</v>
      </c>
      <c r="I1690">
        <f t="shared" si="53"/>
        <v>3000</v>
      </c>
    </row>
    <row r="1691" spans="1:9" x14ac:dyDescent="0.35">
      <c r="A1691" s="4" t="s">
        <v>2602</v>
      </c>
      <c r="B1691" s="4" t="s">
        <v>800</v>
      </c>
      <c r="C1691" s="4" t="s">
        <v>919</v>
      </c>
      <c r="D1691" s="4">
        <v>1</v>
      </c>
      <c r="E1691" s="6">
        <v>20000</v>
      </c>
      <c r="F1691" t="str">
        <f>VLOOKUP(C1691,menu!A:B,2,FALSE)</f>
        <v>Gado-Gado Jakarta</v>
      </c>
      <c r="G1691">
        <f t="shared" si="52"/>
        <v>20000</v>
      </c>
      <c r="H1691">
        <f>VLOOKUP(C1691,menu!A:E,4,FALSE)</f>
        <v>8000</v>
      </c>
      <c r="I1691">
        <f t="shared" si="53"/>
        <v>12000</v>
      </c>
    </row>
    <row r="1692" spans="1:9" x14ac:dyDescent="0.35">
      <c r="A1692" s="4" t="s">
        <v>2603</v>
      </c>
      <c r="B1692" s="4" t="s">
        <v>743</v>
      </c>
      <c r="C1692" s="4" t="s">
        <v>894</v>
      </c>
      <c r="D1692" s="4">
        <v>1</v>
      </c>
      <c r="E1692" s="6">
        <v>5000</v>
      </c>
      <c r="F1692" t="str">
        <f>VLOOKUP(C1692,menu!A:B,2,FALSE)</f>
        <v>Air Mineral Botol</v>
      </c>
      <c r="G1692">
        <f t="shared" si="52"/>
        <v>5000</v>
      </c>
      <c r="H1692">
        <f>VLOOKUP(C1692,menu!A:E,4,FALSE)</f>
        <v>2000</v>
      </c>
      <c r="I1692">
        <f t="shared" si="53"/>
        <v>3000</v>
      </c>
    </row>
    <row r="1693" spans="1:9" x14ac:dyDescent="0.35">
      <c r="A1693" s="4" t="s">
        <v>2604</v>
      </c>
      <c r="B1693" s="4" t="s">
        <v>662</v>
      </c>
      <c r="C1693" s="4" t="s">
        <v>898</v>
      </c>
      <c r="D1693" s="4">
        <v>2</v>
      </c>
      <c r="E1693" s="6">
        <v>27000</v>
      </c>
      <c r="F1693" t="str">
        <f>VLOOKUP(C1693,menu!A:B,2,FALSE)</f>
        <v>Ayam Geprek Sambal Bawang</v>
      </c>
      <c r="G1693">
        <f t="shared" si="52"/>
        <v>54000</v>
      </c>
      <c r="H1693">
        <f>VLOOKUP(C1693,menu!A:E,4,FALSE)</f>
        <v>11000</v>
      </c>
      <c r="I1693">
        <f t="shared" si="53"/>
        <v>32000</v>
      </c>
    </row>
    <row r="1694" spans="1:9" x14ac:dyDescent="0.35">
      <c r="A1694" s="4" t="s">
        <v>2605</v>
      </c>
      <c r="B1694" s="4" t="s">
        <v>662</v>
      </c>
      <c r="C1694" s="4" t="s">
        <v>916</v>
      </c>
      <c r="D1694" s="4">
        <v>1</v>
      </c>
      <c r="E1694" s="6">
        <v>9000</v>
      </c>
      <c r="F1694" t="str">
        <f>VLOOKUP(C1694,menu!A:B,2,FALSE)</f>
        <v>Kopi Hitam Tubruk</v>
      </c>
      <c r="G1694">
        <f t="shared" si="52"/>
        <v>9000</v>
      </c>
      <c r="H1694">
        <f>VLOOKUP(C1694,menu!A:E,4,FALSE)</f>
        <v>2000</v>
      </c>
      <c r="I1694">
        <f t="shared" si="53"/>
        <v>7000</v>
      </c>
    </row>
    <row r="1695" spans="1:9" x14ac:dyDescent="0.35">
      <c r="A1695" s="4" t="s">
        <v>2606</v>
      </c>
      <c r="B1695" s="4" t="s">
        <v>662</v>
      </c>
      <c r="C1695" s="4" t="s">
        <v>940</v>
      </c>
      <c r="D1695" s="4">
        <v>1</v>
      </c>
      <c r="E1695" s="6">
        <v>10000</v>
      </c>
      <c r="F1695" t="str">
        <f>VLOOKUP(C1695,menu!A:B,2,FALSE)</f>
        <v>Tahu Isi Goreng (5pcs)</v>
      </c>
      <c r="G1695">
        <f t="shared" si="52"/>
        <v>10000</v>
      </c>
      <c r="H1695">
        <f>VLOOKUP(C1695,menu!A:E,4,FALSE)</f>
        <v>3500</v>
      </c>
      <c r="I1695">
        <f t="shared" si="53"/>
        <v>6500</v>
      </c>
    </row>
    <row r="1696" spans="1:9" x14ac:dyDescent="0.35">
      <c r="A1696" s="4" t="s">
        <v>2607</v>
      </c>
      <c r="B1696" s="4" t="s">
        <v>229</v>
      </c>
      <c r="C1696" s="4" t="s">
        <v>1003</v>
      </c>
      <c r="D1696" s="4">
        <v>1</v>
      </c>
      <c r="E1696" s="6">
        <v>29000</v>
      </c>
      <c r="F1696" t="str">
        <f>VLOOKUP(C1696,menu!A:B,2,FALSE)</f>
        <v>Capcay Seafood</v>
      </c>
      <c r="G1696">
        <f t="shared" si="52"/>
        <v>29000</v>
      </c>
      <c r="H1696">
        <f>VLOOKUP(C1696,menu!A:E,4,FALSE)</f>
        <v>13000</v>
      </c>
      <c r="I1696">
        <f t="shared" si="53"/>
        <v>16000</v>
      </c>
    </row>
    <row r="1697" spans="1:9" x14ac:dyDescent="0.35">
      <c r="A1697" s="4" t="s">
        <v>2608</v>
      </c>
      <c r="B1697" s="4" t="s">
        <v>229</v>
      </c>
      <c r="C1697" s="4" t="s">
        <v>898</v>
      </c>
      <c r="D1697" s="4">
        <v>1</v>
      </c>
      <c r="E1697" s="6">
        <v>27000</v>
      </c>
      <c r="F1697" t="str">
        <f>VLOOKUP(C1697,menu!A:B,2,FALSE)</f>
        <v>Ayam Geprek Sambal Bawang</v>
      </c>
      <c r="G1697">
        <f t="shared" si="52"/>
        <v>27000</v>
      </c>
      <c r="H1697">
        <f>VLOOKUP(C1697,menu!A:E,4,FALSE)</f>
        <v>11000</v>
      </c>
      <c r="I1697">
        <f t="shared" si="53"/>
        <v>16000</v>
      </c>
    </row>
    <row r="1698" spans="1:9" x14ac:dyDescent="0.35">
      <c r="A1698" s="4" t="s">
        <v>2609</v>
      </c>
      <c r="B1698" s="4" t="s">
        <v>229</v>
      </c>
      <c r="C1698" s="4" t="s">
        <v>890</v>
      </c>
      <c r="D1698" s="4">
        <v>2</v>
      </c>
      <c r="E1698" s="6">
        <v>18000</v>
      </c>
      <c r="F1698" t="str">
        <f>VLOOKUP(C1698,menu!A:B,2,FALSE)</f>
        <v>Es Kopi Susu Gula Aren</v>
      </c>
      <c r="G1698">
        <f t="shared" si="52"/>
        <v>36000</v>
      </c>
      <c r="H1698">
        <f>VLOOKUP(C1698,menu!A:E,4,FALSE)</f>
        <v>4500</v>
      </c>
      <c r="I1698">
        <f t="shared" si="53"/>
        <v>27000</v>
      </c>
    </row>
    <row r="1699" spans="1:9" x14ac:dyDescent="0.35">
      <c r="A1699" s="4" t="s">
        <v>2610</v>
      </c>
      <c r="B1699" s="4" t="s">
        <v>229</v>
      </c>
      <c r="C1699" s="4" t="s">
        <v>919</v>
      </c>
      <c r="D1699" s="4">
        <v>1</v>
      </c>
      <c r="E1699" s="6">
        <v>20000</v>
      </c>
      <c r="F1699" t="str">
        <f>VLOOKUP(C1699,menu!A:B,2,FALSE)</f>
        <v>Gado-Gado Jakarta</v>
      </c>
      <c r="G1699">
        <f t="shared" si="52"/>
        <v>20000</v>
      </c>
      <c r="H1699">
        <f>VLOOKUP(C1699,menu!A:E,4,FALSE)</f>
        <v>8000</v>
      </c>
      <c r="I1699">
        <f t="shared" si="53"/>
        <v>12000</v>
      </c>
    </row>
    <row r="1700" spans="1:9" x14ac:dyDescent="0.35">
      <c r="A1700" s="4" t="s">
        <v>2611</v>
      </c>
      <c r="B1700" s="4" t="s">
        <v>229</v>
      </c>
      <c r="C1700" s="4" t="s">
        <v>908</v>
      </c>
      <c r="D1700" s="4">
        <v>1</v>
      </c>
      <c r="E1700" s="6">
        <v>16000</v>
      </c>
      <c r="F1700" t="str">
        <f>VLOOKUP(C1700,menu!A:B,2,FALSE)</f>
        <v>Jus Alpukat</v>
      </c>
      <c r="G1700">
        <f t="shared" si="52"/>
        <v>16000</v>
      </c>
      <c r="H1700">
        <f>VLOOKUP(C1700,menu!A:E,4,FALSE)</f>
        <v>5500</v>
      </c>
      <c r="I1700">
        <f t="shared" si="53"/>
        <v>10500</v>
      </c>
    </row>
    <row r="1701" spans="1:9" x14ac:dyDescent="0.35">
      <c r="A1701" s="4" t="s">
        <v>2612</v>
      </c>
      <c r="B1701" s="4" t="s">
        <v>208</v>
      </c>
      <c r="C1701" s="4" t="s">
        <v>919</v>
      </c>
      <c r="D1701" s="4">
        <v>1</v>
      </c>
      <c r="E1701" s="6">
        <v>20000</v>
      </c>
      <c r="F1701" t="str">
        <f>VLOOKUP(C1701,menu!A:B,2,FALSE)</f>
        <v>Gado-Gado Jakarta</v>
      </c>
      <c r="G1701">
        <f t="shared" si="52"/>
        <v>20000</v>
      </c>
      <c r="H1701">
        <f>VLOOKUP(C1701,menu!A:E,4,FALSE)</f>
        <v>8000</v>
      </c>
      <c r="I1701">
        <f t="shared" si="53"/>
        <v>12000</v>
      </c>
    </row>
    <row r="1702" spans="1:9" x14ac:dyDescent="0.35">
      <c r="A1702" s="4" t="s">
        <v>2613</v>
      </c>
      <c r="B1702" s="4" t="s">
        <v>208</v>
      </c>
      <c r="C1702" s="4" t="s">
        <v>900</v>
      </c>
      <c r="D1702" s="4">
        <v>1</v>
      </c>
      <c r="E1702" s="6">
        <v>8000</v>
      </c>
      <c r="F1702" t="str">
        <f>VLOOKUP(C1702,menu!A:B,2,FALSE)</f>
        <v>Es Jeruk Peras</v>
      </c>
      <c r="G1702">
        <f t="shared" si="52"/>
        <v>8000</v>
      </c>
      <c r="H1702">
        <f>VLOOKUP(C1702,menu!A:E,4,FALSE)</f>
        <v>2500</v>
      </c>
      <c r="I1702">
        <f t="shared" si="53"/>
        <v>5500</v>
      </c>
    </row>
    <row r="1703" spans="1:9" x14ac:dyDescent="0.35">
      <c r="A1703" s="4" t="s">
        <v>2614</v>
      </c>
      <c r="B1703" s="4" t="s">
        <v>370</v>
      </c>
      <c r="C1703" s="4" t="s">
        <v>937</v>
      </c>
      <c r="D1703" s="4">
        <v>1</v>
      </c>
      <c r="E1703" s="6">
        <v>26000</v>
      </c>
      <c r="F1703" t="str">
        <f>VLOOKUP(C1703,menu!A:B,2,FALSE)</f>
        <v>Nasi Campur Bali</v>
      </c>
      <c r="G1703">
        <f t="shared" si="52"/>
        <v>26000</v>
      </c>
      <c r="H1703">
        <f>VLOOKUP(C1703,menu!A:E,4,FALSE)</f>
        <v>11500</v>
      </c>
      <c r="I1703">
        <f t="shared" si="53"/>
        <v>14500</v>
      </c>
    </row>
    <row r="1704" spans="1:9" x14ac:dyDescent="0.35">
      <c r="A1704" s="4" t="s">
        <v>2615</v>
      </c>
      <c r="B1704" s="4" t="s">
        <v>370</v>
      </c>
      <c r="C1704" s="4" t="s">
        <v>892</v>
      </c>
      <c r="D1704" s="4">
        <v>1</v>
      </c>
      <c r="E1704" s="6">
        <v>9000</v>
      </c>
      <c r="F1704" t="str">
        <f>VLOOKUP(C1704,menu!A:B,2,FALSE)</f>
        <v>Tempe Mendoan (5pcs)</v>
      </c>
      <c r="G1704">
        <f t="shared" si="52"/>
        <v>9000</v>
      </c>
      <c r="H1704">
        <f>VLOOKUP(C1704,menu!A:E,4,FALSE)</f>
        <v>3000</v>
      </c>
      <c r="I1704">
        <f t="shared" si="53"/>
        <v>6000</v>
      </c>
    </row>
    <row r="1705" spans="1:9" x14ac:dyDescent="0.35">
      <c r="A1705" s="4" t="s">
        <v>2616</v>
      </c>
      <c r="B1705" s="4" t="s">
        <v>370</v>
      </c>
      <c r="C1705" s="4" t="s">
        <v>898</v>
      </c>
      <c r="D1705" s="4">
        <v>2</v>
      </c>
      <c r="E1705" s="6">
        <v>27000</v>
      </c>
      <c r="F1705" t="str">
        <f>VLOOKUP(C1705,menu!A:B,2,FALSE)</f>
        <v>Ayam Geprek Sambal Bawang</v>
      </c>
      <c r="G1705">
        <f t="shared" si="52"/>
        <v>54000</v>
      </c>
      <c r="H1705">
        <f>VLOOKUP(C1705,menu!A:E,4,FALSE)</f>
        <v>11000</v>
      </c>
      <c r="I1705">
        <f t="shared" si="53"/>
        <v>32000</v>
      </c>
    </row>
    <row r="1706" spans="1:9" x14ac:dyDescent="0.35">
      <c r="A1706" s="4" t="s">
        <v>2617</v>
      </c>
      <c r="B1706" s="4" t="s">
        <v>689</v>
      </c>
      <c r="C1706" s="4" t="s">
        <v>908</v>
      </c>
      <c r="D1706" s="4">
        <v>1</v>
      </c>
      <c r="E1706" s="6">
        <v>16000</v>
      </c>
      <c r="F1706" t="str">
        <f>VLOOKUP(C1706,menu!A:B,2,FALSE)</f>
        <v>Jus Alpukat</v>
      </c>
      <c r="G1706">
        <f t="shared" si="52"/>
        <v>16000</v>
      </c>
      <c r="H1706">
        <f>VLOOKUP(C1706,menu!A:E,4,FALSE)</f>
        <v>5500</v>
      </c>
      <c r="I1706">
        <f t="shared" si="53"/>
        <v>10500</v>
      </c>
    </row>
    <row r="1707" spans="1:9" x14ac:dyDescent="0.35">
      <c r="A1707" s="4" t="s">
        <v>2618</v>
      </c>
      <c r="B1707" s="4" t="s">
        <v>764</v>
      </c>
      <c r="C1707" s="4" t="s">
        <v>898</v>
      </c>
      <c r="D1707" s="4">
        <v>1</v>
      </c>
      <c r="E1707" s="6">
        <v>27000</v>
      </c>
      <c r="F1707" t="str">
        <f>VLOOKUP(C1707,menu!A:B,2,FALSE)</f>
        <v>Ayam Geprek Sambal Bawang</v>
      </c>
      <c r="G1707">
        <f t="shared" si="52"/>
        <v>27000</v>
      </c>
      <c r="H1707">
        <f>VLOOKUP(C1707,menu!A:E,4,FALSE)</f>
        <v>11000</v>
      </c>
      <c r="I1707">
        <f t="shared" si="53"/>
        <v>16000</v>
      </c>
    </row>
    <row r="1708" spans="1:9" x14ac:dyDescent="0.35">
      <c r="A1708" s="4" t="s">
        <v>2619</v>
      </c>
      <c r="B1708" s="4" t="s">
        <v>764</v>
      </c>
      <c r="C1708" s="4" t="s">
        <v>890</v>
      </c>
      <c r="D1708" s="4">
        <v>1</v>
      </c>
      <c r="E1708" s="6">
        <v>18000</v>
      </c>
      <c r="F1708" t="str">
        <f>VLOOKUP(C1708,menu!A:B,2,FALSE)</f>
        <v>Es Kopi Susu Gula Aren</v>
      </c>
      <c r="G1708">
        <f t="shared" si="52"/>
        <v>18000</v>
      </c>
      <c r="H1708">
        <f>VLOOKUP(C1708,menu!A:E,4,FALSE)</f>
        <v>4500</v>
      </c>
      <c r="I1708">
        <f t="shared" si="53"/>
        <v>13500</v>
      </c>
    </row>
    <row r="1709" spans="1:9" x14ac:dyDescent="0.35">
      <c r="A1709" s="4" t="s">
        <v>2620</v>
      </c>
      <c r="B1709" s="4" t="s">
        <v>764</v>
      </c>
      <c r="C1709" s="4" t="s">
        <v>896</v>
      </c>
      <c r="D1709" s="4">
        <v>3</v>
      </c>
      <c r="E1709" s="6">
        <v>23000</v>
      </c>
      <c r="F1709" t="str">
        <f>VLOOKUP(C1709,menu!A:B,2,FALSE)</f>
        <v>Nasi Uduk Komplit</v>
      </c>
      <c r="G1709">
        <f t="shared" si="52"/>
        <v>69000</v>
      </c>
      <c r="H1709">
        <f>VLOOKUP(C1709,menu!A:E,4,FALSE)</f>
        <v>9000</v>
      </c>
      <c r="I1709">
        <f t="shared" si="53"/>
        <v>42000</v>
      </c>
    </row>
    <row r="1710" spans="1:9" x14ac:dyDescent="0.35">
      <c r="A1710" s="4" t="s">
        <v>2621</v>
      </c>
      <c r="B1710" s="4" t="s">
        <v>803</v>
      </c>
      <c r="C1710" s="4" t="s">
        <v>896</v>
      </c>
      <c r="D1710" s="4">
        <v>1</v>
      </c>
      <c r="E1710" s="6">
        <v>23000</v>
      </c>
      <c r="F1710" t="str">
        <f>VLOOKUP(C1710,menu!A:B,2,FALSE)</f>
        <v>Nasi Uduk Komplit</v>
      </c>
      <c r="G1710">
        <f t="shared" si="52"/>
        <v>23000</v>
      </c>
      <c r="H1710">
        <f>VLOOKUP(C1710,menu!A:E,4,FALSE)</f>
        <v>9000</v>
      </c>
      <c r="I1710">
        <f t="shared" si="53"/>
        <v>14000</v>
      </c>
    </row>
    <row r="1711" spans="1:9" x14ac:dyDescent="0.35">
      <c r="A1711" s="4" t="s">
        <v>2622</v>
      </c>
      <c r="B1711" s="4" t="s">
        <v>803</v>
      </c>
      <c r="C1711" s="4" t="s">
        <v>890</v>
      </c>
      <c r="D1711" s="4">
        <v>1</v>
      </c>
      <c r="E1711" s="6">
        <v>18000</v>
      </c>
      <c r="F1711" t="str">
        <f>VLOOKUP(C1711,menu!A:B,2,FALSE)</f>
        <v>Es Kopi Susu Gula Aren</v>
      </c>
      <c r="G1711">
        <f t="shared" si="52"/>
        <v>18000</v>
      </c>
      <c r="H1711">
        <f>VLOOKUP(C1711,menu!A:E,4,FALSE)</f>
        <v>4500</v>
      </c>
      <c r="I1711">
        <f t="shared" si="53"/>
        <v>13500</v>
      </c>
    </row>
    <row r="1712" spans="1:9" x14ac:dyDescent="0.35">
      <c r="A1712" s="4" t="s">
        <v>2623</v>
      </c>
      <c r="B1712" s="4" t="s">
        <v>881</v>
      </c>
      <c r="C1712" s="4" t="s">
        <v>898</v>
      </c>
      <c r="D1712" s="4">
        <v>1</v>
      </c>
      <c r="E1712" s="6">
        <v>27000</v>
      </c>
      <c r="F1712" t="str">
        <f>VLOOKUP(C1712,menu!A:B,2,FALSE)</f>
        <v>Ayam Geprek Sambal Bawang</v>
      </c>
      <c r="G1712">
        <f t="shared" si="52"/>
        <v>27000</v>
      </c>
      <c r="H1712">
        <f>VLOOKUP(C1712,menu!A:E,4,FALSE)</f>
        <v>11000</v>
      </c>
      <c r="I1712">
        <f t="shared" si="53"/>
        <v>16000</v>
      </c>
    </row>
    <row r="1713" spans="1:9" x14ac:dyDescent="0.35">
      <c r="A1713" s="4" t="s">
        <v>2624</v>
      </c>
      <c r="B1713" s="4" t="s">
        <v>881</v>
      </c>
      <c r="C1713" s="4" t="s">
        <v>942</v>
      </c>
      <c r="D1713" s="4">
        <v>1</v>
      </c>
      <c r="E1713" s="6">
        <v>13000</v>
      </c>
      <c r="F1713" t="str">
        <f>VLOOKUP(C1713,menu!A:B,2,FALSE)</f>
        <v>Pisang Goreng Keju (4pcs)</v>
      </c>
      <c r="G1713">
        <f t="shared" si="52"/>
        <v>13000</v>
      </c>
      <c r="H1713">
        <f>VLOOKUP(C1713,menu!A:E,4,FALSE)</f>
        <v>4000</v>
      </c>
      <c r="I1713">
        <f t="shared" si="53"/>
        <v>9000</v>
      </c>
    </row>
    <row r="1714" spans="1:9" x14ac:dyDescent="0.35">
      <c r="A1714" s="4" t="s">
        <v>2625</v>
      </c>
      <c r="B1714" s="4" t="s">
        <v>693</v>
      </c>
      <c r="C1714" s="4" t="s">
        <v>940</v>
      </c>
      <c r="D1714" s="4">
        <v>1</v>
      </c>
      <c r="E1714" s="6">
        <v>10000</v>
      </c>
      <c r="F1714" t="str">
        <f>VLOOKUP(C1714,menu!A:B,2,FALSE)</f>
        <v>Tahu Isi Goreng (5pcs)</v>
      </c>
      <c r="G1714">
        <f t="shared" si="52"/>
        <v>10000</v>
      </c>
      <c r="H1714">
        <f>VLOOKUP(C1714,menu!A:E,4,FALSE)</f>
        <v>3500</v>
      </c>
      <c r="I1714">
        <f t="shared" si="53"/>
        <v>6500</v>
      </c>
    </row>
    <row r="1715" spans="1:9" x14ac:dyDescent="0.35">
      <c r="A1715" s="4" t="s">
        <v>2626</v>
      </c>
      <c r="B1715" s="4" t="s">
        <v>63</v>
      </c>
      <c r="C1715" s="4" t="s">
        <v>937</v>
      </c>
      <c r="D1715" s="4">
        <v>1</v>
      </c>
      <c r="E1715" s="6">
        <v>26000</v>
      </c>
      <c r="F1715" t="str">
        <f>VLOOKUP(C1715,menu!A:B,2,FALSE)</f>
        <v>Nasi Campur Bali</v>
      </c>
      <c r="G1715">
        <f t="shared" si="52"/>
        <v>26000</v>
      </c>
      <c r="H1715">
        <f>VLOOKUP(C1715,menu!A:E,4,FALSE)</f>
        <v>11500</v>
      </c>
      <c r="I1715">
        <f t="shared" si="53"/>
        <v>14500</v>
      </c>
    </row>
    <row r="1716" spans="1:9" x14ac:dyDescent="0.35">
      <c r="A1716" s="4" t="s">
        <v>2627</v>
      </c>
      <c r="B1716" s="4" t="s">
        <v>63</v>
      </c>
      <c r="C1716" s="4" t="s">
        <v>919</v>
      </c>
      <c r="D1716" s="4">
        <v>1</v>
      </c>
      <c r="E1716" s="6">
        <v>20000</v>
      </c>
      <c r="F1716" t="str">
        <f>VLOOKUP(C1716,menu!A:B,2,FALSE)</f>
        <v>Gado-Gado Jakarta</v>
      </c>
      <c r="G1716">
        <f t="shared" si="52"/>
        <v>20000</v>
      </c>
      <c r="H1716">
        <f>VLOOKUP(C1716,menu!A:E,4,FALSE)</f>
        <v>8000</v>
      </c>
      <c r="I1716">
        <f t="shared" si="53"/>
        <v>12000</v>
      </c>
    </row>
    <row r="1717" spans="1:9" x14ac:dyDescent="0.35">
      <c r="A1717" s="4" t="s">
        <v>2628</v>
      </c>
      <c r="B1717" s="4" t="s">
        <v>63</v>
      </c>
      <c r="C1717" s="4" t="s">
        <v>1003</v>
      </c>
      <c r="D1717" s="4">
        <v>2</v>
      </c>
      <c r="E1717" s="6">
        <v>29000</v>
      </c>
      <c r="F1717" t="str">
        <f>VLOOKUP(C1717,menu!A:B,2,FALSE)</f>
        <v>Capcay Seafood</v>
      </c>
      <c r="G1717">
        <f t="shared" si="52"/>
        <v>58000</v>
      </c>
      <c r="H1717">
        <f>VLOOKUP(C1717,menu!A:E,4,FALSE)</f>
        <v>13000</v>
      </c>
      <c r="I1717">
        <f t="shared" si="53"/>
        <v>32000</v>
      </c>
    </row>
    <row r="1718" spans="1:9" x14ac:dyDescent="0.35">
      <c r="A1718" s="4" t="s">
        <v>2629</v>
      </c>
      <c r="B1718" s="4" t="s">
        <v>274</v>
      </c>
      <c r="C1718" s="4" t="s">
        <v>898</v>
      </c>
      <c r="D1718" s="4">
        <v>2</v>
      </c>
      <c r="E1718" s="6">
        <v>27000</v>
      </c>
      <c r="F1718" t="str">
        <f>VLOOKUP(C1718,menu!A:B,2,FALSE)</f>
        <v>Ayam Geprek Sambal Bawang</v>
      </c>
      <c r="G1718">
        <f t="shared" si="52"/>
        <v>54000</v>
      </c>
      <c r="H1718">
        <f>VLOOKUP(C1718,menu!A:E,4,FALSE)</f>
        <v>11000</v>
      </c>
      <c r="I1718">
        <f t="shared" si="53"/>
        <v>32000</v>
      </c>
    </row>
    <row r="1719" spans="1:9" x14ac:dyDescent="0.35">
      <c r="A1719" s="4" t="s">
        <v>2630</v>
      </c>
      <c r="B1719" s="4" t="s">
        <v>274</v>
      </c>
      <c r="C1719" s="4" t="s">
        <v>906</v>
      </c>
      <c r="D1719" s="4">
        <v>1</v>
      </c>
      <c r="E1719" s="6">
        <v>28000</v>
      </c>
      <c r="F1719" t="str">
        <f>VLOOKUP(C1719,menu!A:B,2,FALSE)</f>
        <v>Sate Ayam 10 Tusuk</v>
      </c>
      <c r="G1719">
        <f t="shared" si="52"/>
        <v>28000</v>
      </c>
      <c r="H1719">
        <f>VLOOKUP(C1719,menu!A:E,4,FALSE)</f>
        <v>12000</v>
      </c>
      <c r="I1719">
        <f t="shared" si="53"/>
        <v>16000</v>
      </c>
    </row>
    <row r="1720" spans="1:9" x14ac:dyDescent="0.35">
      <c r="A1720" s="4" t="s">
        <v>2631</v>
      </c>
      <c r="B1720" s="4" t="s">
        <v>274</v>
      </c>
      <c r="C1720" s="4" t="s">
        <v>890</v>
      </c>
      <c r="D1720" s="4">
        <v>1</v>
      </c>
      <c r="E1720" s="6">
        <v>18000</v>
      </c>
      <c r="F1720" t="str">
        <f>VLOOKUP(C1720,menu!A:B,2,FALSE)</f>
        <v>Es Kopi Susu Gula Aren</v>
      </c>
      <c r="G1720">
        <f t="shared" si="52"/>
        <v>18000</v>
      </c>
      <c r="H1720">
        <f>VLOOKUP(C1720,menu!A:E,4,FALSE)</f>
        <v>4500</v>
      </c>
      <c r="I1720">
        <f t="shared" si="53"/>
        <v>13500</v>
      </c>
    </row>
    <row r="1721" spans="1:9" x14ac:dyDescent="0.35">
      <c r="A1721" s="4" t="s">
        <v>2632</v>
      </c>
      <c r="B1721" s="4" t="s">
        <v>274</v>
      </c>
      <c r="C1721" s="4" t="s">
        <v>935</v>
      </c>
      <c r="D1721" s="4">
        <v>3</v>
      </c>
      <c r="E1721" s="6">
        <v>22000</v>
      </c>
      <c r="F1721" t="str">
        <f>VLOOKUP(C1721,menu!A:B,2,FALSE)</f>
        <v>Soto Ayam Lamongan</v>
      </c>
      <c r="G1721">
        <f t="shared" si="52"/>
        <v>66000</v>
      </c>
      <c r="H1721">
        <f>VLOOKUP(C1721,menu!A:E,4,FALSE)</f>
        <v>9500</v>
      </c>
      <c r="I1721">
        <f t="shared" si="53"/>
        <v>37500</v>
      </c>
    </row>
    <row r="1722" spans="1:9" x14ac:dyDescent="0.35">
      <c r="A1722" s="4" t="s">
        <v>2633</v>
      </c>
      <c r="B1722" s="4" t="s">
        <v>736</v>
      </c>
      <c r="C1722" s="4" t="s">
        <v>898</v>
      </c>
      <c r="D1722" s="4">
        <v>3</v>
      </c>
      <c r="E1722" s="6">
        <v>27000</v>
      </c>
      <c r="F1722" t="str">
        <f>VLOOKUP(C1722,menu!A:B,2,FALSE)</f>
        <v>Ayam Geprek Sambal Bawang</v>
      </c>
      <c r="G1722">
        <f t="shared" si="52"/>
        <v>81000</v>
      </c>
      <c r="H1722">
        <f>VLOOKUP(C1722,menu!A:E,4,FALSE)</f>
        <v>11000</v>
      </c>
      <c r="I1722">
        <f t="shared" si="53"/>
        <v>48000</v>
      </c>
    </row>
    <row r="1723" spans="1:9" x14ac:dyDescent="0.35">
      <c r="A1723" s="4" t="s">
        <v>2634</v>
      </c>
      <c r="B1723" s="4" t="s">
        <v>736</v>
      </c>
      <c r="C1723" s="4" t="s">
        <v>894</v>
      </c>
      <c r="D1723" s="4">
        <v>1</v>
      </c>
      <c r="E1723" s="6">
        <v>5000</v>
      </c>
      <c r="F1723" t="str">
        <f>VLOOKUP(C1723,menu!A:B,2,FALSE)</f>
        <v>Air Mineral Botol</v>
      </c>
      <c r="G1723">
        <f t="shared" si="52"/>
        <v>5000</v>
      </c>
      <c r="H1723">
        <f>VLOOKUP(C1723,menu!A:E,4,FALSE)</f>
        <v>2000</v>
      </c>
      <c r="I1723">
        <f t="shared" si="53"/>
        <v>3000</v>
      </c>
    </row>
    <row r="1724" spans="1:9" x14ac:dyDescent="0.35">
      <c r="A1724" s="4" t="s">
        <v>2635</v>
      </c>
      <c r="B1724" s="4" t="s">
        <v>736</v>
      </c>
      <c r="C1724" s="4" t="s">
        <v>919</v>
      </c>
      <c r="D1724" s="4">
        <v>1</v>
      </c>
      <c r="E1724" s="6">
        <v>20000</v>
      </c>
      <c r="F1724" t="str">
        <f>VLOOKUP(C1724,menu!A:B,2,FALSE)</f>
        <v>Gado-Gado Jakarta</v>
      </c>
      <c r="G1724">
        <f t="shared" si="52"/>
        <v>20000</v>
      </c>
      <c r="H1724">
        <f>VLOOKUP(C1724,menu!A:E,4,FALSE)</f>
        <v>8000</v>
      </c>
      <c r="I1724">
        <f t="shared" si="53"/>
        <v>12000</v>
      </c>
    </row>
    <row r="1725" spans="1:9" x14ac:dyDescent="0.35">
      <c r="A1725" s="4" t="s">
        <v>2636</v>
      </c>
      <c r="B1725" s="4" t="s">
        <v>455</v>
      </c>
      <c r="C1725" s="4" t="s">
        <v>896</v>
      </c>
      <c r="D1725" s="4">
        <v>2</v>
      </c>
      <c r="E1725" s="6">
        <v>23000</v>
      </c>
      <c r="F1725" t="str">
        <f>VLOOKUP(C1725,menu!A:B,2,FALSE)</f>
        <v>Nasi Uduk Komplit</v>
      </c>
      <c r="G1725">
        <f t="shared" si="52"/>
        <v>46000</v>
      </c>
      <c r="H1725">
        <f>VLOOKUP(C1725,menu!A:E,4,FALSE)</f>
        <v>9000</v>
      </c>
      <c r="I1725">
        <f t="shared" si="53"/>
        <v>28000</v>
      </c>
    </row>
    <row r="1726" spans="1:9" x14ac:dyDescent="0.35">
      <c r="A1726" s="4" t="s">
        <v>2637</v>
      </c>
      <c r="B1726" s="4" t="s">
        <v>455</v>
      </c>
      <c r="C1726" s="4" t="s">
        <v>937</v>
      </c>
      <c r="D1726" s="4">
        <v>1</v>
      </c>
      <c r="E1726" s="6">
        <v>26000</v>
      </c>
      <c r="F1726" t="str">
        <f>VLOOKUP(C1726,menu!A:B,2,FALSE)</f>
        <v>Nasi Campur Bali</v>
      </c>
      <c r="G1726">
        <f t="shared" si="52"/>
        <v>26000</v>
      </c>
      <c r="H1726">
        <f>VLOOKUP(C1726,menu!A:E,4,FALSE)</f>
        <v>11500</v>
      </c>
      <c r="I1726">
        <f t="shared" si="53"/>
        <v>14500</v>
      </c>
    </row>
    <row r="1727" spans="1:9" x14ac:dyDescent="0.35">
      <c r="A1727" s="4" t="s">
        <v>2638</v>
      </c>
      <c r="B1727" s="4" t="s">
        <v>455</v>
      </c>
      <c r="C1727" s="4" t="s">
        <v>1003</v>
      </c>
      <c r="D1727" s="4">
        <v>2</v>
      </c>
      <c r="E1727" s="6">
        <v>29000</v>
      </c>
      <c r="F1727" t="str">
        <f>VLOOKUP(C1727,menu!A:B,2,FALSE)</f>
        <v>Capcay Seafood</v>
      </c>
      <c r="G1727">
        <f t="shared" si="52"/>
        <v>58000</v>
      </c>
      <c r="H1727">
        <f>VLOOKUP(C1727,menu!A:E,4,FALSE)</f>
        <v>13000</v>
      </c>
      <c r="I1727">
        <f t="shared" si="53"/>
        <v>32000</v>
      </c>
    </row>
    <row r="1728" spans="1:9" x14ac:dyDescent="0.35">
      <c r="A1728" s="4" t="s">
        <v>2639</v>
      </c>
      <c r="B1728" s="4" t="s">
        <v>455</v>
      </c>
      <c r="C1728" s="4" t="s">
        <v>944</v>
      </c>
      <c r="D1728" s="4">
        <v>1</v>
      </c>
      <c r="E1728" s="6">
        <v>32000</v>
      </c>
      <c r="F1728" t="str">
        <f>VLOOKUP(C1728,menu!A:B,2,FALSE)</f>
        <v>Nasi Padang Rendang</v>
      </c>
      <c r="G1728">
        <f t="shared" si="52"/>
        <v>32000</v>
      </c>
      <c r="H1728">
        <f>VLOOKUP(C1728,menu!A:E,4,FALSE)</f>
        <v>14000</v>
      </c>
      <c r="I1728">
        <f t="shared" si="53"/>
        <v>18000</v>
      </c>
    </row>
    <row r="1729" spans="1:9" x14ac:dyDescent="0.35">
      <c r="A1729" s="4" t="s">
        <v>2640</v>
      </c>
      <c r="B1729" s="4" t="s">
        <v>424</v>
      </c>
      <c r="C1729" s="4" t="s">
        <v>902</v>
      </c>
      <c r="D1729" s="4">
        <v>1</v>
      </c>
      <c r="E1729" s="6">
        <v>12000</v>
      </c>
      <c r="F1729" t="str">
        <f>VLOOKUP(C1729,menu!A:B,2,FALSE)</f>
        <v>Teh Tarik</v>
      </c>
      <c r="G1729">
        <f t="shared" si="52"/>
        <v>12000</v>
      </c>
      <c r="H1729">
        <f>VLOOKUP(C1729,menu!A:E,4,FALSE)</f>
        <v>3000</v>
      </c>
      <c r="I1729">
        <f t="shared" si="53"/>
        <v>9000</v>
      </c>
    </row>
    <row r="1730" spans="1:9" x14ac:dyDescent="0.35">
      <c r="A1730" s="4" t="s">
        <v>2641</v>
      </c>
      <c r="B1730" s="4" t="s">
        <v>424</v>
      </c>
      <c r="C1730" s="4" t="s">
        <v>898</v>
      </c>
      <c r="D1730" s="4">
        <v>1</v>
      </c>
      <c r="E1730" s="6">
        <v>27000</v>
      </c>
      <c r="F1730" t="str">
        <f>VLOOKUP(C1730,menu!A:B,2,FALSE)</f>
        <v>Ayam Geprek Sambal Bawang</v>
      </c>
      <c r="G1730">
        <f t="shared" si="52"/>
        <v>27000</v>
      </c>
      <c r="H1730">
        <f>VLOOKUP(C1730,menu!A:E,4,FALSE)</f>
        <v>11000</v>
      </c>
      <c r="I1730">
        <f t="shared" si="53"/>
        <v>16000</v>
      </c>
    </row>
    <row r="1731" spans="1:9" x14ac:dyDescent="0.35">
      <c r="A1731" s="4" t="s">
        <v>2642</v>
      </c>
      <c r="B1731" s="4" t="s">
        <v>369</v>
      </c>
      <c r="C1731" s="4" t="s">
        <v>944</v>
      </c>
      <c r="D1731" s="4">
        <v>1</v>
      </c>
      <c r="E1731" s="6">
        <v>32000</v>
      </c>
      <c r="F1731" t="str">
        <f>VLOOKUP(C1731,menu!A:B,2,FALSE)</f>
        <v>Nasi Padang Rendang</v>
      </c>
      <c r="G1731">
        <f t="shared" ref="G1731:G1794" si="54">D1731*E1731</f>
        <v>32000</v>
      </c>
      <c r="H1731">
        <f>VLOOKUP(C1731,menu!A:E,4,FALSE)</f>
        <v>14000</v>
      </c>
      <c r="I1731">
        <f t="shared" ref="I1731:I1794" si="55">(E1731-H1731)*D1731</f>
        <v>18000</v>
      </c>
    </row>
    <row r="1732" spans="1:9" x14ac:dyDescent="0.35">
      <c r="A1732" s="4" t="s">
        <v>2643</v>
      </c>
      <c r="B1732" s="4" t="s">
        <v>369</v>
      </c>
      <c r="C1732" s="4" t="s">
        <v>892</v>
      </c>
      <c r="D1732" s="4">
        <v>1</v>
      </c>
      <c r="E1732" s="6">
        <v>9000</v>
      </c>
      <c r="F1732" t="str">
        <f>VLOOKUP(C1732,menu!A:B,2,FALSE)</f>
        <v>Tempe Mendoan (5pcs)</v>
      </c>
      <c r="G1732">
        <f t="shared" si="54"/>
        <v>9000</v>
      </c>
      <c r="H1732">
        <f>VLOOKUP(C1732,menu!A:E,4,FALSE)</f>
        <v>3000</v>
      </c>
      <c r="I1732">
        <f t="shared" si="55"/>
        <v>6000</v>
      </c>
    </row>
    <row r="1733" spans="1:9" x14ac:dyDescent="0.35">
      <c r="A1733" s="4" t="s">
        <v>2644</v>
      </c>
      <c r="B1733" s="4" t="s">
        <v>393</v>
      </c>
      <c r="C1733" s="4" t="s">
        <v>898</v>
      </c>
      <c r="D1733" s="4">
        <v>1</v>
      </c>
      <c r="E1733" s="6">
        <v>27000</v>
      </c>
      <c r="F1733" t="str">
        <f>VLOOKUP(C1733,menu!A:B,2,FALSE)</f>
        <v>Ayam Geprek Sambal Bawang</v>
      </c>
      <c r="G1733">
        <f t="shared" si="54"/>
        <v>27000</v>
      </c>
      <c r="H1733">
        <f>VLOOKUP(C1733,menu!A:E,4,FALSE)</f>
        <v>11000</v>
      </c>
      <c r="I1733">
        <f t="shared" si="55"/>
        <v>16000</v>
      </c>
    </row>
    <row r="1734" spans="1:9" x14ac:dyDescent="0.35">
      <c r="A1734" s="4" t="s">
        <v>2645</v>
      </c>
      <c r="B1734" s="4" t="s">
        <v>393</v>
      </c>
      <c r="C1734" s="4" t="s">
        <v>890</v>
      </c>
      <c r="D1734" s="4">
        <v>3</v>
      </c>
      <c r="E1734" s="6">
        <v>18000</v>
      </c>
      <c r="F1734" t="str">
        <f>VLOOKUP(C1734,menu!A:B,2,FALSE)</f>
        <v>Es Kopi Susu Gula Aren</v>
      </c>
      <c r="G1734">
        <f t="shared" si="54"/>
        <v>54000</v>
      </c>
      <c r="H1734">
        <f>VLOOKUP(C1734,menu!A:E,4,FALSE)</f>
        <v>4500</v>
      </c>
      <c r="I1734">
        <f t="shared" si="55"/>
        <v>40500</v>
      </c>
    </row>
    <row r="1735" spans="1:9" x14ac:dyDescent="0.35">
      <c r="A1735" s="4" t="s">
        <v>2646</v>
      </c>
      <c r="B1735" s="4" t="s">
        <v>244</v>
      </c>
      <c r="C1735" s="4" t="s">
        <v>906</v>
      </c>
      <c r="D1735" s="4">
        <v>2</v>
      </c>
      <c r="E1735" s="6">
        <v>28000</v>
      </c>
      <c r="F1735" t="str">
        <f>VLOOKUP(C1735,menu!A:B,2,FALSE)</f>
        <v>Sate Ayam 10 Tusuk</v>
      </c>
      <c r="G1735">
        <f t="shared" si="54"/>
        <v>56000</v>
      </c>
      <c r="H1735">
        <f>VLOOKUP(C1735,menu!A:E,4,FALSE)</f>
        <v>12000</v>
      </c>
      <c r="I1735">
        <f t="shared" si="55"/>
        <v>32000</v>
      </c>
    </row>
    <row r="1736" spans="1:9" x14ac:dyDescent="0.35">
      <c r="A1736" s="4" t="s">
        <v>2647</v>
      </c>
      <c r="B1736" s="4" t="s">
        <v>244</v>
      </c>
      <c r="C1736" s="4" t="s">
        <v>919</v>
      </c>
      <c r="D1736" s="4">
        <v>1</v>
      </c>
      <c r="E1736" s="6">
        <v>20000</v>
      </c>
      <c r="F1736" t="str">
        <f>VLOOKUP(C1736,menu!A:B,2,FALSE)</f>
        <v>Gado-Gado Jakarta</v>
      </c>
      <c r="G1736">
        <f t="shared" si="54"/>
        <v>20000</v>
      </c>
      <c r="H1736">
        <f>VLOOKUP(C1736,menu!A:E,4,FALSE)</f>
        <v>8000</v>
      </c>
      <c r="I1736">
        <f t="shared" si="55"/>
        <v>12000</v>
      </c>
    </row>
    <row r="1737" spans="1:9" x14ac:dyDescent="0.35">
      <c r="A1737" s="4" t="s">
        <v>2648</v>
      </c>
      <c r="B1737" s="4" t="s">
        <v>244</v>
      </c>
      <c r="C1737" s="4" t="s">
        <v>898</v>
      </c>
      <c r="D1737" s="4">
        <v>2</v>
      </c>
      <c r="E1737" s="6">
        <v>27000</v>
      </c>
      <c r="F1737" t="str">
        <f>VLOOKUP(C1737,menu!A:B,2,FALSE)</f>
        <v>Ayam Geprek Sambal Bawang</v>
      </c>
      <c r="G1737">
        <f t="shared" si="54"/>
        <v>54000</v>
      </c>
      <c r="H1737">
        <f>VLOOKUP(C1737,menu!A:E,4,FALSE)</f>
        <v>11000</v>
      </c>
      <c r="I1737">
        <f t="shared" si="55"/>
        <v>32000</v>
      </c>
    </row>
    <row r="1738" spans="1:9" x14ac:dyDescent="0.35">
      <c r="A1738" s="4" t="s">
        <v>2649</v>
      </c>
      <c r="B1738" s="4" t="s">
        <v>448</v>
      </c>
      <c r="C1738" s="4" t="s">
        <v>908</v>
      </c>
      <c r="D1738" s="4">
        <v>1</v>
      </c>
      <c r="E1738" s="6">
        <v>16000</v>
      </c>
      <c r="F1738" t="str">
        <f>VLOOKUP(C1738,menu!A:B,2,FALSE)</f>
        <v>Jus Alpukat</v>
      </c>
      <c r="G1738">
        <f t="shared" si="54"/>
        <v>16000</v>
      </c>
      <c r="H1738">
        <f>VLOOKUP(C1738,menu!A:E,4,FALSE)</f>
        <v>5500</v>
      </c>
      <c r="I1738">
        <f t="shared" si="55"/>
        <v>10500</v>
      </c>
    </row>
    <row r="1739" spans="1:9" x14ac:dyDescent="0.35">
      <c r="A1739" s="4" t="s">
        <v>2650</v>
      </c>
      <c r="B1739" s="4" t="s">
        <v>448</v>
      </c>
      <c r="C1739" s="4" t="s">
        <v>937</v>
      </c>
      <c r="D1739" s="4">
        <v>2</v>
      </c>
      <c r="E1739" s="6">
        <v>26000</v>
      </c>
      <c r="F1739" t="str">
        <f>VLOOKUP(C1739,menu!A:B,2,FALSE)</f>
        <v>Nasi Campur Bali</v>
      </c>
      <c r="G1739">
        <f t="shared" si="54"/>
        <v>52000</v>
      </c>
      <c r="H1739">
        <f>VLOOKUP(C1739,menu!A:E,4,FALSE)</f>
        <v>11500</v>
      </c>
      <c r="I1739">
        <f t="shared" si="55"/>
        <v>29000</v>
      </c>
    </row>
    <row r="1740" spans="1:9" x14ac:dyDescent="0.35">
      <c r="A1740" s="4" t="s">
        <v>2651</v>
      </c>
      <c r="B1740" s="4" t="s">
        <v>665</v>
      </c>
      <c r="C1740" s="4" t="s">
        <v>894</v>
      </c>
      <c r="D1740" s="4">
        <v>2</v>
      </c>
      <c r="E1740" s="6">
        <v>5000</v>
      </c>
      <c r="F1740" t="str">
        <f>VLOOKUP(C1740,menu!A:B,2,FALSE)</f>
        <v>Air Mineral Botol</v>
      </c>
      <c r="G1740">
        <f t="shared" si="54"/>
        <v>10000</v>
      </c>
      <c r="H1740">
        <f>VLOOKUP(C1740,menu!A:E,4,FALSE)</f>
        <v>2000</v>
      </c>
      <c r="I1740">
        <f t="shared" si="55"/>
        <v>6000</v>
      </c>
    </row>
    <row r="1741" spans="1:9" x14ac:dyDescent="0.35">
      <c r="A1741" s="4" t="s">
        <v>2652</v>
      </c>
      <c r="B1741" s="4" t="s">
        <v>665</v>
      </c>
      <c r="C1741" s="4" t="s">
        <v>898</v>
      </c>
      <c r="D1741" s="4">
        <v>1</v>
      </c>
      <c r="E1741" s="6">
        <v>27000</v>
      </c>
      <c r="F1741" t="str">
        <f>VLOOKUP(C1741,menu!A:B,2,FALSE)</f>
        <v>Ayam Geprek Sambal Bawang</v>
      </c>
      <c r="G1741">
        <f t="shared" si="54"/>
        <v>27000</v>
      </c>
      <c r="H1741">
        <f>VLOOKUP(C1741,menu!A:E,4,FALSE)</f>
        <v>11000</v>
      </c>
      <c r="I1741">
        <f t="shared" si="55"/>
        <v>16000</v>
      </c>
    </row>
    <row r="1742" spans="1:9" x14ac:dyDescent="0.35">
      <c r="A1742" s="4" t="s">
        <v>2653</v>
      </c>
      <c r="B1742" s="4" t="s">
        <v>179</v>
      </c>
      <c r="C1742" s="4" t="s">
        <v>894</v>
      </c>
      <c r="D1742" s="4">
        <v>1</v>
      </c>
      <c r="E1742" s="6">
        <v>5000</v>
      </c>
      <c r="F1742" t="str">
        <f>VLOOKUP(C1742,menu!A:B,2,FALSE)</f>
        <v>Air Mineral Botol</v>
      </c>
      <c r="G1742">
        <f t="shared" si="54"/>
        <v>5000</v>
      </c>
      <c r="H1742">
        <f>VLOOKUP(C1742,menu!A:E,4,FALSE)</f>
        <v>2000</v>
      </c>
      <c r="I1742">
        <f t="shared" si="55"/>
        <v>3000</v>
      </c>
    </row>
    <row r="1743" spans="1:9" x14ac:dyDescent="0.35">
      <c r="A1743" s="4" t="s">
        <v>2654</v>
      </c>
      <c r="B1743" s="4" t="s">
        <v>179</v>
      </c>
      <c r="C1743" s="4" t="s">
        <v>935</v>
      </c>
      <c r="D1743" s="4">
        <v>1</v>
      </c>
      <c r="E1743" s="6">
        <v>22000</v>
      </c>
      <c r="F1743" t="str">
        <f>VLOOKUP(C1743,menu!A:B,2,FALSE)</f>
        <v>Soto Ayam Lamongan</v>
      </c>
      <c r="G1743">
        <f t="shared" si="54"/>
        <v>22000</v>
      </c>
      <c r="H1743">
        <f>VLOOKUP(C1743,menu!A:E,4,FALSE)</f>
        <v>9500</v>
      </c>
      <c r="I1743">
        <f t="shared" si="55"/>
        <v>12500</v>
      </c>
    </row>
    <row r="1744" spans="1:9" x14ac:dyDescent="0.35">
      <c r="A1744" s="4" t="s">
        <v>2655</v>
      </c>
      <c r="B1744" s="4" t="s">
        <v>235</v>
      </c>
      <c r="C1744" s="4" t="s">
        <v>902</v>
      </c>
      <c r="D1744" s="4">
        <v>1</v>
      </c>
      <c r="E1744" s="6">
        <v>12000</v>
      </c>
      <c r="F1744" t="str">
        <f>VLOOKUP(C1744,menu!A:B,2,FALSE)</f>
        <v>Teh Tarik</v>
      </c>
      <c r="G1744">
        <f t="shared" si="54"/>
        <v>12000</v>
      </c>
      <c r="H1744">
        <f>VLOOKUP(C1744,menu!A:E,4,FALSE)</f>
        <v>3000</v>
      </c>
      <c r="I1744">
        <f t="shared" si="55"/>
        <v>9000</v>
      </c>
    </row>
    <row r="1745" spans="1:9" x14ac:dyDescent="0.35">
      <c r="A1745" s="4" t="s">
        <v>2656</v>
      </c>
      <c r="B1745" s="4" t="s">
        <v>235</v>
      </c>
      <c r="C1745" s="4" t="s">
        <v>944</v>
      </c>
      <c r="D1745" s="4">
        <v>2</v>
      </c>
      <c r="E1745" s="6">
        <v>32000</v>
      </c>
      <c r="F1745" t="str">
        <f>VLOOKUP(C1745,menu!A:B,2,FALSE)</f>
        <v>Nasi Padang Rendang</v>
      </c>
      <c r="G1745">
        <f t="shared" si="54"/>
        <v>64000</v>
      </c>
      <c r="H1745">
        <f>VLOOKUP(C1745,menu!A:E,4,FALSE)</f>
        <v>14000</v>
      </c>
      <c r="I1745">
        <f t="shared" si="55"/>
        <v>36000</v>
      </c>
    </row>
    <row r="1746" spans="1:9" x14ac:dyDescent="0.35">
      <c r="A1746" s="4" t="s">
        <v>2657</v>
      </c>
      <c r="B1746" s="4" t="s">
        <v>235</v>
      </c>
      <c r="C1746" s="4" t="s">
        <v>894</v>
      </c>
      <c r="D1746" s="4">
        <v>1</v>
      </c>
      <c r="E1746" s="6">
        <v>5000</v>
      </c>
      <c r="F1746" t="str">
        <f>VLOOKUP(C1746,menu!A:B,2,FALSE)</f>
        <v>Air Mineral Botol</v>
      </c>
      <c r="G1746">
        <f t="shared" si="54"/>
        <v>5000</v>
      </c>
      <c r="H1746">
        <f>VLOOKUP(C1746,menu!A:E,4,FALSE)</f>
        <v>2000</v>
      </c>
      <c r="I1746">
        <f t="shared" si="55"/>
        <v>3000</v>
      </c>
    </row>
    <row r="1747" spans="1:9" x14ac:dyDescent="0.35">
      <c r="A1747" s="4" t="s">
        <v>2658</v>
      </c>
      <c r="B1747" s="4" t="s">
        <v>454</v>
      </c>
      <c r="C1747" s="4" t="s">
        <v>919</v>
      </c>
      <c r="D1747" s="4">
        <v>1</v>
      </c>
      <c r="E1747" s="6">
        <v>20000</v>
      </c>
      <c r="F1747" t="str">
        <f>VLOOKUP(C1747,menu!A:B,2,FALSE)</f>
        <v>Gado-Gado Jakarta</v>
      </c>
      <c r="G1747">
        <f t="shared" si="54"/>
        <v>20000</v>
      </c>
      <c r="H1747">
        <f>VLOOKUP(C1747,menu!A:E,4,FALSE)</f>
        <v>8000</v>
      </c>
      <c r="I1747">
        <f t="shared" si="55"/>
        <v>12000</v>
      </c>
    </row>
    <row r="1748" spans="1:9" x14ac:dyDescent="0.35">
      <c r="A1748" s="4" t="s">
        <v>2659</v>
      </c>
      <c r="B1748" s="4" t="s">
        <v>454</v>
      </c>
      <c r="C1748" s="4" t="s">
        <v>890</v>
      </c>
      <c r="D1748" s="4">
        <v>1</v>
      </c>
      <c r="E1748" s="6">
        <v>18000</v>
      </c>
      <c r="F1748" t="str">
        <f>VLOOKUP(C1748,menu!A:B,2,FALSE)</f>
        <v>Es Kopi Susu Gula Aren</v>
      </c>
      <c r="G1748">
        <f t="shared" si="54"/>
        <v>18000</v>
      </c>
      <c r="H1748">
        <f>VLOOKUP(C1748,menu!A:E,4,FALSE)</f>
        <v>4500</v>
      </c>
      <c r="I1748">
        <f t="shared" si="55"/>
        <v>13500</v>
      </c>
    </row>
    <row r="1749" spans="1:9" x14ac:dyDescent="0.35">
      <c r="A1749" s="4" t="s">
        <v>2660</v>
      </c>
      <c r="B1749" s="4" t="s">
        <v>454</v>
      </c>
      <c r="C1749" s="4" t="s">
        <v>896</v>
      </c>
      <c r="D1749" s="4">
        <v>3</v>
      </c>
      <c r="E1749" s="6">
        <v>23000</v>
      </c>
      <c r="F1749" t="str">
        <f>VLOOKUP(C1749,menu!A:B,2,FALSE)</f>
        <v>Nasi Uduk Komplit</v>
      </c>
      <c r="G1749">
        <f t="shared" si="54"/>
        <v>69000</v>
      </c>
      <c r="H1749">
        <f>VLOOKUP(C1749,menu!A:E,4,FALSE)</f>
        <v>9000</v>
      </c>
      <c r="I1749">
        <f t="shared" si="55"/>
        <v>42000</v>
      </c>
    </row>
    <row r="1750" spans="1:9" x14ac:dyDescent="0.35">
      <c r="A1750" s="4" t="s">
        <v>2661</v>
      </c>
      <c r="B1750" s="4" t="s">
        <v>669</v>
      </c>
      <c r="C1750" s="4" t="s">
        <v>898</v>
      </c>
      <c r="D1750" s="4">
        <v>3</v>
      </c>
      <c r="E1750" s="6">
        <v>27000</v>
      </c>
      <c r="F1750" t="str">
        <f>VLOOKUP(C1750,menu!A:B,2,FALSE)</f>
        <v>Ayam Geprek Sambal Bawang</v>
      </c>
      <c r="G1750">
        <f t="shared" si="54"/>
        <v>81000</v>
      </c>
      <c r="H1750">
        <f>VLOOKUP(C1750,menu!A:E,4,FALSE)</f>
        <v>11000</v>
      </c>
      <c r="I1750">
        <f t="shared" si="55"/>
        <v>48000</v>
      </c>
    </row>
    <row r="1751" spans="1:9" x14ac:dyDescent="0.35">
      <c r="A1751" s="4" t="s">
        <v>2662</v>
      </c>
      <c r="B1751" s="4" t="s">
        <v>669</v>
      </c>
      <c r="C1751" s="4" t="s">
        <v>906</v>
      </c>
      <c r="D1751" s="4">
        <v>1</v>
      </c>
      <c r="E1751" s="6">
        <v>28000</v>
      </c>
      <c r="F1751" t="str">
        <f>VLOOKUP(C1751,menu!A:B,2,FALSE)</f>
        <v>Sate Ayam 10 Tusuk</v>
      </c>
      <c r="G1751">
        <f t="shared" si="54"/>
        <v>28000</v>
      </c>
      <c r="H1751">
        <f>VLOOKUP(C1751,menu!A:E,4,FALSE)</f>
        <v>12000</v>
      </c>
      <c r="I1751">
        <f t="shared" si="55"/>
        <v>16000</v>
      </c>
    </row>
    <row r="1752" spans="1:9" x14ac:dyDescent="0.35">
      <c r="A1752" s="4" t="s">
        <v>2663</v>
      </c>
      <c r="B1752" s="4" t="s">
        <v>669</v>
      </c>
      <c r="C1752" s="4" t="s">
        <v>892</v>
      </c>
      <c r="D1752" s="4">
        <v>1</v>
      </c>
      <c r="E1752" s="6">
        <v>9000</v>
      </c>
      <c r="F1752" t="str">
        <f>VLOOKUP(C1752,menu!A:B,2,FALSE)</f>
        <v>Tempe Mendoan (5pcs)</v>
      </c>
      <c r="G1752">
        <f t="shared" si="54"/>
        <v>9000</v>
      </c>
      <c r="H1752">
        <f>VLOOKUP(C1752,menu!A:E,4,FALSE)</f>
        <v>3000</v>
      </c>
      <c r="I1752">
        <f t="shared" si="55"/>
        <v>6000</v>
      </c>
    </row>
    <row r="1753" spans="1:9" x14ac:dyDescent="0.35">
      <c r="A1753" s="4" t="s">
        <v>2664</v>
      </c>
      <c r="B1753" s="4" t="s">
        <v>669</v>
      </c>
      <c r="C1753" s="4" t="s">
        <v>908</v>
      </c>
      <c r="D1753" s="4">
        <v>3</v>
      </c>
      <c r="E1753" s="6">
        <v>16000</v>
      </c>
      <c r="F1753" t="str">
        <f>VLOOKUP(C1753,menu!A:B,2,FALSE)</f>
        <v>Jus Alpukat</v>
      </c>
      <c r="G1753">
        <f t="shared" si="54"/>
        <v>48000</v>
      </c>
      <c r="H1753">
        <f>VLOOKUP(C1753,menu!A:E,4,FALSE)</f>
        <v>5500</v>
      </c>
      <c r="I1753">
        <f t="shared" si="55"/>
        <v>31500</v>
      </c>
    </row>
    <row r="1754" spans="1:9" x14ac:dyDescent="0.35">
      <c r="A1754" s="4" t="s">
        <v>2665</v>
      </c>
      <c r="B1754" s="4" t="s">
        <v>607</v>
      </c>
      <c r="C1754" s="4" t="s">
        <v>900</v>
      </c>
      <c r="D1754" s="4">
        <v>1</v>
      </c>
      <c r="E1754" s="6">
        <v>8000</v>
      </c>
      <c r="F1754" t="str">
        <f>VLOOKUP(C1754,menu!A:B,2,FALSE)</f>
        <v>Es Jeruk Peras</v>
      </c>
      <c r="G1754">
        <f t="shared" si="54"/>
        <v>8000</v>
      </c>
      <c r="H1754">
        <f>VLOOKUP(C1754,menu!A:E,4,FALSE)</f>
        <v>2500</v>
      </c>
      <c r="I1754">
        <f t="shared" si="55"/>
        <v>5500</v>
      </c>
    </row>
    <row r="1755" spans="1:9" x14ac:dyDescent="0.35">
      <c r="A1755" s="4" t="s">
        <v>2666</v>
      </c>
      <c r="B1755" s="4" t="s">
        <v>876</v>
      </c>
      <c r="C1755" s="4" t="s">
        <v>931</v>
      </c>
      <c r="D1755" s="4">
        <v>1</v>
      </c>
      <c r="E1755" s="6">
        <v>5000</v>
      </c>
      <c r="F1755" t="str">
        <f>VLOOKUP(C1755,menu!A:B,2,FALSE)</f>
        <v>Kerupuk Udang</v>
      </c>
      <c r="G1755">
        <f t="shared" si="54"/>
        <v>5000</v>
      </c>
      <c r="H1755">
        <f>VLOOKUP(C1755,menu!A:E,4,FALSE)</f>
        <v>1500</v>
      </c>
      <c r="I1755">
        <f t="shared" si="55"/>
        <v>3500</v>
      </c>
    </row>
    <row r="1756" spans="1:9" x14ac:dyDescent="0.35">
      <c r="A1756" s="4" t="s">
        <v>2667</v>
      </c>
      <c r="B1756" s="4" t="s">
        <v>876</v>
      </c>
      <c r="C1756" s="4" t="s">
        <v>898</v>
      </c>
      <c r="D1756" s="4">
        <v>1</v>
      </c>
      <c r="E1756" s="6">
        <v>27000</v>
      </c>
      <c r="F1756" t="str">
        <f>VLOOKUP(C1756,menu!A:B,2,FALSE)</f>
        <v>Ayam Geprek Sambal Bawang</v>
      </c>
      <c r="G1756">
        <f t="shared" si="54"/>
        <v>27000</v>
      </c>
      <c r="H1756">
        <f>VLOOKUP(C1756,menu!A:E,4,FALSE)</f>
        <v>11000</v>
      </c>
      <c r="I1756">
        <f t="shared" si="55"/>
        <v>16000</v>
      </c>
    </row>
    <row r="1757" spans="1:9" x14ac:dyDescent="0.35">
      <c r="A1757" s="4" t="s">
        <v>2668</v>
      </c>
      <c r="B1757" s="4" t="s">
        <v>167</v>
      </c>
      <c r="C1757" s="4" t="s">
        <v>935</v>
      </c>
      <c r="D1757" s="4">
        <v>1</v>
      </c>
      <c r="E1757" s="6">
        <v>22000</v>
      </c>
      <c r="F1757" t="str">
        <f>VLOOKUP(C1757,menu!A:B,2,FALSE)</f>
        <v>Soto Ayam Lamongan</v>
      </c>
      <c r="G1757">
        <f t="shared" si="54"/>
        <v>22000</v>
      </c>
      <c r="H1757">
        <f>VLOOKUP(C1757,menu!A:E,4,FALSE)</f>
        <v>9500</v>
      </c>
      <c r="I1757">
        <f t="shared" si="55"/>
        <v>12500</v>
      </c>
    </row>
    <row r="1758" spans="1:9" x14ac:dyDescent="0.35">
      <c r="A1758" s="4" t="s">
        <v>2669</v>
      </c>
      <c r="B1758" s="4" t="s">
        <v>167</v>
      </c>
      <c r="C1758" s="4" t="s">
        <v>940</v>
      </c>
      <c r="D1758" s="4">
        <v>3</v>
      </c>
      <c r="E1758" s="6">
        <v>10000</v>
      </c>
      <c r="F1758" t="str">
        <f>VLOOKUP(C1758,menu!A:B,2,FALSE)</f>
        <v>Tahu Isi Goreng (5pcs)</v>
      </c>
      <c r="G1758">
        <f t="shared" si="54"/>
        <v>30000</v>
      </c>
      <c r="H1758">
        <f>VLOOKUP(C1758,menu!A:E,4,FALSE)</f>
        <v>3500</v>
      </c>
      <c r="I1758">
        <f t="shared" si="55"/>
        <v>19500</v>
      </c>
    </row>
    <row r="1759" spans="1:9" x14ac:dyDescent="0.35">
      <c r="A1759" s="4" t="s">
        <v>2670</v>
      </c>
      <c r="B1759" s="4" t="s">
        <v>167</v>
      </c>
      <c r="C1759" s="4" t="s">
        <v>896</v>
      </c>
      <c r="D1759" s="4">
        <v>1</v>
      </c>
      <c r="E1759" s="6">
        <v>23000</v>
      </c>
      <c r="F1759" t="str">
        <f>VLOOKUP(C1759,menu!A:B,2,FALSE)</f>
        <v>Nasi Uduk Komplit</v>
      </c>
      <c r="G1759">
        <f t="shared" si="54"/>
        <v>23000</v>
      </c>
      <c r="H1759">
        <f>VLOOKUP(C1759,menu!A:E,4,FALSE)</f>
        <v>9000</v>
      </c>
      <c r="I1759">
        <f t="shared" si="55"/>
        <v>14000</v>
      </c>
    </row>
    <row r="1760" spans="1:9" x14ac:dyDescent="0.35">
      <c r="A1760" s="4" t="s">
        <v>2671</v>
      </c>
      <c r="B1760" s="4" t="s">
        <v>167</v>
      </c>
      <c r="C1760" s="4" t="s">
        <v>919</v>
      </c>
      <c r="D1760" s="4">
        <v>1</v>
      </c>
      <c r="E1760" s="6">
        <v>20000</v>
      </c>
      <c r="F1760" t="str">
        <f>VLOOKUP(C1760,menu!A:B,2,FALSE)</f>
        <v>Gado-Gado Jakarta</v>
      </c>
      <c r="G1760">
        <f t="shared" si="54"/>
        <v>20000</v>
      </c>
      <c r="H1760">
        <f>VLOOKUP(C1760,menu!A:E,4,FALSE)</f>
        <v>8000</v>
      </c>
      <c r="I1760">
        <f t="shared" si="55"/>
        <v>12000</v>
      </c>
    </row>
    <row r="1761" spans="1:9" x14ac:dyDescent="0.35">
      <c r="A1761" s="4" t="s">
        <v>2672</v>
      </c>
      <c r="B1761" s="4" t="s">
        <v>698</v>
      </c>
      <c r="C1761" s="4" t="s">
        <v>935</v>
      </c>
      <c r="D1761" s="4">
        <v>1</v>
      </c>
      <c r="E1761" s="6">
        <v>22000</v>
      </c>
      <c r="F1761" t="str">
        <f>VLOOKUP(C1761,menu!A:B,2,FALSE)</f>
        <v>Soto Ayam Lamongan</v>
      </c>
      <c r="G1761">
        <f t="shared" si="54"/>
        <v>22000</v>
      </c>
      <c r="H1761">
        <f>VLOOKUP(C1761,menu!A:E,4,FALSE)</f>
        <v>9500</v>
      </c>
      <c r="I1761">
        <f t="shared" si="55"/>
        <v>12500</v>
      </c>
    </row>
    <row r="1762" spans="1:9" x14ac:dyDescent="0.35">
      <c r="A1762" s="4" t="s">
        <v>2673</v>
      </c>
      <c r="B1762" s="4" t="s">
        <v>698</v>
      </c>
      <c r="C1762" s="4" t="s">
        <v>1003</v>
      </c>
      <c r="D1762" s="4">
        <v>1</v>
      </c>
      <c r="E1762" s="6">
        <v>29000</v>
      </c>
      <c r="F1762" t="str">
        <f>VLOOKUP(C1762,menu!A:B,2,FALSE)</f>
        <v>Capcay Seafood</v>
      </c>
      <c r="G1762">
        <f t="shared" si="54"/>
        <v>29000</v>
      </c>
      <c r="H1762">
        <f>VLOOKUP(C1762,menu!A:E,4,FALSE)</f>
        <v>13000</v>
      </c>
      <c r="I1762">
        <f t="shared" si="55"/>
        <v>16000</v>
      </c>
    </row>
    <row r="1763" spans="1:9" x14ac:dyDescent="0.35">
      <c r="A1763" s="4" t="s">
        <v>2674</v>
      </c>
      <c r="B1763" s="4" t="s">
        <v>722</v>
      </c>
      <c r="C1763" s="4" t="s">
        <v>898</v>
      </c>
      <c r="D1763" s="4">
        <v>1</v>
      </c>
      <c r="E1763" s="6">
        <v>27000</v>
      </c>
      <c r="F1763" t="str">
        <f>VLOOKUP(C1763,menu!A:B,2,FALSE)</f>
        <v>Ayam Geprek Sambal Bawang</v>
      </c>
      <c r="G1763">
        <f t="shared" si="54"/>
        <v>27000</v>
      </c>
      <c r="H1763">
        <f>VLOOKUP(C1763,menu!A:E,4,FALSE)</f>
        <v>11000</v>
      </c>
      <c r="I1763">
        <f t="shared" si="55"/>
        <v>16000</v>
      </c>
    </row>
    <row r="1764" spans="1:9" x14ac:dyDescent="0.35">
      <c r="A1764" s="4" t="s">
        <v>2675</v>
      </c>
      <c r="B1764" s="4" t="s">
        <v>722</v>
      </c>
      <c r="C1764" s="4" t="s">
        <v>896</v>
      </c>
      <c r="D1764" s="4">
        <v>1</v>
      </c>
      <c r="E1764" s="6">
        <v>23000</v>
      </c>
      <c r="F1764" t="str">
        <f>VLOOKUP(C1764,menu!A:B,2,FALSE)</f>
        <v>Nasi Uduk Komplit</v>
      </c>
      <c r="G1764">
        <f t="shared" si="54"/>
        <v>23000</v>
      </c>
      <c r="H1764">
        <f>VLOOKUP(C1764,menu!A:E,4,FALSE)</f>
        <v>9000</v>
      </c>
      <c r="I1764">
        <f t="shared" si="55"/>
        <v>14000</v>
      </c>
    </row>
    <row r="1765" spans="1:9" x14ac:dyDescent="0.35">
      <c r="A1765" s="4" t="s">
        <v>2676</v>
      </c>
      <c r="B1765" s="4" t="s">
        <v>379</v>
      </c>
      <c r="C1765" s="4" t="s">
        <v>931</v>
      </c>
      <c r="D1765" s="4">
        <v>2</v>
      </c>
      <c r="E1765" s="6">
        <v>5000</v>
      </c>
      <c r="F1765" t="str">
        <f>VLOOKUP(C1765,menu!A:B,2,FALSE)</f>
        <v>Kerupuk Udang</v>
      </c>
      <c r="G1765">
        <f t="shared" si="54"/>
        <v>10000</v>
      </c>
      <c r="H1765">
        <f>VLOOKUP(C1765,menu!A:E,4,FALSE)</f>
        <v>1500</v>
      </c>
      <c r="I1765">
        <f t="shared" si="55"/>
        <v>7000</v>
      </c>
    </row>
    <row r="1766" spans="1:9" x14ac:dyDescent="0.35">
      <c r="A1766" s="4" t="s">
        <v>2677</v>
      </c>
      <c r="B1766" s="4" t="s">
        <v>379</v>
      </c>
      <c r="C1766" s="4" t="s">
        <v>928</v>
      </c>
      <c r="D1766" s="4">
        <v>1</v>
      </c>
      <c r="E1766" s="6">
        <v>23000</v>
      </c>
      <c r="F1766" t="str">
        <f>VLOOKUP(C1766,menu!A:B,2,FALSE)</f>
        <v>Mie Goreng Jawa</v>
      </c>
      <c r="G1766">
        <f t="shared" si="54"/>
        <v>23000</v>
      </c>
      <c r="H1766">
        <f>VLOOKUP(C1766,menu!A:E,4,FALSE)</f>
        <v>8500</v>
      </c>
      <c r="I1766">
        <f t="shared" si="55"/>
        <v>14500</v>
      </c>
    </row>
    <row r="1767" spans="1:9" x14ac:dyDescent="0.35">
      <c r="A1767" s="4" t="s">
        <v>2678</v>
      </c>
      <c r="B1767" s="4" t="s">
        <v>183</v>
      </c>
      <c r="C1767" s="4" t="s">
        <v>898</v>
      </c>
      <c r="D1767" s="4">
        <v>1</v>
      </c>
      <c r="E1767" s="6">
        <v>27000</v>
      </c>
      <c r="F1767" t="str">
        <f>VLOOKUP(C1767,menu!A:B,2,FALSE)</f>
        <v>Ayam Geprek Sambal Bawang</v>
      </c>
      <c r="G1767">
        <f t="shared" si="54"/>
        <v>27000</v>
      </c>
      <c r="H1767">
        <f>VLOOKUP(C1767,menu!A:E,4,FALSE)</f>
        <v>11000</v>
      </c>
      <c r="I1767">
        <f t="shared" si="55"/>
        <v>16000</v>
      </c>
    </row>
    <row r="1768" spans="1:9" x14ac:dyDescent="0.35">
      <c r="A1768" s="4" t="s">
        <v>2679</v>
      </c>
      <c r="B1768" s="4" t="s">
        <v>183</v>
      </c>
      <c r="C1768" s="4" t="s">
        <v>955</v>
      </c>
      <c r="D1768" s="4">
        <v>1</v>
      </c>
      <c r="E1768" s="6">
        <v>15000</v>
      </c>
      <c r="F1768" t="str">
        <f>VLOOKUP(C1768,menu!A:B,2,FALSE)</f>
        <v>Es Campur</v>
      </c>
      <c r="G1768">
        <f t="shared" si="54"/>
        <v>15000</v>
      </c>
      <c r="H1768">
        <f>VLOOKUP(C1768,menu!A:E,4,FALSE)</f>
        <v>6000</v>
      </c>
      <c r="I1768">
        <f t="shared" si="55"/>
        <v>9000</v>
      </c>
    </row>
    <row r="1769" spans="1:9" x14ac:dyDescent="0.35">
      <c r="A1769" s="4" t="s">
        <v>2680</v>
      </c>
      <c r="B1769" s="4" t="s">
        <v>183</v>
      </c>
      <c r="C1769" s="4" t="s">
        <v>908</v>
      </c>
      <c r="D1769" s="4">
        <v>1</v>
      </c>
      <c r="E1769" s="6">
        <v>16000</v>
      </c>
      <c r="F1769" t="str">
        <f>VLOOKUP(C1769,menu!A:B,2,FALSE)</f>
        <v>Jus Alpukat</v>
      </c>
      <c r="G1769">
        <f t="shared" si="54"/>
        <v>16000</v>
      </c>
      <c r="H1769">
        <f>VLOOKUP(C1769,menu!A:E,4,FALSE)</f>
        <v>5500</v>
      </c>
      <c r="I1769">
        <f t="shared" si="55"/>
        <v>10500</v>
      </c>
    </row>
    <row r="1770" spans="1:9" x14ac:dyDescent="0.35">
      <c r="A1770" s="4" t="s">
        <v>2681</v>
      </c>
      <c r="B1770" s="4" t="s">
        <v>183</v>
      </c>
      <c r="C1770" s="4" t="s">
        <v>900</v>
      </c>
      <c r="D1770" s="4">
        <v>3</v>
      </c>
      <c r="E1770" s="6">
        <v>8000</v>
      </c>
      <c r="F1770" t="str">
        <f>VLOOKUP(C1770,menu!A:B,2,FALSE)</f>
        <v>Es Jeruk Peras</v>
      </c>
      <c r="G1770">
        <f t="shared" si="54"/>
        <v>24000</v>
      </c>
      <c r="H1770">
        <f>VLOOKUP(C1770,menu!A:E,4,FALSE)</f>
        <v>2500</v>
      </c>
      <c r="I1770">
        <f t="shared" si="55"/>
        <v>16500</v>
      </c>
    </row>
    <row r="1771" spans="1:9" x14ac:dyDescent="0.35">
      <c r="A1771" s="4" t="s">
        <v>2682</v>
      </c>
      <c r="B1771" s="4" t="s">
        <v>860</v>
      </c>
      <c r="C1771" s="4" t="s">
        <v>937</v>
      </c>
      <c r="D1771" s="4">
        <v>1</v>
      </c>
      <c r="E1771" s="6">
        <v>26000</v>
      </c>
      <c r="F1771" t="str">
        <f>VLOOKUP(C1771,menu!A:B,2,FALSE)</f>
        <v>Nasi Campur Bali</v>
      </c>
      <c r="G1771">
        <f t="shared" si="54"/>
        <v>26000</v>
      </c>
      <c r="H1771">
        <f>VLOOKUP(C1771,menu!A:E,4,FALSE)</f>
        <v>11500</v>
      </c>
      <c r="I1771">
        <f t="shared" si="55"/>
        <v>14500</v>
      </c>
    </row>
    <row r="1772" spans="1:9" x14ac:dyDescent="0.35">
      <c r="A1772" s="4" t="s">
        <v>2683</v>
      </c>
      <c r="B1772" s="4" t="s">
        <v>860</v>
      </c>
      <c r="C1772" s="4" t="s">
        <v>898</v>
      </c>
      <c r="D1772" s="4">
        <v>1</v>
      </c>
      <c r="E1772" s="6">
        <v>27000</v>
      </c>
      <c r="F1772" t="str">
        <f>VLOOKUP(C1772,menu!A:B,2,FALSE)</f>
        <v>Ayam Geprek Sambal Bawang</v>
      </c>
      <c r="G1772">
        <f t="shared" si="54"/>
        <v>27000</v>
      </c>
      <c r="H1772">
        <f>VLOOKUP(C1772,menu!A:E,4,FALSE)</f>
        <v>11000</v>
      </c>
      <c r="I1772">
        <f t="shared" si="55"/>
        <v>16000</v>
      </c>
    </row>
    <row r="1773" spans="1:9" x14ac:dyDescent="0.35">
      <c r="A1773" s="4" t="s">
        <v>2684</v>
      </c>
      <c r="B1773" s="4" t="s">
        <v>860</v>
      </c>
      <c r="C1773" s="4" t="s">
        <v>896</v>
      </c>
      <c r="D1773" s="4">
        <v>1</v>
      </c>
      <c r="E1773" s="6">
        <v>23000</v>
      </c>
      <c r="F1773" t="str">
        <f>VLOOKUP(C1773,menu!A:B,2,FALSE)</f>
        <v>Nasi Uduk Komplit</v>
      </c>
      <c r="G1773">
        <f t="shared" si="54"/>
        <v>23000</v>
      </c>
      <c r="H1773">
        <f>VLOOKUP(C1773,menu!A:E,4,FALSE)</f>
        <v>9000</v>
      </c>
      <c r="I1773">
        <f t="shared" si="55"/>
        <v>14000</v>
      </c>
    </row>
    <row r="1774" spans="1:9" x14ac:dyDescent="0.35">
      <c r="A1774" s="4" t="s">
        <v>2685</v>
      </c>
      <c r="B1774" s="4" t="s">
        <v>457</v>
      </c>
      <c r="C1774" s="4" t="s">
        <v>928</v>
      </c>
      <c r="D1774" s="4">
        <v>1</v>
      </c>
      <c r="E1774" s="6">
        <v>23000</v>
      </c>
      <c r="F1774" t="str">
        <f>VLOOKUP(C1774,menu!A:B,2,FALSE)</f>
        <v>Mie Goreng Jawa</v>
      </c>
      <c r="G1774">
        <f t="shared" si="54"/>
        <v>23000</v>
      </c>
      <c r="H1774">
        <f>VLOOKUP(C1774,menu!A:E,4,FALSE)</f>
        <v>8500</v>
      </c>
      <c r="I1774">
        <f t="shared" si="55"/>
        <v>14500</v>
      </c>
    </row>
    <row r="1775" spans="1:9" x14ac:dyDescent="0.35">
      <c r="A1775" s="4" t="s">
        <v>2686</v>
      </c>
      <c r="B1775" s="4" t="s">
        <v>457</v>
      </c>
      <c r="C1775" s="4" t="s">
        <v>894</v>
      </c>
      <c r="D1775" s="4">
        <v>1</v>
      </c>
      <c r="E1775" s="6">
        <v>5000</v>
      </c>
      <c r="F1775" t="str">
        <f>VLOOKUP(C1775,menu!A:B,2,FALSE)</f>
        <v>Air Mineral Botol</v>
      </c>
      <c r="G1775">
        <f t="shared" si="54"/>
        <v>5000</v>
      </c>
      <c r="H1775">
        <f>VLOOKUP(C1775,menu!A:E,4,FALSE)</f>
        <v>2000</v>
      </c>
      <c r="I1775">
        <f t="shared" si="55"/>
        <v>3000</v>
      </c>
    </row>
    <row r="1776" spans="1:9" x14ac:dyDescent="0.35">
      <c r="A1776" s="4" t="s">
        <v>2687</v>
      </c>
      <c r="B1776" s="4" t="s">
        <v>677</v>
      </c>
      <c r="C1776" s="4" t="s">
        <v>935</v>
      </c>
      <c r="D1776" s="4">
        <v>1</v>
      </c>
      <c r="E1776" s="6">
        <v>22000</v>
      </c>
      <c r="F1776" t="str">
        <f>VLOOKUP(C1776,menu!A:B,2,FALSE)</f>
        <v>Soto Ayam Lamongan</v>
      </c>
      <c r="G1776">
        <f t="shared" si="54"/>
        <v>22000</v>
      </c>
      <c r="H1776">
        <f>VLOOKUP(C1776,menu!A:E,4,FALSE)</f>
        <v>9500</v>
      </c>
      <c r="I1776">
        <f t="shared" si="55"/>
        <v>12500</v>
      </c>
    </row>
    <row r="1777" spans="1:9" x14ac:dyDescent="0.35">
      <c r="A1777" s="4" t="s">
        <v>2688</v>
      </c>
      <c r="B1777" s="4" t="s">
        <v>677</v>
      </c>
      <c r="C1777" s="4" t="s">
        <v>919</v>
      </c>
      <c r="D1777" s="4">
        <v>2</v>
      </c>
      <c r="E1777" s="6">
        <v>20000</v>
      </c>
      <c r="F1777" t="str">
        <f>VLOOKUP(C1777,menu!A:B,2,FALSE)</f>
        <v>Gado-Gado Jakarta</v>
      </c>
      <c r="G1777">
        <f t="shared" si="54"/>
        <v>40000</v>
      </c>
      <c r="H1777">
        <f>VLOOKUP(C1777,menu!A:E,4,FALSE)</f>
        <v>8000</v>
      </c>
      <c r="I1777">
        <f t="shared" si="55"/>
        <v>24000</v>
      </c>
    </row>
    <row r="1778" spans="1:9" x14ac:dyDescent="0.35">
      <c r="A1778" s="4" t="s">
        <v>2689</v>
      </c>
      <c r="B1778" s="4" t="s">
        <v>677</v>
      </c>
      <c r="C1778" s="4" t="s">
        <v>916</v>
      </c>
      <c r="D1778" s="4">
        <v>2</v>
      </c>
      <c r="E1778" s="6">
        <v>9000</v>
      </c>
      <c r="F1778" t="str">
        <f>VLOOKUP(C1778,menu!A:B,2,FALSE)</f>
        <v>Kopi Hitam Tubruk</v>
      </c>
      <c r="G1778">
        <f t="shared" si="54"/>
        <v>18000</v>
      </c>
      <c r="H1778">
        <f>VLOOKUP(C1778,menu!A:E,4,FALSE)</f>
        <v>2000</v>
      </c>
      <c r="I1778">
        <f t="shared" si="55"/>
        <v>14000</v>
      </c>
    </row>
    <row r="1779" spans="1:9" x14ac:dyDescent="0.35">
      <c r="A1779" s="4" t="s">
        <v>2690</v>
      </c>
      <c r="B1779" s="4" t="s">
        <v>677</v>
      </c>
      <c r="C1779" s="4" t="s">
        <v>937</v>
      </c>
      <c r="D1779" s="4">
        <v>1</v>
      </c>
      <c r="E1779" s="6">
        <v>26000</v>
      </c>
      <c r="F1779" t="str">
        <f>VLOOKUP(C1779,menu!A:B,2,FALSE)</f>
        <v>Nasi Campur Bali</v>
      </c>
      <c r="G1779">
        <f t="shared" si="54"/>
        <v>26000</v>
      </c>
      <c r="H1779">
        <f>VLOOKUP(C1779,menu!A:E,4,FALSE)</f>
        <v>11500</v>
      </c>
      <c r="I1779">
        <f t="shared" si="55"/>
        <v>14500</v>
      </c>
    </row>
    <row r="1780" spans="1:9" x14ac:dyDescent="0.35">
      <c r="A1780" s="4" t="s">
        <v>2691</v>
      </c>
      <c r="B1780" s="4" t="s">
        <v>799</v>
      </c>
      <c r="C1780" s="4" t="s">
        <v>898</v>
      </c>
      <c r="D1780" s="4">
        <v>1</v>
      </c>
      <c r="E1780" s="6">
        <v>27000</v>
      </c>
      <c r="F1780" t="str">
        <f>VLOOKUP(C1780,menu!A:B,2,FALSE)</f>
        <v>Ayam Geprek Sambal Bawang</v>
      </c>
      <c r="G1780">
        <f t="shared" si="54"/>
        <v>27000</v>
      </c>
      <c r="H1780">
        <f>VLOOKUP(C1780,menu!A:E,4,FALSE)</f>
        <v>11000</v>
      </c>
      <c r="I1780">
        <f t="shared" si="55"/>
        <v>16000</v>
      </c>
    </row>
    <row r="1781" spans="1:9" x14ac:dyDescent="0.35">
      <c r="A1781" s="4" t="s">
        <v>2692</v>
      </c>
      <c r="B1781" s="4" t="s">
        <v>799</v>
      </c>
      <c r="C1781" s="4" t="s">
        <v>902</v>
      </c>
      <c r="D1781" s="4">
        <v>1</v>
      </c>
      <c r="E1781" s="6">
        <v>12000</v>
      </c>
      <c r="F1781" t="str">
        <f>VLOOKUP(C1781,menu!A:B,2,FALSE)</f>
        <v>Teh Tarik</v>
      </c>
      <c r="G1781">
        <f t="shared" si="54"/>
        <v>12000</v>
      </c>
      <c r="H1781">
        <f>VLOOKUP(C1781,menu!A:E,4,FALSE)</f>
        <v>3000</v>
      </c>
      <c r="I1781">
        <f t="shared" si="55"/>
        <v>9000</v>
      </c>
    </row>
    <row r="1782" spans="1:9" x14ac:dyDescent="0.35">
      <c r="A1782" s="4" t="s">
        <v>2693</v>
      </c>
      <c r="B1782" s="4" t="s">
        <v>799</v>
      </c>
      <c r="C1782" s="4" t="s">
        <v>937</v>
      </c>
      <c r="D1782" s="4">
        <v>3</v>
      </c>
      <c r="E1782" s="6">
        <v>26000</v>
      </c>
      <c r="F1782" t="str">
        <f>VLOOKUP(C1782,menu!A:B,2,FALSE)</f>
        <v>Nasi Campur Bali</v>
      </c>
      <c r="G1782">
        <f t="shared" si="54"/>
        <v>78000</v>
      </c>
      <c r="H1782">
        <f>VLOOKUP(C1782,menu!A:E,4,FALSE)</f>
        <v>11500</v>
      </c>
      <c r="I1782">
        <f t="shared" si="55"/>
        <v>43500</v>
      </c>
    </row>
    <row r="1783" spans="1:9" x14ac:dyDescent="0.35">
      <c r="A1783" s="4" t="s">
        <v>2694</v>
      </c>
      <c r="B1783" s="4" t="s">
        <v>642</v>
      </c>
      <c r="C1783" s="4" t="s">
        <v>900</v>
      </c>
      <c r="D1783" s="4">
        <v>2</v>
      </c>
      <c r="E1783" s="6">
        <v>8000</v>
      </c>
      <c r="F1783" t="str">
        <f>VLOOKUP(C1783,menu!A:B,2,FALSE)</f>
        <v>Es Jeruk Peras</v>
      </c>
      <c r="G1783">
        <f t="shared" si="54"/>
        <v>16000</v>
      </c>
      <c r="H1783">
        <f>VLOOKUP(C1783,menu!A:E,4,FALSE)</f>
        <v>2500</v>
      </c>
      <c r="I1783">
        <f t="shared" si="55"/>
        <v>11000</v>
      </c>
    </row>
    <row r="1784" spans="1:9" x14ac:dyDescent="0.35">
      <c r="A1784" s="4" t="s">
        <v>2695</v>
      </c>
      <c r="B1784" s="4" t="s">
        <v>642</v>
      </c>
      <c r="C1784" s="4" t="s">
        <v>902</v>
      </c>
      <c r="D1784" s="4">
        <v>2</v>
      </c>
      <c r="E1784" s="6">
        <v>12000</v>
      </c>
      <c r="F1784" t="str">
        <f>VLOOKUP(C1784,menu!A:B,2,FALSE)</f>
        <v>Teh Tarik</v>
      </c>
      <c r="G1784">
        <f t="shared" si="54"/>
        <v>24000</v>
      </c>
      <c r="H1784">
        <f>VLOOKUP(C1784,menu!A:E,4,FALSE)</f>
        <v>3000</v>
      </c>
      <c r="I1784">
        <f t="shared" si="55"/>
        <v>18000</v>
      </c>
    </row>
    <row r="1785" spans="1:9" x14ac:dyDescent="0.35">
      <c r="A1785" s="4" t="s">
        <v>2696</v>
      </c>
      <c r="B1785" s="4" t="s">
        <v>267</v>
      </c>
      <c r="C1785" s="4" t="s">
        <v>898</v>
      </c>
      <c r="D1785" s="4">
        <v>1</v>
      </c>
      <c r="E1785" s="6">
        <v>27000</v>
      </c>
      <c r="F1785" t="str">
        <f>VLOOKUP(C1785,menu!A:B,2,FALSE)</f>
        <v>Ayam Geprek Sambal Bawang</v>
      </c>
      <c r="G1785">
        <f t="shared" si="54"/>
        <v>27000</v>
      </c>
      <c r="H1785">
        <f>VLOOKUP(C1785,menu!A:E,4,FALSE)</f>
        <v>11000</v>
      </c>
      <c r="I1785">
        <f t="shared" si="55"/>
        <v>16000</v>
      </c>
    </row>
    <row r="1786" spans="1:9" x14ac:dyDescent="0.35">
      <c r="A1786" s="4" t="s">
        <v>2697</v>
      </c>
      <c r="B1786" s="4" t="s">
        <v>226</v>
      </c>
      <c r="C1786" s="4" t="s">
        <v>935</v>
      </c>
      <c r="D1786" s="4">
        <v>1</v>
      </c>
      <c r="E1786" s="6">
        <v>22000</v>
      </c>
      <c r="F1786" t="str">
        <f>VLOOKUP(C1786,menu!A:B,2,FALSE)</f>
        <v>Soto Ayam Lamongan</v>
      </c>
      <c r="G1786">
        <f t="shared" si="54"/>
        <v>22000</v>
      </c>
      <c r="H1786">
        <f>VLOOKUP(C1786,menu!A:E,4,FALSE)</f>
        <v>9500</v>
      </c>
      <c r="I1786">
        <f t="shared" si="55"/>
        <v>12500</v>
      </c>
    </row>
    <row r="1787" spans="1:9" x14ac:dyDescent="0.35">
      <c r="A1787" s="4" t="s">
        <v>2698</v>
      </c>
      <c r="B1787" s="4" t="s">
        <v>226</v>
      </c>
      <c r="C1787" s="4" t="s">
        <v>890</v>
      </c>
      <c r="D1787" s="4">
        <v>1</v>
      </c>
      <c r="E1787" s="6">
        <v>18000</v>
      </c>
      <c r="F1787" t="str">
        <f>VLOOKUP(C1787,menu!A:B,2,FALSE)</f>
        <v>Es Kopi Susu Gula Aren</v>
      </c>
      <c r="G1787">
        <f t="shared" si="54"/>
        <v>18000</v>
      </c>
      <c r="H1787">
        <f>VLOOKUP(C1787,menu!A:E,4,FALSE)</f>
        <v>4500</v>
      </c>
      <c r="I1787">
        <f t="shared" si="55"/>
        <v>13500</v>
      </c>
    </row>
    <row r="1788" spans="1:9" x14ac:dyDescent="0.35">
      <c r="A1788" s="4" t="s">
        <v>2699</v>
      </c>
      <c r="B1788" s="4" t="s">
        <v>226</v>
      </c>
      <c r="C1788" s="4" t="s">
        <v>1003</v>
      </c>
      <c r="D1788" s="4">
        <v>2</v>
      </c>
      <c r="E1788" s="6">
        <v>29000</v>
      </c>
      <c r="F1788" t="str">
        <f>VLOOKUP(C1788,menu!A:B,2,FALSE)</f>
        <v>Capcay Seafood</v>
      </c>
      <c r="G1788">
        <f t="shared" si="54"/>
        <v>58000</v>
      </c>
      <c r="H1788">
        <f>VLOOKUP(C1788,menu!A:E,4,FALSE)</f>
        <v>13000</v>
      </c>
      <c r="I1788">
        <f t="shared" si="55"/>
        <v>32000</v>
      </c>
    </row>
    <row r="1789" spans="1:9" x14ac:dyDescent="0.35">
      <c r="A1789" s="4" t="s">
        <v>2700</v>
      </c>
      <c r="B1789" s="4" t="s">
        <v>729</v>
      </c>
      <c r="C1789" s="4" t="s">
        <v>896</v>
      </c>
      <c r="D1789" s="4">
        <v>2</v>
      </c>
      <c r="E1789" s="6">
        <v>23000</v>
      </c>
      <c r="F1789" t="str">
        <f>VLOOKUP(C1789,menu!A:B,2,FALSE)</f>
        <v>Nasi Uduk Komplit</v>
      </c>
      <c r="G1789">
        <f t="shared" si="54"/>
        <v>46000</v>
      </c>
      <c r="H1789">
        <f>VLOOKUP(C1789,menu!A:E,4,FALSE)</f>
        <v>9000</v>
      </c>
      <c r="I1789">
        <f t="shared" si="55"/>
        <v>28000</v>
      </c>
    </row>
    <row r="1790" spans="1:9" x14ac:dyDescent="0.35">
      <c r="A1790" s="4" t="s">
        <v>2701</v>
      </c>
      <c r="B1790" s="4" t="s">
        <v>729</v>
      </c>
      <c r="C1790" s="4" t="s">
        <v>890</v>
      </c>
      <c r="D1790" s="4">
        <v>3</v>
      </c>
      <c r="E1790" s="6">
        <v>18000</v>
      </c>
      <c r="F1790" t="str">
        <f>VLOOKUP(C1790,menu!A:B,2,FALSE)</f>
        <v>Es Kopi Susu Gula Aren</v>
      </c>
      <c r="G1790">
        <f t="shared" si="54"/>
        <v>54000</v>
      </c>
      <c r="H1790">
        <f>VLOOKUP(C1790,menu!A:E,4,FALSE)</f>
        <v>4500</v>
      </c>
      <c r="I1790">
        <f t="shared" si="55"/>
        <v>40500</v>
      </c>
    </row>
    <row r="1791" spans="1:9" x14ac:dyDescent="0.35">
      <c r="A1791" s="4" t="s">
        <v>2702</v>
      </c>
      <c r="B1791" s="4" t="s">
        <v>432</v>
      </c>
      <c r="C1791" s="4" t="s">
        <v>928</v>
      </c>
      <c r="D1791" s="4">
        <v>2</v>
      </c>
      <c r="E1791" s="6">
        <v>23000</v>
      </c>
      <c r="F1791" t="str">
        <f>VLOOKUP(C1791,menu!A:B,2,FALSE)</f>
        <v>Mie Goreng Jawa</v>
      </c>
      <c r="G1791">
        <f t="shared" si="54"/>
        <v>46000</v>
      </c>
      <c r="H1791">
        <f>VLOOKUP(C1791,menu!A:E,4,FALSE)</f>
        <v>8500</v>
      </c>
      <c r="I1791">
        <f t="shared" si="55"/>
        <v>29000</v>
      </c>
    </row>
    <row r="1792" spans="1:9" x14ac:dyDescent="0.35">
      <c r="A1792" s="4" t="s">
        <v>2703</v>
      </c>
      <c r="B1792" s="4" t="s">
        <v>432</v>
      </c>
      <c r="C1792" s="4" t="s">
        <v>890</v>
      </c>
      <c r="D1792" s="4">
        <v>1</v>
      </c>
      <c r="E1792" s="6">
        <v>18000</v>
      </c>
      <c r="F1792" t="str">
        <f>VLOOKUP(C1792,menu!A:B,2,FALSE)</f>
        <v>Es Kopi Susu Gula Aren</v>
      </c>
      <c r="G1792">
        <f t="shared" si="54"/>
        <v>18000</v>
      </c>
      <c r="H1792">
        <f>VLOOKUP(C1792,menu!A:E,4,FALSE)</f>
        <v>4500</v>
      </c>
      <c r="I1792">
        <f t="shared" si="55"/>
        <v>13500</v>
      </c>
    </row>
    <row r="1793" spans="1:9" x14ac:dyDescent="0.35">
      <c r="A1793" s="4" t="s">
        <v>2704</v>
      </c>
      <c r="B1793" s="4" t="s">
        <v>757</v>
      </c>
      <c r="C1793" s="4" t="s">
        <v>894</v>
      </c>
      <c r="D1793" s="4">
        <v>1</v>
      </c>
      <c r="E1793" s="6">
        <v>5000</v>
      </c>
      <c r="F1793" t="str">
        <f>VLOOKUP(C1793,menu!A:B,2,FALSE)</f>
        <v>Air Mineral Botol</v>
      </c>
      <c r="G1793">
        <f t="shared" si="54"/>
        <v>5000</v>
      </c>
      <c r="H1793">
        <f>VLOOKUP(C1793,menu!A:E,4,FALSE)</f>
        <v>2000</v>
      </c>
      <c r="I1793">
        <f t="shared" si="55"/>
        <v>3000</v>
      </c>
    </row>
    <row r="1794" spans="1:9" x14ac:dyDescent="0.35">
      <c r="A1794" s="4" t="s">
        <v>2705</v>
      </c>
      <c r="B1794" s="4" t="s">
        <v>757</v>
      </c>
      <c r="C1794" s="4" t="s">
        <v>919</v>
      </c>
      <c r="D1794" s="4">
        <v>1</v>
      </c>
      <c r="E1794" s="6">
        <v>20000</v>
      </c>
      <c r="F1794" t="str">
        <f>VLOOKUP(C1794,menu!A:B,2,FALSE)</f>
        <v>Gado-Gado Jakarta</v>
      </c>
      <c r="G1794">
        <f t="shared" si="54"/>
        <v>20000</v>
      </c>
      <c r="H1794">
        <f>VLOOKUP(C1794,menu!A:E,4,FALSE)</f>
        <v>8000</v>
      </c>
      <c r="I1794">
        <f t="shared" si="55"/>
        <v>12000</v>
      </c>
    </row>
    <row r="1795" spans="1:9" x14ac:dyDescent="0.35">
      <c r="A1795" s="4" t="s">
        <v>2706</v>
      </c>
      <c r="B1795" s="4" t="s">
        <v>757</v>
      </c>
      <c r="C1795" s="4" t="s">
        <v>890</v>
      </c>
      <c r="D1795" s="4">
        <v>3</v>
      </c>
      <c r="E1795" s="6">
        <v>18000</v>
      </c>
      <c r="F1795" t="str">
        <f>VLOOKUP(C1795,menu!A:B,2,FALSE)</f>
        <v>Es Kopi Susu Gula Aren</v>
      </c>
      <c r="G1795">
        <f t="shared" ref="G1795:G1858" si="56">D1795*E1795</f>
        <v>54000</v>
      </c>
      <c r="H1795">
        <f>VLOOKUP(C1795,menu!A:E,4,FALSE)</f>
        <v>4500</v>
      </c>
      <c r="I1795">
        <f t="shared" ref="I1795:I1858" si="57">(E1795-H1795)*D1795</f>
        <v>40500</v>
      </c>
    </row>
    <row r="1796" spans="1:9" x14ac:dyDescent="0.35">
      <c r="A1796" s="4" t="s">
        <v>2707</v>
      </c>
      <c r="B1796" s="4" t="s">
        <v>41</v>
      </c>
      <c r="C1796" s="4" t="s">
        <v>906</v>
      </c>
      <c r="D1796" s="4">
        <v>1</v>
      </c>
      <c r="E1796" s="6">
        <v>28000</v>
      </c>
      <c r="F1796" t="str">
        <f>VLOOKUP(C1796,menu!A:B,2,FALSE)</f>
        <v>Sate Ayam 10 Tusuk</v>
      </c>
      <c r="G1796">
        <f t="shared" si="56"/>
        <v>28000</v>
      </c>
      <c r="H1796">
        <f>VLOOKUP(C1796,menu!A:E,4,FALSE)</f>
        <v>12000</v>
      </c>
      <c r="I1796">
        <f t="shared" si="57"/>
        <v>16000</v>
      </c>
    </row>
    <row r="1797" spans="1:9" x14ac:dyDescent="0.35">
      <c r="A1797" s="4" t="s">
        <v>2708</v>
      </c>
      <c r="B1797" s="4" t="s">
        <v>41</v>
      </c>
      <c r="C1797" s="4" t="s">
        <v>896</v>
      </c>
      <c r="D1797" s="4">
        <v>2</v>
      </c>
      <c r="E1797" s="6">
        <v>23000</v>
      </c>
      <c r="F1797" t="str">
        <f>VLOOKUP(C1797,menu!A:B,2,FALSE)</f>
        <v>Nasi Uduk Komplit</v>
      </c>
      <c r="G1797">
        <f t="shared" si="56"/>
        <v>46000</v>
      </c>
      <c r="H1797">
        <f>VLOOKUP(C1797,menu!A:E,4,FALSE)</f>
        <v>9000</v>
      </c>
      <c r="I1797">
        <f t="shared" si="57"/>
        <v>28000</v>
      </c>
    </row>
    <row r="1798" spans="1:9" x14ac:dyDescent="0.35">
      <c r="A1798" s="4" t="s">
        <v>2709</v>
      </c>
      <c r="B1798" s="4" t="s">
        <v>41</v>
      </c>
      <c r="C1798" s="4" t="s">
        <v>890</v>
      </c>
      <c r="D1798" s="4">
        <v>1</v>
      </c>
      <c r="E1798" s="6">
        <v>18000</v>
      </c>
      <c r="F1798" t="str">
        <f>VLOOKUP(C1798,menu!A:B,2,FALSE)</f>
        <v>Es Kopi Susu Gula Aren</v>
      </c>
      <c r="G1798">
        <f t="shared" si="56"/>
        <v>18000</v>
      </c>
      <c r="H1798">
        <f>VLOOKUP(C1798,menu!A:E,4,FALSE)</f>
        <v>4500</v>
      </c>
      <c r="I1798">
        <f t="shared" si="57"/>
        <v>13500</v>
      </c>
    </row>
    <row r="1799" spans="1:9" x14ac:dyDescent="0.35">
      <c r="A1799" s="4" t="s">
        <v>2710</v>
      </c>
      <c r="B1799" s="4" t="s">
        <v>413</v>
      </c>
      <c r="C1799" s="4" t="s">
        <v>898</v>
      </c>
      <c r="D1799" s="4">
        <v>2</v>
      </c>
      <c r="E1799" s="6">
        <v>27000</v>
      </c>
      <c r="F1799" t="str">
        <f>VLOOKUP(C1799,menu!A:B,2,FALSE)</f>
        <v>Ayam Geprek Sambal Bawang</v>
      </c>
      <c r="G1799">
        <f t="shared" si="56"/>
        <v>54000</v>
      </c>
      <c r="H1799">
        <f>VLOOKUP(C1799,menu!A:E,4,FALSE)</f>
        <v>11000</v>
      </c>
      <c r="I1799">
        <f t="shared" si="57"/>
        <v>32000</v>
      </c>
    </row>
    <row r="1800" spans="1:9" x14ac:dyDescent="0.35">
      <c r="A1800" s="4" t="s">
        <v>2711</v>
      </c>
      <c r="B1800" s="4" t="s">
        <v>413</v>
      </c>
      <c r="C1800" s="4" t="s">
        <v>935</v>
      </c>
      <c r="D1800" s="4">
        <v>1</v>
      </c>
      <c r="E1800" s="6">
        <v>22000</v>
      </c>
      <c r="F1800" t="str">
        <f>VLOOKUP(C1800,menu!A:B,2,FALSE)</f>
        <v>Soto Ayam Lamongan</v>
      </c>
      <c r="G1800">
        <f t="shared" si="56"/>
        <v>22000</v>
      </c>
      <c r="H1800">
        <f>VLOOKUP(C1800,menu!A:E,4,FALSE)</f>
        <v>9500</v>
      </c>
      <c r="I1800">
        <f t="shared" si="57"/>
        <v>12500</v>
      </c>
    </row>
    <row r="1801" spans="1:9" x14ac:dyDescent="0.35">
      <c r="A1801" s="4" t="s">
        <v>2712</v>
      </c>
      <c r="B1801" s="4" t="s">
        <v>413</v>
      </c>
      <c r="C1801" s="4" t="s">
        <v>894</v>
      </c>
      <c r="D1801" s="4">
        <v>1</v>
      </c>
      <c r="E1801" s="6">
        <v>5000</v>
      </c>
      <c r="F1801" t="str">
        <f>VLOOKUP(C1801,menu!A:B,2,FALSE)</f>
        <v>Air Mineral Botol</v>
      </c>
      <c r="G1801">
        <f t="shared" si="56"/>
        <v>5000</v>
      </c>
      <c r="H1801">
        <f>VLOOKUP(C1801,menu!A:E,4,FALSE)</f>
        <v>2000</v>
      </c>
      <c r="I1801">
        <f t="shared" si="57"/>
        <v>3000</v>
      </c>
    </row>
    <row r="1802" spans="1:9" x14ac:dyDescent="0.35">
      <c r="A1802" s="4" t="s">
        <v>2713</v>
      </c>
      <c r="B1802" s="4" t="s">
        <v>848</v>
      </c>
      <c r="C1802" s="4" t="s">
        <v>898</v>
      </c>
      <c r="D1802" s="4">
        <v>2</v>
      </c>
      <c r="E1802" s="6">
        <v>27000</v>
      </c>
      <c r="F1802" t="str">
        <f>VLOOKUP(C1802,menu!A:B,2,FALSE)</f>
        <v>Ayam Geprek Sambal Bawang</v>
      </c>
      <c r="G1802">
        <f t="shared" si="56"/>
        <v>54000</v>
      </c>
      <c r="H1802">
        <f>VLOOKUP(C1802,menu!A:E,4,FALSE)</f>
        <v>11000</v>
      </c>
      <c r="I1802">
        <f t="shared" si="57"/>
        <v>32000</v>
      </c>
    </row>
    <row r="1803" spans="1:9" x14ac:dyDescent="0.35">
      <c r="A1803" s="4" t="s">
        <v>2714</v>
      </c>
      <c r="B1803" s="4" t="s">
        <v>848</v>
      </c>
      <c r="C1803" s="4" t="s">
        <v>908</v>
      </c>
      <c r="D1803" s="4">
        <v>1</v>
      </c>
      <c r="E1803" s="6">
        <v>16000</v>
      </c>
      <c r="F1803" t="str">
        <f>VLOOKUP(C1803,menu!A:B,2,FALSE)</f>
        <v>Jus Alpukat</v>
      </c>
      <c r="G1803">
        <f t="shared" si="56"/>
        <v>16000</v>
      </c>
      <c r="H1803">
        <f>VLOOKUP(C1803,menu!A:E,4,FALSE)</f>
        <v>5500</v>
      </c>
      <c r="I1803">
        <f t="shared" si="57"/>
        <v>10500</v>
      </c>
    </row>
    <row r="1804" spans="1:9" x14ac:dyDescent="0.35">
      <c r="A1804" s="4" t="s">
        <v>2715</v>
      </c>
      <c r="B1804" s="4" t="s">
        <v>848</v>
      </c>
      <c r="C1804" s="4" t="s">
        <v>937</v>
      </c>
      <c r="D1804" s="4">
        <v>1</v>
      </c>
      <c r="E1804" s="6">
        <v>26000</v>
      </c>
      <c r="F1804" t="str">
        <f>VLOOKUP(C1804,menu!A:B,2,FALSE)</f>
        <v>Nasi Campur Bali</v>
      </c>
      <c r="G1804">
        <f t="shared" si="56"/>
        <v>26000</v>
      </c>
      <c r="H1804">
        <f>VLOOKUP(C1804,menu!A:E,4,FALSE)</f>
        <v>11500</v>
      </c>
      <c r="I1804">
        <f t="shared" si="57"/>
        <v>14500</v>
      </c>
    </row>
    <row r="1805" spans="1:9" x14ac:dyDescent="0.35">
      <c r="A1805" s="4" t="s">
        <v>2716</v>
      </c>
      <c r="B1805" s="4" t="s">
        <v>463</v>
      </c>
      <c r="C1805" s="4" t="s">
        <v>890</v>
      </c>
      <c r="D1805" s="4">
        <v>1</v>
      </c>
      <c r="E1805" s="6">
        <v>18000</v>
      </c>
      <c r="F1805" t="str">
        <f>VLOOKUP(C1805,menu!A:B,2,FALSE)</f>
        <v>Es Kopi Susu Gula Aren</v>
      </c>
      <c r="G1805">
        <f t="shared" si="56"/>
        <v>18000</v>
      </c>
      <c r="H1805">
        <f>VLOOKUP(C1805,menu!A:E,4,FALSE)</f>
        <v>4500</v>
      </c>
      <c r="I1805">
        <f t="shared" si="57"/>
        <v>13500</v>
      </c>
    </row>
    <row r="1806" spans="1:9" x14ac:dyDescent="0.35">
      <c r="A1806" s="4" t="s">
        <v>2717</v>
      </c>
      <c r="B1806" s="4" t="s">
        <v>463</v>
      </c>
      <c r="C1806" s="4" t="s">
        <v>898</v>
      </c>
      <c r="D1806" s="4">
        <v>1</v>
      </c>
      <c r="E1806" s="6">
        <v>27000</v>
      </c>
      <c r="F1806" t="str">
        <f>VLOOKUP(C1806,menu!A:B,2,FALSE)</f>
        <v>Ayam Geprek Sambal Bawang</v>
      </c>
      <c r="G1806">
        <f t="shared" si="56"/>
        <v>27000</v>
      </c>
      <c r="H1806">
        <f>VLOOKUP(C1806,menu!A:E,4,FALSE)</f>
        <v>11000</v>
      </c>
      <c r="I1806">
        <f t="shared" si="57"/>
        <v>16000</v>
      </c>
    </row>
    <row r="1807" spans="1:9" x14ac:dyDescent="0.35">
      <c r="A1807" s="4" t="s">
        <v>2718</v>
      </c>
      <c r="B1807" s="4" t="s">
        <v>463</v>
      </c>
      <c r="C1807" s="4" t="s">
        <v>896</v>
      </c>
      <c r="D1807" s="4">
        <v>1</v>
      </c>
      <c r="E1807" s="6">
        <v>23000</v>
      </c>
      <c r="F1807" t="str">
        <f>VLOOKUP(C1807,menu!A:B,2,FALSE)</f>
        <v>Nasi Uduk Komplit</v>
      </c>
      <c r="G1807">
        <f t="shared" si="56"/>
        <v>23000</v>
      </c>
      <c r="H1807">
        <f>VLOOKUP(C1807,menu!A:E,4,FALSE)</f>
        <v>9000</v>
      </c>
      <c r="I1807">
        <f t="shared" si="57"/>
        <v>14000</v>
      </c>
    </row>
    <row r="1808" spans="1:9" x14ac:dyDescent="0.35">
      <c r="A1808" s="4" t="s">
        <v>2719</v>
      </c>
      <c r="B1808" s="4" t="s">
        <v>463</v>
      </c>
      <c r="C1808" s="4" t="s">
        <v>902</v>
      </c>
      <c r="D1808" s="4">
        <v>2</v>
      </c>
      <c r="E1808" s="6">
        <v>12000</v>
      </c>
      <c r="F1808" t="str">
        <f>VLOOKUP(C1808,menu!A:B,2,FALSE)</f>
        <v>Teh Tarik</v>
      </c>
      <c r="G1808">
        <f t="shared" si="56"/>
        <v>24000</v>
      </c>
      <c r="H1808">
        <f>VLOOKUP(C1808,menu!A:E,4,FALSE)</f>
        <v>3000</v>
      </c>
      <c r="I1808">
        <f t="shared" si="57"/>
        <v>18000</v>
      </c>
    </row>
    <row r="1809" spans="1:9" x14ac:dyDescent="0.35">
      <c r="A1809" s="4" t="s">
        <v>2720</v>
      </c>
      <c r="B1809" s="4" t="s">
        <v>451</v>
      </c>
      <c r="C1809" s="4" t="s">
        <v>898</v>
      </c>
      <c r="D1809" s="4">
        <v>1</v>
      </c>
      <c r="E1809" s="6">
        <v>27000</v>
      </c>
      <c r="F1809" t="str">
        <f>VLOOKUP(C1809,menu!A:B,2,FALSE)</f>
        <v>Ayam Geprek Sambal Bawang</v>
      </c>
      <c r="G1809">
        <f t="shared" si="56"/>
        <v>27000</v>
      </c>
      <c r="H1809">
        <f>VLOOKUP(C1809,menu!A:E,4,FALSE)</f>
        <v>11000</v>
      </c>
      <c r="I1809">
        <f t="shared" si="57"/>
        <v>16000</v>
      </c>
    </row>
    <row r="1810" spans="1:9" x14ac:dyDescent="0.35">
      <c r="A1810" s="4" t="s">
        <v>2721</v>
      </c>
      <c r="B1810" s="4" t="s">
        <v>451</v>
      </c>
      <c r="C1810" s="4" t="s">
        <v>935</v>
      </c>
      <c r="D1810" s="4">
        <v>1</v>
      </c>
      <c r="E1810" s="6">
        <v>22000</v>
      </c>
      <c r="F1810" t="str">
        <f>VLOOKUP(C1810,menu!A:B,2,FALSE)</f>
        <v>Soto Ayam Lamongan</v>
      </c>
      <c r="G1810">
        <f t="shared" si="56"/>
        <v>22000</v>
      </c>
      <c r="H1810">
        <f>VLOOKUP(C1810,menu!A:E,4,FALSE)</f>
        <v>9500</v>
      </c>
      <c r="I1810">
        <f t="shared" si="57"/>
        <v>12500</v>
      </c>
    </row>
    <row r="1811" spans="1:9" x14ac:dyDescent="0.35">
      <c r="A1811" s="4" t="s">
        <v>2722</v>
      </c>
      <c r="B1811" s="4" t="s">
        <v>451</v>
      </c>
      <c r="C1811" s="4" t="s">
        <v>919</v>
      </c>
      <c r="D1811" s="4">
        <v>1</v>
      </c>
      <c r="E1811" s="6">
        <v>20000</v>
      </c>
      <c r="F1811" t="str">
        <f>VLOOKUP(C1811,menu!A:B,2,FALSE)</f>
        <v>Gado-Gado Jakarta</v>
      </c>
      <c r="G1811">
        <f t="shared" si="56"/>
        <v>20000</v>
      </c>
      <c r="H1811">
        <f>VLOOKUP(C1811,menu!A:E,4,FALSE)</f>
        <v>8000</v>
      </c>
      <c r="I1811">
        <f t="shared" si="57"/>
        <v>12000</v>
      </c>
    </row>
    <row r="1812" spans="1:9" x14ac:dyDescent="0.35">
      <c r="A1812" s="4" t="s">
        <v>2723</v>
      </c>
      <c r="B1812" s="4" t="s">
        <v>840</v>
      </c>
      <c r="C1812" s="4" t="s">
        <v>1003</v>
      </c>
      <c r="D1812" s="4">
        <v>1</v>
      </c>
      <c r="E1812" s="6">
        <v>29000</v>
      </c>
      <c r="F1812" t="str">
        <f>VLOOKUP(C1812,menu!A:B,2,FALSE)</f>
        <v>Capcay Seafood</v>
      </c>
      <c r="G1812">
        <f t="shared" si="56"/>
        <v>29000</v>
      </c>
      <c r="H1812">
        <f>VLOOKUP(C1812,menu!A:E,4,FALSE)</f>
        <v>13000</v>
      </c>
      <c r="I1812">
        <f t="shared" si="57"/>
        <v>16000</v>
      </c>
    </row>
    <row r="1813" spans="1:9" x14ac:dyDescent="0.35">
      <c r="A1813" s="4" t="s">
        <v>2724</v>
      </c>
      <c r="B1813" s="4" t="s">
        <v>840</v>
      </c>
      <c r="C1813" s="4" t="s">
        <v>890</v>
      </c>
      <c r="D1813" s="4">
        <v>1</v>
      </c>
      <c r="E1813" s="6">
        <v>18000</v>
      </c>
      <c r="F1813" t="str">
        <f>VLOOKUP(C1813,menu!A:B,2,FALSE)</f>
        <v>Es Kopi Susu Gula Aren</v>
      </c>
      <c r="G1813">
        <f t="shared" si="56"/>
        <v>18000</v>
      </c>
      <c r="H1813">
        <f>VLOOKUP(C1813,menu!A:E,4,FALSE)</f>
        <v>4500</v>
      </c>
      <c r="I1813">
        <f t="shared" si="57"/>
        <v>13500</v>
      </c>
    </row>
    <row r="1814" spans="1:9" x14ac:dyDescent="0.35">
      <c r="A1814" s="4" t="s">
        <v>2725</v>
      </c>
      <c r="B1814" s="4" t="s">
        <v>159</v>
      </c>
      <c r="C1814" s="4" t="s">
        <v>935</v>
      </c>
      <c r="D1814" s="4">
        <v>1</v>
      </c>
      <c r="E1814" s="6">
        <v>22000</v>
      </c>
      <c r="F1814" t="str">
        <f>VLOOKUP(C1814,menu!A:B,2,FALSE)</f>
        <v>Soto Ayam Lamongan</v>
      </c>
      <c r="G1814">
        <f t="shared" si="56"/>
        <v>22000</v>
      </c>
      <c r="H1814">
        <f>VLOOKUP(C1814,menu!A:E,4,FALSE)</f>
        <v>9500</v>
      </c>
      <c r="I1814">
        <f t="shared" si="57"/>
        <v>12500</v>
      </c>
    </row>
    <row r="1815" spans="1:9" x14ac:dyDescent="0.35">
      <c r="A1815" s="4" t="s">
        <v>2726</v>
      </c>
      <c r="B1815" s="4" t="s">
        <v>159</v>
      </c>
      <c r="C1815" s="4" t="s">
        <v>898</v>
      </c>
      <c r="D1815" s="4">
        <v>3</v>
      </c>
      <c r="E1815" s="6">
        <v>27000</v>
      </c>
      <c r="F1815" t="str">
        <f>VLOOKUP(C1815,menu!A:B,2,FALSE)</f>
        <v>Ayam Geprek Sambal Bawang</v>
      </c>
      <c r="G1815">
        <f t="shared" si="56"/>
        <v>81000</v>
      </c>
      <c r="H1815">
        <f>VLOOKUP(C1815,menu!A:E,4,FALSE)</f>
        <v>11000</v>
      </c>
      <c r="I1815">
        <f t="shared" si="57"/>
        <v>48000</v>
      </c>
    </row>
    <row r="1816" spans="1:9" x14ac:dyDescent="0.35">
      <c r="A1816" s="4" t="s">
        <v>2727</v>
      </c>
      <c r="B1816" s="4" t="s">
        <v>514</v>
      </c>
      <c r="C1816" s="4" t="s">
        <v>940</v>
      </c>
      <c r="D1816" s="4">
        <v>1</v>
      </c>
      <c r="E1816" s="6">
        <v>10000</v>
      </c>
      <c r="F1816" t="str">
        <f>VLOOKUP(C1816,menu!A:B,2,FALSE)</f>
        <v>Tahu Isi Goreng (5pcs)</v>
      </c>
      <c r="G1816">
        <f t="shared" si="56"/>
        <v>10000</v>
      </c>
      <c r="H1816">
        <f>VLOOKUP(C1816,menu!A:E,4,FALSE)</f>
        <v>3500</v>
      </c>
      <c r="I1816">
        <f t="shared" si="57"/>
        <v>6500</v>
      </c>
    </row>
    <row r="1817" spans="1:9" x14ac:dyDescent="0.35">
      <c r="A1817" s="4" t="s">
        <v>2728</v>
      </c>
      <c r="B1817" s="4" t="s">
        <v>723</v>
      </c>
      <c r="C1817" s="4" t="s">
        <v>890</v>
      </c>
      <c r="D1817" s="4">
        <v>1</v>
      </c>
      <c r="E1817" s="6">
        <v>18000</v>
      </c>
      <c r="F1817" t="str">
        <f>VLOOKUP(C1817,menu!A:B,2,FALSE)</f>
        <v>Es Kopi Susu Gula Aren</v>
      </c>
      <c r="G1817">
        <f t="shared" si="56"/>
        <v>18000</v>
      </c>
      <c r="H1817">
        <f>VLOOKUP(C1817,menu!A:E,4,FALSE)</f>
        <v>4500</v>
      </c>
      <c r="I1817">
        <f t="shared" si="57"/>
        <v>13500</v>
      </c>
    </row>
    <row r="1818" spans="1:9" x14ac:dyDescent="0.35">
      <c r="A1818" s="4" t="s">
        <v>2729</v>
      </c>
      <c r="B1818" s="4" t="s">
        <v>545</v>
      </c>
      <c r="C1818" s="4" t="s">
        <v>898</v>
      </c>
      <c r="D1818" s="4">
        <v>1</v>
      </c>
      <c r="E1818" s="6">
        <v>27000</v>
      </c>
      <c r="F1818" t="str">
        <f>VLOOKUP(C1818,menu!A:B,2,FALSE)</f>
        <v>Ayam Geprek Sambal Bawang</v>
      </c>
      <c r="G1818">
        <f t="shared" si="56"/>
        <v>27000</v>
      </c>
      <c r="H1818">
        <f>VLOOKUP(C1818,menu!A:E,4,FALSE)</f>
        <v>11000</v>
      </c>
      <c r="I1818">
        <f t="shared" si="57"/>
        <v>16000</v>
      </c>
    </row>
    <row r="1819" spans="1:9" x14ac:dyDescent="0.35">
      <c r="A1819" s="4" t="s">
        <v>2730</v>
      </c>
      <c r="B1819" s="4" t="s">
        <v>773</v>
      </c>
      <c r="C1819" s="4" t="s">
        <v>898</v>
      </c>
      <c r="D1819" s="4">
        <v>1</v>
      </c>
      <c r="E1819" s="6">
        <v>27000</v>
      </c>
      <c r="F1819" t="str">
        <f>VLOOKUP(C1819,menu!A:B,2,FALSE)</f>
        <v>Ayam Geprek Sambal Bawang</v>
      </c>
      <c r="G1819">
        <f t="shared" si="56"/>
        <v>27000</v>
      </c>
      <c r="H1819">
        <f>VLOOKUP(C1819,menu!A:E,4,FALSE)</f>
        <v>11000</v>
      </c>
      <c r="I1819">
        <f t="shared" si="57"/>
        <v>16000</v>
      </c>
    </row>
    <row r="1820" spans="1:9" x14ac:dyDescent="0.35">
      <c r="A1820" s="4" t="s">
        <v>2731</v>
      </c>
      <c r="B1820" s="4" t="s">
        <v>773</v>
      </c>
      <c r="C1820" s="4" t="s">
        <v>892</v>
      </c>
      <c r="D1820" s="4">
        <v>1</v>
      </c>
      <c r="E1820" s="6">
        <v>9000</v>
      </c>
      <c r="F1820" t="str">
        <f>VLOOKUP(C1820,menu!A:B,2,FALSE)</f>
        <v>Tempe Mendoan (5pcs)</v>
      </c>
      <c r="G1820">
        <f t="shared" si="56"/>
        <v>9000</v>
      </c>
      <c r="H1820">
        <f>VLOOKUP(C1820,menu!A:E,4,FALSE)</f>
        <v>3000</v>
      </c>
      <c r="I1820">
        <f t="shared" si="57"/>
        <v>6000</v>
      </c>
    </row>
    <row r="1821" spans="1:9" x14ac:dyDescent="0.35">
      <c r="A1821" s="4" t="s">
        <v>2732</v>
      </c>
      <c r="B1821" s="4" t="s">
        <v>773</v>
      </c>
      <c r="C1821" s="4" t="s">
        <v>940</v>
      </c>
      <c r="D1821" s="4">
        <v>2</v>
      </c>
      <c r="E1821" s="6">
        <v>10000</v>
      </c>
      <c r="F1821" t="str">
        <f>VLOOKUP(C1821,menu!A:B,2,FALSE)</f>
        <v>Tahu Isi Goreng (5pcs)</v>
      </c>
      <c r="G1821">
        <f t="shared" si="56"/>
        <v>20000</v>
      </c>
      <c r="H1821">
        <f>VLOOKUP(C1821,menu!A:E,4,FALSE)</f>
        <v>3500</v>
      </c>
      <c r="I1821">
        <f t="shared" si="57"/>
        <v>13000</v>
      </c>
    </row>
    <row r="1822" spans="1:9" x14ac:dyDescent="0.35">
      <c r="A1822" s="4" t="s">
        <v>2733</v>
      </c>
      <c r="B1822" s="4" t="s">
        <v>773</v>
      </c>
      <c r="C1822" s="4" t="s">
        <v>896</v>
      </c>
      <c r="D1822" s="4">
        <v>1</v>
      </c>
      <c r="E1822" s="6">
        <v>23000</v>
      </c>
      <c r="F1822" t="str">
        <f>VLOOKUP(C1822,menu!A:B,2,FALSE)</f>
        <v>Nasi Uduk Komplit</v>
      </c>
      <c r="G1822">
        <f t="shared" si="56"/>
        <v>23000</v>
      </c>
      <c r="H1822">
        <f>VLOOKUP(C1822,menu!A:E,4,FALSE)</f>
        <v>9000</v>
      </c>
      <c r="I1822">
        <f t="shared" si="57"/>
        <v>14000</v>
      </c>
    </row>
    <row r="1823" spans="1:9" x14ac:dyDescent="0.35">
      <c r="A1823" s="4" t="s">
        <v>2734</v>
      </c>
      <c r="B1823" s="4" t="s">
        <v>773</v>
      </c>
      <c r="C1823" s="4" t="s">
        <v>908</v>
      </c>
      <c r="D1823" s="4">
        <v>1</v>
      </c>
      <c r="E1823" s="6">
        <v>16000</v>
      </c>
      <c r="F1823" t="str">
        <f>VLOOKUP(C1823,menu!A:B,2,FALSE)</f>
        <v>Jus Alpukat</v>
      </c>
      <c r="G1823">
        <f t="shared" si="56"/>
        <v>16000</v>
      </c>
      <c r="H1823">
        <f>VLOOKUP(C1823,menu!A:E,4,FALSE)</f>
        <v>5500</v>
      </c>
      <c r="I1823">
        <f t="shared" si="57"/>
        <v>10500</v>
      </c>
    </row>
    <row r="1824" spans="1:9" x14ac:dyDescent="0.35">
      <c r="A1824" s="4" t="s">
        <v>2735</v>
      </c>
      <c r="B1824" s="4" t="s">
        <v>150</v>
      </c>
      <c r="C1824" s="4" t="s">
        <v>898</v>
      </c>
      <c r="D1824" s="4">
        <v>1</v>
      </c>
      <c r="E1824" s="6">
        <v>27000</v>
      </c>
      <c r="F1824" t="str">
        <f>VLOOKUP(C1824,menu!A:B,2,FALSE)</f>
        <v>Ayam Geprek Sambal Bawang</v>
      </c>
      <c r="G1824">
        <f t="shared" si="56"/>
        <v>27000</v>
      </c>
      <c r="H1824">
        <f>VLOOKUP(C1824,menu!A:E,4,FALSE)</f>
        <v>11000</v>
      </c>
      <c r="I1824">
        <f t="shared" si="57"/>
        <v>16000</v>
      </c>
    </row>
    <row r="1825" spans="1:9" x14ac:dyDescent="0.35">
      <c r="A1825" s="4" t="s">
        <v>2736</v>
      </c>
      <c r="B1825" s="4" t="s">
        <v>150</v>
      </c>
      <c r="C1825" s="4" t="s">
        <v>931</v>
      </c>
      <c r="D1825" s="4">
        <v>1</v>
      </c>
      <c r="E1825" s="6">
        <v>5000</v>
      </c>
      <c r="F1825" t="str">
        <f>VLOOKUP(C1825,menu!A:B,2,FALSE)</f>
        <v>Kerupuk Udang</v>
      </c>
      <c r="G1825">
        <f t="shared" si="56"/>
        <v>5000</v>
      </c>
      <c r="H1825">
        <f>VLOOKUP(C1825,menu!A:E,4,FALSE)</f>
        <v>1500</v>
      </c>
      <c r="I1825">
        <f t="shared" si="57"/>
        <v>3500</v>
      </c>
    </row>
    <row r="1826" spans="1:9" x14ac:dyDescent="0.35">
      <c r="A1826" s="4" t="s">
        <v>2737</v>
      </c>
      <c r="B1826" s="4" t="s">
        <v>412</v>
      </c>
      <c r="C1826" s="4" t="s">
        <v>890</v>
      </c>
      <c r="D1826" s="4">
        <v>1</v>
      </c>
      <c r="E1826" s="6">
        <v>18000</v>
      </c>
      <c r="F1826" t="str">
        <f>VLOOKUP(C1826,menu!A:B,2,FALSE)</f>
        <v>Es Kopi Susu Gula Aren</v>
      </c>
      <c r="G1826">
        <f t="shared" si="56"/>
        <v>18000</v>
      </c>
      <c r="H1826">
        <f>VLOOKUP(C1826,menu!A:E,4,FALSE)</f>
        <v>4500</v>
      </c>
      <c r="I1826">
        <f t="shared" si="57"/>
        <v>13500</v>
      </c>
    </row>
    <row r="1827" spans="1:9" x14ac:dyDescent="0.35">
      <c r="A1827" s="4" t="s">
        <v>2738</v>
      </c>
      <c r="B1827" s="4" t="s">
        <v>412</v>
      </c>
      <c r="C1827" s="4" t="s">
        <v>919</v>
      </c>
      <c r="D1827" s="4">
        <v>1</v>
      </c>
      <c r="E1827" s="6">
        <v>20000</v>
      </c>
      <c r="F1827" t="str">
        <f>VLOOKUP(C1827,menu!A:B,2,FALSE)</f>
        <v>Gado-Gado Jakarta</v>
      </c>
      <c r="G1827">
        <f t="shared" si="56"/>
        <v>20000</v>
      </c>
      <c r="H1827">
        <f>VLOOKUP(C1827,menu!A:E,4,FALSE)</f>
        <v>8000</v>
      </c>
      <c r="I1827">
        <f t="shared" si="57"/>
        <v>12000</v>
      </c>
    </row>
    <row r="1828" spans="1:9" x14ac:dyDescent="0.35">
      <c r="A1828" s="4" t="s">
        <v>2739</v>
      </c>
      <c r="B1828" s="4" t="s">
        <v>412</v>
      </c>
      <c r="C1828" s="4" t="s">
        <v>898</v>
      </c>
      <c r="D1828" s="4">
        <v>1</v>
      </c>
      <c r="E1828" s="6">
        <v>27000</v>
      </c>
      <c r="F1828" t="str">
        <f>VLOOKUP(C1828,menu!A:B,2,FALSE)</f>
        <v>Ayam Geprek Sambal Bawang</v>
      </c>
      <c r="G1828">
        <f t="shared" si="56"/>
        <v>27000</v>
      </c>
      <c r="H1828">
        <f>VLOOKUP(C1828,menu!A:E,4,FALSE)</f>
        <v>11000</v>
      </c>
      <c r="I1828">
        <f t="shared" si="57"/>
        <v>16000</v>
      </c>
    </row>
    <row r="1829" spans="1:9" x14ac:dyDescent="0.35">
      <c r="A1829" s="4" t="s">
        <v>2740</v>
      </c>
      <c r="B1829" s="4" t="s">
        <v>412</v>
      </c>
      <c r="C1829" s="4" t="s">
        <v>937</v>
      </c>
      <c r="D1829" s="4">
        <v>1</v>
      </c>
      <c r="E1829" s="6">
        <v>26000</v>
      </c>
      <c r="F1829" t="str">
        <f>VLOOKUP(C1829,menu!A:B,2,FALSE)</f>
        <v>Nasi Campur Bali</v>
      </c>
      <c r="G1829">
        <f t="shared" si="56"/>
        <v>26000</v>
      </c>
      <c r="H1829">
        <f>VLOOKUP(C1829,menu!A:E,4,FALSE)</f>
        <v>11500</v>
      </c>
      <c r="I1829">
        <f t="shared" si="57"/>
        <v>14500</v>
      </c>
    </row>
    <row r="1830" spans="1:9" x14ac:dyDescent="0.35">
      <c r="A1830" s="4" t="s">
        <v>2741</v>
      </c>
      <c r="B1830" s="4" t="s">
        <v>852</v>
      </c>
      <c r="C1830" s="4" t="s">
        <v>955</v>
      </c>
      <c r="D1830" s="4">
        <v>1</v>
      </c>
      <c r="E1830" s="6">
        <v>15000</v>
      </c>
      <c r="F1830" t="str">
        <f>VLOOKUP(C1830,menu!A:B,2,FALSE)</f>
        <v>Es Campur</v>
      </c>
      <c r="G1830">
        <f t="shared" si="56"/>
        <v>15000</v>
      </c>
      <c r="H1830">
        <f>VLOOKUP(C1830,menu!A:E,4,FALSE)</f>
        <v>6000</v>
      </c>
      <c r="I1830">
        <f t="shared" si="57"/>
        <v>9000</v>
      </c>
    </row>
    <row r="1831" spans="1:9" x14ac:dyDescent="0.35">
      <c r="A1831" s="4" t="s">
        <v>2742</v>
      </c>
      <c r="B1831" s="4" t="s">
        <v>852</v>
      </c>
      <c r="C1831" s="4" t="s">
        <v>890</v>
      </c>
      <c r="D1831" s="4">
        <v>1</v>
      </c>
      <c r="E1831" s="6">
        <v>18000</v>
      </c>
      <c r="F1831" t="str">
        <f>VLOOKUP(C1831,menu!A:B,2,FALSE)</f>
        <v>Es Kopi Susu Gula Aren</v>
      </c>
      <c r="G1831">
        <f t="shared" si="56"/>
        <v>18000</v>
      </c>
      <c r="H1831">
        <f>VLOOKUP(C1831,menu!A:E,4,FALSE)</f>
        <v>4500</v>
      </c>
      <c r="I1831">
        <f t="shared" si="57"/>
        <v>13500</v>
      </c>
    </row>
    <row r="1832" spans="1:9" x14ac:dyDescent="0.35">
      <c r="A1832" s="4" t="s">
        <v>2743</v>
      </c>
      <c r="B1832" s="4" t="s">
        <v>852</v>
      </c>
      <c r="C1832" s="4" t="s">
        <v>919</v>
      </c>
      <c r="D1832" s="4">
        <v>1</v>
      </c>
      <c r="E1832" s="6">
        <v>20000</v>
      </c>
      <c r="F1832" t="str">
        <f>VLOOKUP(C1832,menu!A:B,2,FALSE)</f>
        <v>Gado-Gado Jakarta</v>
      </c>
      <c r="G1832">
        <f t="shared" si="56"/>
        <v>20000</v>
      </c>
      <c r="H1832">
        <f>VLOOKUP(C1832,menu!A:E,4,FALSE)</f>
        <v>8000</v>
      </c>
      <c r="I1832">
        <f t="shared" si="57"/>
        <v>12000</v>
      </c>
    </row>
    <row r="1833" spans="1:9" x14ac:dyDescent="0.35">
      <c r="A1833" s="4" t="s">
        <v>2744</v>
      </c>
      <c r="B1833" s="4" t="s">
        <v>852</v>
      </c>
      <c r="C1833" s="4" t="s">
        <v>937</v>
      </c>
      <c r="D1833" s="4">
        <v>1</v>
      </c>
      <c r="E1833" s="6">
        <v>26000</v>
      </c>
      <c r="F1833" t="str">
        <f>VLOOKUP(C1833,menu!A:B,2,FALSE)</f>
        <v>Nasi Campur Bali</v>
      </c>
      <c r="G1833">
        <f t="shared" si="56"/>
        <v>26000</v>
      </c>
      <c r="H1833">
        <f>VLOOKUP(C1833,menu!A:E,4,FALSE)</f>
        <v>11500</v>
      </c>
      <c r="I1833">
        <f t="shared" si="57"/>
        <v>14500</v>
      </c>
    </row>
    <row r="1834" spans="1:9" x14ac:dyDescent="0.35">
      <c r="A1834" s="4" t="s">
        <v>2745</v>
      </c>
      <c r="B1834" s="4" t="s">
        <v>673</v>
      </c>
      <c r="C1834" s="4" t="s">
        <v>931</v>
      </c>
      <c r="D1834" s="4">
        <v>1</v>
      </c>
      <c r="E1834" s="6">
        <v>5000</v>
      </c>
      <c r="F1834" t="str">
        <f>VLOOKUP(C1834,menu!A:B,2,FALSE)</f>
        <v>Kerupuk Udang</v>
      </c>
      <c r="G1834">
        <f t="shared" si="56"/>
        <v>5000</v>
      </c>
      <c r="H1834">
        <f>VLOOKUP(C1834,menu!A:E,4,FALSE)</f>
        <v>1500</v>
      </c>
      <c r="I1834">
        <f t="shared" si="57"/>
        <v>3500</v>
      </c>
    </row>
    <row r="1835" spans="1:9" x14ac:dyDescent="0.35">
      <c r="A1835" s="4" t="s">
        <v>2746</v>
      </c>
      <c r="B1835" s="4" t="s">
        <v>673</v>
      </c>
      <c r="C1835" s="4" t="s">
        <v>898</v>
      </c>
      <c r="D1835" s="4">
        <v>1</v>
      </c>
      <c r="E1835" s="6">
        <v>27000</v>
      </c>
      <c r="F1835" t="str">
        <f>VLOOKUP(C1835,menu!A:B,2,FALSE)</f>
        <v>Ayam Geprek Sambal Bawang</v>
      </c>
      <c r="G1835">
        <f t="shared" si="56"/>
        <v>27000</v>
      </c>
      <c r="H1835">
        <f>VLOOKUP(C1835,menu!A:E,4,FALSE)</f>
        <v>11000</v>
      </c>
      <c r="I1835">
        <f t="shared" si="57"/>
        <v>16000</v>
      </c>
    </row>
    <row r="1836" spans="1:9" x14ac:dyDescent="0.35">
      <c r="A1836" s="4" t="s">
        <v>2747</v>
      </c>
      <c r="B1836" s="4" t="s">
        <v>673</v>
      </c>
      <c r="C1836" s="4" t="s">
        <v>890</v>
      </c>
      <c r="D1836" s="4">
        <v>3</v>
      </c>
      <c r="E1836" s="6">
        <v>18000</v>
      </c>
      <c r="F1836" t="str">
        <f>VLOOKUP(C1836,menu!A:B,2,FALSE)</f>
        <v>Es Kopi Susu Gula Aren</v>
      </c>
      <c r="G1836">
        <f t="shared" si="56"/>
        <v>54000</v>
      </c>
      <c r="H1836">
        <f>VLOOKUP(C1836,menu!A:E,4,FALSE)</f>
        <v>4500</v>
      </c>
      <c r="I1836">
        <f t="shared" si="57"/>
        <v>40500</v>
      </c>
    </row>
    <row r="1837" spans="1:9" x14ac:dyDescent="0.35">
      <c r="A1837" s="4" t="s">
        <v>2748</v>
      </c>
      <c r="B1837" s="4" t="s">
        <v>301</v>
      </c>
      <c r="C1837" s="4" t="s">
        <v>916</v>
      </c>
      <c r="D1837" s="4">
        <v>2</v>
      </c>
      <c r="E1837" s="6">
        <v>9000</v>
      </c>
      <c r="F1837" t="str">
        <f>VLOOKUP(C1837,menu!A:B,2,FALSE)</f>
        <v>Kopi Hitam Tubruk</v>
      </c>
      <c r="G1837">
        <f t="shared" si="56"/>
        <v>18000</v>
      </c>
      <c r="H1837">
        <f>VLOOKUP(C1837,menu!A:E,4,FALSE)</f>
        <v>2000</v>
      </c>
      <c r="I1837">
        <f t="shared" si="57"/>
        <v>14000</v>
      </c>
    </row>
    <row r="1838" spans="1:9" x14ac:dyDescent="0.35">
      <c r="A1838" s="4" t="s">
        <v>2749</v>
      </c>
      <c r="B1838" s="4" t="s">
        <v>301</v>
      </c>
      <c r="C1838" s="4" t="s">
        <v>935</v>
      </c>
      <c r="D1838" s="4">
        <v>1</v>
      </c>
      <c r="E1838" s="6">
        <v>22000</v>
      </c>
      <c r="F1838" t="str">
        <f>VLOOKUP(C1838,menu!A:B,2,FALSE)</f>
        <v>Soto Ayam Lamongan</v>
      </c>
      <c r="G1838">
        <f t="shared" si="56"/>
        <v>22000</v>
      </c>
      <c r="H1838">
        <f>VLOOKUP(C1838,menu!A:E,4,FALSE)</f>
        <v>9500</v>
      </c>
      <c r="I1838">
        <f t="shared" si="57"/>
        <v>12500</v>
      </c>
    </row>
    <row r="1839" spans="1:9" x14ac:dyDescent="0.35">
      <c r="A1839" s="4" t="s">
        <v>2750</v>
      </c>
      <c r="B1839" s="4" t="s">
        <v>536</v>
      </c>
      <c r="C1839" s="4" t="s">
        <v>1003</v>
      </c>
      <c r="D1839" s="4">
        <v>1</v>
      </c>
      <c r="E1839" s="6">
        <v>29000</v>
      </c>
      <c r="F1839" t="str">
        <f>VLOOKUP(C1839,menu!A:B,2,FALSE)</f>
        <v>Capcay Seafood</v>
      </c>
      <c r="G1839">
        <f t="shared" si="56"/>
        <v>29000</v>
      </c>
      <c r="H1839">
        <f>VLOOKUP(C1839,menu!A:E,4,FALSE)</f>
        <v>13000</v>
      </c>
      <c r="I1839">
        <f t="shared" si="57"/>
        <v>16000</v>
      </c>
    </row>
    <row r="1840" spans="1:9" x14ac:dyDescent="0.35">
      <c r="A1840" s="4" t="s">
        <v>2751</v>
      </c>
      <c r="B1840" s="4" t="s">
        <v>536</v>
      </c>
      <c r="C1840" s="4" t="s">
        <v>898</v>
      </c>
      <c r="D1840" s="4">
        <v>1</v>
      </c>
      <c r="E1840" s="6">
        <v>27000</v>
      </c>
      <c r="F1840" t="str">
        <f>VLOOKUP(C1840,menu!A:B,2,FALSE)</f>
        <v>Ayam Geprek Sambal Bawang</v>
      </c>
      <c r="G1840">
        <f t="shared" si="56"/>
        <v>27000</v>
      </c>
      <c r="H1840">
        <f>VLOOKUP(C1840,menu!A:E,4,FALSE)</f>
        <v>11000</v>
      </c>
      <c r="I1840">
        <f t="shared" si="57"/>
        <v>16000</v>
      </c>
    </row>
    <row r="1841" spans="1:9" x14ac:dyDescent="0.35">
      <c r="A1841" s="4" t="s">
        <v>2752</v>
      </c>
      <c r="B1841" s="4" t="s">
        <v>536</v>
      </c>
      <c r="C1841" s="4" t="s">
        <v>894</v>
      </c>
      <c r="D1841" s="4">
        <v>2</v>
      </c>
      <c r="E1841" s="6">
        <v>5000</v>
      </c>
      <c r="F1841" t="str">
        <f>VLOOKUP(C1841,menu!A:B,2,FALSE)</f>
        <v>Air Mineral Botol</v>
      </c>
      <c r="G1841">
        <f t="shared" si="56"/>
        <v>10000</v>
      </c>
      <c r="H1841">
        <f>VLOOKUP(C1841,menu!A:E,4,FALSE)</f>
        <v>2000</v>
      </c>
      <c r="I1841">
        <f t="shared" si="57"/>
        <v>6000</v>
      </c>
    </row>
    <row r="1842" spans="1:9" x14ac:dyDescent="0.35">
      <c r="A1842" s="4" t="s">
        <v>2753</v>
      </c>
      <c r="B1842" s="4" t="s">
        <v>712</v>
      </c>
      <c r="C1842" s="4" t="s">
        <v>919</v>
      </c>
      <c r="D1842" s="4">
        <v>1</v>
      </c>
      <c r="E1842" s="6">
        <v>20000</v>
      </c>
      <c r="F1842" t="str">
        <f>VLOOKUP(C1842,menu!A:B,2,FALSE)</f>
        <v>Gado-Gado Jakarta</v>
      </c>
      <c r="G1842">
        <f t="shared" si="56"/>
        <v>20000</v>
      </c>
      <c r="H1842">
        <f>VLOOKUP(C1842,menu!A:E,4,FALSE)</f>
        <v>8000</v>
      </c>
      <c r="I1842">
        <f t="shared" si="57"/>
        <v>12000</v>
      </c>
    </row>
    <row r="1843" spans="1:9" x14ac:dyDescent="0.35">
      <c r="A1843" s="4" t="s">
        <v>2754</v>
      </c>
      <c r="B1843" s="4" t="s">
        <v>787</v>
      </c>
      <c r="C1843" s="4" t="s">
        <v>894</v>
      </c>
      <c r="D1843" s="4">
        <v>1</v>
      </c>
      <c r="E1843" s="6">
        <v>5000</v>
      </c>
      <c r="F1843" t="str">
        <f>VLOOKUP(C1843,menu!A:B,2,FALSE)</f>
        <v>Air Mineral Botol</v>
      </c>
      <c r="G1843">
        <f t="shared" si="56"/>
        <v>5000</v>
      </c>
      <c r="H1843">
        <f>VLOOKUP(C1843,menu!A:E,4,FALSE)</f>
        <v>2000</v>
      </c>
      <c r="I1843">
        <f t="shared" si="57"/>
        <v>3000</v>
      </c>
    </row>
    <row r="1844" spans="1:9" x14ac:dyDescent="0.35">
      <c r="A1844" s="4" t="s">
        <v>2755</v>
      </c>
      <c r="B1844" s="4" t="s">
        <v>787</v>
      </c>
      <c r="C1844" s="4" t="s">
        <v>898</v>
      </c>
      <c r="D1844" s="4">
        <v>3</v>
      </c>
      <c r="E1844" s="6">
        <v>27000</v>
      </c>
      <c r="F1844" t="str">
        <f>VLOOKUP(C1844,menu!A:B,2,FALSE)</f>
        <v>Ayam Geprek Sambal Bawang</v>
      </c>
      <c r="G1844">
        <f t="shared" si="56"/>
        <v>81000</v>
      </c>
      <c r="H1844">
        <f>VLOOKUP(C1844,menu!A:E,4,FALSE)</f>
        <v>11000</v>
      </c>
      <c r="I1844">
        <f t="shared" si="57"/>
        <v>48000</v>
      </c>
    </row>
    <row r="1845" spans="1:9" x14ac:dyDescent="0.35">
      <c r="A1845" s="4" t="s">
        <v>2756</v>
      </c>
      <c r="B1845" s="4" t="s">
        <v>530</v>
      </c>
      <c r="C1845" s="4" t="s">
        <v>892</v>
      </c>
      <c r="D1845" s="4">
        <v>1</v>
      </c>
      <c r="E1845" s="6">
        <v>9000</v>
      </c>
      <c r="F1845" t="str">
        <f>VLOOKUP(C1845,menu!A:B,2,FALSE)</f>
        <v>Tempe Mendoan (5pcs)</v>
      </c>
      <c r="G1845">
        <f t="shared" si="56"/>
        <v>9000</v>
      </c>
      <c r="H1845">
        <f>VLOOKUP(C1845,menu!A:E,4,FALSE)</f>
        <v>3000</v>
      </c>
      <c r="I1845">
        <f t="shared" si="57"/>
        <v>6000</v>
      </c>
    </row>
    <row r="1846" spans="1:9" x14ac:dyDescent="0.35">
      <c r="A1846" s="4" t="s">
        <v>2757</v>
      </c>
      <c r="B1846" s="4" t="s">
        <v>530</v>
      </c>
      <c r="C1846" s="4" t="s">
        <v>937</v>
      </c>
      <c r="D1846" s="4">
        <v>1</v>
      </c>
      <c r="E1846" s="6">
        <v>26000</v>
      </c>
      <c r="F1846" t="str">
        <f>VLOOKUP(C1846,menu!A:B,2,FALSE)</f>
        <v>Nasi Campur Bali</v>
      </c>
      <c r="G1846">
        <f t="shared" si="56"/>
        <v>26000</v>
      </c>
      <c r="H1846">
        <f>VLOOKUP(C1846,menu!A:E,4,FALSE)</f>
        <v>11500</v>
      </c>
      <c r="I1846">
        <f t="shared" si="57"/>
        <v>14500</v>
      </c>
    </row>
    <row r="1847" spans="1:9" x14ac:dyDescent="0.35">
      <c r="A1847" s="4" t="s">
        <v>2758</v>
      </c>
      <c r="B1847" s="4" t="s">
        <v>406</v>
      </c>
      <c r="C1847" s="4" t="s">
        <v>892</v>
      </c>
      <c r="D1847" s="4">
        <v>1</v>
      </c>
      <c r="E1847" s="6">
        <v>9000</v>
      </c>
      <c r="F1847" t="str">
        <f>VLOOKUP(C1847,menu!A:B,2,FALSE)</f>
        <v>Tempe Mendoan (5pcs)</v>
      </c>
      <c r="G1847">
        <f t="shared" si="56"/>
        <v>9000</v>
      </c>
      <c r="H1847">
        <f>VLOOKUP(C1847,menu!A:E,4,FALSE)</f>
        <v>3000</v>
      </c>
      <c r="I1847">
        <f t="shared" si="57"/>
        <v>6000</v>
      </c>
    </row>
    <row r="1848" spans="1:9" x14ac:dyDescent="0.35">
      <c r="A1848" s="4" t="s">
        <v>2759</v>
      </c>
      <c r="B1848" s="4" t="s">
        <v>406</v>
      </c>
      <c r="C1848" s="4" t="s">
        <v>890</v>
      </c>
      <c r="D1848" s="4">
        <v>3</v>
      </c>
      <c r="E1848" s="6">
        <v>18000</v>
      </c>
      <c r="F1848" t="str">
        <f>VLOOKUP(C1848,menu!A:B,2,FALSE)</f>
        <v>Es Kopi Susu Gula Aren</v>
      </c>
      <c r="G1848">
        <f t="shared" si="56"/>
        <v>54000</v>
      </c>
      <c r="H1848">
        <f>VLOOKUP(C1848,menu!A:E,4,FALSE)</f>
        <v>4500</v>
      </c>
      <c r="I1848">
        <f t="shared" si="57"/>
        <v>40500</v>
      </c>
    </row>
    <row r="1849" spans="1:9" x14ac:dyDescent="0.35">
      <c r="A1849" s="4" t="s">
        <v>2760</v>
      </c>
      <c r="B1849" s="4" t="s">
        <v>406</v>
      </c>
      <c r="C1849" s="4" t="s">
        <v>935</v>
      </c>
      <c r="D1849" s="4">
        <v>1</v>
      </c>
      <c r="E1849" s="6">
        <v>22000</v>
      </c>
      <c r="F1849" t="str">
        <f>VLOOKUP(C1849,menu!A:B,2,FALSE)</f>
        <v>Soto Ayam Lamongan</v>
      </c>
      <c r="G1849">
        <f t="shared" si="56"/>
        <v>22000</v>
      </c>
      <c r="H1849">
        <f>VLOOKUP(C1849,menu!A:E,4,FALSE)</f>
        <v>9500</v>
      </c>
      <c r="I1849">
        <f t="shared" si="57"/>
        <v>12500</v>
      </c>
    </row>
    <row r="1850" spans="1:9" x14ac:dyDescent="0.35">
      <c r="A1850" s="4" t="s">
        <v>2761</v>
      </c>
      <c r="B1850" s="4" t="s">
        <v>738</v>
      </c>
      <c r="C1850" s="4" t="s">
        <v>898</v>
      </c>
      <c r="D1850" s="4">
        <v>1</v>
      </c>
      <c r="E1850" s="6">
        <v>27000</v>
      </c>
      <c r="F1850" t="str">
        <f>VLOOKUP(C1850,menu!A:B,2,FALSE)</f>
        <v>Ayam Geprek Sambal Bawang</v>
      </c>
      <c r="G1850">
        <f t="shared" si="56"/>
        <v>27000</v>
      </c>
      <c r="H1850">
        <f>VLOOKUP(C1850,menu!A:E,4,FALSE)</f>
        <v>11000</v>
      </c>
      <c r="I1850">
        <f t="shared" si="57"/>
        <v>16000</v>
      </c>
    </row>
    <row r="1851" spans="1:9" x14ac:dyDescent="0.35">
      <c r="A1851" s="4" t="s">
        <v>2762</v>
      </c>
      <c r="B1851" s="4" t="s">
        <v>281</v>
      </c>
      <c r="C1851" s="4" t="s">
        <v>898</v>
      </c>
      <c r="D1851" s="4">
        <v>2</v>
      </c>
      <c r="E1851" s="6">
        <v>27000</v>
      </c>
      <c r="F1851" t="str">
        <f>VLOOKUP(C1851,menu!A:B,2,FALSE)</f>
        <v>Ayam Geprek Sambal Bawang</v>
      </c>
      <c r="G1851">
        <f t="shared" si="56"/>
        <v>54000</v>
      </c>
      <c r="H1851">
        <f>VLOOKUP(C1851,menu!A:E,4,FALSE)</f>
        <v>11000</v>
      </c>
      <c r="I1851">
        <f t="shared" si="57"/>
        <v>32000</v>
      </c>
    </row>
    <row r="1852" spans="1:9" x14ac:dyDescent="0.35">
      <c r="A1852" s="4" t="s">
        <v>2763</v>
      </c>
      <c r="B1852" s="4" t="s">
        <v>281</v>
      </c>
      <c r="C1852" s="4" t="s">
        <v>935</v>
      </c>
      <c r="D1852" s="4">
        <v>1</v>
      </c>
      <c r="E1852" s="6">
        <v>22000</v>
      </c>
      <c r="F1852" t="str">
        <f>VLOOKUP(C1852,menu!A:B,2,FALSE)</f>
        <v>Soto Ayam Lamongan</v>
      </c>
      <c r="G1852">
        <f t="shared" si="56"/>
        <v>22000</v>
      </c>
      <c r="H1852">
        <f>VLOOKUP(C1852,menu!A:E,4,FALSE)</f>
        <v>9500</v>
      </c>
      <c r="I1852">
        <f t="shared" si="57"/>
        <v>12500</v>
      </c>
    </row>
    <row r="1853" spans="1:9" x14ac:dyDescent="0.35">
      <c r="A1853" s="4" t="s">
        <v>2764</v>
      </c>
      <c r="B1853" s="4" t="s">
        <v>281</v>
      </c>
      <c r="C1853" s="4" t="s">
        <v>919</v>
      </c>
      <c r="D1853" s="4">
        <v>1</v>
      </c>
      <c r="E1853" s="6">
        <v>20000</v>
      </c>
      <c r="F1853" t="str">
        <f>VLOOKUP(C1853,menu!A:B,2,FALSE)</f>
        <v>Gado-Gado Jakarta</v>
      </c>
      <c r="G1853">
        <f t="shared" si="56"/>
        <v>20000</v>
      </c>
      <c r="H1853">
        <f>VLOOKUP(C1853,menu!A:E,4,FALSE)</f>
        <v>8000</v>
      </c>
      <c r="I1853">
        <f t="shared" si="57"/>
        <v>12000</v>
      </c>
    </row>
    <row r="1854" spans="1:9" x14ac:dyDescent="0.35">
      <c r="A1854" s="4" t="s">
        <v>2765</v>
      </c>
      <c r="B1854" s="4" t="s">
        <v>700</v>
      </c>
      <c r="C1854" s="4" t="s">
        <v>898</v>
      </c>
      <c r="D1854" s="4">
        <v>1</v>
      </c>
      <c r="E1854" s="6">
        <v>27000</v>
      </c>
      <c r="F1854" t="str">
        <f>VLOOKUP(C1854,menu!A:B,2,FALSE)</f>
        <v>Ayam Geprek Sambal Bawang</v>
      </c>
      <c r="G1854">
        <f t="shared" si="56"/>
        <v>27000</v>
      </c>
      <c r="H1854">
        <f>VLOOKUP(C1854,menu!A:E,4,FALSE)</f>
        <v>11000</v>
      </c>
      <c r="I1854">
        <f t="shared" si="57"/>
        <v>16000</v>
      </c>
    </row>
    <row r="1855" spans="1:9" x14ac:dyDescent="0.35">
      <c r="A1855" s="4" t="s">
        <v>2766</v>
      </c>
      <c r="B1855" s="4" t="s">
        <v>700</v>
      </c>
      <c r="C1855" s="4" t="s">
        <v>902</v>
      </c>
      <c r="D1855" s="4">
        <v>2</v>
      </c>
      <c r="E1855" s="6">
        <v>12000</v>
      </c>
      <c r="F1855" t="str">
        <f>VLOOKUP(C1855,menu!A:B,2,FALSE)</f>
        <v>Teh Tarik</v>
      </c>
      <c r="G1855">
        <f t="shared" si="56"/>
        <v>24000</v>
      </c>
      <c r="H1855">
        <f>VLOOKUP(C1855,menu!A:E,4,FALSE)</f>
        <v>3000</v>
      </c>
      <c r="I1855">
        <f t="shared" si="57"/>
        <v>18000</v>
      </c>
    </row>
    <row r="1856" spans="1:9" x14ac:dyDescent="0.35">
      <c r="A1856" s="4" t="s">
        <v>2767</v>
      </c>
      <c r="B1856" s="4" t="s">
        <v>724</v>
      </c>
      <c r="C1856" s="4" t="s">
        <v>908</v>
      </c>
      <c r="D1856" s="4">
        <v>1</v>
      </c>
      <c r="E1856" s="6">
        <v>16000</v>
      </c>
      <c r="F1856" t="str">
        <f>VLOOKUP(C1856,menu!A:B,2,FALSE)</f>
        <v>Jus Alpukat</v>
      </c>
      <c r="G1856">
        <f t="shared" si="56"/>
        <v>16000</v>
      </c>
      <c r="H1856">
        <f>VLOOKUP(C1856,menu!A:E,4,FALSE)</f>
        <v>5500</v>
      </c>
      <c r="I1856">
        <f t="shared" si="57"/>
        <v>10500</v>
      </c>
    </row>
    <row r="1857" spans="1:9" x14ac:dyDescent="0.35">
      <c r="A1857" s="4" t="s">
        <v>2768</v>
      </c>
      <c r="B1857" s="4" t="s">
        <v>724</v>
      </c>
      <c r="C1857" s="4" t="s">
        <v>898</v>
      </c>
      <c r="D1857" s="4">
        <v>1</v>
      </c>
      <c r="E1857" s="6">
        <v>27000</v>
      </c>
      <c r="F1857" t="str">
        <f>VLOOKUP(C1857,menu!A:B,2,FALSE)</f>
        <v>Ayam Geprek Sambal Bawang</v>
      </c>
      <c r="G1857">
        <f t="shared" si="56"/>
        <v>27000</v>
      </c>
      <c r="H1857">
        <f>VLOOKUP(C1857,menu!A:E,4,FALSE)</f>
        <v>11000</v>
      </c>
      <c r="I1857">
        <f t="shared" si="57"/>
        <v>16000</v>
      </c>
    </row>
    <row r="1858" spans="1:9" x14ac:dyDescent="0.35">
      <c r="A1858" s="4" t="s">
        <v>2769</v>
      </c>
      <c r="B1858" s="4" t="s">
        <v>724</v>
      </c>
      <c r="C1858" s="4" t="s">
        <v>942</v>
      </c>
      <c r="D1858" s="4">
        <v>2</v>
      </c>
      <c r="E1858" s="6">
        <v>13000</v>
      </c>
      <c r="F1858" t="str">
        <f>VLOOKUP(C1858,menu!A:B,2,FALSE)</f>
        <v>Pisang Goreng Keju (4pcs)</v>
      </c>
      <c r="G1858">
        <f t="shared" si="56"/>
        <v>26000</v>
      </c>
      <c r="H1858">
        <f>VLOOKUP(C1858,menu!A:E,4,FALSE)</f>
        <v>4000</v>
      </c>
      <c r="I1858">
        <f t="shared" si="57"/>
        <v>18000</v>
      </c>
    </row>
    <row r="1859" spans="1:9" x14ac:dyDescent="0.35">
      <c r="A1859" s="4" t="s">
        <v>2770</v>
      </c>
      <c r="B1859" s="4" t="s">
        <v>196</v>
      </c>
      <c r="C1859" s="4" t="s">
        <v>1003</v>
      </c>
      <c r="D1859" s="4">
        <v>1</v>
      </c>
      <c r="E1859" s="6">
        <v>29000</v>
      </c>
      <c r="F1859" t="str">
        <f>VLOOKUP(C1859,menu!A:B,2,FALSE)</f>
        <v>Capcay Seafood</v>
      </c>
      <c r="G1859">
        <f t="shared" ref="G1859:G1922" si="58">D1859*E1859</f>
        <v>29000</v>
      </c>
      <c r="H1859">
        <f>VLOOKUP(C1859,menu!A:E,4,FALSE)</f>
        <v>13000</v>
      </c>
      <c r="I1859">
        <f t="shared" ref="I1859:I1922" si="59">(E1859-H1859)*D1859</f>
        <v>16000</v>
      </c>
    </row>
    <row r="1860" spans="1:9" x14ac:dyDescent="0.35">
      <c r="A1860" s="4" t="s">
        <v>2771</v>
      </c>
      <c r="B1860" s="4" t="s">
        <v>196</v>
      </c>
      <c r="C1860" s="4" t="s">
        <v>898</v>
      </c>
      <c r="D1860" s="4">
        <v>1</v>
      </c>
      <c r="E1860" s="6">
        <v>27000</v>
      </c>
      <c r="F1860" t="str">
        <f>VLOOKUP(C1860,menu!A:B,2,FALSE)</f>
        <v>Ayam Geprek Sambal Bawang</v>
      </c>
      <c r="G1860">
        <f t="shared" si="58"/>
        <v>27000</v>
      </c>
      <c r="H1860">
        <f>VLOOKUP(C1860,menu!A:E,4,FALSE)</f>
        <v>11000</v>
      </c>
      <c r="I1860">
        <f t="shared" si="59"/>
        <v>16000</v>
      </c>
    </row>
    <row r="1861" spans="1:9" x14ac:dyDescent="0.35">
      <c r="A1861" s="4" t="s">
        <v>2772</v>
      </c>
      <c r="B1861" s="4" t="s">
        <v>655</v>
      </c>
      <c r="C1861" s="4" t="s">
        <v>894</v>
      </c>
      <c r="D1861" s="4">
        <v>1</v>
      </c>
      <c r="E1861" s="6">
        <v>5000</v>
      </c>
      <c r="F1861" t="str">
        <f>VLOOKUP(C1861,menu!A:B,2,FALSE)</f>
        <v>Air Mineral Botol</v>
      </c>
      <c r="G1861">
        <f t="shared" si="58"/>
        <v>5000</v>
      </c>
      <c r="H1861">
        <f>VLOOKUP(C1861,menu!A:E,4,FALSE)</f>
        <v>2000</v>
      </c>
      <c r="I1861">
        <f t="shared" si="59"/>
        <v>3000</v>
      </c>
    </row>
    <row r="1862" spans="1:9" x14ac:dyDescent="0.35">
      <c r="A1862" s="4" t="s">
        <v>2773</v>
      </c>
      <c r="B1862" s="4" t="s">
        <v>123</v>
      </c>
      <c r="C1862" s="4" t="s">
        <v>898</v>
      </c>
      <c r="D1862" s="4">
        <v>2</v>
      </c>
      <c r="E1862" s="6">
        <v>27000</v>
      </c>
      <c r="F1862" t="str">
        <f>VLOOKUP(C1862,menu!A:B,2,FALSE)</f>
        <v>Ayam Geprek Sambal Bawang</v>
      </c>
      <c r="G1862">
        <f t="shared" si="58"/>
        <v>54000</v>
      </c>
      <c r="H1862">
        <f>VLOOKUP(C1862,menu!A:E,4,FALSE)</f>
        <v>11000</v>
      </c>
      <c r="I1862">
        <f t="shared" si="59"/>
        <v>32000</v>
      </c>
    </row>
    <row r="1863" spans="1:9" x14ac:dyDescent="0.35">
      <c r="A1863" s="4" t="s">
        <v>2774</v>
      </c>
      <c r="B1863" s="4" t="s">
        <v>123</v>
      </c>
      <c r="C1863" s="4" t="s">
        <v>919</v>
      </c>
      <c r="D1863" s="4">
        <v>3</v>
      </c>
      <c r="E1863" s="6">
        <v>20000</v>
      </c>
      <c r="F1863" t="str">
        <f>VLOOKUP(C1863,menu!A:B,2,FALSE)</f>
        <v>Gado-Gado Jakarta</v>
      </c>
      <c r="G1863">
        <f t="shared" si="58"/>
        <v>60000</v>
      </c>
      <c r="H1863">
        <f>VLOOKUP(C1863,menu!A:E,4,FALSE)</f>
        <v>8000</v>
      </c>
      <c r="I1863">
        <f t="shared" si="59"/>
        <v>36000</v>
      </c>
    </row>
    <row r="1864" spans="1:9" x14ac:dyDescent="0.35">
      <c r="A1864" s="4" t="s">
        <v>2775</v>
      </c>
      <c r="B1864" s="4" t="s">
        <v>123</v>
      </c>
      <c r="C1864" s="4" t="s">
        <v>931</v>
      </c>
      <c r="D1864" s="4">
        <v>1</v>
      </c>
      <c r="E1864" s="6">
        <v>5000</v>
      </c>
      <c r="F1864" t="str">
        <f>VLOOKUP(C1864,menu!A:B,2,FALSE)</f>
        <v>Kerupuk Udang</v>
      </c>
      <c r="G1864">
        <f t="shared" si="58"/>
        <v>5000</v>
      </c>
      <c r="H1864">
        <f>VLOOKUP(C1864,menu!A:E,4,FALSE)</f>
        <v>1500</v>
      </c>
      <c r="I1864">
        <f t="shared" si="59"/>
        <v>3500</v>
      </c>
    </row>
    <row r="1865" spans="1:9" x14ac:dyDescent="0.35">
      <c r="A1865" s="4" t="s">
        <v>2776</v>
      </c>
      <c r="B1865" s="4" t="s">
        <v>765</v>
      </c>
      <c r="C1865" s="4" t="s">
        <v>931</v>
      </c>
      <c r="D1865" s="4">
        <v>1</v>
      </c>
      <c r="E1865" s="6">
        <v>5000</v>
      </c>
      <c r="F1865" t="str">
        <f>VLOOKUP(C1865,menu!A:B,2,FALSE)</f>
        <v>Kerupuk Udang</v>
      </c>
      <c r="G1865">
        <f t="shared" si="58"/>
        <v>5000</v>
      </c>
      <c r="H1865">
        <f>VLOOKUP(C1865,menu!A:E,4,FALSE)</f>
        <v>1500</v>
      </c>
      <c r="I1865">
        <f t="shared" si="59"/>
        <v>3500</v>
      </c>
    </row>
    <row r="1866" spans="1:9" x14ac:dyDescent="0.35">
      <c r="A1866" s="4" t="s">
        <v>2777</v>
      </c>
      <c r="B1866" s="4" t="s">
        <v>765</v>
      </c>
      <c r="C1866" s="4" t="s">
        <v>898</v>
      </c>
      <c r="D1866" s="4">
        <v>1</v>
      </c>
      <c r="E1866" s="6">
        <v>27000</v>
      </c>
      <c r="F1866" t="str">
        <f>VLOOKUP(C1866,menu!A:B,2,FALSE)</f>
        <v>Ayam Geprek Sambal Bawang</v>
      </c>
      <c r="G1866">
        <f t="shared" si="58"/>
        <v>27000</v>
      </c>
      <c r="H1866">
        <f>VLOOKUP(C1866,menu!A:E,4,FALSE)</f>
        <v>11000</v>
      </c>
      <c r="I1866">
        <f t="shared" si="59"/>
        <v>16000</v>
      </c>
    </row>
    <row r="1867" spans="1:9" x14ac:dyDescent="0.35">
      <c r="A1867" s="4" t="s">
        <v>2778</v>
      </c>
      <c r="B1867" s="4" t="s">
        <v>765</v>
      </c>
      <c r="C1867" s="4" t="s">
        <v>935</v>
      </c>
      <c r="D1867" s="4">
        <v>1</v>
      </c>
      <c r="E1867" s="6">
        <v>22000</v>
      </c>
      <c r="F1867" t="str">
        <f>VLOOKUP(C1867,menu!A:B,2,FALSE)</f>
        <v>Soto Ayam Lamongan</v>
      </c>
      <c r="G1867">
        <f t="shared" si="58"/>
        <v>22000</v>
      </c>
      <c r="H1867">
        <f>VLOOKUP(C1867,menu!A:E,4,FALSE)</f>
        <v>9500</v>
      </c>
      <c r="I1867">
        <f t="shared" si="59"/>
        <v>12500</v>
      </c>
    </row>
    <row r="1868" spans="1:9" x14ac:dyDescent="0.35">
      <c r="A1868" s="4" t="s">
        <v>2779</v>
      </c>
      <c r="B1868" s="4" t="s">
        <v>765</v>
      </c>
      <c r="C1868" s="4" t="s">
        <v>894</v>
      </c>
      <c r="D1868" s="4">
        <v>1</v>
      </c>
      <c r="E1868" s="6">
        <v>5000</v>
      </c>
      <c r="F1868" t="str">
        <f>VLOOKUP(C1868,menu!A:B,2,FALSE)</f>
        <v>Air Mineral Botol</v>
      </c>
      <c r="G1868">
        <f t="shared" si="58"/>
        <v>5000</v>
      </c>
      <c r="H1868">
        <f>VLOOKUP(C1868,menu!A:E,4,FALSE)</f>
        <v>2000</v>
      </c>
      <c r="I1868">
        <f t="shared" si="59"/>
        <v>3000</v>
      </c>
    </row>
    <row r="1869" spans="1:9" x14ac:dyDescent="0.35">
      <c r="A1869" s="4" t="s">
        <v>2780</v>
      </c>
      <c r="B1869" s="4" t="s">
        <v>107</v>
      </c>
      <c r="C1869" s="4" t="s">
        <v>937</v>
      </c>
      <c r="D1869" s="4">
        <v>1</v>
      </c>
      <c r="E1869" s="6">
        <v>26000</v>
      </c>
      <c r="F1869" t="str">
        <f>VLOOKUP(C1869,menu!A:B,2,FALSE)</f>
        <v>Nasi Campur Bali</v>
      </c>
      <c r="G1869">
        <f t="shared" si="58"/>
        <v>26000</v>
      </c>
      <c r="H1869">
        <f>VLOOKUP(C1869,menu!A:E,4,FALSE)</f>
        <v>11500</v>
      </c>
      <c r="I1869">
        <f t="shared" si="59"/>
        <v>14500</v>
      </c>
    </row>
    <row r="1870" spans="1:9" x14ac:dyDescent="0.35">
      <c r="A1870" s="4" t="s">
        <v>2781</v>
      </c>
      <c r="B1870" s="4" t="s">
        <v>107</v>
      </c>
      <c r="C1870" s="4" t="s">
        <v>890</v>
      </c>
      <c r="D1870" s="4">
        <v>1</v>
      </c>
      <c r="E1870" s="6">
        <v>18000</v>
      </c>
      <c r="F1870" t="str">
        <f>VLOOKUP(C1870,menu!A:B,2,FALSE)</f>
        <v>Es Kopi Susu Gula Aren</v>
      </c>
      <c r="G1870">
        <f t="shared" si="58"/>
        <v>18000</v>
      </c>
      <c r="H1870">
        <f>VLOOKUP(C1870,menu!A:E,4,FALSE)</f>
        <v>4500</v>
      </c>
      <c r="I1870">
        <f t="shared" si="59"/>
        <v>13500</v>
      </c>
    </row>
    <row r="1871" spans="1:9" x14ac:dyDescent="0.35">
      <c r="A1871" s="4" t="s">
        <v>2782</v>
      </c>
      <c r="B1871" s="4" t="s">
        <v>107</v>
      </c>
      <c r="C1871" s="4" t="s">
        <v>906</v>
      </c>
      <c r="D1871" s="4">
        <v>1</v>
      </c>
      <c r="E1871" s="6">
        <v>28000</v>
      </c>
      <c r="F1871" t="str">
        <f>VLOOKUP(C1871,menu!A:B,2,FALSE)</f>
        <v>Sate Ayam 10 Tusuk</v>
      </c>
      <c r="G1871">
        <f t="shared" si="58"/>
        <v>28000</v>
      </c>
      <c r="H1871">
        <f>VLOOKUP(C1871,menu!A:E,4,FALSE)</f>
        <v>12000</v>
      </c>
      <c r="I1871">
        <f t="shared" si="59"/>
        <v>16000</v>
      </c>
    </row>
    <row r="1872" spans="1:9" x14ac:dyDescent="0.35">
      <c r="A1872" s="4" t="s">
        <v>2783</v>
      </c>
      <c r="B1872" s="4" t="s">
        <v>728</v>
      </c>
      <c r="C1872" s="4" t="s">
        <v>898</v>
      </c>
      <c r="D1872" s="4">
        <v>1</v>
      </c>
      <c r="E1872" s="6">
        <v>27000</v>
      </c>
      <c r="F1872" t="str">
        <f>VLOOKUP(C1872,menu!A:B,2,FALSE)</f>
        <v>Ayam Geprek Sambal Bawang</v>
      </c>
      <c r="G1872">
        <f t="shared" si="58"/>
        <v>27000</v>
      </c>
      <c r="H1872">
        <f>VLOOKUP(C1872,menu!A:E,4,FALSE)</f>
        <v>11000</v>
      </c>
      <c r="I1872">
        <f t="shared" si="59"/>
        <v>16000</v>
      </c>
    </row>
    <row r="1873" spans="1:9" x14ac:dyDescent="0.35">
      <c r="A1873" s="4" t="s">
        <v>2784</v>
      </c>
      <c r="B1873" s="4" t="s">
        <v>728</v>
      </c>
      <c r="C1873" s="4" t="s">
        <v>935</v>
      </c>
      <c r="D1873" s="4">
        <v>1</v>
      </c>
      <c r="E1873" s="6">
        <v>22000</v>
      </c>
      <c r="F1873" t="str">
        <f>VLOOKUP(C1873,menu!A:B,2,FALSE)</f>
        <v>Soto Ayam Lamongan</v>
      </c>
      <c r="G1873">
        <f t="shared" si="58"/>
        <v>22000</v>
      </c>
      <c r="H1873">
        <f>VLOOKUP(C1873,menu!A:E,4,FALSE)</f>
        <v>9500</v>
      </c>
      <c r="I1873">
        <f t="shared" si="59"/>
        <v>12500</v>
      </c>
    </row>
    <row r="1874" spans="1:9" x14ac:dyDescent="0.35">
      <c r="A1874" s="4" t="s">
        <v>2785</v>
      </c>
      <c r="B1874" s="4" t="s">
        <v>326</v>
      </c>
      <c r="C1874" s="4" t="s">
        <v>898</v>
      </c>
      <c r="D1874" s="4">
        <v>1</v>
      </c>
      <c r="E1874" s="6">
        <v>27000</v>
      </c>
      <c r="F1874" t="str">
        <f>VLOOKUP(C1874,menu!A:B,2,FALSE)</f>
        <v>Ayam Geprek Sambal Bawang</v>
      </c>
      <c r="G1874">
        <f t="shared" si="58"/>
        <v>27000</v>
      </c>
      <c r="H1874">
        <f>VLOOKUP(C1874,menu!A:E,4,FALSE)</f>
        <v>11000</v>
      </c>
      <c r="I1874">
        <f t="shared" si="59"/>
        <v>16000</v>
      </c>
    </row>
    <row r="1875" spans="1:9" x14ac:dyDescent="0.35">
      <c r="A1875" s="4" t="s">
        <v>2786</v>
      </c>
      <c r="B1875" s="4" t="s">
        <v>326</v>
      </c>
      <c r="C1875" s="4" t="s">
        <v>937</v>
      </c>
      <c r="D1875" s="4">
        <v>1</v>
      </c>
      <c r="E1875" s="6">
        <v>26000</v>
      </c>
      <c r="F1875" t="str">
        <f>VLOOKUP(C1875,menu!A:B,2,FALSE)</f>
        <v>Nasi Campur Bali</v>
      </c>
      <c r="G1875">
        <f t="shared" si="58"/>
        <v>26000</v>
      </c>
      <c r="H1875">
        <f>VLOOKUP(C1875,menu!A:E,4,FALSE)</f>
        <v>11500</v>
      </c>
      <c r="I1875">
        <f t="shared" si="59"/>
        <v>14500</v>
      </c>
    </row>
    <row r="1876" spans="1:9" x14ac:dyDescent="0.35">
      <c r="A1876" s="4" t="s">
        <v>2787</v>
      </c>
      <c r="B1876" s="4" t="s">
        <v>65</v>
      </c>
      <c r="C1876" s="4" t="s">
        <v>898</v>
      </c>
      <c r="D1876" s="4">
        <v>3</v>
      </c>
      <c r="E1876" s="6">
        <v>27000</v>
      </c>
      <c r="F1876" t="str">
        <f>VLOOKUP(C1876,menu!A:B,2,FALSE)</f>
        <v>Ayam Geprek Sambal Bawang</v>
      </c>
      <c r="G1876">
        <f t="shared" si="58"/>
        <v>81000</v>
      </c>
      <c r="H1876">
        <f>VLOOKUP(C1876,menu!A:E,4,FALSE)</f>
        <v>11000</v>
      </c>
      <c r="I1876">
        <f t="shared" si="59"/>
        <v>48000</v>
      </c>
    </row>
    <row r="1877" spans="1:9" x14ac:dyDescent="0.35">
      <c r="A1877" s="4" t="s">
        <v>2788</v>
      </c>
      <c r="B1877" s="4" t="s">
        <v>65</v>
      </c>
      <c r="C1877" s="4" t="s">
        <v>919</v>
      </c>
      <c r="D1877" s="4">
        <v>1</v>
      </c>
      <c r="E1877" s="6">
        <v>20000</v>
      </c>
      <c r="F1877" t="str">
        <f>VLOOKUP(C1877,menu!A:B,2,FALSE)</f>
        <v>Gado-Gado Jakarta</v>
      </c>
      <c r="G1877">
        <f t="shared" si="58"/>
        <v>20000</v>
      </c>
      <c r="H1877">
        <f>VLOOKUP(C1877,menu!A:E,4,FALSE)</f>
        <v>8000</v>
      </c>
      <c r="I1877">
        <f t="shared" si="59"/>
        <v>12000</v>
      </c>
    </row>
    <row r="1878" spans="1:9" x14ac:dyDescent="0.35">
      <c r="A1878" s="4" t="s">
        <v>2789</v>
      </c>
      <c r="B1878" s="4" t="s">
        <v>65</v>
      </c>
      <c r="C1878" s="4" t="s">
        <v>902</v>
      </c>
      <c r="D1878" s="4">
        <v>1</v>
      </c>
      <c r="E1878" s="6">
        <v>12000</v>
      </c>
      <c r="F1878" t="str">
        <f>VLOOKUP(C1878,menu!A:B,2,FALSE)</f>
        <v>Teh Tarik</v>
      </c>
      <c r="G1878">
        <f t="shared" si="58"/>
        <v>12000</v>
      </c>
      <c r="H1878">
        <f>VLOOKUP(C1878,menu!A:E,4,FALSE)</f>
        <v>3000</v>
      </c>
      <c r="I1878">
        <f t="shared" si="59"/>
        <v>9000</v>
      </c>
    </row>
    <row r="1879" spans="1:9" x14ac:dyDescent="0.35">
      <c r="A1879" s="4" t="s">
        <v>2790</v>
      </c>
      <c r="B1879" s="4" t="s">
        <v>65</v>
      </c>
      <c r="C1879" s="4" t="s">
        <v>908</v>
      </c>
      <c r="D1879" s="4">
        <v>1</v>
      </c>
      <c r="E1879" s="6">
        <v>16000</v>
      </c>
      <c r="F1879" t="str">
        <f>VLOOKUP(C1879,menu!A:B,2,FALSE)</f>
        <v>Jus Alpukat</v>
      </c>
      <c r="G1879">
        <f t="shared" si="58"/>
        <v>16000</v>
      </c>
      <c r="H1879">
        <f>VLOOKUP(C1879,menu!A:E,4,FALSE)</f>
        <v>5500</v>
      </c>
      <c r="I1879">
        <f t="shared" si="59"/>
        <v>10500</v>
      </c>
    </row>
    <row r="1880" spans="1:9" x14ac:dyDescent="0.35">
      <c r="A1880" s="4" t="s">
        <v>2791</v>
      </c>
      <c r="B1880" s="4" t="s">
        <v>65</v>
      </c>
      <c r="C1880" s="4" t="s">
        <v>890</v>
      </c>
      <c r="D1880" s="4">
        <v>1</v>
      </c>
      <c r="E1880" s="6">
        <v>18000</v>
      </c>
      <c r="F1880" t="str">
        <f>VLOOKUP(C1880,menu!A:B,2,FALSE)</f>
        <v>Es Kopi Susu Gula Aren</v>
      </c>
      <c r="G1880">
        <f t="shared" si="58"/>
        <v>18000</v>
      </c>
      <c r="H1880">
        <f>VLOOKUP(C1880,menu!A:E,4,FALSE)</f>
        <v>4500</v>
      </c>
      <c r="I1880">
        <f t="shared" si="59"/>
        <v>13500</v>
      </c>
    </row>
    <row r="1881" spans="1:9" x14ac:dyDescent="0.35">
      <c r="A1881" s="4" t="s">
        <v>2792</v>
      </c>
      <c r="B1881" s="4" t="s">
        <v>733</v>
      </c>
      <c r="C1881" s="4" t="s">
        <v>940</v>
      </c>
      <c r="D1881" s="4">
        <v>3</v>
      </c>
      <c r="E1881" s="6">
        <v>10000</v>
      </c>
      <c r="F1881" t="str">
        <f>VLOOKUP(C1881,menu!A:B,2,FALSE)</f>
        <v>Tahu Isi Goreng (5pcs)</v>
      </c>
      <c r="G1881">
        <f t="shared" si="58"/>
        <v>30000</v>
      </c>
      <c r="H1881">
        <f>VLOOKUP(C1881,menu!A:E,4,FALSE)</f>
        <v>3500</v>
      </c>
      <c r="I1881">
        <f t="shared" si="59"/>
        <v>19500</v>
      </c>
    </row>
    <row r="1882" spans="1:9" x14ac:dyDescent="0.35">
      <c r="A1882" s="4" t="s">
        <v>2793</v>
      </c>
      <c r="B1882" s="4" t="s">
        <v>733</v>
      </c>
      <c r="C1882" s="4" t="s">
        <v>898</v>
      </c>
      <c r="D1882" s="4">
        <v>1</v>
      </c>
      <c r="E1882" s="6">
        <v>27000</v>
      </c>
      <c r="F1882" t="str">
        <f>VLOOKUP(C1882,menu!A:B,2,FALSE)</f>
        <v>Ayam Geprek Sambal Bawang</v>
      </c>
      <c r="G1882">
        <f t="shared" si="58"/>
        <v>27000</v>
      </c>
      <c r="H1882">
        <f>VLOOKUP(C1882,menu!A:E,4,FALSE)</f>
        <v>11000</v>
      </c>
      <c r="I1882">
        <f t="shared" si="59"/>
        <v>16000</v>
      </c>
    </row>
    <row r="1883" spans="1:9" x14ac:dyDescent="0.35">
      <c r="A1883" s="4" t="s">
        <v>2794</v>
      </c>
      <c r="B1883" s="4" t="s">
        <v>733</v>
      </c>
      <c r="C1883" s="4" t="s">
        <v>896</v>
      </c>
      <c r="D1883" s="4">
        <v>1</v>
      </c>
      <c r="E1883" s="6">
        <v>23000</v>
      </c>
      <c r="F1883" t="str">
        <f>VLOOKUP(C1883,menu!A:B,2,FALSE)</f>
        <v>Nasi Uduk Komplit</v>
      </c>
      <c r="G1883">
        <f t="shared" si="58"/>
        <v>23000</v>
      </c>
      <c r="H1883">
        <f>VLOOKUP(C1883,menu!A:E,4,FALSE)</f>
        <v>9000</v>
      </c>
      <c r="I1883">
        <f t="shared" si="59"/>
        <v>14000</v>
      </c>
    </row>
    <row r="1884" spans="1:9" x14ac:dyDescent="0.35">
      <c r="A1884" s="4" t="s">
        <v>2795</v>
      </c>
      <c r="B1884" s="4" t="s">
        <v>53</v>
      </c>
      <c r="C1884" s="4" t="s">
        <v>898</v>
      </c>
      <c r="D1884" s="4">
        <v>1</v>
      </c>
      <c r="E1884" s="6">
        <v>27000</v>
      </c>
      <c r="F1884" t="str">
        <f>VLOOKUP(C1884,menu!A:B,2,FALSE)</f>
        <v>Ayam Geprek Sambal Bawang</v>
      </c>
      <c r="G1884">
        <f t="shared" si="58"/>
        <v>27000</v>
      </c>
      <c r="H1884">
        <f>VLOOKUP(C1884,menu!A:E,4,FALSE)</f>
        <v>11000</v>
      </c>
      <c r="I1884">
        <f t="shared" si="59"/>
        <v>16000</v>
      </c>
    </row>
    <row r="1885" spans="1:9" x14ac:dyDescent="0.35">
      <c r="A1885" s="4" t="s">
        <v>2796</v>
      </c>
      <c r="B1885" s="4" t="s">
        <v>53</v>
      </c>
      <c r="C1885" s="4" t="s">
        <v>900</v>
      </c>
      <c r="D1885" s="4">
        <v>1</v>
      </c>
      <c r="E1885" s="6">
        <v>8000</v>
      </c>
      <c r="F1885" t="str">
        <f>VLOOKUP(C1885,menu!A:B,2,FALSE)</f>
        <v>Es Jeruk Peras</v>
      </c>
      <c r="G1885">
        <f t="shared" si="58"/>
        <v>8000</v>
      </c>
      <c r="H1885">
        <f>VLOOKUP(C1885,menu!A:E,4,FALSE)</f>
        <v>2500</v>
      </c>
      <c r="I1885">
        <f t="shared" si="59"/>
        <v>5500</v>
      </c>
    </row>
    <row r="1886" spans="1:9" x14ac:dyDescent="0.35">
      <c r="A1886" s="4" t="s">
        <v>2797</v>
      </c>
      <c r="B1886" s="4" t="s">
        <v>53</v>
      </c>
      <c r="C1886" s="4" t="s">
        <v>896</v>
      </c>
      <c r="D1886" s="4">
        <v>1</v>
      </c>
      <c r="E1886" s="6">
        <v>23000</v>
      </c>
      <c r="F1886" t="str">
        <f>VLOOKUP(C1886,menu!A:B,2,FALSE)</f>
        <v>Nasi Uduk Komplit</v>
      </c>
      <c r="G1886">
        <f t="shared" si="58"/>
        <v>23000</v>
      </c>
      <c r="H1886">
        <f>VLOOKUP(C1886,menu!A:E,4,FALSE)</f>
        <v>9000</v>
      </c>
      <c r="I1886">
        <f t="shared" si="59"/>
        <v>14000</v>
      </c>
    </row>
    <row r="1887" spans="1:9" x14ac:dyDescent="0.35">
      <c r="A1887" s="4" t="s">
        <v>2798</v>
      </c>
      <c r="B1887" s="4" t="s">
        <v>83</v>
      </c>
      <c r="C1887" s="4" t="s">
        <v>935</v>
      </c>
      <c r="D1887" s="4">
        <v>2</v>
      </c>
      <c r="E1887" s="6">
        <v>22000</v>
      </c>
      <c r="F1887" t="str">
        <f>VLOOKUP(C1887,menu!A:B,2,FALSE)</f>
        <v>Soto Ayam Lamongan</v>
      </c>
      <c r="G1887">
        <f t="shared" si="58"/>
        <v>44000</v>
      </c>
      <c r="H1887">
        <f>VLOOKUP(C1887,menu!A:E,4,FALSE)</f>
        <v>9500</v>
      </c>
      <c r="I1887">
        <f t="shared" si="59"/>
        <v>25000</v>
      </c>
    </row>
    <row r="1888" spans="1:9" x14ac:dyDescent="0.35">
      <c r="A1888" s="4" t="s">
        <v>2799</v>
      </c>
      <c r="B1888" s="4" t="s">
        <v>330</v>
      </c>
      <c r="C1888" s="4" t="s">
        <v>898</v>
      </c>
      <c r="D1888" s="4">
        <v>1</v>
      </c>
      <c r="E1888" s="6">
        <v>27000</v>
      </c>
      <c r="F1888" t="str">
        <f>VLOOKUP(C1888,menu!A:B,2,FALSE)</f>
        <v>Ayam Geprek Sambal Bawang</v>
      </c>
      <c r="G1888">
        <f t="shared" si="58"/>
        <v>27000</v>
      </c>
      <c r="H1888">
        <f>VLOOKUP(C1888,menu!A:E,4,FALSE)</f>
        <v>11000</v>
      </c>
      <c r="I1888">
        <f t="shared" si="59"/>
        <v>16000</v>
      </c>
    </row>
    <row r="1889" spans="1:9" x14ac:dyDescent="0.35">
      <c r="A1889" s="4" t="s">
        <v>2800</v>
      </c>
      <c r="B1889" s="4" t="s">
        <v>243</v>
      </c>
      <c r="C1889" s="4" t="s">
        <v>890</v>
      </c>
      <c r="D1889" s="4">
        <v>1</v>
      </c>
      <c r="E1889" s="6">
        <v>18000</v>
      </c>
      <c r="F1889" t="str">
        <f>VLOOKUP(C1889,menu!A:B,2,FALSE)</f>
        <v>Es Kopi Susu Gula Aren</v>
      </c>
      <c r="G1889">
        <f t="shared" si="58"/>
        <v>18000</v>
      </c>
      <c r="H1889">
        <f>VLOOKUP(C1889,menu!A:E,4,FALSE)</f>
        <v>4500</v>
      </c>
      <c r="I1889">
        <f t="shared" si="59"/>
        <v>13500</v>
      </c>
    </row>
    <row r="1890" spans="1:9" x14ac:dyDescent="0.35">
      <c r="A1890" s="4" t="s">
        <v>2801</v>
      </c>
      <c r="B1890" s="4" t="s">
        <v>243</v>
      </c>
      <c r="C1890" s="4" t="s">
        <v>898</v>
      </c>
      <c r="D1890" s="4">
        <v>1</v>
      </c>
      <c r="E1890" s="6">
        <v>27000</v>
      </c>
      <c r="F1890" t="str">
        <f>VLOOKUP(C1890,menu!A:B,2,FALSE)</f>
        <v>Ayam Geprek Sambal Bawang</v>
      </c>
      <c r="G1890">
        <f t="shared" si="58"/>
        <v>27000</v>
      </c>
      <c r="H1890">
        <f>VLOOKUP(C1890,menu!A:E,4,FALSE)</f>
        <v>11000</v>
      </c>
      <c r="I1890">
        <f t="shared" si="59"/>
        <v>16000</v>
      </c>
    </row>
    <row r="1891" spans="1:9" x14ac:dyDescent="0.35">
      <c r="A1891" s="4" t="s">
        <v>2802</v>
      </c>
      <c r="B1891" s="4" t="s">
        <v>243</v>
      </c>
      <c r="C1891" s="4" t="s">
        <v>955</v>
      </c>
      <c r="D1891" s="4">
        <v>1</v>
      </c>
      <c r="E1891" s="6">
        <v>15000</v>
      </c>
      <c r="F1891" t="str">
        <f>VLOOKUP(C1891,menu!A:B,2,FALSE)</f>
        <v>Es Campur</v>
      </c>
      <c r="G1891">
        <f t="shared" si="58"/>
        <v>15000</v>
      </c>
      <c r="H1891">
        <f>VLOOKUP(C1891,menu!A:E,4,FALSE)</f>
        <v>6000</v>
      </c>
      <c r="I1891">
        <f t="shared" si="59"/>
        <v>9000</v>
      </c>
    </row>
    <row r="1892" spans="1:9" x14ac:dyDescent="0.35">
      <c r="A1892" s="4" t="s">
        <v>2803</v>
      </c>
      <c r="B1892" s="4" t="s">
        <v>261</v>
      </c>
      <c r="C1892" s="4" t="s">
        <v>898</v>
      </c>
      <c r="D1892" s="4">
        <v>2</v>
      </c>
      <c r="E1892" s="6">
        <v>27000</v>
      </c>
      <c r="F1892" t="str">
        <f>VLOOKUP(C1892,menu!A:B,2,FALSE)</f>
        <v>Ayam Geprek Sambal Bawang</v>
      </c>
      <c r="G1892">
        <f t="shared" si="58"/>
        <v>54000</v>
      </c>
      <c r="H1892">
        <f>VLOOKUP(C1892,menu!A:E,4,FALSE)</f>
        <v>11000</v>
      </c>
      <c r="I1892">
        <f t="shared" si="59"/>
        <v>32000</v>
      </c>
    </row>
    <row r="1893" spans="1:9" x14ac:dyDescent="0.35">
      <c r="A1893" s="4" t="s">
        <v>2804</v>
      </c>
      <c r="B1893" s="4" t="s">
        <v>261</v>
      </c>
      <c r="C1893" s="4" t="s">
        <v>919</v>
      </c>
      <c r="D1893" s="4">
        <v>1</v>
      </c>
      <c r="E1893" s="6">
        <v>20000</v>
      </c>
      <c r="F1893" t="str">
        <f>VLOOKUP(C1893,menu!A:B,2,FALSE)</f>
        <v>Gado-Gado Jakarta</v>
      </c>
      <c r="G1893">
        <f t="shared" si="58"/>
        <v>20000</v>
      </c>
      <c r="H1893">
        <f>VLOOKUP(C1893,menu!A:E,4,FALSE)</f>
        <v>8000</v>
      </c>
      <c r="I1893">
        <f t="shared" si="59"/>
        <v>12000</v>
      </c>
    </row>
    <row r="1894" spans="1:9" x14ac:dyDescent="0.35">
      <c r="A1894" s="4" t="s">
        <v>2805</v>
      </c>
      <c r="B1894" s="4" t="s">
        <v>261</v>
      </c>
      <c r="C1894" s="4" t="s">
        <v>896</v>
      </c>
      <c r="D1894" s="4">
        <v>1</v>
      </c>
      <c r="E1894" s="6">
        <v>23000</v>
      </c>
      <c r="F1894" t="str">
        <f>VLOOKUP(C1894,menu!A:B,2,FALSE)</f>
        <v>Nasi Uduk Komplit</v>
      </c>
      <c r="G1894">
        <f t="shared" si="58"/>
        <v>23000</v>
      </c>
      <c r="H1894">
        <f>VLOOKUP(C1894,menu!A:E,4,FALSE)</f>
        <v>9000</v>
      </c>
      <c r="I1894">
        <f t="shared" si="59"/>
        <v>14000</v>
      </c>
    </row>
    <row r="1895" spans="1:9" x14ac:dyDescent="0.35">
      <c r="A1895" s="4" t="s">
        <v>2806</v>
      </c>
      <c r="B1895" s="4" t="s">
        <v>576</v>
      </c>
      <c r="C1895" s="4" t="s">
        <v>898</v>
      </c>
      <c r="D1895" s="4">
        <v>3</v>
      </c>
      <c r="E1895" s="6">
        <v>27000</v>
      </c>
      <c r="F1895" t="str">
        <f>VLOOKUP(C1895,menu!A:B,2,FALSE)</f>
        <v>Ayam Geprek Sambal Bawang</v>
      </c>
      <c r="G1895">
        <f t="shared" si="58"/>
        <v>81000</v>
      </c>
      <c r="H1895">
        <f>VLOOKUP(C1895,menu!A:E,4,FALSE)</f>
        <v>11000</v>
      </c>
      <c r="I1895">
        <f t="shared" si="59"/>
        <v>48000</v>
      </c>
    </row>
    <row r="1896" spans="1:9" x14ac:dyDescent="0.35">
      <c r="A1896" s="4" t="s">
        <v>2807</v>
      </c>
      <c r="B1896" s="4" t="s">
        <v>576</v>
      </c>
      <c r="C1896" s="4" t="s">
        <v>902</v>
      </c>
      <c r="D1896" s="4">
        <v>1</v>
      </c>
      <c r="E1896" s="6">
        <v>12000</v>
      </c>
      <c r="F1896" t="str">
        <f>VLOOKUP(C1896,menu!A:B,2,FALSE)</f>
        <v>Teh Tarik</v>
      </c>
      <c r="G1896">
        <f t="shared" si="58"/>
        <v>12000</v>
      </c>
      <c r="H1896">
        <f>VLOOKUP(C1896,menu!A:E,4,FALSE)</f>
        <v>3000</v>
      </c>
      <c r="I1896">
        <f t="shared" si="59"/>
        <v>9000</v>
      </c>
    </row>
    <row r="1897" spans="1:9" x14ac:dyDescent="0.35">
      <c r="A1897" s="4" t="s">
        <v>2808</v>
      </c>
      <c r="B1897" s="4" t="s">
        <v>343</v>
      </c>
      <c r="C1897" s="4" t="s">
        <v>898</v>
      </c>
      <c r="D1897" s="4">
        <v>3</v>
      </c>
      <c r="E1897" s="6">
        <v>27000</v>
      </c>
      <c r="F1897" t="str">
        <f>VLOOKUP(C1897,menu!A:B,2,FALSE)</f>
        <v>Ayam Geprek Sambal Bawang</v>
      </c>
      <c r="G1897">
        <f t="shared" si="58"/>
        <v>81000</v>
      </c>
      <c r="H1897">
        <f>VLOOKUP(C1897,menu!A:E,4,FALSE)</f>
        <v>11000</v>
      </c>
      <c r="I1897">
        <f t="shared" si="59"/>
        <v>48000</v>
      </c>
    </row>
    <row r="1898" spans="1:9" x14ac:dyDescent="0.35">
      <c r="A1898" s="4" t="s">
        <v>2809</v>
      </c>
      <c r="B1898" s="4" t="s">
        <v>343</v>
      </c>
      <c r="C1898" s="4" t="s">
        <v>955</v>
      </c>
      <c r="D1898" s="4">
        <v>1</v>
      </c>
      <c r="E1898" s="6">
        <v>15000</v>
      </c>
      <c r="F1898" t="str">
        <f>VLOOKUP(C1898,menu!A:B,2,FALSE)</f>
        <v>Es Campur</v>
      </c>
      <c r="G1898">
        <f t="shared" si="58"/>
        <v>15000</v>
      </c>
      <c r="H1898">
        <f>VLOOKUP(C1898,menu!A:E,4,FALSE)</f>
        <v>6000</v>
      </c>
      <c r="I1898">
        <f t="shared" si="59"/>
        <v>9000</v>
      </c>
    </row>
    <row r="1899" spans="1:9" x14ac:dyDescent="0.35">
      <c r="A1899" s="4" t="s">
        <v>2810</v>
      </c>
      <c r="B1899" s="4" t="s">
        <v>343</v>
      </c>
      <c r="C1899" s="4" t="s">
        <v>908</v>
      </c>
      <c r="D1899" s="4">
        <v>1</v>
      </c>
      <c r="E1899" s="6">
        <v>16000</v>
      </c>
      <c r="F1899" t="str">
        <f>VLOOKUP(C1899,menu!A:B,2,FALSE)</f>
        <v>Jus Alpukat</v>
      </c>
      <c r="G1899">
        <f t="shared" si="58"/>
        <v>16000</v>
      </c>
      <c r="H1899">
        <f>VLOOKUP(C1899,menu!A:E,4,FALSE)</f>
        <v>5500</v>
      </c>
      <c r="I1899">
        <f t="shared" si="59"/>
        <v>10500</v>
      </c>
    </row>
    <row r="1900" spans="1:9" x14ac:dyDescent="0.35">
      <c r="A1900" s="4" t="s">
        <v>2811</v>
      </c>
      <c r="B1900" s="4" t="s">
        <v>120</v>
      </c>
      <c r="C1900" s="4" t="s">
        <v>898</v>
      </c>
      <c r="D1900" s="4">
        <v>1</v>
      </c>
      <c r="E1900" s="6">
        <v>27000</v>
      </c>
      <c r="F1900" t="str">
        <f>VLOOKUP(C1900,menu!A:B,2,FALSE)</f>
        <v>Ayam Geprek Sambal Bawang</v>
      </c>
      <c r="G1900">
        <f t="shared" si="58"/>
        <v>27000</v>
      </c>
      <c r="H1900">
        <f>VLOOKUP(C1900,menu!A:E,4,FALSE)</f>
        <v>11000</v>
      </c>
      <c r="I1900">
        <f t="shared" si="59"/>
        <v>16000</v>
      </c>
    </row>
    <row r="1901" spans="1:9" x14ac:dyDescent="0.35">
      <c r="A1901" s="4" t="s">
        <v>2812</v>
      </c>
      <c r="B1901" s="4" t="s">
        <v>120</v>
      </c>
      <c r="C1901" s="4" t="s">
        <v>940</v>
      </c>
      <c r="D1901" s="4">
        <v>1</v>
      </c>
      <c r="E1901" s="6">
        <v>10000</v>
      </c>
      <c r="F1901" t="str">
        <f>VLOOKUP(C1901,menu!A:B,2,FALSE)</f>
        <v>Tahu Isi Goreng (5pcs)</v>
      </c>
      <c r="G1901">
        <f t="shared" si="58"/>
        <v>10000</v>
      </c>
      <c r="H1901">
        <f>VLOOKUP(C1901,menu!A:E,4,FALSE)</f>
        <v>3500</v>
      </c>
      <c r="I1901">
        <f t="shared" si="59"/>
        <v>6500</v>
      </c>
    </row>
    <row r="1902" spans="1:9" x14ac:dyDescent="0.35">
      <c r="A1902" s="4" t="s">
        <v>2813</v>
      </c>
      <c r="B1902" s="4" t="s">
        <v>120</v>
      </c>
      <c r="C1902" s="4" t="s">
        <v>919</v>
      </c>
      <c r="D1902" s="4">
        <v>1</v>
      </c>
      <c r="E1902" s="6">
        <v>20000</v>
      </c>
      <c r="F1902" t="str">
        <f>VLOOKUP(C1902,menu!A:B,2,FALSE)</f>
        <v>Gado-Gado Jakarta</v>
      </c>
      <c r="G1902">
        <f t="shared" si="58"/>
        <v>20000</v>
      </c>
      <c r="H1902">
        <f>VLOOKUP(C1902,menu!A:E,4,FALSE)</f>
        <v>8000</v>
      </c>
      <c r="I1902">
        <f t="shared" si="59"/>
        <v>12000</v>
      </c>
    </row>
    <row r="1903" spans="1:9" x14ac:dyDescent="0.35">
      <c r="A1903" s="4" t="s">
        <v>2814</v>
      </c>
      <c r="B1903" s="4" t="s">
        <v>833</v>
      </c>
      <c r="C1903" s="4" t="s">
        <v>898</v>
      </c>
      <c r="D1903" s="4">
        <v>1</v>
      </c>
      <c r="E1903" s="6">
        <v>27000</v>
      </c>
      <c r="F1903" t="str">
        <f>VLOOKUP(C1903,menu!A:B,2,FALSE)</f>
        <v>Ayam Geprek Sambal Bawang</v>
      </c>
      <c r="G1903">
        <f t="shared" si="58"/>
        <v>27000</v>
      </c>
      <c r="H1903">
        <f>VLOOKUP(C1903,menu!A:E,4,FALSE)</f>
        <v>11000</v>
      </c>
      <c r="I1903">
        <f t="shared" si="59"/>
        <v>16000</v>
      </c>
    </row>
    <row r="1904" spans="1:9" x14ac:dyDescent="0.35">
      <c r="A1904" s="4" t="s">
        <v>2815</v>
      </c>
      <c r="B1904" s="4" t="s">
        <v>833</v>
      </c>
      <c r="C1904" s="4" t="s">
        <v>940</v>
      </c>
      <c r="D1904" s="4">
        <v>1</v>
      </c>
      <c r="E1904" s="6">
        <v>10000</v>
      </c>
      <c r="F1904" t="str">
        <f>VLOOKUP(C1904,menu!A:B,2,FALSE)</f>
        <v>Tahu Isi Goreng (5pcs)</v>
      </c>
      <c r="G1904">
        <f t="shared" si="58"/>
        <v>10000</v>
      </c>
      <c r="H1904">
        <f>VLOOKUP(C1904,menu!A:E,4,FALSE)</f>
        <v>3500</v>
      </c>
      <c r="I1904">
        <f t="shared" si="59"/>
        <v>6500</v>
      </c>
    </row>
    <row r="1905" spans="1:9" x14ac:dyDescent="0.35">
      <c r="A1905" s="4" t="s">
        <v>2816</v>
      </c>
      <c r="B1905" s="4" t="s">
        <v>533</v>
      </c>
      <c r="C1905" s="4" t="s">
        <v>898</v>
      </c>
      <c r="D1905" s="4">
        <v>2</v>
      </c>
      <c r="E1905" s="6">
        <v>27000</v>
      </c>
      <c r="F1905" t="str">
        <f>VLOOKUP(C1905,menu!A:B,2,FALSE)</f>
        <v>Ayam Geprek Sambal Bawang</v>
      </c>
      <c r="G1905">
        <f t="shared" si="58"/>
        <v>54000</v>
      </c>
      <c r="H1905">
        <f>VLOOKUP(C1905,menu!A:E,4,FALSE)</f>
        <v>11000</v>
      </c>
      <c r="I1905">
        <f t="shared" si="59"/>
        <v>32000</v>
      </c>
    </row>
    <row r="1906" spans="1:9" x14ac:dyDescent="0.35">
      <c r="A1906" s="4" t="s">
        <v>2817</v>
      </c>
      <c r="B1906" s="4" t="s">
        <v>884</v>
      </c>
      <c r="C1906" s="4" t="s">
        <v>898</v>
      </c>
      <c r="D1906" s="4">
        <v>1</v>
      </c>
      <c r="E1906" s="6">
        <v>27000</v>
      </c>
      <c r="F1906" t="str">
        <f>VLOOKUP(C1906,menu!A:B,2,FALSE)</f>
        <v>Ayam Geprek Sambal Bawang</v>
      </c>
      <c r="G1906">
        <f t="shared" si="58"/>
        <v>27000</v>
      </c>
      <c r="H1906">
        <f>VLOOKUP(C1906,menu!A:E,4,FALSE)</f>
        <v>11000</v>
      </c>
      <c r="I1906">
        <f t="shared" si="59"/>
        <v>16000</v>
      </c>
    </row>
    <row r="1907" spans="1:9" x14ac:dyDescent="0.35">
      <c r="A1907" s="4" t="s">
        <v>2818</v>
      </c>
      <c r="B1907" s="4" t="s">
        <v>336</v>
      </c>
      <c r="C1907" s="4" t="s">
        <v>896</v>
      </c>
      <c r="D1907" s="4">
        <v>1</v>
      </c>
      <c r="E1907" s="6">
        <v>23000</v>
      </c>
      <c r="F1907" t="str">
        <f>VLOOKUP(C1907,menu!A:B,2,FALSE)</f>
        <v>Nasi Uduk Komplit</v>
      </c>
      <c r="G1907">
        <f t="shared" si="58"/>
        <v>23000</v>
      </c>
      <c r="H1907">
        <f>VLOOKUP(C1907,menu!A:E,4,FALSE)</f>
        <v>9000</v>
      </c>
      <c r="I1907">
        <f t="shared" si="59"/>
        <v>14000</v>
      </c>
    </row>
    <row r="1908" spans="1:9" x14ac:dyDescent="0.35">
      <c r="A1908" s="4" t="s">
        <v>2819</v>
      </c>
      <c r="B1908" s="4" t="s">
        <v>464</v>
      </c>
      <c r="C1908" s="4" t="s">
        <v>898</v>
      </c>
      <c r="D1908" s="4">
        <v>3</v>
      </c>
      <c r="E1908" s="6">
        <v>27000</v>
      </c>
      <c r="F1908" t="str">
        <f>VLOOKUP(C1908,menu!A:B,2,FALSE)</f>
        <v>Ayam Geprek Sambal Bawang</v>
      </c>
      <c r="G1908">
        <f t="shared" si="58"/>
        <v>81000</v>
      </c>
      <c r="H1908">
        <f>VLOOKUP(C1908,menu!A:E,4,FALSE)</f>
        <v>11000</v>
      </c>
      <c r="I1908">
        <f t="shared" si="59"/>
        <v>48000</v>
      </c>
    </row>
    <row r="1909" spans="1:9" x14ac:dyDescent="0.35">
      <c r="A1909" s="4" t="s">
        <v>2820</v>
      </c>
      <c r="B1909" s="4" t="s">
        <v>464</v>
      </c>
      <c r="C1909" s="4" t="s">
        <v>931</v>
      </c>
      <c r="D1909" s="4">
        <v>1</v>
      </c>
      <c r="E1909" s="6">
        <v>5000</v>
      </c>
      <c r="F1909" t="str">
        <f>VLOOKUP(C1909,menu!A:B,2,FALSE)</f>
        <v>Kerupuk Udang</v>
      </c>
      <c r="G1909">
        <f t="shared" si="58"/>
        <v>5000</v>
      </c>
      <c r="H1909">
        <f>VLOOKUP(C1909,menu!A:E,4,FALSE)</f>
        <v>1500</v>
      </c>
      <c r="I1909">
        <f t="shared" si="59"/>
        <v>3500</v>
      </c>
    </row>
    <row r="1910" spans="1:9" x14ac:dyDescent="0.35">
      <c r="A1910" s="4" t="s">
        <v>2821</v>
      </c>
      <c r="B1910" s="4" t="s">
        <v>387</v>
      </c>
      <c r="C1910" s="4" t="s">
        <v>892</v>
      </c>
      <c r="D1910" s="4">
        <v>2</v>
      </c>
      <c r="E1910" s="6">
        <v>9000</v>
      </c>
      <c r="F1910" t="str">
        <f>VLOOKUP(C1910,menu!A:B,2,FALSE)</f>
        <v>Tempe Mendoan (5pcs)</v>
      </c>
      <c r="G1910">
        <f t="shared" si="58"/>
        <v>18000</v>
      </c>
      <c r="H1910">
        <f>VLOOKUP(C1910,menu!A:E,4,FALSE)</f>
        <v>3000</v>
      </c>
      <c r="I1910">
        <f t="shared" si="59"/>
        <v>12000</v>
      </c>
    </row>
    <row r="1911" spans="1:9" x14ac:dyDescent="0.35">
      <c r="A1911" s="4" t="s">
        <v>2822</v>
      </c>
      <c r="B1911" s="4" t="s">
        <v>387</v>
      </c>
      <c r="C1911" s="4" t="s">
        <v>896</v>
      </c>
      <c r="D1911" s="4">
        <v>1</v>
      </c>
      <c r="E1911" s="6">
        <v>23000</v>
      </c>
      <c r="F1911" t="str">
        <f>VLOOKUP(C1911,menu!A:B,2,FALSE)</f>
        <v>Nasi Uduk Komplit</v>
      </c>
      <c r="G1911">
        <f t="shared" si="58"/>
        <v>23000</v>
      </c>
      <c r="H1911">
        <f>VLOOKUP(C1911,menu!A:E,4,FALSE)</f>
        <v>9000</v>
      </c>
      <c r="I1911">
        <f t="shared" si="59"/>
        <v>14000</v>
      </c>
    </row>
    <row r="1912" spans="1:9" x14ac:dyDescent="0.35">
      <c r="A1912" s="4" t="s">
        <v>2823</v>
      </c>
      <c r="B1912" s="4" t="s">
        <v>188</v>
      </c>
      <c r="C1912" s="4" t="s">
        <v>919</v>
      </c>
      <c r="D1912" s="4">
        <v>1</v>
      </c>
      <c r="E1912" s="6">
        <v>20000</v>
      </c>
      <c r="F1912" t="str">
        <f>VLOOKUP(C1912,menu!A:B,2,FALSE)</f>
        <v>Gado-Gado Jakarta</v>
      </c>
      <c r="G1912">
        <f t="shared" si="58"/>
        <v>20000</v>
      </c>
      <c r="H1912">
        <f>VLOOKUP(C1912,menu!A:E,4,FALSE)</f>
        <v>8000</v>
      </c>
      <c r="I1912">
        <f t="shared" si="59"/>
        <v>12000</v>
      </c>
    </row>
    <row r="1913" spans="1:9" x14ac:dyDescent="0.35">
      <c r="A1913" s="4" t="s">
        <v>2824</v>
      </c>
      <c r="B1913" s="4" t="s">
        <v>188</v>
      </c>
      <c r="C1913" s="4" t="s">
        <v>898</v>
      </c>
      <c r="D1913" s="4">
        <v>1</v>
      </c>
      <c r="E1913" s="6">
        <v>27000</v>
      </c>
      <c r="F1913" t="str">
        <f>VLOOKUP(C1913,menu!A:B,2,FALSE)</f>
        <v>Ayam Geprek Sambal Bawang</v>
      </c>
      <c r="G1913">
        <f t="shared" si="58"/>
        <v>27000</v>
      </c>
      <c r="H1913">
        <f>VLOOKUP(C1913,menu!A:E,4,FALSE)</f>
        <v>11000</v>
      </c>
      <c r="I1913">
        <f t="shared" si="59"/>
        <v>16000</v>
      </c>
    </row>
    <row r="1914" spans="1:9" x14ac:dyDescent="0.35">
      <c r="A1914" s="4" t="s">
        <v>2825</v>
      </c>
      <c r="B1914" s="4" t="s">
        <v>496</v>
      </c>
      <c r="C1914" s="4" t="s">
        <v>896</v>
      </c>
      <c r="D1914" s="4">
        <v>1</v>
      </c>
      <c r="E1914" s="6">
        <v>23000</v>
      </c>
      <c r="F1914" t="str">
        <f>VLOOKUP(C1914,menu!A:B,2,FALSE)</f>
        <v>Nasi Uduk Komplit</v>
      </c>
      <c r="G1914">
        <f t="shared" si="58"/>
        <v>23000</v>
      </c>
      <c r="H1914">
        <f>VLOOKUP(C1914,menu!A:E,4,FALSE)</f>
        <v>9000</v>
      </c>
      <c r="I1914">
        <f t="shared" si="59"/>
        <v>14000</v>
      </c>
    </row>
    <row r="1915" spans="1:9" x14ac:dyDescent="0.35">
      <c r="A1915" s="4" t="s">
        <v>2826</v>
      </c>
      <c r="B1915" s="4" t="s">
        <v>450</v>
      </c>
      <c r="C1915" s="4" t="s">
        <v>898</v>
      </c>
      <c r="D1915" s="4">
        <v>1</v>
      </c>
      <c r="E1915" s="6">
        <v>27000</v>
      </c>
      <c r="F1915" t="str">
        <f>VLOOKUP(C1915,menu!A:B,2,FALSE)</f>
        <v>Ayam Geprek Sambal Bawang</v>
      </c>
      <c r="G1915">
        <f t="shared" si="58"/>
        <v>27000</v>
      </c>
      <c r="H1915">
        <f>VLOOKUP(C1915,menu!A:E,4,FALSE)</f>
        <v>11000</v>
      </c>
      <c r="I1915">
        <f t="shared" si="59"/>
        <v>16000</v>
      </c>
    </row>
    <row r="1916" spans="1:9" x14ac:dyDescent="0.35">
      <c r="A1916" s="4" t="s">
        <v>2827</v>
      </c>
      <c r="B1916" s="4" t="s">
        <v>450</v>
      </c>
      <c r="C1916" s="4" t="s">
        <v>892</v>
      </c>
      <c r="D1916" s="4">
        <v>2</v>
      </c>
      <c r="E1916" s="6">
        <v>9000</v>
      </c>
      <c r="F1916" t="str">
        <f>VLOOKUP(C1916,menu!A:B,2,FALSE)</f>
        <v>Tempe Mendoan (5pcs)</v>
      </c>
      <c r="G1916">
        <f t="shared" si="58"/>
        <v>18000</v>
      </c>
      <c r="H1916">
        <f>VLOOKUP(C1916,menu!A:E,4,FALSE)</f>
        <v>3000</v>
      </c>
      <c r="I1916">
        <f t="shared" si="59"/>
        <v>12000</v>
      </c>
    </row>
    <row r="1917" spans="1:9" x14ac:dyDescent="0.35">
      <c r="A1917" s="4" t="s">
        <v>2828</v>
      </c>
      <c r="B1917" s="4" t="s">
        <v>450</v>
      </c>
      <c r="C1917" s="4" t="s">
        <v>1003</v>
      </c>
      <c r="D1917" s="4">
        <v>1</v>
      </c>
      <c r="E1917" s="6">
        <v>29000</v>
      </c>
      <c r="F1917" t="str">
        <f>VLOOKUP(C1917,menu!A:B,2,FALSE)</f>
        <v>Capcay Seafood</v>
      </c>
      <c r="G1917">
        <f t="shared" si="58"/>
        <v>29000</v>
      </c>
      <c r="H1917">
        <f>VLOOKUP(C1917,menu!A:E,4,FALSE)</f>
        <v>13000</v>
      </c>
      <c r="I1917">
        <f t="shared" si="59"/>
        <v>16000</v>
      </c>
    </row>
    <row r="1918" spans="1:9" x14ac:dyDescent="0.35">
      <c r="A1918" s="4" t="s">
        <v>2829</v>
      </c>
      <c r="B1918" s="4" t="s">
        <v>450</v>
      </c>
      <c r="C1918" s="4" t="s">
        <v>916</v>
      </c>
      <c r="D1918" s="4">
        <v>1</v>
      </c>
      <c r="E1918" s="6">
        <v>9000</v>
      </c>
      <c r="F1918" t="str">
        <f>VLOOKUP(C1918,menu!A:B,2,FALSE)</f>
        <v>Kopi Hitam Tubruk</v>
      </c>
      <c r="G1918">
        <f t="shared" si="58"/>
        <v>9000</v>
      </c>
      <c r="H1918">
        <f>VLOOKUP(C1918,menu!A:E,4,FALSE)</f>
        <v>2000</v>
      </c>
      <c r="I1918">
        <f t="shared" si="59"/>
        <v>7000</v>
      </c>
    </row>
    <row r="1919" spans="1:9" x14ac:dyDescent="0.35">
      <c r="A1919" s="4" t="s">
        <v>2830</v>
      </c>
      <c r="B1919" s="4" t="s">
        <v>275</v>
      </c>
      <c r="C1919" s="4" t="s">
        <v>944</v>
      </c>
      <c r="D1919" s="4">
        <v>1</v>
      </c>
      <c r="E1919" s="6">
        <v>32000</v>
      </c>
      <c r="F1919" t="str">
        <f>VLOOKUP(C1919,menu!A:B,2,FALSE)</f>
        <v>Nasi Padang Rendang</v>
      </c>
      <c r="G1919">
        <f t="shared" si="58"/>
        <v>32000</v>
      </c>
      <c r="H1919">
        <f>VLOOKUP(C1919,menu!A:E,4,FALSE)</f>
        <v>14000</v>
      </c>
      <c r="I1919">
        <f t="shared" si="59"/>
        <v>18000</v>
      </c>
    </row>
    <row r="1920" spans="1:9" x14ac:dyDescent="0.35">
      <c r="A1920" s="4" t="s">
        <v>2831</v>
      </c>
      <c r="B1920" s="4" t="s">
        <v>275</v>
      </c>
      <c r="C1920" s="4" t="s">
        <v>906</v>
      </c>
      <c r="D1920" s="4">
        <v>1</v>
      </c>
      <c r="E1920" s="6">
        <v>28000</v>
      </c>
      <c r="F1920" t="str">
        <f>VLOOKUP(C1920,menu!A:B,2,FALSE)</f>
        <v>Sate Ayam 10 Tusuk</v>
      </c>
      <c r="G1920">
        <f t="shared" si="58"/>
        <v>28000</v>
      </c>
      <c r="H1920">
        <f>VLOOKUP(C1920,menu!A:E,4,FALSE)</f>
        <v>12000</v>
      </c>
      <c r="I1920">
        <f t="shared" si="59"/>
        <v>16000</v>
      </c>
    </row>
    <row r="1921" spans="1:9" x14ac:dyDescent="0.35">
      <c r="A1921" s="4" t="s">
        <v>2832</v>
      </c>
      <c r="B1921" s="4" t="s">
        <v>275</v>
      </c>
      <c r="C1921" s="4" t="s">
        <v>890</v>
      </c>
      <c r="D1921" s="4">
        <v>2</v>
      </c>
      <c r="E1921" s="6">
        <v>18000</v>
      </c>
      <c r="F1921" t="str">
        <f>VLOOKUP(C1921,menu!A:B,2,FALSE)</f>
        <v>Es Kopi Susu Gula Aren</v>
      </c>
      <c r="G1921">
        <f t="shared" si="58"/>
        <v>36000</v>
      </c>
      <c r="H1921">
        <f>VLOOKUP(C1921,menu!A:E,4,FALSE)</f>
        <v>4500</v>
      </c>
      <c r="I1921">
        <f t="shared" si="59"/>
        <v>27000</v>
      </c>
    </row>
    <row r="1922" spans="1:9" x14ac:dyDescent="0.35">
      <c r="A1922" s="4" t="s">
        <v>2833</v>
      </c>
      <c r="B1922" s="4" t="s">
        <v>275</v>
      </c>
      <c r="C1922" s="4" t="s">
        <v>898</v>
      </c>
      <c r="D1922" s="4">
        <v>1</v>
      </c>
      <c r="E1922" s="6">
        <v>27000</v>
      </c>
      <c r="F1922" t="str">
        <f>VLOOKUP(C1922,menu!A:B,2,FALSE)</f>
        <v>Ayam Geprek Sambal Bawang</v>
      </c>
      <c r="G1922">
        <f t="shared" si="58"/>
        <v>27000</v>
      </c>
      <c r="H1922">
        <f>VLOOKUP(C1922,menu!A:E,4,FALSE)</f>
        <v>11000</v>
      </c>
      <c r="I1922">
        <f t="shared" si="59"/>
        <v>16000</v>
      </c>
    </row>
    <row r="1923" spans="1:9" x14ac:dyDescent="0.35">
      <c r="A1923" s="4" t="s">
        <v>2834</v>
      </c>
      <c r="B1923" s="4" t="s">
        <v>327</v>
      </c>
      <c r="C1923" s="4" t="s">
        <v>928</v>
      </c>
      <c r="D1923" s="4">
        <v>1</v>
      </c>
      <c r="E1923" s="6">
        <v>23000</v>
      </c>
      <c r="F1923" t="str">
        <f>VLOOKUP(C1923,menu!A:B,2,FALSE)</f>
        <v>Mie Goreng Jawa</v>
      </c>
      <c r="G1923">
        <f t="shared" ref="G1923:G1986" si="60">D1923*E1923</f>
        <v>23000</v>
      </c>
      <c r="H1923">
        <f>VLOOKUP(C1923,menu!A:E,4,FALSE)</f>
        <v>8500</v>
      </c>
      <c r="I1923">
        <f t="shared" ref="I1923:I1986" si="61">(E1923-H1923)*D1923</f>
        <v>14500</v>
      </c>
    </row>
    <row r="1924" spans="1:9" x14ac:dyDescent="0.35">
      <c r="A1924" s="4" t="s">
        <v>2835</v>
      </c>
      <c r="B1924" s="4" t="s">
        <v>327</v>
      </c>
      <c r="C1924" s="4" t="s">
        <v>916</v>
      </c>
      <c r="D1924" s="4">
        <v>1</v>
      </c>
      <c r="E1924" s="6">
        <v>9000</v>
      </c>
      <c r="F1924" t="str">
        <f>VLOOKUP(C1924,menu!A:B,2,FALSE)</f>
        <v>Kopi Hitam Tubruk</v>
      </c>
      <c r="G1924">
        <f t="shared" si="60"/>
        <v>9000</v>
      </c>
      <c r="H1924">
        <f>VLOOKUP(C1924,menu!A:E,4,FALSE)</f>
        <v>2000</v>
      </c>
      <c r="I1924">
        <f t="shared" si="61"/>
        <v>7000</v>
      </c>
    </row>
    <row r="1925" spans="1:9" x14ac:dyDescent="0.35">
      <c r="A1925" s="4" t="s">
        <v>2836</v>
      </c>
      <c r="B1925" s="4" t="s">
        <v>327</v>
      </c>
      <c r="C1925" s="4" t="s">
        <v>919</v>
      </c>
      <c r="D1925" s="4">
        <v>1</v>
      </c>
      <c r="E1925" s="6">
        <v>20000</v>
      </c>
      <c r="F1925" t="str">
        <f>VLOOKUP(C1925,menu!A:B,2,FALSE)</f>
        <v>Gado-Gado Jakarta</v>
      </c>
      <c r="G1925">
        <f t="shared" si="60"/>
        <v>20000</v>
      </c>
      <c r="H1925">
        <f>VLOOKUP(C1925,menu!A:E,4,FALSE)</f>
        <v>8000</v>
      </c>
      <c r="I1925">
        <f t="shared" si="61"/>
        <v>12000</v>
      </c>
    </row>
    <row r="1926" spans="1:9" x14ac:dyDescent="0.35">
      <c r="A1926" s="4" t="s">
        <v>2837</v>
      </c>
      <c r="B1926" s="4" t="s">
        <v>823</v>
      </c>
      <c r="C1926" s="4" t="s">
        <v>898</v>
      </c>
      <c r="D1926" s="4">
        <v>1</v>
      </c>
      <c r="E1926" s="6">
        <v>27000</v>
      </c>
      <c r="F1926" t="str">
        <f>VLOOKUP(C1926,menu!A:B,2,FALSE)</f>
        <v>Ayam Geprek Sambal Bawang</v>
      </c>
      <c r="G1926">
        <f t="shared" si="60"/>
        <v>27000</v>
      </c>
      <c r="H1926">
        <f>VLOOKUP(C1926,menu!A:E,4,FALSE)</f>
        <v>11000</v>
      </c>
      <c r="I1926">
        <f t="shared" si="61"/>
        <v>16000</v>
      </c>
    </row>
    <row r="1927" spans="1:9" x14ac:dyDescent="0.35">
      <c r="A1927" s="4" t="s">
        <v>2838</v>
      </c>
      <c r="B1927" s="4" t="s">
        <v>823</v>
      </c>
      <c r="C1927" s="4" t="s">
        <v>1003</v>
      </c>
      <c r="D1927" s="4">
        <v>1</v>
      </c>
      <c r="E1927" s="6">
        <v>29000</v>
      </c>
      <c r="F1927" t="str">
        <f>VLOOKUP(C1927,menu!A:B,2,FALSE)</f>
        <v>Capcay Seafood</v>
      </c>
      <c r="G1927">
        <f t="shared" si="60"/>
        <v>29000</v>
      </c>
      <c r="H1927">
        <f>VLOOKUP(C1927,menu!A:E,4,FALSE)</f>
        <v>13000</v>
      </c>
      <c r="I1927">
        <f t="shared" si="61"/>
        <v>16000</v>
      </c>
    </row>
    <row r="1928" spans="1:9" x14ac:dyDescent="0.35">
      <c r="A1928" s="4" t="s">
        <v>2839</v>
      </c>
      <c r="B1928" s="4" t="s">
        <v>238</v>
      </c>
      <c r="C1928" s="4" t="s">
        <v>908</v>
      </c>
      <c r="D1928" s="4">
        <v>1</v>
      </c>
      <c r="E1928" s="6">
        <v>16000</v>
      </c>
      <c r="F1928" t="str">
        <f>VLOOKUP(C1928,menu!A:B,2,FALSE)</f>
        <v>Jus Alpukat</v>
      </c>
      <c r="G1928">
        <f t="shared" si="60"/>
        <v>16000</v>
      </c>
      <c r="H1928">
        <f>VLOOKUP(C1928,menu!A:E,4,FALSE)</f>
        <v>5500</v>
      </c>
      <c r="I1928">
        <f t="shared" si="61"/>
        <v>10500</v>
      </c>
    </row>
    <row r="1929" spans="1:9" x14ac:dyDescent="0.35">
      <c r="A1929" s="4" t="s">
        <v>2840</v>
      </c>
      <c r="B1929" s="4" t="s">
        <v>238</v>
      </c>
      <c r="C1929" s="4" t="s">
        <v>898</v>
      </c>
      <c r="D1929" s="4">
        <v>1</v>
      </c>
      <c r="E1929" s="6">
        <v>27000</v>
      </c>
      <c r="F1929" t="str">
        <f>VLOOKUP(C1929,menu!A:B,2,FALSE)</f>
        <v>Ayam Geprek Sambal Bawang</v>
      </c>
      <c r="G1929">
        <f t="shared" si="60"/>
        <v>27000</v>
      </c>
      <c r="H1929">
        <f>VLOOKUP(C1929,menu!A:E,4,FALSE)</f>
        <v>11000</v>
      </c>
      <c r="I1929">
        <f t="shared" si="61"/>
        <v>16000</v>
      </c>
    </row>
    <row r="1930" spans="1:9" x14ac:dyDescent="0.35">
      <c r="A1930" s="4" t="s">
        <v>2841</v>
      </c>
      <c r="B1930" s="4" t="s">
        <v>151</v>
      </c>
      <c r="C1930" s="4" t="s">
        <v>898</v>
      </c>
      <c r="D1930" s="4">
        <v>1</v>
      </c>
      <c r="E1930" s="6">
        <v>27000</v>
      </c>
      <c r="F1930" t="str">
        <f>VLOOKUP(C1930,menu!A:B,2,FALSE)</f>
        <v>Ayam Geprek Sambal Bawang</v>
      </c>
      <c r="G1930">
        <f t="shared" si="60"/>
        <v>27000</v>
      </c>
      <c r="H1930">
        <f>VLOOKUP(C1930,menu!A:E,4,FALSE)</f>
        <v>11000</v>
      </c>
      <c r="I1930">
        <f t="shared" si="61"/>
        <v>16000</v>
      </c>
    </row>
    <row r="1931" spans="1:9" x14ac:dyDescent="0.35">
      <c r="A1931" s="4" t="s">
        <v>2842</v>
      </c>
      <c r="B1931" s="4" t="s">
        <v>151</v>
      </c>
      <c r="C1931" s="4" t="s">
        <v>896</v>
      </c>
      <c r="D1931" s="4">
        <v>3</v>
      </c>
      <c r="E1931" s="6">
        <v>23000</v>
      </c>
      <c r="F1931" t="str">
        <f>VLOOKUP(C1931,menu!A:B,2,FALSE)</f>
        <v>Nasi Uduk Komplit</v>
      </c>
      <c r="G1931">
        <f t="shared" si="60"/>
        <v>69000</v>
      </c>
      <c r="H1931">
        <f>VLOOKUP(C1931,menu!A:E,4,FALSE)</f>
        <v>9000</v>
      </c>
      <c r="I1931">
        <f t="shared" si="61"/>
        <v>42000</v>
      </c>
    </row>
    <row r="1932" spans="1:9" x14ac:dyDescent="0.35">
      <c r="A1932" s="4" t="s">
        <v>2843</v>
      </c>
      <c r="B1932" s="4" t="s">
        <v>151</v>
      </c>
      <c r="C1932" s="4" t="s">
        <v>1003</v>
      </c>
      <c r="D1932" s="4">
        <v>1</v>
      </c>
      <c r="E1932" s="6">
        <v>29000</v>
      </c>
      <c r="F1932" t="str">
        <f>VLOOKUP(C1932,menu!A:B,2,FALSE)</f>
        <v>Capcay Seafood</v>
      </c>
      <c r="G1932">
        <f t="shared" si="60"/>
        <v>29000</v>
      </c>
      <c r="H1932">
        <f>VLOOKUP(C1932,menu!A:E,4,FALSE)</f>
        <v>13000</v>
      </c>
      <c r="I1932">
        <f t="shared" si="61"/>
        <v>16000</v>
      </c>
    </row>
    <row r="1933" spans="1:9" x14ac:dyDescent="0.35">
      <c r="A1933" s="4" t="s">
        <v>2844</v>
      </c>
      <c r="B1933" s="4" t="s">
        <v>203</v>
      </c>
      <c r="C1933" s="4" t="s">
        <v>937</v>
      </c>
      <c r="D1933" s="4">
        <v>2</v>
      </c>
      <c r="E1933" s="6">
        <v>26000</v>
      </c>
      <c r="F1933" t="str">
        <f>VLOOKUP(C1933,menu!A:B,2,FALSE)</f>
        <v>Nasi Campur Bali</v>
      </c>
      <c r="G1933">
        <f t="shared" si="60"/>
        <v>52000</v>
      </c>
      <c r="H1933">
        <f>VLOOKUP(C1933,menu!A:E,4,FALSE)</f>
        <v>11500</v>
      </c>
      <c r="I1933">
        <f t="shared" si="61"/>
        <v>29000</v>
      </c>
    </row>
    <row r="1934" spans="1:9" x14ac:dyDescent="0.35">
      <c r="A1934" s="4" t="s">
        <v>2845</v>
      </c>
      <c r="B1934" s="4" t="s">
        <v>331</v>
      </c>
      <c r="C1934" s="4" t="s">
        <v>937</v>
      </c>
      <c r="D1934" s="4">
        <v>1</v>
      </c>
      <c r="E1934" s="6">
        <v>26000</v>
      </c>
      <c r="F1934" t="str">
        <f>VLOOKUP(C1934,menu!A:B,2,FALSE)</f>
        <v>Nasi Campur Bali</v>
      </c>
      <c r="G1934">
        <f t="shared" si="60"/>
        <v>26000</v>
      </c>
      <c r="H1934">
        <f>VLOOKUP(C1934,menu!A:E,4,FALSE)</f>
        <v>11500</v>
      </c>
      <c r="I1934">
        <f t="shared" si="61"/>
        <v>14500</v>
      </c>
    </row>
    <row r="1935" spans="1:9" x14ac:dyDescent="0.35">
      <c r="A1935" s="4" t="s">
        <v>2846</v>
      </c>
      <c r="B1935" s="4" t="s">
        <v>489</v>
      </c>
      <c r="C1935" s="4" t="s">
        <v>916</v>
      </c>
      <c r="D1935" s="4">
        <v>3</v>
      </c>
      <c r="E1935" s="6">
        <v>9000</v>
      </c>
      <c r="F1935" t="str">
        <f>VLOOKUP(C1935,menu!A:B,2,FALSE)</f>
        <v>Kopi Hitam Tubruk</v>
      </c>
      <c r="G1935">
        <f t="shared" si="60"/>
        <v>27000</v>
      </c>
      <c r="H1935">
        <f>VLOOKUP(C1935,menu!A:E,4,FALSE)</f>
        <v>2000</v>
      </c>
      <c r="I1935">
        <f t="shared" si="61"/>
        <v>21000</v>
      </c>
    </row>
    <row r="1936" spans="1:9" x14ac:dyDescent="0.35">
      <c r="A1936" s="4" t="s">
        <v>2847</v>
      </c>
      <c r="B1936" s="4" t="s">
        <v>302</v>
      </c>
      <c r="C1936" s="4" t="s">
        <v>942</v>
      </c>
      <c r="D1936" s="4">
        <v>1</v>
      </c>
      <c r="E1936" s="6">
        <v>13000</v>
      </c>
      <c r="F1936" t="str">
        <f>VLOOKUP(C1936,menu!A:B,2,FALSE)</f>
        <v>Pisang Goreng Keju (4pcs)</v>
      </c>
      <c r="G1936">
        <f t="shared" si="60"/>
        <v>13000</v>
      </c>
      <c r="H1936">
        <f>VLOOKUP(C1936,menu!A:E,4,FALSE)</f>
        <v>4000</v>
      </c>
      <c r="I1936">
        <f t="shared" si="61"/>
        <v>9000</v>
      </c>
    </row>
    <row r="1937" spans="1:9" x14ac:dyDescent="0.35">
      <c r="A1937" s="4" t="s">
        <v>2848</v>
      </c>
      <c r="B1937" s="4" t="s">
        <v>648</v>
      </c>
      <c r="C1937" s="4" t="s">
        <v>928</v>
      </c>
      <c r="D1937" s="4">
        <v>1</v>
      </c>
      <c r="E1937" s="6">
        <v>23000</v>
      </c>
      <c r="F1937" t="str">
        <f>VLOOKUP(C1937,menu!A:B,2,FALSE)</f>
        <v>Mie Goreng Jawa</v>
      </c>
      <c r="G1937">
        <f t="shared" si="60"/>
        <v>23000</v>
      </c>
      <c r="H1937">
        <f>VLOOKUP(C1937,menu!A:E,4,FALSE)</f>
        <v>8500</v>
      </c>
      <c r="I1937">
        <f t="shared" si="61"/>
        <v>14500</v>
      </c>
    </row>
    <row r="1938" spans="1:9" x14ac:dyDescent="0.35">
      <c r="A1938" s="4" t="s">
        <v>2849</v>
      </c>
      <c r="B1938" s="4" t="s">
        <v>648</v>
      </c>
      <c r="C1938" s="4" t="s">
        <v>935</v>
      </c>
      <c r="D1938" s="4">
        <v>2</v>
      </c>
      <c r="E1938" s="6">
        <v>22000</v>
      </c>
      <c r="F1938" t="str">
        <f>VLOOKUP(C1938,menu!A:B,2,FALSE)</f>
        <v>Soto Ayam Lamongan</v>
      </c>
      <c r="G1938">
        <f t="shared" si="60"/>
        <v>44000</v>
      </c>
      <c r="H1938">
        <f>VLOOKUP(C1938,menu!A:E,4,FALSE)</f>
        <v>9500</v>
      </c>
      <c r="I1938">
        <f t="shared" si="61"/>
        <v>25000</v>
      </c>
    </row>
    <row r="1939" spans="1:9" x14ac:dyDescent="0.35">
      <c r="A1939" s="4" t="s">
        <v>2850</v>
      </c>
      <c r="B1939" s="4" t="s">
        <v>648</v>
      </c>
      <c r="C1939" s="4" t="s">
        <v>894</v>
      </c>
      <c r="D1939" s="4">
        <v>1</v>
      </c>
      <c r="E1939" s="6">
        <v>5000</v>
      </c>
      <c r="F1939" t="str">
        <f>VLOOKUP(C1939,menu!A:B,2,FALSE)</f>
        <v>Air Mineral Botol</v>
      </c>
      <c r="G1939">
        <f t="shared" si="60"/>
        <v>5000</v>
      </c>
      <c r="H1939">
        <f>VLOOKUP(C1939,menu!A:E,4,FALSE)</f>
        <v>2000</v>
      </c>
      <c r="I1939">
        <f t="shared" si="61"/>
        <v>3000</v>
      </c>
    </row>
    <row r="1940" spans="1:9" x14ac:dyDescent="0.35">
      <c r="A1940" s="4" t="s">
        <v>2851</v>
      </c>
      <c r="B1940" s="4" t="s">
        <v>648</v>
      </c>
      <c r="C1940" s="4" t="s">
        <v>908</v>
      </c>
      <c r="D1940" s="4">
        <v>3</v>
      </c>
      <c r="E1940" s="6">
        <v>16000</v>
      </c>
      <c r="F1940" t="str">
        <f>VLOOKUP(C1940,menu!A:B,2,FALSE)</f>
        <v>Jus Alpukat</v>
      </c>
      <c r="G1940">
        <f t="shared" si="60"/>
        <v>48000</v>
      </c>
      <c r="H1940">
        <f>VLOOKUP(C1940,menu!A:E,4,FALSE)</f>
        <v>5500</v>
      </c>
      <c r="I1940">
        <f t="shared" si="61"/>
        <v>31500</v>
      </c>
    </row>
    <row r="1941" spans="1:9" x14ac:dyDescent="0.35">
      <c r="A1941" s="4" t="s">
        <v>2852</v>
      </c>
      <c r="B1941" s="4" t="s">
        <v>748</v>
      </c>
      <c r="C1941" s="4" t="s">
        <v>898</v>
      </c>
      <c r="D1941" s="4">
        <v>1</v>
      </c>
      <c r="E1941" s="6">
        <v>27000</v>
      </c>
      <c r="F1941" t="str">
        <f>VLOOKUP(C1941,menu!A:B,2,FALSE)</f>
        <v>Ayam Geprek Sambal Bawang</v>
      </c>
      <c r="G1941">
        <f t="shared" si="60"/>
        <v>27000</v>
      </c>
      <c r="H1941">
        <f>VLOOKUP(C1941,menu!A:E,4,FALSE)</f>
        <v>11000</v>
      </c>
      <c r="I1941">
        <f t="shared" si="61"/>
        <v>16000</v>
      </c>
    </row>
    <row r="1942" spans="1:9" x14ac:dyDescent="0.35">
      <c r="A1942" s="4" t="s">
        <v>2853</v>
      </c>
      <c r="B1942" s="4" t="s">
        <v>748</v>
      </c>
      <c r="C1942" s="4" t="s">
        <v>916</v>
      </c>
      <c r="D1942" s="4">
        <v>1</v>
      </c>
      <c r="E1942" s="6">
        <v>9000</v>
      </c>
      <c r="F1942" t="str">
        <f>VLOOKUP(C1942,menu!A:B,2,FALSE)</f>
        <v>Kopi Hitam Tubruk</v>
      </c>
      <c r="G1942">
        <f t="shared" si="60"/>
        <v>9000</v>
      </c>
      <c r="H1942">
        <f>VLOOKUP(C1942,menu!A:E,4,FALSE)</f>
        <v>2000</v>
      </c>
      <c r="I1942">
        <f t="shared" si="61"/>
        <v>7000</v>
      </c>
    </row>
    <row r="1943" spans="1:9" x14ac:dyDescent="0.35">
      <c r="A1943" s="4" t="s">
        <v>2854</v>
      </c>
      <c r="B1943" s="4" t="s">
        <v>476</v>
      </c>
      <c r="C1943" s="4" t="s">
        <v>898</v>
      </c>
      <c r="D1943" s="4">
        <v>1</v>
      </c>
      <c r="E1943" s="6">
        <v>27000</v>
      </c>
      <c r="F1943" t="str">
        <f>VLOOKUP(C1943,menu!A:B,2,FALSE)</f>
        <v>Ayam Geprek Sambal Bawang</v>
      </c>
      <c r="G1943">
        <f t="shared" si="60"/>
        <v>27000</v>
      </c>
      <c r="H1943">
        <f>VLOOKUP(C1943,menu!A:E,4,FALSE)</f>
        <v>11000</v>
      </c>
      <c r="I1943">
        <f t="shared" si="61"/>
        <v>16000</v>
      </c>
    </row>
    <row r="1944" spans="1:9" x14ac:dyDescent="0.35">
      <c r="A1944" s="4" t="s">
        <v>2855</v>
      </c>
      <c r="B1944" s="4" t="s">
        <v>476</v>
      </c>
      <c r="C1944" s="4" t="s">
        <v>935</v>
      </c>
      <c r="D1944" s="4">
        <v>1</v>
      </c>
      <c r="E1944" s="6">
        <v>22000</v>
      </c>
      <c r="F1944" t="str">
        <f>VLOOKUP(C1944,menu!A:B,2,FALSE)</f>
        <v>Soto Ayam Lamongan</v>
      </c>
      <c r="G1944">
        <f t="shared" si="60"/>
        <v>22000</v>
      </c>
      <c r="H1944">
        <f>VLOOKUP(C1944,menu!A:E,4,FALSE)</f>
        <v>9500</v>
      </c>
      <c r="I1944">
        <f t="shared" si="61"/>
        <v>12500</v>
      </c>
    </row>
    <row r="1945" spans="1:9" x14ac:dyDescent="0.35">
      <c r="A1945" s="4" t="s">
        <v>2856</v>
      </c>
      <c r="B1945" s="4" t="s">
        <v>476</v>
      </c>
      <c r="C1945" s="4" t="s">
        <v>1003</v>
      </c>
      <c r="D1945" s="4">
        <v>1</v>
      </c>
      <c r="E1945" s="6">
        <v>29000</v>
      </c>
      <c r="F1945" t="str">
        <f>VLOOKUP(C1945,menu!A:B,2,FALSE)</f>
        <v>Capcay Seafood</v>
      </c>
      <c r="G1945">
        <f t="shared" si="60"/>
        <v>29000</v>
      </c>
      <c r="H1945">
        <f>VLOOKUP(C1945,menu!A:E,4,FALSE)</f>
        <v>13000</v>
      </c>
      <c r="I1945">
        <f t="shared" si="61"/>
        <v>16000</v>
      </c>
    </row>
    <row r="1946" spans="1:9" x14ac:dyDescent="0.35">
      <c r="A1946" s="4" t="s">
        <v>2857</v>
      </c>
      <c r="B1946" s="4" t="s">
        <v>758</v>
      </c>
      <c r="C1946" s="4" t="s">
        <v>902</v>
      </c>
      <c r="D1946" s="4">
        <v>1</v>
      </c>
      <c r="E1946" s="6">
        <v>12000</v>
      </c>
      <c r="F1946" t="str">
        <f>VLOOKUP(C1946,menu!A:B,2,FALSE)</f>
        <v>Teh Tarik</v>
      </c>
      <c r="G1946">
        <f t="shared" si="60"/>
        <v>12000</v>
      </c>
      <c r="H1946">
        <f>VLOOKUP(C1946,menu!A:E,4,FALSE)</f>
        <v>3000</v>
      </c>
      <c r="I1946">
        <f t="shared" si="61"/>
        <v>9000</v>
      </c>
    </row>
    <row r="1947" spans="1:9" x14ac:dyDescent="0.35">
      <c r="A1947" s="4" t="s">
        <v>2858</v>
      </c>
      <c r="B1947" s="4" t="s">
        <v>758</v>
      </c>
      <c r="C1947" s="4" t="s">
        <v>908</v>
      </c>
      <c r="D1947" s="4">
        <v>1</v>
      </c>
      <c r="E1947" s="6">
        <v>16000</v>
      </c>
      <c r="F1947" t="str">
        <f>VLOOKUP(C1947,menu!A:B,2,FALSE)</f>
        <v>Jus Alpukat</v>
      </c>
      <c r="G1947">
        <f t="shared" si="60"/>
        <v>16000</v>
      </c>
      <c r="H1947">
        <f>VLOOKUP(C1947,menu!A:E,4,FALSE)</f>
        <v>5500</v>
      </c>
      <c r="I1947">
        <f t="shared" si="61"/>
        <v>10500</v>
      </c>
    </row>
    <row r="1948" spans="1:9" x14ac:dyDescent="0.35">
      <c r="A1948" s="4" t="s">
        <v>2859</v>
      </c>
      <c r="B1948" s="4" t="s">
        <v>147</v>
      </c>
      <c r="C1948" s="4" t="s">
        <v>937</v>
      </c>
      <c r="D1948" s="4">
        <v>2</v>
      </c>
      <c r="E1948" s="6">
        <v>26000</v>
      </c>
      <c r="F1948" t="str">
        <f>VLOOKUP(C1948,menu!A:B,2,FALSE)</f>
        <v>Nasi Campur Bali</v>
      </c>
      <c r="G1948">
        <f t="shared" si="60"/>
        <v>52000</v>
      </c>
      <c r="H1948">
        <f>VLOOKUP(C1948,menu!A:E,4,FALSE)</f>
        <v>11500</v>
      </c>
      <c r="I1948">
        <f t="shared" si="61"/>
        <v>29000</v>
      </c>
    </row>
    <row r="1949" spans="1:9" x14ac:dyDescent="0.35">
      <c r="A1949" s="4" t="s">
        <v>2860</v>
      </c>
      <c r="B1949" s="4" t="s">
        <v>147</v>
      </c>
      <c r="C1949" s="4" t="s">
        <v>955</v>
      </c>
      <c r="D1949" s="4">
        <v>3</v>
      </c>
      <c r="E1949" s="6">
        <v>15000</v>
      </c>
      <c r="F1949" t="str">
        <f>VLOOKUP(C1949,menu!A:B,2,FALSE)</f>
        <v>Es Campur</v>
      </c>
      <c r="G1949">
        <f t="shared" si="60"/>
        <v>45000</v>
      </c>
      <c r="H1949">
        <f>VLOOKUP(C1949,menu!A:E,4,FALSE)</f>
        <v>6000</v>
      </c>
      <c r="I1949">
        <f t="shared" si="61"/>
        <v>27000</v>
      </c>
    </row>
    <row r="1950" spans="1:9" x14ac:dyDescent="0.35">
      <c r="A1950" s="4" t="s">
        <v>2861</v>
      </c>
      <c r="B1950" s="4" t="s">
        <v>495</v>
      </c>
      <c r="C1950" s="4" t="s">
        <v>894</v>
      </c>
      <c r="D1950" s="4">
        <v>1</v>
      </c>
      <c r="E1950" s="6">
        <v>5000</v>
      </c>
      <c r="F1950" t="str">
        <f>VLOOKUP(C1950,menu!A:B,2,FALSE)</f>
        <v>Air Mineral Botol</v>
      </c>
      <c r="G1950">
        <f t="shared" si="60"/>
        <v>5000</v>
      </c>
      <c r="H1950">
        <f>VLOOKUP(C1950,menu!A:E,4,FALSE)</f>
        <v>2000</v>
      </c>
      <c r="I1950">
        <f t="shared" si="61"/>
        <v>3000</v>
      </c>
    </row>
    <row r="1951" spans="1:9" x14ac:dyDescent="0.35">
      <c r="A1951" s="4" t="s">
        <v>2862</v>
      </c>
      <c r="B1951" s="4" t="s">
        <v>495</v>
      </c>
      <c r="C1951" s="4" t="s">
        <v>890</v>
      </c>
      <c r="D1951" s="4">
        <v>1</v>
      </c>
      <c r="E1951" s="6">
        <v>18000</v>
      </c>
      <c r="F1951" t="str">
        <f>VLOOKUP(C1951,menu!A:B,2,FALSE)</f>
        <v>Es Kopi Susu Gula Aren</v>
      </c>
      <c r="G1951">
        <f t="shared" si="60"/>
        <v>18000</v>
      </c>
      <c r="H1951">
        <f>VLOOKUP(C1951,menu!A:E,4,FALSE)</f>
        <v>4500</v>
      </c>
      <c r="I1951">
        <f t="shared" si="61"/>
        <v>13500</v>
      </c>
    </row>
    <row r="1952" spans="1:9" x14ac:dyDescent="0.35">
      <c r="A1952" s="4" t="s">
        <v>2863</v>
      </c>
      <c r="B1952" s="4" t="s">
        <v>495</v>
      </c>
      <c r="C1952" s="4" t="s">
        <v>919</v>
      </c>
      <c r="D1952" s="4">
        <v>3</v>
      </c>
      <c r="E1952" s="6">
        <v>20000</v>
      </c>
      <c r="F1952" t="str">
        <f>VLOOKUP(C1952,menu!A:B,2,FALSE)</f>
        <v>Gado-Gado Jakarta</v>
      </c>
      <c r="G1952">
        <f t="shared" si="60"/>
        <v>60000</v>
      </c>
      <c r="H1952">
        <f>VLOOKUP(C1952,menu!A:E,4,FALSE)</f>
        <v>8000</v>
      </c>
      <c r="I1952">
        <f t="shared" si="61"/>
        <v>36000</v>
      </c>
    </row>
    <row r="1953" spans="1:9" x14ac:dyDescent="0.35">
      <c r="A1953" s="4" t="s">
        <v>2864</v>
      </c>
      <c r="B1953" s="4" t="s">
        <v>495</v>
      </c>
      <c r="C1953" s="4" t="s">
        <v>898</v>
      </c>
      <c r="D1953" s="4">
        <v>1</v>
      </c>
      <c r="E1953" s="6">
        <v>27000</v>
      </c>
      <c r="F1953" t="str">
        <f>VLOOKUP(C1953,menu!A:B,2,FALSE)</f>
        <v>Ayam Geprek Sambal Bawang</v>
      </c>
      <c r="G1953">
        <f t="shared" si="60"/>
        <v>27000</v>
      </c>
      <c r="H1953">
        <f>VLOOKUP(C1953,menu!A:E,4,FALSE)</f>
        <v>11000</v>
      </c>
      <c r="I1953">
        <f t="shared" si="61"/>
        <v>16000</v>
      </c>
    </row>
    <row r="1954" spans="1:9" x14ac:dyDescent="0.35">
      <c r="A1954" s="4" t="s">
        <v>2865</v>
      </c>
      <c r="B1954" s="4" t="s">
        <v>495</v>
      </c>
      <c r="C1954" s="4" t="s">
        <v>892</v>
      </c>
      <c r="D1954" s="4">
        <v>1</v>
      </c>
      <c r="E1954" s="6">
        <v>9000</v>
      </c>
      <c r="F1954" t="str">
        <f>VLOOKUP(C1954,menu!A:B,2,FALSE)</f>
        <v>Tempe Mendoan (5pcs)</v>
      </c>
      <c r="G1954">
        <f t="shared" si="60"/>
        <v>9000</v>
      </c>
      <c r="H1954">
        <f>VLOOKUP(C1954,menu!A:E,4,FALSE)</f>
        <v>3000</v>
      </c>
      <c r="I1954">
        <f t="shared" si="61"/>
        <v>6000</v>
      </c>
    </row>
    <row r="1955" spans="1:9" x14ac:dyDescent="0.35">
      <c r="A1955" s="4" t="s">
        <v>2866</v>
      </c>
      <c r="B1955" s="4" t="s">
        <v>715</v>
      </c>
      <c r="C1955" s="4" t="s">
        <v>931</v>
      </c>
      <c r="D1955" s="4">
        <v>1</v>
      </c>
      <c r="E1955" s="6">
        <v>5000</v>
      </c>
      <c r="F1955" t="str">
        <f>VLOOKUP(C1955,menu!A:B,2,FALSE)</f>
        <v>Kerupuk Udang</v>
      </c>
      <c r="G1955">
        <f t="shared" si="60"/>
        <v>5000</v>
      </c>
      <c r="H1955">
        <f>VLOOKUP(C1955,menu!A:E,4,FALSE)</f>
        <v>1500</v>
      </c>
      <c r="I1955">
        <f t="shared" si="61"/>
        <v>3500</v>
      </c>
    </row>
    <row r="1956" spans="1:9" x14ac:dyDescent="0.35">
      <c r="A1956" s="4" t="s">
        <v>2867</v>
      </c>
      <c r="B1956" s="4" t="s">
        <v>500</v>
      </c>
      <c r="C1956" s="4" t="s">
        <v>898</v>
      </c>
      <c r="D1956" s="4">
        <v>1</v>
      </c>
      <c r="E1956" s="6">
        <v>27000</v>
      </c>
      <c r="F1956" t="str">
        <f>VLOOKUP(C1956,menu!A:B,2,FALSE)</f>
        <v>Ayam Geprek Sambal Bawang</v>
      </c>
      <c r="G1956">
        <f t="shared" si="60"/>
        <v>27000</v>
      </c>
      <c r="H1956">
        <f>VLOOKUP(C1956,menu!A:E,4,FALSE)</f>
        <v>11000</v>
      </c>
      <c r="I1956">
        <f t="shared" si="61"/>
        <v>16000</v>
      </c>
    </row>
    <row r="1957" spans="1:9" x14ac:dyDescent="0.35">
      <c r="A1957" s="4" t="s">
        <v>2868</v>
      </c>
      <c r="B1957" s="4" t="s">
        <v>500</v>
      </c>
      <c r="C1957" s="4" t="s">
        <v>919</v>
      </c>
      <c r="D1957" s="4">
        <v>2</v>
      </c>
      <c r="E1957" s="6">
        <v>20000</v>
      </c>
      <c r="F1957" t="str">
        <f>VLOOKUP(C1957,menu!A:B,2,FALSE)</f>
        <v>Gado-Gado Jakarta</v>
      </c>
      <c r="G1957">
        <f t="shared" si="60"/>
        <v>40000</v>
      </c>
      <c r="H1957">
        <f>VLOOKUP(C1957,menu!A:E,4,FALSE)</f>
        <v>8000</v>
      </c>
      <c r="I1957">
        <f t="shared" si="61"/>
        <v>24000</v>
      </c>
    </row>
    <row r="1958" spans="1:9" x14ac:dyDescent="0.35">
      <c r="A1958" s="4" t="s">
        <v>2869</v>
      </c>
      <c r="B1958" s="4" t="s">
        <v>500</v>
      </c>
      <c r="C1958" s="4" t="s">
        <v>928</v>
      </c>
      <c r="D1958" s="4">
        <v>1</v>
      </c>
      <c r="E1958" s="6">
        <v>23000</v>
      </c>
      <c r="F1958" t="str">
        <f>VLOOKUP(C1958,menu!A:B,2,FALSE)</f>
        <v>Mie Goreng Jawa</v>
      </c>
      <c r="G1958">
        <f t="shared" si="60"/>
        <v>23000</v>
      </c>
      <c r="H1958">
        <f>VLOOKUP(C1958,menu!A:E,4,FALSE)</f>
        <v>8500</v>
      </c>
      <c r="I1958">
        <f t="shared" si="61"/>
        <v>14500</v>
      </c>
    </row>
    <row r="1959" spans="1:9" x14ac:dyDescent="0.35">
      <c r="A1959" s="4" t="s">
        <v>2870</v>
      </c>
      <c r="B1959" s="4" t="s">
        <v>500</v>
      </c>
      <c r="C1959" s="4" t="s">
        <v>935</v>
      </c>
      <c r="D1959" s="4">
        <v>1</v>
      </c>
      <c r="E1959" s="6">
        <v>22000</v>
      </c>
      <c r="F1959" t="str">
        <f>VLOOKUP(C1959,menu!A:B,2,FALSE)</f>
        <v>Soto Ayam Lamongan</v>
      </c>
      <c r="G1959">
        <f t="shared" si="60"/>
        <v>22000</v>
      </c>
      <c r="H1959">
        <f>VLOOKUP(C1959,menu!A:E,4,FALSE)</f>
        <v>9500</v>
      </c>
      <c r="I1959">
        <f t="shared" si="61"/>
        <v>12500</v>
      </c>
    </row>
    <row r="1960" spans="1:9" x14ac:dyDescent="0.35">
      <c r="A1960" s="4" t="s">
        <v>2871</v>
      </c>
      <c r="B1960" s="4" t="s">
        <v>500</v>
      </c>
      <c r="C1960" s="4" t="s">
        <v>892</v>
      </c>
      <c r="D1960" s="4">
        <v>1</v>
      </c>
      <c r="E1960" s="6">
        <v>9000</v>
      </c>
      <c r="F1960" t="str">
        <f>VLOOKUP(C1960,menu!A:B,2,FALSE)</f>
        <v>Tempe Mendoan (5pcs)</v>
      </c>
      <c r="G1960">
        <f t="shared" si="60"/>
        <v>9000</v>
      </c>
      <c r="H1960">
        <f>VLOOKUP(C1960,menu!A:E,4,FALSE)</f>
        <v>3000</v>
      </c>
      <c r="I1960">
        <f t="shared" si="61"/>
        <v>6000</v>
      </c>
    </row>
    <row r="1961" spans="1:9" x14ac:dyDescent="0.35">
      <c r="A1961" s="4" t="s">
        <v>2872</v>
      </c>
      <c r="B1961" s="4" t="s">
        <v>321</v>
      </c>
      <c r="C1961" s="4" t="s">
        <v>898</v>
      </c>
      <c r="D1961" s="4">
        <v>1</v>
      </c>
      <c r="E1961" s="6">
        <v>27000</v>
      </c>
      <c r="F1961" t="str">
        <f>VLOOKUP(C1961,menu!A:B,2,FALSE)</f>
        <v>Ayam Geprek Sambal Bawang</v>
      </c>
      <c r="G1961">
        <f t="shared" si="60"/>
        <v>27000</v>
      </c>
      <c r="H1961">
        <f>VLOOKUP(C1961,menu!A:E,4,FALSE)</f>
        <v>11000</v>
      </c>
      <c r="I1961">
        <f t="shared" si="61"/>
        <v>16000</v>
      </c>
    </row>
    <row r="1962" spans="1:9" x14ac:dyDescent="0.35">
      <c r="A1962" s="4" t="s">
        <v>2873</v>
      </c>
      <c r="B1962" s="4" t="s">
        <v>177</v>
      </c>
      <c r="C1962" s="4" t="s">
        <v>902</v>
      </c>
      <c r="D1962" s="4">
        <v>1</v>
      </c>
      <c r="E1962" s="6">
        <v>12000</v>
      </c>
      <c r="F1962" t="str">
        <f>VLOOKUP(C1962,menu!A:B,2,FALSE)</f>
        <v>Teh Tarik</v>
      </c>
      <c r="G1962">
        <f t="shared" si="60"/>
        <v>12000</v>
      </c>
      <c r="H1962">
        <f>VLOOKUP(C1962,menu!A:E,4,FALSE)</f>
        <v>3000</v>
      </c>
      <c r="I1962">
        <f t="shared" si="61"/>
        <v>9000</v>
      </c>
    </row>
    <row r="1963" spans="1:9" x14ac:dyDescent="0.35">
      <c r="A1963" s="4" t="s">
        <v>2874</v>
      </c>
      <c r="B1963" s="4" t="s">
        <v>177</v>
      </c>
      <c r="C1963" s="4" t="s">
        <v>898</v>
      </c>
      <c r="D1963" s="4">
        <v>1</v>
      </c>
      <c r="E1963" s="6">
        <v>27000</v>
      </c>
      <c r="F1963" t="str">
        <f>VLOOKUP(C1963,menu!A:B,2,FALSE)</f>
        <v>Ayam Geprek Sambal Bawang</v>
      </c>
      <c r="G1963">
        <f t="shared" si="60"/>
        <v>27000</v>
      </c>
      <c r="H1963">
        <f>VLOOKUP(C1963,menu!A:E,4,FALSE)</f>
        <v>11000</v>
      </c>
      <c r="I1963">
        <f t="shared" si="61"/>
        <v>16000</v>
      </c>
    </row>
    <row r="1964" spans="1:9" x14ac:dyDescent="0.35">
      <c r="A1964" s="4" t="s">
        <v>2875</v>
      </c>
      <c r="B1964" s="4" t="s">
        <v>468</v>
      </c>
      <c r="C1964" s="4" t="s">
        <v>906</v>
      </c>
      <c r="D1964" s="4">
        <v>3</v>
      </c>
      <c r="E1964" s="6">
        <v>28000</v>
      </c>
      <c r="F1964" t="str">
        <f>VLOOKUP(C1964,menu!A:B,2,FALSE)</f>
        <v>Sate Ayam 10 Tusuk</v>
      </c>
      <c r="G1964">
        <f t="shared" si="60"/>
        <v>84000</v>
      </c>
      <c r="H1964">
        <f>VLOOKUP(C1964,menu!A:E,4,FALSE)</f>
        <v>12000</v>
      </c>
      <c r="I1964">
        <f t="shared" si="61"/>
        <v>48000</v>
      </c>
    </row>
    <row r="1965" spans="1:9" x14ac:dyDescent="0.35">
      <c r="A1965" s="4" t="s">
        <v>2876</v>
      </c>
      <c r="B1965" s="4" t="s">
        <v>468</v>
      </c>
      <c r="C1965" s="4" t="s">
        <v>900</v>
      </c>
      <c r="D1965" s="4">
        <v>1</v>
      </c>
      <c r="E1965" s="6">
        <v>8000</v>
      </c>
      <c r="F1965" t="str">
        <f>VLOOKUP(C1965,menu!A:B,2,FALSE)</f>
        <v>Es Jeruk Peras</v>
      </c>
      <c r="G1965">
        <f t="shared" si="60"/>
        <v>8000</v>
      </c>
      <c r="H1965">
        <f>VLOOKUP(C1965,menu!A:E,4,FALSE)</f>
        <v>2500</v>
      </c>
      <c r="I1965">
        <f t="shared" si="61"/>
        <v>5500</v>
      </c>
    </row>
    <row r="1966" spans="1:9" x14ac:dyDescent="0.35">
      <c r="A1966" s="4" t="s">
        <v>2877</v>
      </c>
      <c r="B1966" s="4" t="s">
        <v>468</v>
      </c>
      <c r="C1966" s="4" t="s">
        <v>898</v>
      </c>
      <c r="D1966" s="4">
        <v>2</v>
      </c>
      <c r="E1966" s="6">
        <v>27000</v>
      </c>
      <c r="F1966" t="str">
        <f>VLOOKUP(C1966,menu!A:B,2,FALSE)</f>
        <v>Ayam Geprek Sambal Bawang</v>
      </c>
      <c r="G1966">
        <f t="shared" si="60"/>
        <v>54000</v>
      </c>
      <c r="H1966">
        <f>VLOOKUP(C1966,menu!A:E,4,FALSE)</f>
        <v>11000</v>
      </c>
      <c r="I1966">
        <f t="shared" si="61"/>
        <v>32000</v>
      </c>
    </row>
    <row r="1967" spans="1:9" x14ac:dyDescent="0.35">
      <c r="A1967" s="4" t="s">
        <v>2878</v>
      </c>
      <c r="B1967" s="4" t="s">
        <v>468</v>
      </c>
      <c r="C1967" s="4" t="s">
        <v>892</v>
      </c>
      <c r="D1967" s="4">
        <v>1</v>
      </c>
      <c r="E1967" s="6">
        <v>9000</v>
      </c>
      <c r="F1967" t="str">
        <f>VLOOKUP(C1967,menu!A:B,2,FALSE)</f>
        <v>Tempe Mendoan (5pcs)</v>
      </c>
      <c r="G1967">
        <f t="shared" si="60"/>
        <v>9000</v>
      </c>
      <c r="H1967">
        <f>VLOOKUP(C1967,menu!A:E,4,FALSE)</f>
        <v>3000</v>
      </c>
      <c r="I1967">
        <f t="shared" si="61"/>
        <v>6000</v>
      </c>
    </row>
    <row r="1968" spans="1:9" x14ac:dyDescent="0.35">
      <c r="A1968" s="4" t="s">
        <v>2879</v>
      </c>
      <c r="B1968" s="4" t="s">
        <v>399</v>
      </c>
      <c r="C1968" s="4" t="s">
        <v>894</v>
      </c>
      <c r="D1968" s="4">
        <v>1</v>
      </c>
      <c r="E1968" s="6">
        <v>5000</v>
      </c>
      <c r="F1968" t="str">
        <f>VLOOKUP(C1968,menu!A:B,2,FALSE)</f>
        <v>Air Mineral Botol</v>
      </c>
      <c r="G1968">
        <f t="shared" si="60"/>
        <v>5000</v>
      </c>
      <c r="H1968">
        <f>VLOOKUP(C1968,menu!A:E,4,FALSE)</f>
        <v>2000</v>
      </c>
      <c r="I1968">
        <f t="shared" si="61"/>
        <v>3000</v>
      </c>
    </row>
    <row r="1969" spans="1:9" x14ac:dyDescent="0.35">
      <c r="A1969" s="4" t="s">
        <v>2880</v>
      </c>
      <c r="B1969" s="4" t="s">
        <v>399</v>
      </c>
      <c r="C1969" s="4" t="s">
        <v>898</v>
      </c>
      <c r="D1969" s="4">
        <v>2</v>
      </c>
      <c r="E1969" s="6">
        <v>27000</v>
      </c>
      <c r="F1969" t="str">
        <f>VLOOKUP(C1969,menu!A:B,2,FALSE)</f>
        <v>Ayam Geprek Sambal Bawang</v>
      </c>
      <c r="G1969">
        <f t="shared" si="60"/>
        <v>54000</v>
      </c>
      <c r="H1969">
        <f>VLOOKUP(C1969,menu!A:E,4,FALSE)</f>
        <v>11000</v>
      </c>
      <c r="I1969">
        <f t="shared" si="61"/>
        <v>32000</v>
      </c>
    </row>
    <row r="1970" spans="1:9" x14ac:dyDescent="0.35">
      <c r="A1970" s="4" t="s">
        <v>2881</v>
      </c>
      <c r="B1970" s="4" t="s">
        <v>414</v>
      </c>
      <c r="C1970" s="4" t="s">
        <v>937</v>
      </c>
      <c r="D1970" s="4">
        <v>2</v>
      </c>
      <c r="E1970" s="6">
        <v>26000</v>
      </c>
      <c r="F1970" t="str">
        <f>VLOOKUP(C1970,menu!A:B,2,FALSE)</f>
        <v>Nasi Campur Bali</v>
      </c>
      <c r="G1970">
        <f t="shared" si="60"/>
        <v>52000</v>
      </c>
      <c r="H1970">
        <f>VLOOKUP(C1970,menu!A:E,4,FALSE)</f>
        <v>11500</v>
      </c>
      <c r="I1970">
        <f t="shared" si="61"/>
        <v>29000</v>
      </c>
    </row>
    <row r="1971" spans="1:9" x14ac:dyDescent="0.35">
      <c r="A1971" s="4" t="s">
        <v>2882</v>
      </c>
      <c r="B1971" s="4" t="s">
        <v>512</v>
      </c>
      <c r="C1971" s="4" t="s">
        <v>955</v>
      </c>
      <c r="D1971" s="4">
        <v>2</v>
      </c>
      <c r="E1971" s="6">
        <v>15000</v>
      </c>
      <c r="F1971" t="str">
        <f>VLOOKUP(C1971,menu!A:B,2,FALSE)</f>
        <v>Es Campur</v>
      </c>
      <c r="G1971">
        <f t="shared" si="60"/>
        <v>30000</v>
      </c>
      <c r="H1971">
        <f>VLOOKUP(C1971,menu!A:E,4,FALSE)</f>
        <v>6000</v>
      </c>
      <c r="I1971">
        <f t="shared" si="61"/>
        <v>18000</v>
      </c>
    </row>
    <row r="1972" spans="1:9" x14ac:dyDescent="0.35">
      <c r="A1972" s="4" t="s">
        <v>2883</v>
      </c>
      <c r="B1972" s="4" t="s">
        <v>512</v>
      </c>
      <c r="C1972" s="4" t="s">
        <v>898</v>
      </c>
      <c r="D1972" s="4">
        <v>1</v>
      </c>
      <c r="E1972" s="6">
        <v>27000</v>
      </c>
      <c r="F1972" t="str">
        <f>VLOOKUP(C1972,menu!A:B,2,FALSE)</f>
        <v>Ayam Geprek Sambal Bawang</v>
      </c>
      <c r="G1972">
        <f t="shared" si="60"/>
        <v>27000</v>
      </c>
      <c r="H1972">
        <f>VLOOKUP(C1972,menu!A:E,4,FALSE)</f>
        <v>11000</v>
      </c>
      <c r="I1972">
        <f t="shared" si="61"/>
        <v>16000</v>
      </c>
    </row>
    <row r="1973" spans="1:9" x14ac:dyDescent="0.35">
      <c r="A1973" s="4" t="s">
        <v>2884</v>
      </c>
      <c r="B1973" s="4" t="s">
        <v>263</v>
      </c>
      <c r="C1973" s="4" t="s">
        <v>898</v>
      </c>
      <c r="D1973" s="4">
        <v>1</v>
      </c>
      <c r="E1973" s="6">
        <v>27000</v>
      </c>
      <c r="F1973" t="str">
        <f>VLOOKUP(C1973,menu!A:B,2,FALSE)</f>
        <v>Ayam Geprek Sambal Bawang</v>
      </c>
      <c r="G1973">
        <f t="shared" si="60"/>
        <v>27000</v>
      </c>
      <c r="H1973">
        <f>VLOOKUP(C1973,menu!A:E,4,FALSE)</f>
        <v>11000</v>
      </c>
      <c r="I1973">
        <f t="shared" si="61"/>
        <v>16000</v>
      </c>
    </row>
    <row r="1974" spans="1:9" x14ac:dyDescent="0.35">
      <c r="A1974" s="4" t="s">
        <v>2885</v>
      </c>
      <c r="B1974" s="4" t="s">
        <v>818</v>
      </c>
      <c r="C1974" s="4" t="s">
        <v>898</v>
      </c>
      <c r="D1974" s="4">
        <v>1</v>
      </c>
      <c r="E1974" s="6">
        <v>27000</v>
      </c>
      <c r="F1974" t="str">
        <f>VLOOKUP(C1974,menu!A:B,2,FALSE)</f>
        <v>Ayam Geprek Sambal Bawang</v>
      </c>
      <c r="G1974">
        <f t="shared" si="60"/>
        <v>27000</v>
      </c>
      <c r="H1974">
        <f>VLOOKUP(C1974,menu!A:E,4,FALSE)</f>
        <v>11000</v>
      </c>
      <c r="I1974">
        <f t="shared" si="61"/>
        <v>16000</v>
      </c>
    </row>
    <row r="1975" spans="1:9" x14ac:dyDescent="0.35">
      <c r="A1975" s="4" t="s">
        <v>2886</v>
      </c>
      <c r="B1975" s="4" t="s">
        <v>818</v>
      </c>
      <c r="C1975" s="4" t="s">
        <v>890</v>
      </c>
      <c r="D1975" s="4">
        <v>1</v>
      </c>
      <c r="E1975" s="6">
        <v>18000</v>
      </c>
      <c r="F1975" t="str">
        <f>VLOOKUP(C1975,menu!A:B,2,FALSE)</f>
        <v>Es Kopi Susu Gula Aren</v>
      </c>
      <c r="G1975">
        <f t="shared" si="60"/>
        <v>18000</v>
      </c>
      <c r="H1975">
        <f>VLOOKUP(C1975,menu!A:E,4,FALSE)</f>
        <v>4500</v>
      </c>
      <c r="I1975">
        <f t="shared" si="61"/>
        <v>13500</v>
      </c>
    </row>
    <row r="1976" spans="1:9" x14ac:dyDescent="0.35">
      <c r="A1976" s="4" t="s">
        <v>2887</v>
      </c>
      <c r="B1976" s="4" t="s">
        <v>818</v>
      </c>
      <c r="C1976" s="4" t="s">
        <v>931</v>
      </c>
      <c r="D1976" s="4">
        <v>2</v>
      </c>
      <c r="E1976" s="6">
        <v>5000</v>
      </c>
      <c r="F1976" t="str">
        <f>VLOOKUP(C1976,menu!A:B,2,FALSE)</f>
        <v>Kerupuk Udang</v>
      </c>
      <c r="G1976">
        <f t="shared" si="60"/>
        <v>10000</v>
      </c>
      <c r="H1976">
        <f>VLOOKUP(C1976,menu!A:E,4,FALSE)</f>
        <v>1500</v>
      </c>
      <c r="I1976">
        <f t="shared" si="61"/>
        <v>7000</v>
      </c>
    </row>
    <row r="1977" spans="1:9" x14ac:dyDescent="0.35">
      <c r="A1977" s="4" t="s">
        <v>2888</v>
      </c>
      <c r="B1977" s="4" t="s">
        <v>535</v>
      </c>
      <c r="C1977" s="4" t="s">
        <v>900</v>
      </c>
      <c r="D1977" s="4">
        <v>3</v>
      </c>
      <c r="E1977" s="6">
        <v>8000</v>
      </c>
      <c r="F1977" t="str">
        <f>VLOOKUP(C1977,menu!A:B,2,FALSE)</f>
        <v>Es Jeruk Peras</v>
      </c>
      <c r="G1977">
        <f t="shared" si="60"/>
        <v>24000</v>
      </c>
      <c r="H1977">
        <f>VLOOKUP(C1977,menu!A:E,4,FALSE)</f>
        <v>2500</v>
      </c>
      <c r="I1977">
        <f t="shared" si="61"/>
        <v>16500</v>
      </c>
    </row>
    <row r="1978" spans="1:9" x14ac:dyDescent="0.35">
      <c r="A1978" s="4" t="s">
        <v>2889</v>
      </c>
      <c r="B1978" s="4" t="s">
        <v>535</v>
      </c>
      <c r="C1978" s="4" t="s">
        <v>896</v>
      </c>
      <c r="D1978" s="4">
        <v>1</v>
      </c>
      <c r="E1978" s="6">
        <v>23000</v>
      </c>
      <c r="F1978" t="str">
        <f>VLOOKUP(C1978,menu!A:B,2,FALSE)</f>
        <v>Nasi Uduk Komplit</v>
      </c>
      <c r="G1978">
        <f t="shared" si="60"/>
        <v>23000</v>
      </c>
      <c r="H1978">
        <f>VLOOKUP(C1978,menu!A:E,4,FALSE)</f>
        <v>9000</v>
      </c>
      <c r="I1978">
        <f t="shared" si="61"/>
        <v>14000</v>
      </c>
    </row>
    <row r="1979" spans="1:9" x14ac:dyDescent="0.35">
      <c r="A1979" s="4" t="s">
        <v>2890</v>
      </c>
      <c r="B1979" s="4" t="s">
        <v>535</v>
      </c>
      <c r="C1979" s="4" t="s">
        <v>916</v>
      </c>
      <c r="D1979" s="4">
        <v>1</v>
      </c>
      <c r="E1979" s="6">
        <v>9000</v>
      </c>
      <c r="F1979" t="str">
        <f>VLOOKUP(C1979,menu!A:B,2,FALSE)</f>
        <v>Kopi Hitam Tubruk</v>
      </c>
      <c r="G1979">
        <f t="shared" si="60"/>
        <v>9000</v>
      </c>
      <c r="H1979">
        <f>VLOOKUP(C1979,menu!A:E,4,FALSE)</f>
        <v>2000</v>
      </c>
      <c r="I1979">
        <f t="shared" si="61"/>
        <v>7000</v>
      </c>
    </row>
    <row r="1980" spans="1:9" x14ac:dyDescent="0.35">
      <c r="A1980" s="4" t="s">
        <v>2891</v>
      </c>
      <c r="B1980" s="4" t="s">
        <v>871</v>
      </c>
      <c r="C1980" s="4" t="s">
        <v>940</v>
      </c>
      <c r="D1980" s="4">
        <v>1</v>
      </c>
      <c r="E1980" s="6">
        <v>10000</v>
      </c>
      <c r="F1980" t="str">
        <f>VLOOKUP(C1980,menu!A:B,2,FALSE)</f>
        <v>Tahu Isi Goreng (5pcs)</v>
      </c>
      <c r="G1980">
        <f t="shared" si="60"/>
        <v>10000</v>
      </c>
      <c r="H1980">
        <f>VLOOKUP(C1980,menu!A:E,4,FALSE)</f>
        <v>3500</v>
      </c>
      <c r="I1980">
        <f t="shared" si="61"/>
        <v>6500</v>
      </c>
    </row>
    <row r="1981" spans="1:9" x14ac:dyDescent="0.35">
      <c r="A1981" s="4" t="s">
        <v>2892</v>
      </c>
      <c r="B1981" s="4" t="s">
        <v>871</v>
      </c>
      <c r="C1981" s="4" t="s">
        <v>898</v>
      </c>
      <c r="D1981" s="4">
        <v>1</v>
      </c>
      <c r="E1981" s="6">
        <v>27000</v>
      </c>
      <c r="F1981" t="str">
        <f>VLOOKUP(C1981,menu!A:B,2,FALSE)</f>
        <v>Ayam Geprek Sambal Bawang</v>
      </c>
      <c r="G1981">
        <f t="shared" si="60"/>
        <v>27000</v>
      </c>
      <c r="H1981">
        <f>VLOOKUP(C1981,menu!A:E,4,FALSE)</f>
        <v>11000</v>
      </c>
      <c r="I1981">
        <f t="shared" si="61"/>
        <v>16000</v>
      </c>
    </row>
    <row r="1982" spans="1:9" x14ac:dyDescent="0.35">
      <c r="A1982" s="4" t="s">
        <v>2893</v>
      </c>
      <c r="B1982" s="4" t="s">
        <v>871</v>
      </c>
      <c r="C1982" s="4" t="s">
        <v>928</v>
      </c>
      <c r="D1982" s="4">
        <v>2</v>
      </c>
      <c r="E1982" s="6">
        <v>23000</v>
      </c>
      <c r="F1982" t="str">
        <f>VLOOKUP(C1982,menu!A:B,2,FALSE)</f>
        <v>Mie Goreng Jawa</v>
      </c>
      <c r="G1982">
        <f t="shared" si="60"/>
        <v>46000</v>
      </c>
      <c r="H1982">
        <f>VLOOKUP(C1982,menu!A:E,4,FALSE)</f>
        <v>8500</v>
      </c>
      <c r="I1982">
        <f t="shared" si="61"/>
        <v>29000</v>
      </c>
    </row>
    <row r="1983" spans="1:9" x14ac:dyDescent="0.35">
      <c r="A1983" s="4" t="s">
        <v>2894</v>
      </c>
      <c r="B1983" s="4" t="s">
        <v>516</v>
      </c>
      <c r="C1983" s="4" t="s">
        <v>931</v>
      </c>
      <c r="D1983" s="4">
        <v>3</v>
      </c>
      <c r="E1983" s="6">
        <v>5000</v>
      </c>
      <c r="F1983" t="str">
        <f>VLOOKUP(C1983,menu!A:B,2,FALSE)</f>
        <v>Kerupuk Udang</v>
      </c>
      <c r="G1983">
        <f t="shared" si="60"/>
        <v>15000</v>
      </c>
      <c r="H1983">
        <f>VLOOKUP(C1983,menu!A:E,4,FALSE)</f>
        <v>1500</v>
      </c>
      <c r="I1983">
        <f t="shared" si="61"/>
        <v>10500</v>
      </c>
    </row>
    <row r="1984" spans="1:9" x14ac:dyDescent="0.35">
      <c r="A1984" s="4" t="s">
        <v>2895</v>
      </c>
      <c r="B1984" s="4" t="s">
        <v>516</v>
      </c>
      <c r="C1984" s="4" t="s">
        <v>908</v>
      </c>
      <c r="D1984" s="4">
        <v>1</v>
      </c>
      <c r="E1984" s="6">
        <v>16000</v>
      </c>
      <c r="F1984" t="str">
        <f>VLOOKUP(C1984,menu!A:B,2,FALSE)</f>
        <v>Jus Alpukat</v>
      </c>
      <c r="G1984">
        <f t="shared" si="60"/>
        <v>16000</v>
      </c>
      <c r="H1984">
        <f>VLOOKUP(C1984,menu!A:E,4,FALSE)</f>
        <v>5500</v>
      </c>
      <c r="I1984">
        <f t="shared" si="61"/>
        <v>10500</v>
      </c>
    </row>
    <row r="1985" spans="1:9" x14ac:dyDescent="0.35">
      <c r="A1985" s="4" t="s">
        <v>2896</v>
      </c>
      <c r="B1985" s="4" t="s">
        <v>158</v>
      </c>
      <c r="C1985" s="4" t="s">
        <v>940</v>
      </c>
      <c r="D1985" s="4">
        <v>2</v>
      </c>
      <c r="E1985" s="6">
        <v>10000</v>
      </c>
      <c r="F1985" t="str">
        <f>VLOOKUP(C1985,menu!A:B,2,FALSE)</f>
        <v>Tahu Isi Goreng (5pcs)</v>
      </c>
      <c r="G1985">
        <f t="shared" si="60"/>
        <v>20000</v>
      </c>
      <c r="H1985">
        <f>VLOOKUP(C1985,menu!A:E,4,FALSE)</f>
        <v>3500</v>
      </c>
      <c r="I1985">
        <f t="shared" si="61"/>
        <v>13000</v>
      </c>
    </row>
    <row r="1986" spans="1:9" x14ac:dyDescent="0.35">
      <c r="A1986" s="4" t="s">
        <v>2897</v>
      </c>
      <c r="B1986" s="4" t="s">
        <v>158</v>
      </c>
      <c r="C1986" s="4" t="s">
        <v>931</v>
      </c>
      <c r="D1986" s="4">
        <v>1</v>
      </c>
      <c r="E1986" s="6">
        <v>5000</v>
      </c>
      <c r="F1986" t="str">
        <f>VLOOKUP(C1986,menu!A:B,2,FALSE)</f>
        <v>Kerupuk Udang</v>
      </c>
      <c r="G1986">
        <f t="shared" si="60"/>
        <v>5000</v>
      </c>
      <c r="H1986">
        <f>VLOOKUP(C1986,menu!A:E,4,FALSE)</f>
        <v>1500</v>
      </c>
      <c r="I1986">
        <f t="shared" si="61"/>
        <v>3500</v>
      </c>
    </row>
    <row r="1987" spans="1:9" x14ac:dyDescent="0.35">
      <c r="A1987" s="4" t="s">
        <v>2898</v>
      </c>
      <c r="B1987" s="4" t="s">
        <v>75</v>
      </c>
      <c r="C1987" s="4" t="s">
        <v>898</v>
      </c>
      <c r="D1987" s="4">
        <v>1</v>
      </c>
      <c r="E1987" s="6">
        <v>27000</v>
      </c>
      <c r="F1987" t="str">
        <f>VLOOKUP(C1987,menu!A:B,2,FALSE)</f>
        <v>Ayam Geprek Sambal Bawang</v>
      </c>
      <c r="G1987">
        <f t="shared" ref="G1987:G2050" si="62">D1987*E1987</f>
        <v>27000</v>
      </c>
      <c r="H1987">
        <f>VLOOKUP(C1987,menu!A:E,4,FALSE)</f>
        <v>11000</v>
      </c>
      <c r="I1987">
        <f t="shared" ref="I1987:I2050" si="63">(E1987-H1987)*D1987</f>
        <v>16000</v>
      </c>
    </row>
    <row r="1988" spans="1:9" x14ac:dyDescent="0.35">
      <c r="A1988" s="4" t="s">
        <v>2899</v>
      </c>
      <c r="B1988" s="4" t="s">
        <v>75</v>
      </c>
      <c r="C1988" s="4" t="s">
        <v>890</v>
      </c>
      <c r="D1988" s="4">
        <v>2</v>
      </c>
      <c r="E1988" s="6">
        <v>18000</v>
      </c>
      <c r="F1988" t="str">
        <f>VLOOKUP(C1988,menu!A:B,2,FALSE)</f>
        <v>Es Kopi Susu Gula Aren</v>
      </c>
      <c r="G1988">
        <f t="shared" si="62"/>
        <v>36000</v>
      </c>
      <c r="H1988">
        <f>VLOOKUP(C1988,menu!A:E,4,FALSE)</f>
        <v>4500</v>
      </c>
      <c r="I1988">
        <f t="shared" si="63"/>
        <v>27000</v>
      </c>
    </row>
    <row r="1989" spans="1:9" x14ac:dyDescent="0.35">
      <c r="A1989" s="4" t="s">
        <v>2900</v>
      </c>
      <c r="B1989" s="4" t="s">
        <v>251</v>
      </c>
      <c r="C1989" s="4" t="s">
        <v>898</v>
      </c>
      <c r="D1989" s="4">
        <v>1</v>
      </c>
      <c r="E1989" s="6">
        <v>27000</v>
      </c>
      <c r="F1989" t="str">
        <f>VLOOKUP(C1989,menu!A:B,2,FALSE)</f>
        <v>Ayam Geprek Sambal Bawang</v>
      </c>
      <c r="G1989">
        <f t="shared" si="62"/>
        <v>27000</v>
      </c>
      <c r="H1989">
        <f>VLOOKUP(C1989,menu!A:E,4,FALSE)</f>
        <v>11000</v>
      </c>
      <c r="I1989">
        <f t="shared" si="63"/>
        <v>16000</v>
      </c>
    </row>
    <row r="1990" spans="1:9" x14ac:dyDescent="0.35">
      <c r="A1990" s="4" t="s">
        <v>2901</v>
      </c>
      <c r="B1990" s="4" t="s">
        <v>251</v>
      </c>
      <c r="C1990" s="4" t="s">
        <v>896</v>
      </c>
      <c r="D1990" s="4">
        <v>1</v>
      </c>
      <c r="E1990" s="6">
        <v>23000</v>
      </c>
      <c r="F1990" t="str">
        <f>VLOOKUP(C1990,menu!A:B,2,FALSE)</f>
        <v>Nasi Uduk Komplit</v>
      </c>
      <c r="G1990">
        <f t="shared" si="62"/>
        <v>23000</v>
      </c>
      <c r="H1990">
        <f>VLOOKUP(C1990,menu!A:E,4,FALSE)</f>
        <v>9000</v>
      </c>
      <c r="I1990">
        <f t="shared" si="63"/>
        <v>14000</v>
      </c>
    </row>
    <row r="1991" spans="1:9" x14ac:dyDescent="0.35">
      <c r="A1991" s="4" t="s">
        <v>2902</v>
      </c>
      <c r="B1991" s="4" t="s">
        <v>404</v>
      </c>
      <c r="C1991" s="4" t="s">
        <v>937</v>
      </c>
      <c r="D1991" s="4">
        <v>1</v>
      </c>
      <c r="E1991" s="6">
        <v>26000</v>
      </c>
      <c r="F1991" t="str">
        <f>VLOOKUP(C1991,menu!A:B,2,FALSE)</f>
        <v>Nasi Campur Bali</v>
      </c>
      <c r="G1991">
        <f t="shared" si="62"/>
        <v>26000</v>
      </c>
      <c r="H1991">
        <f>VLOOKUP(C1991,menu!A:E,4,FALSE)</f>
        <v>11500</v>
      </c>
      <c r="I1991">
        <f t="shared" si="63"/>
        <v>14500</v>
      </c>
    </row>
    <row r="1992" spans="1:9" x14ac:dyDescent="0.35">
      <c r="A1992" s="4" t="s">
        <v>2903</v>
      </c>
      <c r="B1992" s="4" t="s">
        <v>404</v>
      </c>
      <c r="C1992" s="4" t="s">
        <v>908</v>
      </c>
      <c r="D1992" s="4">
        <v>2</v>
      </c>
      <c r="E1992" s="6">
        <v>16000</v>
      </c>
      <c r="F1992" t="str">
        <f>VLOOKUP(C1992,menu!A:B,2,FALSE)</f>
        <v>Jus Alpukat</v>
      </c>
      <c r="G1992">
        <f t="shared" si="62"/>
        <v>32000</v>
      </c>
      <c r="H1992">
        <f>VLOOKUP(C1992,menu!A:E,4,FALSE)</f>
        <v>5500</v>
      </c>
      <c r="I1992">
        <f t="shared" si="63"/>
        <v>21000</v>
      </c>
    </row>
    <row r="1993" spans="1:9" x14ac:dyDescent="0.35">
      <c r="A1993" s="4" t="s">
        <v>2904</v>
      </c>
      <c r="B1993" s="4" t="s">
        <v>404</v>
      </c>
      <c r="C1993" s="4" t="s">
        <v>898</v>
      </c>
      <c r="D1993" s="4">
        <v>1</v>
      </c>
      <c r="E1993" s="6">
        <v>27000</v>
      </c>
      <c r="F1993" t="str">
        <f>VLOOKUP(C1993,menu!A:B,2,FALSE)</f>
        <v>Ayam Geprek Sambal Bawang</v>
      </c>
      <c r="G1993">
        <f t="shared" si="62"/>
        <v>27000</v>
      </c>
      <c r="H1993">
        <f>VLOOKUP(C1993,menu!A:E,4,FALSE)</f>
        <v>11000</v>
      </c>
      <c r="I1993">
        <f t="shared" si="63"/>
        <v>16000</v>
      </c>
    </row>
    <row r="1994" spans="1:9" x14ac:dyDescent="0.35">
      <c r="A1994" s="4" t="s">
        <v>2905</v>
      </c>
      <c r="B1994" s="4" t="s">
        <v>73</v>
      </c>
      <c r="C1994" s="4" t="s">
        <v>898</v>
      </c>
      <c r="D1994" s="4">
        <v>1</v>
      </c>
      <c r="E1994" s="6">
        <v>27000</v>
      </c>
      <c r="F1994" t="str">
        <f>VLOOKUP(C1994,menu!A:B,2,FALSE)</f>
        <v>Ayam Geprek Sambal Bawang</v>
      </c>
      <c r="G1994">
        <f t="shared" si="62"/>
        <v>27000</v>
      </c>
      <c r="H1994">
        <f>VLOOKUP(C1994,menu!A:E,4,FALSE)</f>
        <v>11000</v>
      </c>
      <c r="I1994">
        <f t="shared" si="63"/>
        <v>16000</v>
      </c>
    </row>
    <row r="1995" spans="1:9" x14ac:dyDescent="0.35">
      <c r="A1995" s="4" t="s">
        <v>2906</v>
      </c>
      <c r="B1995" s="4" t="s">
        <v>719</v>
      </c>
      <c r="C1995" s="4" t="s">
        <v>928</v>
      </c>
      <c r="D1995" s="4">
        <v>1</v>
      </c>
      <c r="E1995" s="6">
        <v>23000</v>
      </c>
      <c r="F1995" t="str">
        <f>VLOOKUP(C1995,menu!A:B,2,FALSE)</f>
        <v>Mie Goreng Jawa</v>
      </c>
      <c r="G1995">
        <f t="shared" si="62"/>
        <v>23000</v>
      </c>
      <c r="H1995">
        <f>VLOOKUP(C1995,menu!A:E,4,FALSE)</f>
        <v>8500</v>
      </c>
      <c r="I1995">
        <f t="shared" si="63"/>
        <v>14500</v>
      </c>
    </row>
    <row r="1996" spans="1:9" x14ac:dyDescent="0.35">
      <c r="A1996" s="4" t="s">
        <v>2907</v>
      </c>
      <c r="B1996" s="4" t="s">
        <v>719</v>
      </c>
      <c r="C1996" s="4" t="s">
        <v>898</v>
      </c>
      <c r="D1996" s="4">
        <v>1</v>
      </c>
      <c r="E1996" s="6">
        <v>27000</v>
      </c>
      <c r="F1996" t="str">
        <f>VLOOKUP(C1996,menu!A:B,2,FALSE)</f>
        <v>Ayam Geprek Sambal Bawang</v>
      </c>
      <c r="G1996">
        <f t="shared" si="62"/>
        <v>27000</v>
      </c>
      <c r="H1996">
        <f>VLOOKUP(C1996,menu!A:E,4,FALSE)</f>
        <v>11000</v>
      </c>
      <c r="I1996">
        <f t="shared" si="63"/>
        <v>16000</v>
      </c>
    </row>
    <row r="1997" spans="1:9" x14ac:dyDescent="0.35">
      <c r="A1997" s="4" t="s">
        <v>2908</v>
      </c>
      <c r="B1997" s="4" t="s">
        <v>719</v>
      </c>
      <c r="C1997" s="4" t="s">
        <v>896</v>
      </c>
      <c r="D1997" s="4">
        <v>1</v>
      </c>
      <c r="E1997" s="6">
        <v>23000</v>
      </c>
      <c r="F1997" t="str">
        <f>VLOOKUP(C1997,menu!A:B,2,FALSE)</f>
        <v>Nasi Uduk Komplit</v>
      </c>
      <c r="G1997">
        <f t="shared" si="62"/>
        <v>23000</v>
      </c>
      <c r="H1997">
        <f>VLOOKUP(C1997,menu!A:E,4,FALSE)</f>
        <v>9000</v>
      </c>
      <c r="I1997">
        <f t="shared" si="63"/>
        <v>14000</v>
      </c>
    </row>
    <row r="1998" spans="1:9" x14ac:dyDescent="0.35">
      <c r="A1998" s="4" t="s">
        <v>2909</v>
      </c>
      <c r="B1998" s="4" t="s">
        <v>348</v>
      </c>
      <c r="C1998" s="4" t="s">
        <v>900</v>
      </c>
      <c r="D1998" s="4">
        <v>1</v>
      </c>
      <c r="E1998" s="6">
        <v>8000</v>
      </c>
      <c r="F1998" t="str">
        <f>VLOOKUP(C1998,menu!A:B,2,FALSE)</f>
        <v>Es Jeruk Peras</v>
      </c>
      <c r="G1998">
        <f t="shared" si="62"/>
        <v>8000</v>
      </c>
      <c r="H1998">
        <f>VLOOKUP(C1998,menu!A:E,4,FALSE)</f>
        <v>2500</v>
      </c>
      <c r="I1998">
        <f t="shared" si="63"/>
        <v>5500</v>
      </c>
    </row>
    <row r="1999" spans="1:9" x14ac:dyDescent="0.35">
      <c r="A1999" s="4" t="s">
        <v>2910</v>
      </c>
      <c r="B1999" s="4" t="s">
        <v>348</v>
      </c>
      <c r="C1999" s="4" t="s">
        <v>898</v>
      </c>
      <c r="D1999" s="4">
        <v>1</v>
      </c>
      <c r="E1999" s="6">
        <v>27000</v>
      </c>
      <c r="F1999" t="str">
        <f>VLOOKUP(C1999,menu!A:B,2,FALSE)</f>
        <v>Ayam Geprek Sambal Bawang</v>
      </c>
      <c r="G1999">
        <f t="shared" si="62"/>
        <v>27000</v>
      </c>
      <c r="H1999">
        <f>VLOOKUP(C1999,menu!A:E,4,FALSE)</f>
        <v>11000</v>
      </c>
      <c r="I1999">
        <f t="shared" si="63"/>
        <v>16000</v>
      </c>
    </row>
    <row r="2000" spans="1:9" x14ac:dyDescent="0.35">
      <c r="A2000" s="4" t="s">
        <v>2911</v>
      </c>
      <c r="B2000" s="4" t="s">
        <v>21</v>
      </c>
      <c r="C2000" s="4" t="s">
        <v>894</v>
      </c>
      <c r="D2000" s="4">
        <v>1</v>
      </c>
      <c r="E2000" s="6">
        <v>5000</v>
      </c>
      <c r="F2000" t="str">
        <f>VLOOKUP(C2000,menu!A:B,2,FALSE)</f>
        <v>Air Mineral Botol</v>
      </c>
      <c r="G2000">
        <f t="shared" si="62"/>
        <v>5000</v>
      </c>
      <c r="H2000">
        <f>VLOOKUP(C2000,menu!A:E,4,FALSE)</f>
        <v>2000</v>
      </c>
      <c r="I2000">
        <f t="shared" si="63"/>
        <v>3000</v>
      </c>
    </row>
    <row r="2001" spans="1:9" x14ac:dyDescent="0.35">
      <c r="A2001" s="4" t="s">
        <v>2912</v>
      </c>
      <c r="B2001" s="4" t="s">
        <v>21</v>
      </c>
      <c r="C2001" s="4" t="s">
        <v>928</v>
      </c>
      <c r="D2001" s="4">
        <v>1</v>
      </c>
      <c r="E2001" s="6">
        <v>23000</v>
      </c>
      <c r="F2001" t="str">
        <f>VLOOKUP(C2001,menu!A:B,2,FALSE)</f>
        <v>Mie Goreng Jawa</v>
      </c>
      <c r="G2001">
        <f t="shared" si="62"/>
        <v>23000</v>
      </c>
      <c r="H2001">
        <f>VLOOKUP(C2001,menu!A:E,4,FALSE)</f>
        <v>8500</v>
      </c>
      <c r="I2001">
        <f t="shared" si="63"/>
        <v>14500</v>
      </c>
    </row>
    <row r="2002" spans="1:9" x14ac:dyDescent="0.35">
      <c r="A2002" s="4" t="s">
        <v>2913</v>
      </c>
      <c r="B2002" s="4" t="s">
        <v>810</v>
      </c>
      <c r="C2002" s="4" t="s">
        <v>898</v>
      </c>
      <c r="D2002" s="4">
        <v>1</v>
      </c>
      <c r="E2002" s="6">
        <v>27000</v>
      </c>
      <c r="F2002" t="str">
        <f>VLOOKUP(C2002,menu!A:B,2,FALSE)</f>
        <v>Ayam Geprek Sambal Bawang</v>
      </c>
      <c r="G2002">
        <f t="shared" si="62"/>
        <v>27000</v>
      </c>
      <c r="H2002">
        <f>VLOOKUP(C2002,menu!A:E,4,FALSE)</f>
        <v>11000</v>
      </c>
      <c r="I2002">
        <f t="shared" si="63"/>
        <v>16000</v>
      </c>
    </row>
    <row r="2003" spans="1:9" x14ac:dyDescent="0.35">
      <c r="A2003" s="4" t="s">
        <v>2914</v>
      </c>
      <c r="B2003" s="4" t="s">
        <v>810</v>
      </c>
      <c r="C2003" s="4" t="s">
        <v>908</v>
      </c>
      <c r="D2003" s="4">
        <v>2</v>
      </c>
      <c r="E2003" s="6">
        <v>16000</v>
      </c>
      <c r="F2003" t="str">
        <f>VLOOKUP(C2003,menu!A:B,2,FALSE)</f>
        <v>Jus Alpukat</v>
      </c>
      <c r="G2003">
        <f t="shared" si="62"/>
        <v>32000</v>
      </c>
      <c r="H2003">
        <f>VLOOKUP(C2003,menu!A:E,4,FALSE)</f>
        <v>5500</v>
      </c>
      <c r="I2003">
        <f t="shared" si="63"/>
        <v>21000</v>
      </c>
    </row>
    <row r="2004" spans="1:9" x14ac:dyDescent="0.35">
      <c r="A2004" s="4" t="s">
        <v>2915</v>
      </c>
      <c r="B2004" s="4" t="s">
        <v>810</v>
      </c>
      <c r="C2004" s="4" t="s">
        <v>896</v>
      </c>
      <c r="D2004" s="4">
        <v>1</v>
      </c>
      <c r="E2004" s="6">
        <v>23000</v>
      </c>
      <c r="F2004" t="str">
        <f>VLOOKUP(C2004,menu!A:B,2,FALSE)</f>
        <v>Nasi Uduk Komplit</v>
      </c>
      <c r="G2004">
        <f t="shared" si="62"/>
        <v>23000</v>
      </c>
      <c r="H2004">
        <f>VLOOKUP(C2004,menu!A:E,4,FALSE)</f>
        <v>9000</v>
      </c>
      <c r="I2004">
        <f t="shared" si="63"/>
        <v>14000</v>
      </c>
    </row>
    <row r="2005" spans="1:9" x14ac:dyDescent="0.35">
      <c r="A2005" s="4" t="s">
        <v>2916</v>
      </c>
      <c r="B2005" s="4" t="s">
        <v>91</v>
      </c>
      <c r="C2005" s="4" t="s">
        <v>892</v>
      </c>
      <c r="D2005" s="4">
        <v>2</v>
      </c>
      <c r="E2005" s="6">
        <v>9000</v>
      </c>
      <c r="F2005" t="str">
        <f>VLOOKUP(C2005,menu!A:B,2,FALSE)</f>
        <v>Tempe Mendoan (5pcs)</v>
      </c>
      <c r="G2005">
        <f t="shared" si="62"/>
        <v>18000</v>
      </c>
      <c r="H2005">
        <f>VLOOKUP(C2005,menu!A:E,4,FALSE)</f>
        <v>3000</v>
      </c>
      <c r="I2005">
        <f t="shared" si="63"/>
        <v>12000</v>
      </c>
    </row>
    <row r="2006" spans="1:9" x14ac:dyDescent="0.35">
      <c r="A2006" s="4" t="s">
        <v>2917</v>
      </c>
      <c r="B2006" s="4" t="s">
        <v>184</v>
      </c>
      <c r="C2006" s="4" t="s">
        <v>937</v>
      </c>
      <c r="D2006" s="4">
        <v>1</v>
      </c>
      <c r="E2006" s="6">
        <v>26000</v>
      </c>
      <c r="F2006" t="str">
        <f>VLOOKUP(C2006,menu!A:B,2,FALSE)</f>
        <v>Nasi Campur Bali</v>
      </c>
      <c r="G2006">
        <f t="shared" si="62"/>
        <v>26000</v>
      </c>
      <c r="H2006">
        <f>VLOOKUP(C2006,menu!A:E,4,FALSE)</f>
        <v>11500</v>
      </c>
      <c r="I2006">
        <f t="shared" si="63"/>
        <v>14500</v>
      </c>
    </row>
    <row r="2007" spans="1:9" x14ac:dyDescent="0.35">
      <c r="A2007" s="4" t="s">
        <v>2918</v>
      </c>
      <c r="B2007" s="4" t="s">
        <v>184</v>
      </c>
      <c r="C2007" s="4" t="s">
        <v>906</v>
      </c>
      <c r="D2007" s="4">
        <v>1</v>
      </c>
      <c r="E2007" s="6">
        <v>28000</v>
      </c>
      <c r="F2007" t="str">
        <f>VLOOKUP(C2007,menu!A:B,2,FALSE)</f>
        <v>Sate Ayam 10 Tusuk</v>
      </c>
      <c r="G2007">
        <f t="shared" si="62"/>
        <v>28000</v>
      </c>
      <c r="H2007">
        <f>VLOOKUP(C2007,menu!A:E,4,FALSE)</f>
        <v>12000</v>
      </c>
      <c r="I2007">
        <f t="shared" si="63"/>
        <v>16000</v>
      </c>
    </row>
    <row r="2008" spans="1:9" x14ac:dyDescent="0.35">
      <c r="A2008" s="4" t="s">
        <v>2919</v>
      </c>
      <c r="B2008" s="4" t="s">
        <v>184</v>
      </c>
      <c r="C2008" s="4" t="s">
        <v>890</v>
      </c>
      <c r="D2008" s="4">
        <v>2</v>
      </c>
      <c r="E2008" s="6">
        <v>18000</v>
      </c>
      <c r="F2008" t="str">
        <f>VLOOKUP(C2008,menu!A:B,2,FALSE)</f>
        <v>Es Kopi Susu Gula Aren</v>
      </c>
      <c r="G2008">
        <f t="shared" si="62"/>
        <v>36000</v>
      </c>
      <c r="H2008">
        <f>VLOOKUP(C2008,menu!A:E,4,FALSE)</f>
        <v>4500</v>
      </c>
      <c r="I2008">
        <f t="shared" si="63"/>
        <v>27000</v>
      </c>
    </row>
    <row r="2009" spans="1:9" x14ac:dyDescent="0.35">
      <c r="A2009" s="4" t="s">
        <v>2920</v>
      </c>
      <c r="B2009" s="4" t="s">
        <v>139</v>
      </c>
      <c r="C2009" s="4" t="s">
        <v>919</v>
      </c>
      <c r="D2009" s="4">
        <v>1</v>
      </c>
      <c r="E2009" s="6">
        <v>20000</v>
      </c>
      <c r="F2009" t="str">
        <f>VLOOKUP(C2009,menu!A:B,2,FALSE)</f>
        <v>Gado-Gado Jakarta</v>
      </c>
      <c r="G2009">
        <f t="shared" si="62"/>
        <v>20000</v>
      </c>
      <c r="H2009">
        <f>VLOOKUP(C2009,menu!A:E,4,FALSE)</f>
        <v>8000</v>
      </c>
      <c r="I2009">
        <f t="shared" si="63"/>
        <v>12000</v>
      </c>
    </row>
    <row r="2010" spans="1:9" x14ac:dyDescent="0.35">
      <c r="A2010" s="4" t="s">
        <v>2921</v>
      </c>
      <c r="B2010" s="4" t="s">
        <v>373</v>
      </c>
      <c r="C2010" s="4" t="s">
        <v>894</v>
      </c>
      <c r="D2010" s="4">
        <v>2</v>
      </c>
      <c r="E2010" s="6">
        <v>5000</v>
      </c>
      <c r="F2010" t="str">
        <f>VLOOKUP(C2010,menu!A:B,2,FALSE)</f>
        <v>Air Mineral Botol</v>
      </c>
      <c r="G2010">
        <f t="shared" si="62"/>
        <v>10000</v>
      </c>
      <c r="H2010">
        <f>VLOOKUP(C2010,menu!A:E,4,FALSE)</f>
        <v>2000</v>
      </c>
      <c r="I2010">
        <f t="shared" si="63"/>
        <v>6000</v>
      </c>
    </row>
    <row r="2011" spans="1:9" x14ac:dyDescent="0.35">
      <c r="A2011" s="4" t="s">
        <v>2922</v>
      </c>
      <c r="B2011" s="4" t="s">
        <v>549</v>
      </c>
      <c r="C2011" s="4" t="s">
        <v>898</v>
      </c>
      <c r="D2011" s="4">
        <v>1</v>
      </c>
      <c r="E2011" s="6">
        <v>27000</v>
      </c>
      <c r="F2011" t="str">
        <f>VLOOKUP(C2011,menu!A:B,2,FALSE)</f>
        <v>Ayam Geprek Sambal Bawang</v>
      </c>
      <c r="G2011">
        <f t="shared" si="62"/>
        <v>27000</v>
      </c>
      <c r="H2011">
        <f>VLOOKUP(C2011,menu!A:E,4,FALSE)</f>
        <v>11000</v>
      </c>
      <c r="I2011">
        <f t="shared" si="63"/>
        <v>16000</v>
      </c>
    </row>
    <row r="2012" spans="1:9" x14ac:dyDescent="0.35">
      <c r="A2012" s="4" t="s">
        <v>2923</v>
      </c>
      <c r="B2012" s="4" t="s">
        <v>549</v>
      </c>
      <c r="C2012" s="4" t="s">
        <v>890</v>
      </c>
      <c r="D2012" s="4">
        <v>1</v>
      </c>
      <c r="E2012" s="6">
        <v>18000</v>
      </c>
      <c r="F2012" t="str">
        <f>VLOOKUP(C2012,menu!A:B,2,FALSE)</f>
        <v>Es Kopi Susu Gula Aren</v>
      </c>
      <c r="G2012">
        <f t="shared" si="62"/>
        <v>18000</v>
      </c>
      <c r="H2012">
        <f>VLOOKUP(C2012,menu!A:E,4,FALSE)</f>
        <v>4500</v>
      </c>
      <c r="I2012">
        <f t="shared" si="63"/>
        <v>13500</v>
      </c>
    </row>
    <row r="2013" spans="1:9" x14ac:dyDescent="0.35">
      <c r="A2013" s="4" t="s">
        <v>2924</v>
      </c>
      <c r="B2013" s="4" t="s">
        <v>549</v>
      </c>
      <c r="C2013" s="4" t="s">
        <v>892</v>
      </c>
      <c r="D2013" s="4">
        <v>1</v>
      </c>
      <c r="E2013" s="6">
        <v>9000</v>
      </c>
      <c r="F2013" t="str">
        <f>VLOOKUP(C2013,menu!A:B,2,FALSE)</f>
        <v>Tempe Mendoan (5pcs)</v>
      </c>
      <c r="G2013">
        <f t="shared" si="62"/>
        <v>9000</v>
      </c>
      <c r="H2013">
        <f>VLOOKUP(C2013,menu!A:E,4,FALSE)</f>
        <v>3000</v>
      </c>
      <c r="I2013">
        <f t="shared" si="63"/>
        <v>6000</v>
      </c>
    </row>
    <row r="2014" spans="1:9" x14ac:dyDescent="0.35">
      <c r="A2014" s="4" t="s">
        <v>2925</v>
      </c>
      <c r="B2014" s="4" t="s">
        <v>549</v>
      </c>
      <c r="C2014" s="4" t="s">
        <v>955</v>
      </c>
      <c r="D2014" s="4">
        <v>1</v>
      </c>
      <c r="E2014" s="6">
        <v>15000</v>
      </c>
      <c r="F2014" t="str">
        <f>VLOOKUP(C2014,menu!A:B,2,FALSE)</f>
        <v>Es Campur</v>
      </c>
      <c r="G2014">
        <f t="shared" si="62"/>
        <v>15000</v>
      </c>
      <c r="H2014">
        <f>VLOOKUP(C2014,menu!A:E,4,FALSE)</f>
        <v>6000</v>
      </c>
      <c r="I2014">
        <f t="shared" si="63"/>
        <v>9000</v>
      </c>
    </row>
    <row r="2015" spans="1:9" x14ac:dyDescent="0.35">
      <c r="A2015" s="4" t="s">
        <v>2926</v>
      </c>
      <c r="B2015" s="4" t="s">
        <v>858</v>
      </c>
      <c r="C2015" s="4" t="s">
        <v>919</v>
      </c>
      <c r="D2015" s="4">
        <v>1</v>
      </c>
      <c r="E2015" s="6">
        <v>20000</v>
      </c>
      <c r="F2015" t="str">
        <f>VLOOKUP(C2015,menu!A:B,2,FALSE)</f>
        <v>Gado-Gado Jakarta</v>
      </c>
      <c r="G2015">
        <f t="shared" si="62"/>
        <v>20000</v>
      </c>
      <c r="H2015">
        <f>VLOOKUP(C2015,menu!A:E,4,FALSE)</f>
        <v>8000</v>
      </c>
      <c r="I2015">
        <f t="shared" si="63"/>
        <v>12000</v>
      </c>
    </row>
    <row r="2016" spans="1:9" x14ac:dyDescent="0.35">
      <c r="A2016" s="4" t="s">
        <v>2927</v>
      </c>
      <c r="B2016" s="4" t="s">
        <v>858</v>
      </c>
      <c r="C2016" s="4" t="s">
        <v>931</v>
      </c>
      <c r="D2016" s="4">
        <v>1</v>
      </c>
      <c r="E2016" s="6">
        <v>5000</v>
      </c>
      <c r="F2016" t="str">
        <f>VLOOKUP(C2016,menu!A:B,2,FALSE)</f>
        <v>Kerupuk Udang</v>
      </c>
      <c r="G2016">
        <f t="shared" si="62"/>
        <v>5000</v>
      </c>
      <c r="H2016">
        <f>VLOOKUP(C2016,menu!A:E,4,FALSE)</f>
        <v>1500</v>
      </c>
      <c r="I2016">
        <f t="shared" si="63"/>
        <v>3500</v>
      </c>
    </row>
    <row r="2017" spans="1:9" x14ac:dyDescent="0.35">
      <c r="A2017" s="4" t="s">
        <v>2928</v>
      </c>
      <c r="B2017" s="4" t="s">
        <v>858</v>
      </c>
      <c r="C2017" s="4" t="s">
        <v>898</v>
      </c>
      <c r="D2017" s="4">
        <v>1</v>
      </c>
      <c r="E2017" s="6">
        <v>27000</v>
      </c>
      <c r="F2017" t="str">
        <f>VLOOKUP(C2017,menu!A:B,2,FALSE)</f>
        <v>Ayam Geprek Sambal Bawang</v>
      </c>
      <c r="G2017">
        <f t="shared" si="62"/>
        <v>27000</v>
      </c>
      <c r="H2017">
        <f>VLOOKUP(C2017,menu!A:E,4,FALSE)</f>
        <v>11000</v>
      </c>
      <c r="I2017">
        <f t="shared" si="63"/>
        <v>16000</v>
      </c>
    </row>
    <row r="2018" spans="1:9" x14ac:dyDescent="0.35">
      <c r="A2018" s="4" t="s">
        <v>2929</v>
      </c>
      <c r="B2018" s="4" t="s">
        <v>652</v>
      </c>
      <c r="C2018" s="4" t="s">
        <v>944</v>
      </c>
      <c r="D2018" s="4">
        <v>3</v>
      </c>
      <c r="E2018" s="6">
        <v>32000</v>
      </c>
      <c r="F2018" t="str">
        <f>VLOOKUP(C2018,menu!A:B,2,FALSE)</f>
        <v>Nasi Padang Rendang</v>
      </c>
      <c r="G2018">
        <f t="shared" si="62"/>
        <v>96000</v>
      </c>
      <c r="H2018">
        <f>VLOOKUP(C2018,menu!A:E,4,FALSE)</f>
        <v>14000</v>
      </c>
      <c r="I2018">
        <f t="shared" si="63"/>
        <v>54000</v>
      </c>
    </row>
    <row r="2019" spans="1:9" x14ac:dyDescent="0.35">
      <c r="A2019" s="4" t="s">
        <v>2930</v>
      </c>
      <c r="B2019" s="4" t="s">
        <v>652</v>
      </c>
      <c r="C2019" s="4" t="s">
        <v>898</v>
      </c>
      <c r="D2019" s="4">
        <v>3</v>
      </c>
      <c r="E2019" s="6">
        <v>27000</v>
      </c>
      <c r="F2019" t="str">
        <f>VLOOKUP(C2019,menu!A:B,2,FALSE)</f>
        <v>Ayam Geprek Sambal Bawang</v>
      </c>
      <c r="G2019">
        <f t="shared" si="62"/>
        <v>81000</v>
      </c>
      <c r="H2019">
        <f>VLOOKUP(C2019,menu!A:E,4,FALSE)</f>
        <v>11000</v>
      </c>
      <c r="I2019">
        <f t="shared" si="63"/>
        <v>48000</v>
      </c>
    </row>
    <row r="2020" spans="1:9" x14ac:dyDescent="0.35">
      <c r="A2020" s="4" t="s">
        <v>2931</v>
      </c>
      <c r="B2020" s="4" t="s">
        <v>296</v>
      </c>
      <c r="C2020" s="4" t="s">
        <v>894</v>
      </c>
      <c r="D2020" s="4">
        <v>1</v>
      </c>
      <c r="E2020" s="6">
        <v>5000</v>
      </c>
      <c r="F2020" t="str">
        <f>VLOOKUP(C2020,menu!A:B,2,FALSE)</f>
        <v>Air Mineral Botol</v>
      </c>
      <c r="G2020">
        <f t="shared" si="62"/>
        <v>5000</v>
      </c>
      <c r="H2020">
        <f>VLOOKUP(C2020,menu!A:E,4,FALSE)</f>
        <v>2000</v>
      </c>
      <c r="I2020">
        <f t="shared" si="63"/>
        <v>3000</v>
      </c>
    </row>
    <row r="2021" spans="1:9" x14ac:dyDescent="0.35">
      <c r="A2021" s="4" t="s">
        <v>2932</v>
      </c>
      <c r="B2021" s="4" t="s">
        <v>296</v>
      </c>
      <c r="C2021" s="4" t="s">
        <v>928</v>
      </c>
      <c r="D2021" s="4">
        <v>1</v>
      </c>
      <c r="E2021" s="6">
        <v>23000</v>
      </c>
      <c r="F2021" t="str">
        <f>VLOOKUP(C2021,menu!A:B,2,FALSE)</f>
        <v>Mie Goreng Jawa</v>
      </c>
      <c r="G2021">
        <f t="shared" si="62"/>
        <v>23000</v>
      </c>
      <c r="H2021">
        <f>VLOOKUP(C2021,menu!A:E,4,FALSE)</f>
        <v>8500</v>
      </c>
      <c r="I2021">
        <f t="shared" si="63"/>
        <v>14500</v>
      </c>
    </row>
    <row r="2022" spans="1:9" x14ac:dyDescent="0.35">
      <c r="A2022" s="4" t="s">
        <v>2933</v>
      </c>
      <c r="B2022" s="4" t="s">
        <v>296</v>
      </c>
      <c r="C2022" s="4" t="s">
        <v>898</v>
      </c>
      <c r="D2022" s="4">
        <v>1</v>
      </c>
      <c r="E2022" s="6">
        <v>27000</v>
      </c>
      <c r="F2022" t="str">
        <f>VLOOKUP(C2022,menu!A:B,2,FALSE)</f>
        <v>Ayam Geprek Sambal Bawang</v>
      </c>
      <c r="G2022">
        <f t="shared" si="62"/>
        <v>27000</v>
      </c>
      <c r="H2022">
        <f>VLOOKUP(C2022,menu!A:E,4,FALSE)</f>
        <v>11000</v>
      </c>
      <c r="I2022">
        <f t="shared" si="63"/>
        <v>16000</v>
      </c>
    </row>
    <row r="2023" spans="1:9" x14ac:dyDescent="0.35">
      <c r="A2023" s="4" t="s">
        <v>2934</v>
      </c>
      <c r="B2023" s="4" t="s">
        <v>201</v>
      </c>
      <c r="C2023" s="4" t="s">
        <v>908</v>
      </c>
      <c r="D2023" s="4">
        <v>1</v>
      </c>
      <c r="E2023" s="6">
        <v>16000</v>
      </c>
      <c r="F2023" t="str">
        <f>VLOOKUP(C2023,menu!A:B,2,FALSE)</f>
        <v>Jus Alpukat</v>
      </c>
      <c r="G2023">
        <f t="shared" si="62"/>
        <v>16000</v>
      </c>
      <c r="H2023">
        <f>VLOOKUP(C2023,menu!A:E,4,FALSE)</f>
        <v>5500</v>
      </c>
      <c r="I2023">
        <f t="shared" si="63"/>
        <v>10500</v>
      </c>
    </row>
    <row r="2024" spans="1:9" x14ac:dyDescent="0.35">
      <c r="A2024" s="4" t="s">
        <v>2935</v>
      </c>
      <c r="B2024" s="4" t="s">
        <v>201</v>
      </c>
      <c r="C2024" s="4" t="s">
        <v>902</v>
      </c>
      <c r="D2024" s="4">
        <v>2</v>
      </c>
      <c r="E2024" s="6">
        <v>12000</v>
      </c>
      <c r="F2024" t="str">
        <f>VLOOKUP(C2024,menu!A:B,2,FALSE)</f>
        <v>Teh Tarik</v>
      </c>
      <c r="G2024">
        <f t="shared" si="62"/>
        <v>24000</v>
      </c>
      <c r="H2024">
        <f>VLOOKUP(C2024,menu!A:E,4,FALSE)</f>
        <v>3000</v>
      </c>
      <c r="I2024">
        <f t="shared" si="63"/>
        <v>18000</v>
      </c>
    </row>
    <row r="2025" spans="1:9" x14ac:dyDescent="0.35">
      <c r="A2025" s="4" t="s">
        <v>2936</v>
      </c>
      <c r="B2025" s="4" t="s">
        <v>201</v>
      </c>
      <c r="C2025" s="4" t="s">
        <v>898</v>
      </c>
      <c r="D2025" s="4">
        <v>2</v>
      </c>
      <c r="E2025" s="6">
        <v>27000</v>
      </c>
      <c r="F2025" t="str">
        <f>VLOOKUP(C2025,menu!A:B,2,FALSE)</f>
        <v>Ayam Geprek Sambal Bawang</v>
      </c>
      <c r="G2025">
        <f t="shared" si="62"/>
        <v>54000</v>
      </c>
      <c r="H2025">
        <f>VLOOKUP(C2025,menu!A:E,4,FALSE)</f>
        <v>11000</v>
      </c>
      <c r="I2025">
        <f t="shared" si="63"/>
        <v>32000</v>
      </c>
    </row>
    <row r="2026" spans="1:9" x14ac:dyDescent="0.35">
      <c r="A2026" s="4" t="s">
        <v>2937</v>
      </c>
      <c r="B2026" s="4" t="s">
        <v>707</v>
      </c>
      <c r="C2026" s="4" t="s">
        <v>935</v>
      </c>
      <c r="D2026" s="4">
        <v>1</v>
      </c>
      <c r="E2026" s="6">
        <v>22000</v>
      </c>
      <c r="F2026" t="str">
        <f>VLOOKUP(C2026,menu!A:B,2,FALSE)</f>
        <v>Soto Ayam Lamongan</v>
      </c>
      <c r="G2026">
        <f t="shared" si="62"/>
        <v>22000</v>
      </c>
      <c r="H2026">
        <f>VLOOKUP(C2026,menu!A:E,4,FALSE)</f>
        <v>9500</v>
      </c>
      <c r="I2026">
        <f t="shared" si="63"/>
        <v>12500</v>
      </c>
    </row>
    <row r="2027" spans="1:9" x14ac:dyDescent="0.35">
      <c r="A2027" s="4" t="s">
        <v>2938</v>
      </c>
      <c r="B2027" s="4" t="s">
        <v>707</v>
      </c>
      <c r="C2027" s="4" t="s">
        <v>1059</v>
      </c>
      <c r="D2027" s="4">
        <v>2</v>
      </c>
      <c r="E2027" s="6">
        <v>6000</v>
      </c>
      <c r="F2027" t="str">
        <f>VLOOKUP(C2027,menu!A:B,2,FALSE)</f>
        <v>Es Teh Manis</v>
      </c>
      <c r="G2027">
        <f t="shared" si="62"/>
        <v>12000</v>
      </c>
      <c r="H2027">
        <f>VLOOKUP(C2027,menu!A:E,4,FALSE)</f>
        <v>1500</v>
      </c>
      <c r="I2027">
        <f t="shared" si="63"/>
        <v>9000</v>
      </c>
    </row>
    <row r="2028" spans="1:9" x14ac:dyDescent="0.35">
      <c r="A2028" s="4" t="s">
        <v>2939</v>
      </c>
      <c r="B2028" s="4" t="s">
        <v>707</v>
      </c>
      <c r="C2028" s="4" t="s">
        <v>898</v>
      </c>
      <c r="D2028" s="4">
        <v>1</v>
      </c>
      <c r="E2028" s="6">
        <v>27000</v>
      </c>
      <c r="F2028" t="str">
        <f>VLOOKUP(C2028,menu!A:B,2,FALSE)</f>
        <v>Ayam Geprek Sambal Bawang</v>
      </c>
      <c r="G2028">
        <f t="shared" si="62"/>
        <v>27000</v>
      </c>
      <c r="H2028">
        <f>VLOOKUP(C2028,menu!A:E,4,FALSE)</f>
        <v>11000</v>
      </c>
      <c r="I2028">
        <f t="shared" si="63"/>
        <v>16000</v>
      </c>
    </row>
    <row r="2029" spans="1:9" x14ac:dyDescent="0.35">
      <c r="A2029" s="4" t="s">
        <v>2940</v>
      </c>
      <c r="B2029" s="4" t="s">
        <v>791</v>
      </c>
      <c r="C2029" s="4" t="s">
        <v>898</v>
      </c>
      <c r="D2029" s="4">
        <v>3</v>
      </c>
      <c r="E2029" s="6">
        <v>27000</v>
      </c>
      <c r="F2029" t="str">
        <f>VLOOKUP(C2029,menu!A:B,2,FALSE)</f>
        <v>Ayam Geprek Sambal Bawang</v>
      </c>
      <c r="G2029">
        <f t="shared" si="62"/>
        <v>81000</v>
      </c>
      <c r="H2029">
        <f>VLOOKUP(C2029,menu!A:E,4,FALSE)</f>
        <v>11000</v>
      </c>
      <c r="I2029">
        <f t="shared" si="63"/>
        <v>48000</v>
      </c>
    </row>
    <row r="2030" spans="1:9" x14ac:dyDescent="0.35">
      <c r="A2030" s="4" t="s">
        <v>2941</v>
      </c>
      <c r="B2030" s="4" t="s">
        <v>791</v>
      </c>
      <c r="C2030" s="4" t="s">
        <v>908</v>
      </c>
      <c r="D2030" s="4">
        <v>1</v>
      </c>
      <c r="E2030" s="6">
        <v>16000</v>
      </c>
      <c r="F2030" t="str">
        <f>VLOOKUP(C2030,menu!A:B,2,FALSE)</f>
        <v>Jus Alpukat</v>
      </c>
      <c r="G2030">
        <f t="shared" si="62"/>
        <v>16000</v>
      </c>
      <c r="H2030">
        <f>VLOOKUP(C2030,menu!A:E,4,FALSE)</f>
        <v>5500</v>
      </c>
      <c r="I2030">
        <f t="shared" si="63"/>
        <v>10500</v>
      </c>
    </row>
    <row r="2031" spans="1:9" x14ac:dyDescent="0.35">
      <c r="A2031" s="4" t="s">
        <v>2942</v>
      </c>
      <c r="B2031" s="4" t="s">
        <v>791</v>
      </c>
      <c r="C2031" s="4" t="s">
        <v>1019</v>
      </c>
      <c r="D2031" s="4">
        <v>1</v>
      </c>
      <c r="E2031" s="6">
        <v>21000</v>
      </c>
      <c r="F2031" t="str">
        <f>VLOOKUP(C2031,menu!A:B,2,FALSE)</f>
        <v>Bakso Urat Spesial</v>
      </c>
      <c r="G2031">
        <f t="shared" si="62"/>
        <v>21000</v>
      </c>
      <c r="H2031">
        <f>VLOOKUP(C2031,menu!A:E,4,FALSE)</f>
        <v>8500</v>
      </c>
      <c r="I2031">
        <f t="shared" si="63"/>
        <v>12500</v>
      </c>
    </row>
    <row r="2032" spans="1:9" x14ac:dyDescent="0.35">
      <c r="A2032" s="4" t="s">
        <v>2943</v>
      </c>
      <c r="B2032" s="4" t="s">
        <v>256</v>
      </c>
      <c r="C2032" s="4" t="s">
        <v>928</v>
      </c>
      <c r="D2032" s="4">
        <v>3</v>
      </c>
      <c r="E2032" s="6">
        <v>23000</v>
      </c>
      <c r="F2032" t="str">
        <f>VLOOKUP(C2032,menu!A:B,2,FALSE)</f>
        <v>Mie Goreng Jawa</v>
      </c>
      <c r="G2032">
        <f t="shared" si="62"/>
        <v>69000</v>
      </c>
      <c r="H2032">
        <f>VLOOKUP(C2032,menu!A:E,4,FALSE)</f>
        <v>8500</v>
      </c>
      <c r="I2032">
        <f t="shared" si="63"/>
        <v>43500</v>
      </c>
    </row>
    <row r="2033" spans="1:9" x14ac:dyDescent="0.35">
      <c r="A2033" s="4" t="s">
        <v>2944</v>
      </c>
      <c r="B2033" s="4" t="s">
        <v>256</v>
      </c>
      <c r="C2033" s="4" t="s">
        <v>902</v>
      </c>
      <c r="D2033" s="4">
        <v>1</v>
      </c>
      <c r="E2033" s="6">
        <v>12000</v>
      </c>
      <c r="F2033" t="str">
        <f>VLOOKUP(C2033,menu!A:B,2,FALSE)</f>
        <v>Teh Tarik</v>
      </c>
      <c r="G2033">
        <f t="shared" si="62"/>
        <v>12000</v>
      </c>
      <c r="H2033">
        <f>VLOOKUP(C2033,menu!A:E,4,FALSE)</f>
        <v>3000</v>
      </c>
      <c r="I2033">
        <f t="shared" si="63"/>
        <v>9000</v>
      </c>
    </row>
    <row r="2034" spans="1:9" x14ac:dyDescent="0.35">
      <c r="A2034" s="4" t="s">
        <v>2945</v>
      </c>
      <c r="B2034" s="4" t="s">
        <v>256</v>
      </c>
      <c r="C2034" s="4" t="s">
        <v>919</v>
      </c>
      <c r="D2034" s="4">
        <v>1</v>
      </c>
      <c r="E2034" s="6">
        <v>20000</v>
      </c>
      <c r="F2034" t="str">
        <f>VLOOKUP(C2034,menu!A:B,2,FALSE)</f>
        <v>Gado-Gado Jakarta</v>
      </c>
      <c r="G2034">
        <f t="shared" si="62"/>
        <v>20000</v>
      </c>
      <c r="H2034">
        <f>VLOOKUP(C2034,menu!A:E,4,FALSE)</f>
        <v>8000</v>
      </c>
      <c r="I2034">
        <f t="shared" si="63"/>
        <v>12000</v>
      </c>
    </row>
    <row r="2035" spans="1:9" x14ac:dyDescent="0.35">
      <c r="A2035" s="4" t="s">
        <v>2946</v>
      </c>
      <c r="B2035" s="4" t="s">
        <v>152</v>
      </c>
      <c r="C2035" s="4" t="s">
        <v>906</v>
      </c>
      <c r="D2035" s="4">
        <v>1</v>
      </c>
      <c r="E2035" s="6">
        <v>28000</v>
      </c>
      <c r="F2035" t="str">
        <f>VLOOKUP(C2035,menu!A:B,2,FALSE)</f>
        <v>Sate Ayam 10 Tusuk</v>
      </c>
      <c r="G2035">
        <f t="shared" si="62"/>
        <v>28000</v>
      </c>
      <c r="H2035">
        <f>VLOOKUP(C2035,menu!A:E,4,FALSE)</f>
        <v>12000</v>
      </c>
      <c r="I2035">
        <f t="shared" si="63"/>
        <v>16000</v>
      </c>
    </row>
    <row r="2036" spans="1:9" x14ac:dyDescent="0.35">
      <c r="A2036" s="4" t="s">
        <v>2947</v>
      </c>
      <c r="B2036" s="4" t="s">
        <v>152</v>
      </c>
      <c r="C2036" s="4" t="s">
        <v>935</v>
      </c>
      <c r="D2036" s="4">
        <v>1</v>
      </c>
      <c r="E2036" s="6">
        <v>22000</v>
      </c>
      <c r="F2036" t="str">
        <f>VLOOKUP(C2036,menu!A:B,2,FALSE)</f>
        <v>Soto Ayam Lamongan</v>
      </c>
      <c r="G2036">
        <f t="shared" si="62"/>
        <v>22000</v>
      </c>
      <c r="H2036">
        <f>VLOOKUP(C2036,menu!A:E,4,FALSE)</f>
        <v>9500</v>
      </c>
      <c r="I2036">
        <f t="shared" si="63"/>
        <v>12500</v>
      </c>
    </row>
    <row r="2037" spans="1:9" x14ac:dyDescent="0.35">
      <c r="A2037" s="4" t="s">
        <v>2948</v>
      </c>
      <c r="B2037" s="4" t="s">
        <v>152</v>
      </c>
      <c r="C2037" s="4" t="s">
        <v>896</v>
      </c>
      <c r="D2037" s="4">
        <v>1</v>
      </c>
      <c r="E2037" s="6">
        <v>23000</v>
      </c>
      <c r="F2037" t="str">
        <f>VLOOKUP(C2037,menu!A:B,2,FALSE)</f>
        <v>Nasi Uduk Komplit</v>
      </c>
      <c r="G2037">
        <f t="shared" si="62"/>
        <v>23000</v>
      </c>
      <c r="H2037">
        <f>VLOOKUP(C2037,menu!A:E,4,FALSE)</f>
        <v>9000</v>
      </c>
      <c r="I2037">
        <f t="shared" si="63"/>
        <v>14000</v>
      </c>
    </row>
    <row r="2038" spans="1:9" x14ac:dyDescent="0.35">
      <c r="A2038" s="4" t="s">
        <v>2949</v>
      </c>
      <c r="B2038" s="4" t="s">
        <v>213</v>
      </c>
      <c r="C2038" s="4" t="s">
        <v>898</v>
      </c>
      <c r="D2038" s="4">
        <v>2</v>
      </c>
      <c r="E2038" s="6">
        <v>27000</v>
      </c>
      <c r="F2038" t="str">
        <f>VLOOKUP(C2038,menu!A:B,2,FALSE)</f>
        <v>Ayam Geprek Sambal Bawang</v>
      </c>
      <c r="G2038">
        <f t="shared" si="62"/>
        <v>54000</v>
      </c>
      <c r="H2038">
        <f>VLOOKUP(C2038,menu!A:E,4,FALSE)</f>
        <v>11000</v>
      </c>
      <c r="I2038">
        <f t="shared" si="63"/>
        <v>32000</v>
      </c>
    </row>
    <row r="2039" spans="1:9" x14ac:dyDescent="0.35">
      <c r="A2039" s="4" t="s">
        <v>2950</v>
      </c>
      <c r="B2039" s="4" t="s">
        <v>213</v>
      </c>
      <c r="C2039" s="4" t="s">
        <v>890</v>
      </c>
      <c r="D2039" s="4">
        <v>1</v>
      </c>
      <c r="E2039" s="6">
        <v>18000</v>
      </c>
      <c r="F2039" t="str">
        <f>VLOOKUP(C2039,menu!A:B,2,FALSE)</f>
        <v>Es Kopi Susu Gula Aren</v>
      </c>
      <c r="G2039">
        <f t="shared" si="62"/>
        <v>18000</v>
      </c>
      <c r="H2039">
        <f>VLOOKUP(C2039,menu!A:E,4,FALSE)</f>
        <v>4500</v>
      </c>
      <c r="I2039">
        <f t="shared" si="63"/>
        <v>13500</v>
      </c>
    </row>
    <row r="2040" spans="1:9" x14ac:dyDescent="0.35">
      <c r="A2040" s="4" t="s">
        <v>2951</v>
      </c>
      <c r="B2040" s="4" t="s">
        <v>213</v>
      </c>
      <c r="C2040" s="4" t="s">
        <v>935</v>
      </c>
      <c r="D2040" s="4">
        <v>1</v>
      </c>
      <c r="E2040" s="6">
        <v>22000</v>
      </c>
      <c r="F2040" t="str">
        <f>VLOOKUP(C2040,menu!A:B,2,FALSE)</f>
        <v>Soto Ayam Lamongan</v>
      </c>
      <c r="G2040">
        <f t="shared" si="62"/>
        <v>22000</v>
      </c>
      <c r="H2040">
        <f>VLOOKUP(C2040,menu!A:E,4,FALSE)</f>
        <v>9500</v>
      </c>
      <c r="I2040">
        <f t="shared" si="63"/>
        <v>12500</v>
      </c>
    </row>
    <row r="2041" spans="1:9" x14ac:dyDescent="0.35">
      <c r="A2041" s="4" t="s">
        <v>2952</v>
      </c>
      <c r="B2041" s="4" t="s">
        <v>213</v>
      </c>
      <c r="C2041" s="4" t="s">
        <v>937</v>
      </c>
      <c r="D2041" s="4">
        <v>3</v>
      </c>
      <c r="E2041" s="6">
        <v>26000</v>
      </c>
      <c r="F2041" t="str">
        <f>VLOOKUP(C2041,menu!A:B,2,FALSE)</f>
        <v>Nasi Campur Bali</v>
      </c>
      <c r="G2041">
        <f t="shared" si="62"/>
        <v>78000</v>
      </c>
      <c r="H2041">
        <f>VLOOKUP(C2041,menu!A:E,4,FALSE)</f>
        <v>11500</v>
      </c>
      <c r="I2041">
        <f t="shared" si="63"/>
        <v>43500</v>
      </c>
    </row>
    <row r="2042" spans="1:9" x14ac:dyDescent="0.35">
      <c r="A2042" s="4" t="s">
        <v>2953</v>
      </c>
      <c r="B2042" s="4" t="s">
        <v>623</v>
      </c>
      <c r="C2042" s="4" t="s">
        <v>937</v>
      </c>
      <c r="D2042" s="4">
        <v>1</v>
      </c>
      <c r="E2042" s="6">
        <v>26000</v>
      </c>
      <c r="F2042" t="str">
        <f>VLOOKUP(C2042,menu!A:B,2,FALSE)</f>
        <v>Nasi Campur Bali</v>
      </c>
      <c r="G2042">
        <f t="shared" si="62"/>
        <v>26000</v>
      </c>
      <c r="H2042">
        <f>VLOOKUP(C2042,menu!A:E,4,FALSE)</f>
        <v>11500</v>
      </c>
      <c r="I2042">
        <f t="shared" si="63"/>
        <v>14500</v>
      </c>
    </row>
    <row r="2043" spans="1:9" x14ac:dyDescent="0.35">
      <c r="A2043" s="4" t="s">
        <v>2954</v>
      </c>
      <c r="B2043" s="4" t="s">
        <v>878</v>
      </c>
      <c r="C2043" s="4" t="s">
        <v>894</v>
      </c>
      <c r="D2043" s="4">
        <v>1</v>
      </c>
      <c r="E2043" s="6">
        <v>5000</v>
      </c>
      <c r="F2043" t="str">
        <f>VLOOKUP(C2043,menu!A:B,2,FALSE)</f>
        <v>Air Mineral Botol</v>
      </c>
      <c r="G2043">
        <f t="shared" si="62"/>
        <v>5000</v>
      </c>
      <c r="H2043">
        <f>VLOOKUP(C2043,menu!A:E,4,FALSE)</f>
        <v>2000</v>
      </c>
      <c r="I2043">
        <f t="shared" si="63"/>
        <v>3000</v>
      </c>
    </row>
    <row r="2044" spans="1:9" x14ac:dyDescent="0.35">
      <c r="A2044" s="4" t="s">
        <v>2955</v>
      </c>
      <c r="B2044" s="4" t="s">
        <v>861</v>
      </c>
      <c r="C2044" s="4" t="s">
        <v>898</v>
      </c>
      <c r="D2044" s="4">
        <v>1</v>
      </c>
      <c r="E2044" s="6">
        <v>27000</v>
      </c>
      <c r="F2044" t="str">
        <f>VLOOKUP(C2044,menu!A:B,2,FALSE)</f>
        <v>Ayam Geprek Sambal Bawang</v>
      </c>
      <c r="G2044">
        <f t="shared" si="62"/>
        <v>27000</v>
      </c>
      <c r="H2044">
        <f>VLOOKUP(C2044,menu!A:E,4,FALSE)</f>
        <v>11000</v>
      </c>
      <c r="I2044">
        <f t="shared" si="63"/>
        <v>16000</v>
      </c>
    </row>
    <row r="2045" spans="1:9" x14ac:dyDescent="0.35">
      <c r="A2045" s="4" t="s">
        <v>2956</v>
      </c>
      <c r="B2045" s="4" t="s">
        <v>861</v>
      </c>
      <c r="C2045" s="4" t="s">
        <v>890</v>
      </c>
      <c r="D2045" s="4">
        <v>1</v>
      </c>
      <c r="E2045" s="6">
        <v>18000</v>
      </c>
      <c r="F2045" t="str">
        <f>VLOOKUP(C2045,menu!A:B,2,FALSE)</f>
        <v>Es Kopi Susu Gula Aren</v>
      </c>
      <c r="G2045">
        <f t="shared" si="62"/>
        <v>18000</v>
      </c>
      <c r="H2045">
        <f>VLOOKUP(C2045,menu!A:E,4,FALSE)</f>
        <v>4500</v>
      </c>
      <c r="I2045">
        <f t="shared" si="63"/>
        <v>13500</v>
      </c>
    </row>
    <row r="2046" spans="1:9" x14ac:dyDescent="0.35">
      <c r="A2046" s="4" t="s">
        <v>2957</v>
      </c>
      <c r="B2046" s="4" t="s">
        <v>794</v>
      </c>
      <c r="C2046" s="4" t="s">
        <v>898</v>
      </c>
      <c r="D2046" s="4">
        <v>1</v>
      </c>
      <c r="E2046" s="6">
        <v>27000</v>
      </c>
      <c r="F2046" t="str">
        <f>VLOOKUP(C2046,menu!A:B,2,FALSE)</f>
        <v>Ayam Geprek Sambal Bawang</v>
      </c>
      <c r="G2046">
        <f t="shared" si="62"/>
        <v>27000</v>
      </c>
      <c r="H2046">
        <f>VLOOKUP(C2046,menu!A:E,4,FALSE)</f>
        <v>11000</v>
      </c>
      <c r="I2046">
        <f t="shared" si="63"/>
        <v>16000</v>
      </c>
    </row>
    <row r="2047" spans="1:9" x14ac:dyDescent="0.35">
      <c r="A2047" s="4" t="s">
        <v>2958</v>
      </c>
      <c r="B2047" s="4" t="s">
        <v>794</v>
      </c>
      <c r="C2047" s="4" t="s">
        <v>937</v>
      </c>
      <c r="D2047" s="4">
        <v>1</v>
      </c>
      <c r="E2047" s="6">
        <v>26000</v>
      </c>
      <c r="F2047" t="str">
        <f>VLOOKUP(C2047,menu!A:B,2,FALSE)</f>
        <v>Nasi Campur Bali</v>
      </c>
      <c r="G2047">
        <f t="shared" si="62"/>
        <v>26000</v>
      </c>
      <c r="H2047">
        <f>VLOOKUP(C2047,menu!A:E,4,FALSE)</f>
        <v>11500</v>
      </c>
      <c r="I2047">
        <f t="shared" si="63"/>
        <v>14500</v>
      </c>
    </row>
    <row r="2048" spans="1:9" x14ac:dyDescent="0.35">
      <c r="A2048" s="4" t="s">
        <v>2959</v>
      </c>
      <c r="B2048" s="4" t="s">
        <v>794</v>
      </c>
      <c r="C2048" s="4" t="s">
        <v>896</v>
      </c>
      <c r="D2048" s="4">
        <v>2</v>
      </c>
      <c r="E2048" s="6">
        <v>23000</v>
      </c>
      <c r="F2048" t="str">
        <f>VLOOKUP(C2048,menu!A:B,2,FALSE)</f>
        <v>Nasi Uduk Komplit</v>
      </c>
      <c r="G2048">
        <f t="shared" si="62"/>
        <v>46000</v>
      </c>
      <c r="H2048">
        <f>VLOOKUP(C2048,menu!A:E,4,FALSE)</f>
        <v>9000</v>
      </c>
      <c r="I2048">
        <f t="shared" si="63"/>
        <v>28000</v>
      </c>
    </row>
    <row r="2049" spans="1:9" x14ac:dyDescent="0.35">
      <c r="A2049" s="4" t="s">
        <v>2960</v>
      </c>
      <c r="B2049" s="4" t="s">
        <v>794</v>
      </c>
      <c r="C2049" s="4" t="s">
        <v>908</v>
      </c>
      <c r="D2049" s="4">
        <v>1</v>
      </c>
      <c r="E2049" s="6">
        <v>16000</v>
      </c>
      <c r="F2049" t="str">
        <f>VLOOKUP(C2049,menu!A:B,2,FALSE)</f>
        <v>Jus Alpukat</v>
      </c>
      <c r="G2049">
        <f t="shared" si="62"/>
        <v>16000</v>
      </c>
      <c r="H2049">
        <f>VLOOKUP(C2049,menu!A:E,4,FALSE)</f>
        <v>5500</v>
      </c>
      <c r="I2049">
        <f t="shared" si="63"/>
        <v>10500</v>
      </c>
    </row>
    <row r="2050" spans="1:9" x14ac:dyDescent="0.35">
      <c r="A2050" s="4" t="s">
        <v>2961</v>
      </c>
      <c r="B2050" s="4" t="s">
        <v>217</v>
      </c>
      <c r="C2050" s="4" t="s">
        <v>896</v>
      </c>
      <c r="D2050" s="4">
        <v>1</v>
      </c>
      <c r="E2050" s="6">
        <v>23000</v>
      </c>
      <c r="F2050" t="str">
        <f>VLOOKUP(C2050,menu!A:B,2,FALSE)</f>
        <v>Nasi Uduk Komplit</v>
      </c>
      <c r="G2050">
        <f t="shared" si="62"/>
        <v>23000</v>
      </c>
      <c r="H2050">
        <f>VLOOKUP(C2050,menu!A:E,4,FALSE)</f>
        <v>9000</v>
      </c>
      <c r="I2050">
        <f t="shared" si="63"/>
        <v>14000</v>
      </c>
    </row>
    <row r="2051" spans="1:9" x14ac:dyDescent="0.35">
      <c r="A2051" s="4" t="s">
        <v>2962</v>
      </c>
      <c r="B2051" s="4" t="s">
        <v>435</v>
      </c>
      <c r="C2051" s="4" t="s">
        <v>931</v>
      </c>
      <c r="D2051" s="4">
        <v>1</v>
      </c>
      <c r="E2051" s="6">
        <v>5000</v>
      </c>
      <c r="F2051" t="str">
        <f>VLOOKUP(C2051,menu!A:B,2,FALSE)</f>
        <v>Kerupuk Udang</v>
      </c>
      <c r="G2051">
        <f t="shared" ref="G2051:G2101" si="64">D2051*E2051</f>
        <v>5000</v>
      </c>
      <c r="H2051">
        <f>VLOOKUP(C2051,menu!A:E,4,FALSE)</f>
        <v>1500</v>
      </c>
      <c r="I2051">
        <f t="shared" ref="I2051:I2101" si="65">(E2051-H2051)*D2051</f>
        <v>3500</v>
      </c>
    </row>
    <row r="2052" spans="1:9" x14ac:dyDescent="0.35">
      <c r="A2052" s="4" t="s">
        <v>2963</v>
      </c>
      <c r="B2052" s="4" t="s">
        <v>435</v>
      </c>
      <c r="C2052" s="4" t="s">
        <v>902</v>
      </c>
      <c r="D2052" s="4">
        <v>1</v>
      </c>
      <c r="E2052" s="6">
        <v>12000</v>
      </c>
      <c r="F2052" t="str">
        <f>VLOOKUP(C2052,menu!A:B,2,FALSE)</f>
        <v>Teh Tarik</v>
      </c>
      <c r="G2052">
        <f t="shared" si="64"/>
        <v>12000</v>
      </c>
      <c r="H2052">
        <f>VLOOKUP(C2052,menu!A:E,4,FALSE)</f>
        <v>3000</v>
      </c>
      <c r="I2052">
        <f t="shared" si="65"/>
        <v>9000</v>
      </c>
    </row>
    <row r="2053" spans="1:9" x14ac:dyDescent="0.35">
      <c r="A2053" s="4" t="s">
        <v>2964</v>
      </c>
      <c r="B2053" s="4" t="s">
        <v>435</v>
      </c>
      <c r="C2053" s="4" t="s">
        <v>898</v>
      </c>
      <c r="D2053" s="4">
        <v>1</v>
      </c>
      <c r="E2053" s="6">
        <v>27000</v>
      </c>
      <c r="F2053" t="str">
        <f>VLOOKUP(C2053,menu!A:B,2,FALSE)</f>
        <v>Ayam Geprek Sambal Bawang</v>
      </c>
      <c r="G2053">
        <f t="shared" si="64"/>
        <v>27000</v>
      </c>
      <c r="H2053">
        <f>VLOOKUP(C2053,menu!A:E,4,FALSE)</f>
        <v>11000</v>
      </c>
      <c r="I2053">
        <f t="shared" si="65"/>
        <v>16000</v>
      </c>
    </row>
    <row r="2054" spans="1:9" x14ac:dyDescent="0.35">
      <c r="A2054" s="4" t="s">
        <v>2965</v>
      </c>
      <c r="B2054" s="4" t="s">
        <v>435</v>
      </c>
      <c r="C2054" s="4" t="s">
        <v>894</v>
      </c>
      <c r="D2054" s="4">
        <v>2</v>
      </c>
      <c r="E2054" s="6">
        <v>5000</v>
      </c>
      <c r="F2054" t="str">
        <f>VLOOKUP(C2054,menu!A:B,2,FALSE)</f>
        <v>Air Mineral Botol</v>
      </c>
      <c r="G2054">
        <f t="shared" si="64"/>
        <v>10000</v>
      </c>
      <c r="H2054">
        <f>VLOOKUP(C2054,menu!A:E,4,FALSE)</f>
        <v>2000</v>
      </c>
      <c r="I2054">
        <f t="shared" si="65"/>
        <v>6000</v>
      </c>
    </row>
    <row r="2055" spans="1:9" x14ac:dyDescent="0.35">
      <c r="A2055" s="4" t="s">
        <v>2966</v>
      </c>
      <c r="B2055" s="4" t="s">
        <v>692</v>
      </c>
      <c r="C2055" s="4" t="s">
        <v>892</v>
      </c>
      <c r="D2055" s="4">
        <v>1</v>
      </c>
      <c r="E2055" s="6">
        <v>9000</v>
      </c>
      <c r="F2055" t="str">
        <f>VLOOKUP(C2055,menu!A:B,2,FALSE)</f>
        <v>Tempe Mendoan (5pcs)</v>
      </c>
      <c r="G2055">
        <f t="shared" si="64"/>
        <v>9000</v>
      </c>
      <c r="H2055">
        <f>VLOOKUP(C2055,menu!A:E,4,FALSE)</f>
        <v>3000</v>
      </c>
      <c r="I2055">
        <f t="shared" si="65"/>
        <v>6000</v>
      </c>
    </row>
    <row r="2056" spans="1:9" x14ac:dyDescent="0.35">
      <c r="A2056" s="4" t="s">
        <v>2967</v>
      </c>
      <c r="B2056" s="4" t="s">
        <v>692</v>
      </c>
      <c r="C2056" s="4" t="s">
        <v>898</v>
      </c>
      <c r="D2056" s="4">
        <v>1</v>
      </c>
      <c r="E2056" s="6">
        <v>27000</v>
      </c>
      <c r="F2056" t="str">
        <f>VLOOKUP(C2056,menu!A:B,2,FALSE)</f>
        <v>Ayam Geprek Sambal Bawang</v>
      </c>
      <c r="G2056">
        <f t="shared" si="64"/>
        <v>27000</v>
      </c>
      <c r="H2056">
        <f>VLOOKUP(C2056,menu!A:E,4,FALSE)</f>
        <v>11000</v>
      </c>
      <c r="I2056">
        <f t="shared" si="65"/>
        <v>16000</v>
      </c>
    </row>
    <row r="2057" spans="1:9" x14ac:dyDescent="0.35">
      <c r="A2057" s="4" t="s">
        <v>2968</v>
      </c>
      <c r="B2057" s="4" t="s">
        <v>837</v>
      </c>
      <c r="C2057" s="4" t="s">
        <v>898</v>
      </c>
      <c r="D2057" s="4">
        <v>2</v>
      </c>
      <c r="E2057" s="6">
        <v>27000</v>
      </c>
      <c r="F2057" t="str">
        <f>VLOOKUP(C2057,menu!A:B,2,FALSE)</f>
        <v>Ayam Geprek Sambal Bawang</v>
      </c>
      <c r="G2057">
        <f t="shared" si="64"/>
        <v>54000</v>
      </c>
      <c r="H2057">
        <f>VLOOKUP(C2057,menu!A:E,4,FALSE)</f>
        <v>11000</v>
      </c>
      <c r="I2057">
        <f t="shared" si="65"/>
        <v>32000</v>
      </c>
    </row>
    <row r="2058" spans="1:9" x14ac:dyDescent="0.35">
      <c r="A2058" s="4" t="s">
        <v>2969</v>
      </c>
      <c r="B2058" s="4" t="s">
        <v>837</v>
      </c>
      <c r="C2058" s="4" t="s">
        <v>904</v>
      </c>
      <c r="D2058" s="4">
        <v>1</v>
      </c>
      <c r="E2058" s="6">
        <v>22000</v>
      </c>
      <c r="F2058" t="str">
        <f>VLOOKUP(C2058,menu!A:B,2,FALSE)</f>
        <v>Pecel Lele</v>
      </c>
      <c r="G2058">
        <f t="shared" si="64"/>
        <v>22000</v>
      </c>
      <c r="H2058">
        <f>VLOOKUP(C2058,menu!A:E,4,FALSE)</f>
        <v>9500</v>
      </c>
      <c r="I2058">
        <f t="shared" si="65"/>
        <v>12500</v>
      </c>
    </row>
    <row r="2059" spans="1:9" x14ac:dyDescent="0.35">
      <c r="A2059" s="4" t="s">
        <v>2970</v>
      </c>
      <c r="B2059" s="4" t="s">
        <v>837</v>
      </c>
      <c r="C2059" s="4" t="s">
        <v>916</v>
      </c>
      <c r="D2059" s="4">
        <v>1</v>
      </c>
      <c r="E2059" s="6">
        <v>9000</v>
      </c>
      <c r="F2059" t="str">
        <f>VLOOKUP(C2059,menu!A:B,2,FALSE)</f>
        <v>Kopi Hitam Tubruk</v>
      </c>
      <c r="G2059">
        <f t="shared" si="64"/>
        <v>9000</v>
      </c>
      <c r="H2059">
        <f>VLOOKUP(C2059,menu!A:E,4,FALSE)</f>
        <v>2000</v>
      </c>
      <c r="I2059">
        <f t="shared" si="65"/>
        <v>7000</v>
      </c>
    </row>
    <row r="2060" spans="1:9" x14ac:dyDescent="0.35">
      <c r="A2060" s="4" t="s">
        <v>2971</v>
      </c>
      <c r="B2060" s="4" t="s">
        <v>837</v>
      </c>
      <c r="C2060" s="4" t="s">
        <v>931</v>
      </c>
      <c r="D2060" s="4">
        <v>1</v>
      </c>
      <c r="E2060" s="6">
        <v>5000</v>
      </c>
      <c r="F2060" t="str">
        <f>VLOOKUP(C2060,menu!A:B,2,FALSE)</f>
        <v>Kerupuk Udang</v>
      </c>
      <c r="G2060">
        <f t="shared" si="64"/>
        <v>5000</v>
      </c>
      <c r="H2060">
        <f>VLOOKUP(C2060,menu!A:E,4,FALSE)</f>
        <v>1500</v>
      </c>
      <c r="I2060">
        <f t="shared" si="65"/>
        <v>3500</v>
      </c>
    </row>
    <row r="2061" spans="1:9" x14ac:dyDescent="0.35">
      <c r="A2061" s="4" t="s">
        <v>2972</v>
      </c>
      <c r="B2061" s="4" t="s">
        <v>527</v>
      </c>
      <c r="C2061" s="4" t="s">
        <v>894</v>
      </c>
      <c r="D2061" s="4">
        <v>1</v>
      </c>
      <c r="E2061" s="6">
        <v>5000</v>
      </c>
      <c r="F2061" t="str">
        <f>VLOOKUP(C2061,menu!A:B,2,FALSE)</f>
        <v>Air Mineral Botol</v>
      </c>
      <c r="G2061">
        <f t="shared" si="64"/>
        <v>5000</v>
      </c>
      <c r="H2061">
        <f>VLOOKUP(C2061,menu!A:E,4,FALSE)</f>
        <v>2000</v>
      </c>
      <c r="I2061">
        <f t="shared" si="65"/>
        <v>3000</v>
      </c>
    </row>
    <row r="2062" spans="1:9" x14ac:dyDescent="0.35">
      <c r="A2062" s="4" t="s">
        <v>2973</v>
      </c>
      <c r="B2062" s="4" t="s">
        <v>527</v>
      </c>
      <c r="C2062" s="4" t="s">
        <v>955</v>
      </c>
      <c r="D2062" s="4">
        <v>1</v>
      </c>
      <c r="E2062" s="6">
        <v>15000</v>
      </c>
      <c r="F2062" t="str">
        <f>VLOOKUP(C2062,menu!A:B,2,FALSE)</f>
        <v>Es Campur</v>
      </c>
      <c r="G2062">
        <f t="shared" si="64"/>
        <v>15000</v>
      </c>
      <c r="H2062">
        <f>VLOOKUP(C2062,menu!A:E,4,FALSE)</f>
        <v>6000</v>
      </c>
      <c r="I2062">
        <f t="shared" si="65"/>
        <v>9000</v>
      </c>
    </row>
    <row r="2063" spans="1:9" x14ac:dyDescent="0.35">
      <c r="A2063" s="4" t="s">
        <v>2974</v>
      </c>
      <c r="B2063" s="4" t="s">
        <v>527</v>
      </c>
      <c r="C2063" s="4" t="s">
        <v>898</v>
      </c>
      <c r="D2063" s="4">
        <v>1</v>
      </c>
      <c r="E2063" s="6">
        <v>27000</v>
      </c>
      <c r="F2063" t="str">
        <f>VLOOKUP(C2063,menu!A:B,2,FALSE)</f>
        <v>Ayam Geprek Sambal Bawang</v>
      </c>
      <c r="G2063">
        <f t="shared" si="64"/>
        <v>27000</v>
      </c>
      <c r="H2063">
        <f>VLOOKUP(C2063,menu!A:E,4,FALSE)</f>
        <v>11000</v>
      </c>
      <c r="I2063">
        <f t="shared" si="65"/>
        <v>16000</v>
      </c>
    </row>
    <row r="2064" spans="1:9" x14ac:dyDescent="0.35">
      <c r="A2064" s="4" t="s">
        <v>2975</v>
      </c>
      <c r="B2064" s="4" t="s">
        <v>855</v>
      </c>
      <c r="C2064" s="4" t="s">
        <v>890</v>
      </c>
      <c r="D2064" s="4">
        <v>1</v>
      </c>
      <c r="E2064" s="6">
        <v>18000</v>
      </c>
      <c r="F2064" t="str">
        <f>VLOOKUP(C2064,menu!A:B,2,FALSE)</f>
        <v>Es Kopi Susu Gula Aren</v>
      </c>
      <c r="G2064">
        <f t="shared" si="64"/>
        <v>18000</v>
      </c>
      <c r="H2064">
        <f>VLOOKUP(C2064,menu!A:E,4,FALSE)</f>
        <v>4500</v>
      </c>
      <c r="I2064">
        <f t="shared" si="65"/>
        <v>13500</v>
      </c>
    </row>
    <row r="2065" spans="1:9" x14ac:dyDescent="0.35">
      <c r="A2065" s="4" t="s">
        <v>2976</v>
      </c>
      <c r="B2065" s="4" t="s">
        <v>855</v>
      </c>
      <c r="C2065" s="4" t="s">
        <v>919</v>
      </c>
      <c r="D2065" s="4">
        <v>1</v>
      </c>
      <c r="E2065" s="6">
        <v>20000</v>
      </c>
      <c r="F2065" t="str">
        <f>VLOOKUP(C2065,menu!A:B,2,FALSE)</f>
        <v>Gado-Gado Jakarta</v>
      </c>
      <c r="G2065">
        <f t="shared" si="64"/>
        <v>20000</v>
      </c>
      <c r="H2065">
        <f>VLOOKUP(C2065,menu!A:E,4,FALSE)</f>
        <v>8000</v>
      </c>
      <c r="I2065">
        <f t="shared" si="65"/>
        <v>12000</v>
      </c>
    </row>
    <row r="2066" spans="1:9" x14ac:dyDescent="0.35">
      <c r="A2066" s="4" t="s">
        <v>2977</v>
      </c>
      <c r="B2066" s="4" t="s">
        <v>624</v>
      </c>
      <c r="C2066" s="4" t="s">
        <v>892</v>
      </c>
      <c r="D2066" s="4">
        <v>3</v>
      </c>
      <c r="E2066" s="6">
        <v>9000</v>
      </c>
      <c r="F2066" t="str">
        <f>VLOOKUP(C2066,menu!A:B,2,FALSE)</f>
        <v>Tempe Mendoan (5pcs)</v>
      </c>
      <c r="G2066">
        <f t="shared" si="64"/>
        <v>27000</v>
      </c>
      <c r="H2066">
        <f>VLOOKUP(C2066,menu!A:E,4,FALSE)</f>
        <v>3000</v>
      </c>
      <c r="I2066">
        <f t="shared" si="65"/>
        <v>18000</v>
      </c>
    </row>
    <row r="2067" spans="1:9" x14ac:dyDescent="0.35">
      <c r="A2067" s="4" t="s">
        <v>2978</v>
      </c>
      <c r="B2067" s="4" t="s">
        <v>624</v>
      </c>
      <c r="C2067" s="4" t="s">
        <v>898</v>
      </c>
      <c r="D2067" s="4">
        <v>1</v>
      </c>
      <c r="E2067" s="6">
        <v>27000</v>
      </c>
      <c r="F2067" t="str">
        <f>VLOOKUP(C2067,menu!A:B,2,FALSE)</f>
        <v>Ayam Geprek Sambal Bawang</v>
      </c>
      <c r="G2067">
        <f t="shared" si="64"/>
        <v>27000</v>
      </c>
      <c r="H2067">
        <f>VLOOKUP(C2067,menu!A:E,4,FALSE)</f>
        <v>11000</v>
      </c>
      <c r="I2067">
        <f t="shared" si="65"/>
        <v>16000</v>
      </c>
    </row>
    <row r="2068" spans="1:9" x14ac:dyDescent="0.35">
      <c r="A2068" s="4" t="s">
        <v>2979</v>
      </c>
      <c r="B2068" s="4" t="s">
        <v>624</v>
      </c>
      <c r="C2068" s="4" t="s">
        <v>908</v>
      </c>
      <c r="D2068" s="4">
        <v>1</v>
      </c>
      <c r="E2068" s="6">
        <v>16000</v>
      </c>
      <c r="F2068" t="str">
        <f>VLOOKUP(C2068,menu!A:B,2,FALSE)</f>
        <v>Jus Alpukat</v>
      </c>
      <c r="G2068">
        <f t="shared" si="64"/>
        <v>16000</v>
      </c>
      <c r="H2068">
        <f>VLOOKUP(C2068,menu!A:E,4,FALSE)</f>
        <v>5500</v>
      </c>
      <c r="I2068">
        <f t="shared" si="65"/>
        <v>10500</v>
      </c>
    </row>
    <row r="2069" spans="1:9" x14ac:dyDescent="0.35">
      <c r="A2069" s="4" t="s">
        <v>2980</v>
      </c>
      <c r="B2069" s="4" t="s">
        <v>374</v>
      </c>
      <c r="C2069" s="4" t="s">
        <v>935</v>
      </c>
      <c r="D2069" s="4">
        <v>1</v>
      </c>
      <c r="E2069" s="6">
        <v>22000</v>
      </c>
      <c r="F2069" t="str">
        <f>VLOOKUP(C2069,menu!A:B,2,FALSE)</f>
        <v>Soto Ayam Lamongan</v>
      </c>
      <c r="G2069">
        <f t="shared" si="64"/>
        <v>22000</v>
      </c>
      <c r="H2069">
        <f>VLOOKUP(C2069,menu!A:E,4,FALSE)</f>
        <v>9500</v>
      </c>
      <c r="I2069">
        <f t="shared" si="65"/>
        <v>12500</v>
      </c>
    </row>
    <row r="2070" spans="1:9" x14ac:dyDescent="0.35">
      <c r="A2070" s="4" t="s">
        <v>2981</v>
      </c>
      <c r="B2070" s="4" t="s">
        <v>374</v>
      </c>
      <c r="C2070" s="4" t="s">
        <v>898</v>
      </c>
      <c r="D2070" s="4">
        <v>1</v>
      </c>
      <c r="E2070" s="6">
        <v>27000</v>
      </c>
      <c r="F2070" t="str">
        <f>VLOOKUP(C2070,menu!A:B,2,FALSE)</f>
        <v>Ayam Geprek Sambal Bawang</v>
      </c>
      <c r="G2070">
        <f t="shared" si="64"/>
        <v>27000</v>
      </c>
      <c r="H2070">
        <f>VLOOKUP(C2070,menu!A:E,4,FALSE)</f>
        <v>11000</v>
      </c>
      <c r="I2070">
        <f t="shared" si="65"/>
        <v>16000</v>
      </c>
    </row>
    <row r="2071" spans="1:9" x14ac:dyDescent="0.35">
      <c r="A2071" s="4" t="s">
        <v>2982</v>
      </c>
      <c r="B2071" s="4" t="s">
        <v>374</v>
      </c>
      <c r="C2071" s="4" t="s">
        <v>1003</v>
      </c>
      <c r="D2071" s="4">
        <v>1</v>
      </c>
      <c r="E2071" s="6">
        <v>29000</v>
      </c>
      <c r="F2071" t="str">
        <f>VLOOKUP(C2071,menu!A:B,2,FALSE)</f>
        <v>Capcay Seafood</v>
      </c>
      <c r="G2071">
        <f t="shared" si="64"/>
        <v>29000</v>
      </c>
      <c r="H2071">
        <f>VLOOKUP(C2071,menu!A:E,4,FALSE)</f>
        <v>13000</v>
      </c>
      <c r="I2071">
        <f t="shared" si="65"/>
        <v>16000</v>
      </c>
    </row>
    <row r="2072" spans="1:9" x14ac:dyDescent="0.35">
      <c r="A2072" s="4" t="s">
        <v>2983</v>
      </c>
      <c r="B2072" s="4" t="s">
        <v>374</v>
      </c>
      <c r="C2072" s="4" t="s">
        <v>892</v>
      </c>
      <c r="D2072" s="4">
        <v>1</v>
      </c>
      <c r="E2072" s="6">
        <v>9000</v>
      </c>
      <c r="F2072" t="str">
        <f>VLOOKUP(C2072,menu!A:B,2,FALSE)</f>
        <v>Tempe Mendoan (5pcs)</v>
      </c>
      <c r="G2072">
        <f t="shared" si="64"/>
        <v>9000</v>
      </c>
      <c r="H2072">
        <f>VLOOKUP(C2072,menu!A:E,4,FALSE)</f>
        <v>3000</v>
      </c>
      <c r="I2072">
        <f t="shared" si="65"/>
        <v>6000</v>
      </c>
    </row>
    <row r="2073" spans="1:9" x14ac:dyDescent="0.35">
      <c r="A2073" s="4" t="s">
        <v>2984</v>
      </c>
      <c r="B2073" s="4" t="s">
        <v>872</v>
      </c>
      <c r="C2073" s="4" t="s">
        <v>898</v>
      </c>
      <c r="D2073" s="4">
        <v>2</v>
      </c>
      <c r="E2073" s="6">
        <v>27000</v>
      </c>
      <c r="F2073" t="str">
        <f>VLOOKUP(C2073,menu!A:B,2,FALSE)</f>
        <v>Ayam Geprek Sambal Bawang</v>
      </c>
      <c r="G2073">
        <f t="shared" si="64"/>
        <v>54000</v>
      </c>
      <c r="H2073">
        <f>VLOOKUP(C2073,menu!A:E,4,FALSE)</f>
        <v>11000</v>
      </c>
      <c r="I2073">
        <f t="shared" si="65"/>
        <v>32000</v>
      </c>
    </row>
    <row r="2074" spans="1:9" x14ac:dyDescent="0.35">
      <c r="A2074" s="4" t="s">
        <v>2985</v>
      </c>
      <c r="B2074" s="4" t="s">
        <v>872</v>
      </c>
      <c r="C2074" s="4" t="s">
        <v>935</v>
      </c>
      <c r="D2074" s="4">
        <v>1</v>
      </c>
      <c r="E2074" s="6">
        <v>22000</v>
      </c>
      <c r="F2074" t="str">
        <f>VLOOKUP(C2074,menu!A:B,2,FALSE)</f>
        <v>Soto Ayam Lamongan</v>
      </c>
      <c r="G2074">
        <f t="shared" si="64"/>
        <v>22000</v>
      </c>
      <c r="H2074">
        <f>VLOOKUP(C2074,menu!A:E,4,FALSE)</f>
        <v>9500</v>
      </c>
      <c r="I2074">
        <f t="shared" si="65"/>
        <v>12500</v>
      </c>
    </row>
    <row r="2075" spans="1:9" x14ac:dyDescent="0.35">
      <c r="A2075" s="4" t="s">
        <v>2986</v>
      </c>
      <c r="B2075" s="4" t="s">
        <v>872</v>
      </c>
      <c r="C2075" s="4" t="s">
        <v>931</v>
      </c>
      <c r="D2075" s="4">
        <v>3</v>
      </c>
      <c r="E2075" s="6">
        <v>5000</v>
      </c>
      <c r="F2075" t="str">
        <f>VLOOKUP(C2075,menu!A:B,2,FALSE)</f>
        <v>Kerupuk Udang</v>
      </c>
      <c r="G2075">
        <f t="shared" si="64"/>
        <v>15000</v>
      </c>
      <c r="H2075">
        <f>VLOOKUP(C2075,menu!A:E,4,FALSE)</f>
        <v>1500</v>
      </c>
      <c r="I2075">
        <f t="shared" si="65"/>
        <v>10500</v>
      </c>
    </row>
    <row r="2076" spans="1:9" x14ac:dyDescent="0.35">
      <c r="A2076" s="4" t="s">
        <v>2987</v>
      </c>
      <c r="B2076" s="4" t="s">
        <v>250</v>
      </c>
      <c r="C2076" s="4" t="s">
        <v>898</v>
      </c>
      <c r="D2076" s="4">
        <v>1</v>
      </c>
      <c r="E2076" s="6">
        <v>27000</v>
      </c>
      <c r="F2076" t="str">
        <f>VLOOKUP(C2076,menu!A:B,2,FALSE)</f>
        <v>Ayam Geprek Sambal Bawang</v>
      </c>
      <c r="G2076">
        <f t="shared" si="64"/>
        <v>27000</v>
      </c>
      <c r="H2076">
        <f>VLOOKUP(C2076,menu!A:E,4,FALSE)</f>
        <v>11000</v>
      </c>
      <c r="I2076">
        <f t="shared" si="65"/>
        <v>16000</v>
      </c>
    </row>
    <row r="2077" spans="1:9" x14ac:dyDescent="0.35">
      <c r="A2077" s="4" t="s">
        <v>2988</v>
      </c>
      <c r="B2077" s="4" t="s">
        <v>250</v>
      </c>
      <c r="C2077" s="4" t="s">
        <v>931</v>
      </c>
      <c r="D2077" s="4">
        <v>2</v>
      </c>
      <c r="E2077" s="6">
        <v>5000</v>
      </c>
      <c r="F2077" t="str">
        <f>VLOOKUP(C2077,menu!A:B,2,FALSE)</f>
        <v>Kerupuk Udang</v>
      </c>
      <c r="G2077">
        <f t="shared" si="64"/>
        <v>10000</v>
      </c>
      <c r="H2077">
        <f>VLOOKUP(C2077,menu!A:E,4,FALSE)</f>
        <v>1500</v>
      </c>
      <c r="I2077">
        <f t="shared" si="65"/>
        <v>7000</v>
      </c>
    </row>
    <row r="2078" spans="1:9" x14ac:dyDescent="0.35">
      <c r="A2078" s="4" t="s">
        <v>2989</v>
      </c>
      <c r="B2078" s="4" t="s">
        <v>718</v>
      </c>
      <c r="C2078" s="4" t="s">
        <v>916</v>
      </c>
      <c r="D2078" s="4">
        <v>2</v>
      </c>
      <c r="E2078" s="6">
        <v>9000</v>
      </c>
      <c r="F2078" t="str">
        <f>VLOOKUP(C2078,menu!A:B,2,FALSE)</f>
        <v>Kopi Hitam Tubruk</v>
      </c>
      <c r="G2078">
        <f t="shared" si="64"/>
        <v>18000</v>
      </c>
      <c r="H2078">
        <f>VLOOKUP(C2078,menu!A:E,4,FALSE)</f>
        <v>2000</v>
      </c>
      <c r="I2078">
        <f t="shared" si="65"/>
        <v>14000</v>
      </c>
    </row>
    <row r="2079" spans="1:9" x14ac:dyDescent="0.35">
      <c r="A2079" s="4" t="s">
        <v>2990</v>
      </c>
      <c r="B2079" s="4" t="s">
        <v>718</v>
      </c>
      <c r="C2079" s="4" t="s">
        <v>898</v>
      </c>
      <c r="D2079" s="4">
        <v>1</v>
      </c>
      <c r="E2079" s="6">
        <v>27000</v>
      </c>
      <c r="F2079" t="str">
        <f>VLOOKUP(C2079,menu!A:B,2,FALSE)</f>
        <v>Ayam Geprek Sambal Bawang</v>
      </c>
      <c r="G2079">
        <f t="shared" si="64"/>
        <v>27000</v>
      </c>
      <c r="H2079">
        <f>VLOOKUP(C2079,menu!A:E,4,FALSE)</f>
        <v>11000</v>
      </c>
      <c r="I2079">
        <f t="shared" si="65"/>
        <v>16000</v>
      </c>
    </row>
    <row r="2080" spans="1:9" x14ac:dyDescent="0.35">
      <c r="A2080" s="4" t="s">
        <v>2991</v>
      </c>
      <c r="B2080" s="4" t="s">
        <v>718</v>
      </c>
      <c r="C2080" s="4" t="s">
        <v>1003</v>
      </c>
      <c r="D2080" s="4">
        <v>2</v>
      </c>
      <c r="E2080" s="6">
        <v>29000</v>
      </c>
      <c r="F2080" t="str">
        <f>VLOOKUP(C2080,menu!A:B,2,FALSE)</f>
        <v>Capcay Seafood</v>
      </c>
      <c r="G2080">
        <f t="shared" si="64"/>
        <v>58000</v>
      </c>
      <c r="H2080">
        <f>VLOOKUP(C2080,menu!A:E,4,FALSE)</f>
        <v>13000</v>
      </c>
      <c r="I2080">
        <f t="shared" si="65"/>
        <v>32000</v>
      </c>
    </row>
    <row r="2081" spans="1:9" x14ac:dyDescent="0.35">
      <c r="A2081" s="4" t="s">
        <v>2992</v>
      </c>
      <c r="B2081" s="4" t="s">
        <v>705</v>
      </c>
      <c r="C2081" s="4" t="s">
        <v>935</v>
      </c>
      <c r="D2081" s="4">
        <v>2</v>
      </c>
      <c r="E2081" s="6">
        <v>22000</v>
      </c>
      <c r="F2081" t="str">
        <f>VLOOKUP(C2081,menu!A:B,2,FALSE)</f>
        <v>Soto Ayam Lamongan</v>
      </c>
      <c r="G2081">
        <f t="shared" si="64"/>
        <v>44000</v>
      </c>
      <c r="H2081">
        <f>VLOOKUP(C2081,menu!A:E,4,FALSE)</f>
        <v>9500</v>
      </c>
      <c r="I2081">
        <f t="shared" si="65"/>
        <v>25000</v>
      </c>
    </row>
    <row r="2082" spans="1:9" x14ac:dyDescent="0.35">
      <c r="A2082" s="4" t="s">
        <v>2993</v>
      </c>
      <c r="B2082" s="4" t="s">
        <v>705</v>
      </c>
      <c r="C2082" s="4" t="s">
        <v>898</v>
      </c>
      <c r="D2082" s="4">
        <v>1</v>
      </c>
      <c r="E2082" s="6">
        <v>27000</v>
      </c>
      <c r="F2082" t="str">
        <f>VLOOKUP(C2082,menu!A:B,2,FALSE)</f>
        <v>Ayam Geprek Sambal Bawang</v>
      </c>
      <c r="G2082">
        <f t="shared" si="64"/>
        <v>27000</v>
      </c>
      <c r="H2082">
        <f>VLOOKUP(C2082,menu!A:E,4,FALSE)</f>
        <v>11000</v>
      </c>
      <c r="I2082">
        <f t="shared" si="65"/>
        <v>16000</v>
      </c>
    </row>
    <row r="2083" spans="1:9" x14ac:dyDescent="0.35">
      <c r="A2083" s="4" t="s">
        <v>2994</v>
      </c>
      <c r="B2083" s="4" t="s">
        <v>705</v>
      </c>
      <c r="C2083" s="4" t="s">
        <v>890</v>
      </c>
      <c r="D2083" s="4">
        <v>1</v>
      </c>
      <c r="E2083" s="6">
        <v>18000</v>
      </c>
      <c r="F2083" t="str">
        <f>VLOOKUP(C2083,menu!A:B,2,FALSE)</f>
        <v>Es Kopi Susu Gula Aren</v>
      </c>
      <c r="G2083">
        <f t="shared" si="64"/>
        <v>18000</v>
      </c>
      <c r="H2083">
        <f>VLOOKUP(C2083,menu!A:E,4,FALSE)</f>
        <v>4500</v>
      </c>
      <c r="I2083">
        <f t="shared" si="65"/>
        <v>13500</v>
      </c>
    </row>
    <row r="2084" spans="1:9" x14ac:dyDescent="0.35">
      <c r="A2084" s="4" t="s">
        <v>2995</v>
      </c>
      <c r="B2084" s="4" t="s">
        <v>621</v>
      </c>
      <c r="C2084" s="4" t="s">
        <v>898</v>
      </c>
      <c r="D2084" s="4">
        <v>1</v>
      </c>
      <c r="E2084" s="6">
        <v>27000</v>
      </c>
      <c r="F2084" t="str">
        <f>VLOOKUP(C2084,menu!A:B,2,FALSE)</f>
        <v>Ayam Geprek Sambal Bawang</v>
      </c>
      <c r="G2084">
        <f t="shared" si="64"/>
        <v>27000</v>
      </c>
      <c r="H2084">
        <f>VLOOKUP(C2084,menu!A:E,4,FALSE)</f>
        <v>11000</v>
      </c>
      <c r="I2084">
        <f t="shared" si="65"/>
        <v>16000</v>
      </c>
    </row>
    <row r="2085" spans="1:9" x14ac:dyDescent="0.35">
      <c r="A2085" s="4" t="s">
        <v>2996</v>
      </c>
      <c r="B2085" s="4" t="s">
        <v>621</v>
      </c>
      <c r="C2085" s="4" t="s">
        <v>890</v>
      </c>
      <c r="D2085" s="4">
        <v>1</v>
      </c>
      <c r="E2085" s="6">
        <v>18000</v>
      </c>
      <c r="F2085" t="str">
        <f>VLOOKUP(C2085,menu!A:B,2,FALSE)</f>
        <v>Es Kopi Susu Gula Aren</v>
      </c>
      <c r="G2085">
        <f t="shared" si="64"/>
        <v>18000</v>
      </c>
      <c r="H2085">
        <f>VLOOKUP(C2085,menu!A:E,4,FALSE)</f>
        <v>4500</v>
      </c>
      <c r="I2085">
        <f t="shared" si="65"/>
        <v>13500</v>
      </c>
    </row>
    <row r="2086" spans="1:9" x14ac:dyDescent="0.35">
      <c r="A2086" s="4" t="s">
        <v>2997</v>
      </c>
      <c r="B2086" s="4" t="s">
        <v>621</v>
      </c>
      <c r="C2086" s="4" t="s">
        <v>931</v>
      </c>
      <c r="D2086" s="4">
        <v>3</v>
      </c>
      <c r="E2086" s="6">
        <v>5000</v>
      </c>
      <c r="F2086" t="str">
        <f>VLOOKUP(C2086,menu!A:B,2,FALSE)</f>
        <v>Kerupuk Udang</v>
      </c>
      <c r="G2086">
        <f t="shared" si="64"/>
        <v>15000</v>
      </c>
      <c r="H2086">
        <f>VLOOKUP(C2086,menu!A:E,4,FALSE)</f>
        <v>1500</v>
      </c>
      <c r="I2086">
        <f t="shared" si="65"/>
        <v>10500</v>
      </c>
    </row>
    <row r="2087" spans="1:9" x14ac:dyDescent="0.35">
      <c r="A2087" s="4" t="s">
        <v>2998</v>
      </c>
      <c r="B2087" s="4" t="s">
        <v>709</v>
      </c>
      <c r="C2087" s="4" t="s">
        <v>898</v>
      </c>
      <c r="D2087" s="4">
        <v>1</v>
      </c>
      <c r="E2087" s="6">
        <v>27000</v>
      </c>
      <c r="F2087" t="str">
        <f>VLOOKUP(C2087,menu!A:B,2,FALSE)</f>
        <v>Ayam Geprek Sambal Bawang</v>
      </c>
      <c r="G2087">
        <f t="shared" si="64"/>
        <v>27000</v>
      </c>
      <c r="H2087">
        <f>VLOOKUP(C2087,menu!A:E,4,FALSE)</f>
        <v>11000</v>
      </c>
      <c r="I2087">
        <f t="shared" si="65"/>
        <v>16000</v>
      </c>
    </row>
    <row r="2088" spans="1:9" x14ac:dyDescent="0.35">
      <c r="A2088" s="4" t="s">
        <v>2999</v>
      </c>
      <c r="B2088" s="4" t="s">
        <v>709</v>
      </c>
      <c r="C2088" s="4" t="s">
        <v>919</v>
      </c>
      <c r="D2088" s="4">
        <v>1</v>
      </c>
      <c r="E2088" s="6">
        <v>20000</v>
      </c>
      <c r="F2088" t="str">
        <f>VLOOKUP(C2088,menu!A:B,2,FALSE)</f>
        <v>Gado-Gado Jakarta</v>
      </c>
      <c r="G2088">
        <f t="shared" si="64"/>
        <v>20000</v>
      </c>
      <c r="H2088">
        <f>VLOOKUP(C2088,menu!A:E,4,FALSE)</f>
        <v>8000</v>
      </c>
      <c r="I2088">
        <f t="shared" si="65"/>
        <v>12000</v>
      </c>
    </row>
    <row r="2089" spans="1:9" x14ac:dyDescent="0.35">
      <c r="A2089" s="4" t="s">
        <v>3000</v>
      </c>
      <c r="B2089" s="4" t="s">
        <v>709</v>
      </c>
      <c r="C2089" s="4" t="s">
        <v>890</v>
      </c>
      <c r="D2089" s="4">
        <v>1</v>
      </c>
      <c r="E2089" s="6">
        <v>18000</v>
      </c>
      <c r="F2089" t="str">
        <f>VLOOKUP(C2089,menu!A:B,2,FALSE)</f>
        <v>Es Kopi Susu Gula Aren</v>
      </c>
      <c r="G2089">
        <f t="shared" si="64"/>
        <v>18000</v>
      </c>
      <c r="H2089">
        <f>VLOOKUP(C2089,menu!A:E,4,FALSE)</f>
        <v>4500</v>
      </c>
      <c r="I2089">
        <f t="shared" si="65"/>
        <v>13500</v>
      </c>
    </row>
    <row r="2090" spans="1:9" x14ac:dyDescent="0.35">
      <c r="A2090" s="4" t="s">
        <v>3001</v>
      </c>
      <c r="B2090" s="4" t="s">
        <v>625</v>
      </c>
      <c r="C2090" s="4" t="s">
        <v>919</v>
      </c>
      <c r="D2090" s="4">
        <v>3</v>
      </c>
      <c r="E2090" s="6">
        <v>20000</v>
      </c>
      <c r="F2090" t="str">
        <f>VLOOKUP(C2090,menu!A:B,2,FALSE)</f>
        <v>Gado-Gado Jakarta</v>
      </c>
      <c r="G2090">
        <f t="shared" si="64"/>
        <v>60000</v>
      </c>
      <c r="H2090">
        <f>VLOOKUP(C2090,menu!A:E,4,FALSE)</f>
        <v>8000</v>
      </c>
      <c r="I2090">
        <f t="shared" si="65"/>
        <v>36000</v>
      </c>
    </row>
    <row r="2091" spans="1:9" x14ac:dyDescent="0.35">
      <c r="A2091" s="4" t="s">
        <v>3002</v>
      </c>
      <c r="B2091" s="4" t="s">
        <v>625</v>
      </c>
      <c r="C2091" s="4" t="s">
        <v>898</v>
      </c>
      <c r="D2091" s="4">
        <v>2</v>
      </c>
      <c r="E2091" s="6">
        <v>27000</v>
      </c>
      <c r="F2091" t="str">
        <f>VLOOKUP(C2091,menu!A:B,2,FALSE)</f>
        <v>Ayam Geprek Sambal Bawang</v>
      </c>
      <c r="G2091">
        <f t="shared" si="64"/>
        <v>54000</v>
      </c>
      <c r="H2091">
        <f>VLOOKUP(C2091,menu!A:E,4,FALSE)</f>
        <v>11000</v>
      </c>
      <c r="I2091">
        <f t="shared" si="65"/>
        <v>32000</v>
      </c>
    </row>
    <row r="2092" spans="1:9" x14ac:dyDescent="0.35">
      <c r="A2092" s="4" t="s">
        <v>3003</v>
      </c>
      <c r="B2092" s="4" t="s">
        <v>423</v>
      </c>
      <c r="C2092" s="4" t="s">
        <v>896</v>
      </c>
      <c r="D2092" s="4">
        <v>2</v>
      </c>
      <c r="E2092" s="6">
        <v>23000</v>
      </c>
      <c r="F2092" t="str">
        <f>VLOOKUP(C2092,menu!A:B,2,FALSE)</f>
        <v>Nasi Uduk Komplit</v>
      </c>
      <c r="G2092">
        <f t="shared" si="64"/>
        <v>46000</v>
      </c>
      <c r="H2092">
        <f>VLOOKUP(C2092,menu!A:E,4,FALSE)</f>
        <v>9000</v>
      </c>
      <c r="I2092">
        <f t="shared" si="65"/>
        <v>28000</v>
      </c>
    </row>
    <row r="2093" spans="1:9" x14ac:dyDescent="0.35">
      <c r="A2093" s="4" t="s">
        <v>3004</v>
      </c>
      <c r="B2093" s="4" t="s">
        <v>423</v>
      </c>
      <c r="C2093" s="4" t="s">
        <v>908</v>
      </c>
      <c r="D2093" s="4">
        <v>1</v>
      </c>
      <c r="E2093" s="6">
        <v>16000</v>
      </c>
      <c r="F2093" t="str">
        <f>VLOOKUP(C2093,menu!A:B,2,FALSE)</f>
        <v>Jus Alpukat</v>
      </c>
      <c r="G2093">
        <f t="shared" si="64"/>
        <v>16000</v>
      </c>
      <c r="H2093">
        <f>VLOOKUP(C2093,menu!A:E,4,FALSE)</f>
        <v>5500</v>
      </c>
      <c r="I2093">
        <f t="shared" si="65"/>
        <v>10500</v>
      </c>
    </row>
    <row r="2094" spans="1:9" x14ac:dyDescent="0.35">
      <c r="A2094" s="4" t="s">
        <v>3005</v>
      </c>
      <c r="B2094" s="4" t="s">
        <v>423</v>
      </c>
      <c r="C2094" s="4" t="s">
        <v>900</v>
      </c>
      <c r="D2094" s="4">
        <v>1</v>
      </c>
      <c r="E2094" s="6">
        <v>8000</v>
      </c>
      <c r="F2094" t="str">
        <f>VLOOKUP(C2094,menu!A:B,2,FALSE)</f>
        <v>Es Jeruk Peras</v>
      </c>
      <c r="G2094">
        <f t="shared" si="64"/>
        <v>8000</v>
      </c>
      <c r="H2094">
        <f>VLOOKUP(C2094,menu!A:E,4,FALSE)</f>
        <v>2500</v>
      </c>
      <c r="I2094">
        <f t="shared" si="65"/>
        <v>5500</v>
      </c>
    </row>
    <row r="2095" spans="1:9" x14ac:dyDescent="0.35">
      <c r="A2095" s="4" t="s">
        <v>3006</v>
      </c>
      <c r="B2095" s="4" t="s">
        <v>143</v>
      </c>
      <c r="C2095" s="4" t="s">
        <v>940</v>
      </c>
      <c r="D2095" s="4">
        <v>1</v>
      </c>
      <c r="E2095" s="6">
        <v>10000</v>
      </c>
      <c r="F2095" t="str">
        <f>VLOOKUP(C2095,menu!A:B,2,FALSE)</f>
        <v>Tahu Isi Goreng (5pcs)</v>
      </c>
      <c r="G2095">
        <f t="shared" si="64"/>
        <v>10000</v>
      </c>
      <c r="H2095">
        <f>VLOOKUP(C2095,menu!A:E,4,FALSE)</f>
        <v>3500</v>
      </c>
      <c r="I2095">
        <f t="shared" si="65"/>
        <v>6500</v>
      </c>
    </row>
    <row r="2096" spans="1:9" x14ac:dyDescent="0.35">
      <c r="A2096" s="4" t="s">
        <v>3007</v>
      </c>
      <c r="B2096" s="4" t="s">
        <v>807</v>
      </c>
      <c r="C2096" s="4" t="s">
        <v>898</v>
      </c>
      <c r="D2096" s="4">
        <v>2</v>
      </c>
      <c r="E2096" s="6">
        <v>27000</v>
      </c>
      <c r="F2096" t="str">
        <f>VLOOKUP(C2096,menu!A:B,2,FALSE)</f>
        <v>Ayam Geprek Sambal Bawang</v>
      </c>
      <c r="G2096">
        <f t="shared" si="64"/>
        <v>54000</v>
      </c>
      <c r="H2096">
        <f>VLOOKUP(C2096,menu!A:E,4,FALSE)</f>
        <v>11000</v>
      </c>
      <c r="I2096">
        <f t="shared" si="65"/>
        <v>32000</v>
      </c>
    </row>
    <row r="2097" spans="1:9" x14ac:dyDescent="0.35">
      <c r="A2097" s="4" t="s">
        <v>3008</v>
      </c>
      <c r="B2097" s="4" t="s">
        <v>807</v>
      </c>
      <c r="C2097" s="4" t="s">
        <v>940</v>
      </c>
      <c r="D2097" s="4">
        <v>2</v>
      </c>
      <c r="E2097" s="6">
        <v>10000</v>
      </c>
      <c r="F2097" t="str">
        <f>VLOOKUP(C2097,menu!A:B,2,FALSE)</f>
        <v>Tahu Isi Goreng (5pcs)</v>
      </c>
      <c r="G2097">
        <f t="shared" si="64"/>
        <v>20000</v>
      </c>
      <c r="H2097">
        <f>VLOOKUP(C2097,menu!A:E,4,FALSE)</f>
        <v>3500</v>
      </c>
      <c r="I2097">
        <f t="shared" si="65"/>
        <v>13000</v>
      </c>
    </row>
    <row r="2098" spans="1:9" x14ac:dyDescent="0.35">
      <c r="A2098" s="4" t="s">
        <v>3009</v>
      </c>
      <c r="B2098" s="4" t="s">
        <v>807</v>
      </c>
      <c r="C2098" s="4" t="s">
        <v>916</v>
      </c>
      <c r="D2098" s="4">
        <v>1</v>
      </c>
      <c r="E2098" s="6">
        <v>9000</v>
      </c>
      <c r="F2098" t="str">
        <f>VLOOKUP(C2098,menu!A:B,2,FALSE)</f>
        <v>Kopi Hitam Tubruk</v>
      </c>
      <c r="G2098">
        <f t="shared" si="64"/>
        <v>9000</v>
      </c>
      <c r="H2098">
        <f>VLOOKUP(C2098,menu!A:E,4,FALSE)</f>
        <v>2000</v>
      </c>
      <c r="I2098">
        <f t="shared" si="65"/>
        <v>7000</v>
      </c>
    </row>
    <row r="2099" spans="1:9" x14ac:dyDescent="0.35">
      <c r="A2099" s="4" t="s">
        <v>3010</v>
      </c>
      <c r="B2099" s="4" t="s">
        <v>807</v>
      </c>
      <c r="C2099" s="4" t="s">
        <v>928</v>
      </c>
      <c r="D2099" s="4">
        <v>2</v>
      </c>
      <c r="E2099" s="6">
        <v>23000</v>
      </c>
      <c r="F2099" t="str">
        <f>VLOOKUP(C2099,menu!A:B,2,FALSE)</f>
        <v>Mie Goreng Jawa</v>
      </c>
      <c r="G2099">
        <f t="shared" si="64"/>
        <v>46000</v>
      </c>
      <c r="H2099">
        <f>VLOOKUP(C2099,menu!A:E,4,FALSE)</f>
        <v>8500</v>
      </c>
      <c r="I2099">
        <f t="shared" si="65"/>
        <v>29000</v>
      </c>
    </row>
    <row r="2100" spans="1:9" x14ac:dyDescent="0.35">
      <c r="A2100" s="4" t="s">
        <v>3011</v>
      </c>
      <c r="B2100" s="4" t="s">
        <v>807</v>
      </c>
      <c r="C2100" s="4" t="s">
        <v>955</v>
      </c>
      <c r="D2100" s="4">
        <v>1</v>
      </c>
      <c r="E2100" s="6">
        <v>15000</v>
      </c>
      <c r="F2100" t="str">
        <f>VLOOKUP(C2100,menu!A:B,2,FALSE)</f>
        <v>Es Campur</v>
      </c>
      <c r="G2100">
        <f t="shared" si="64"/>
        <v>15000</v>
      </c>
      <c r="H2100">
        <f>VLOOKUP(C2100,menu!A:E,4,FALSE)</f>
        <v>6000</v>
      </c>
      <c r="I2100">
        <f t="shared" si="65"/>
        <v>9000</v>
      </c>
    </row>
    <row r="2101" spans="1:9" x14ac:dyDescent="0.35">
      <c r="A2101" s="4" t="s">
        <v>1970</v>
      </c>
      <c r="B2101" s="4" t="s">
        <v>160</v>
      </c>
      <c r="C2101" s="4" t="s">
        <v>940</v>
      </c>
      <c r="D2101" s="4">
        <v>1</v>
      </c>
      <c r="E2101" s="6">
        <v>10000</v>
      </c>
      <c r="F2101" t="str">
        <f>VLOOKUP(C2101,menu!A:B,2,FALSE)</f>
        <v>Tahu Isi Goreng (5pcs)</v>
      </c>
      <c r="G2101">
        <f t="shared" si="64"/>
        <v>10000</v>
      </c>
      <c r="H2101">
        <f>VLOOKUP(C2101,menu!A:E,4,FALSE)</f>
        <v>3500</v>
      </c>
      <c r="I2101">
        <f t="shared" si="65"/>
        <v>6500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topLeftCell="C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0" customWidth="1"/>
    <col min="2" max="2" width="28" customWidth="1"/>
    <col min="3" max="3" width="11" customWidth="1"/>
    <col min="4" max="4" width="14" customWidth="1"/>
    <col min="5" max="5" width="13" customWidth="1"/>
    <col min="6" max="6" width="13.90625" customWidth="1"/>
  </cols>
  <sheetData>
    <row r="1" spans="1:5" x14ac:dyDescent="0.35">
      <c r="A1" s="3" t="s">
        <v>886</v>
      </c>
      <c r="B1" s="3" t="s">
        <v>3012</v>
      </c>
      <c r="C1" s="3" t="s">
        <v>3013</v>
      </c>
      <c r="D1" s="3" t="s">
        <v>3014</v>
      </c>
      <c r="E1" s="3" t="s">
        <v>3015</v>
      </c>
    </row>
    <row r="2" spans="1:5" x14ac:dyDescent="0.35">
      <c r="A2" s="4" t="s">
        <v>1671</v>
      </c>
      <c r="B2" s="4" t="s">
        <v>3016</v>
      </c>
      <c r="C2" s="4" t="s">
        <v>3017</v>
      </c>
      <c r="D2" s="6">
        <v>9000</v>
      </c>
      <c r="E2" s="6">
        <v>25000</v>
      </c>
    </row>
    <row r="3" spans="1:5" x14ac:dyDescent="0.35">
      <c r="A3" s="4" t="s">
        <v>928</v>
      </c>
      <c r="B3" s="4" t="s">
        <v>3018</v>
      </c>
      <c r="C3" s="4" t="s">
        <v>3017</v>
      </c>
      <c r="D3" s="6">
        <v>8500</v>
      </c>
      <c r="E3" s="6">
        <v>23000</v>
      </c>
    </row>
    <row r="4" spans="1:5" x14ac:dyDescent="0.35">
      <c r="A4" s="4" t="s">
        <v>898</v>
      </c>
      <c r="B4" s="4" t="s">
        <v>3019</v>
      </c>
      <c r="C4" s="4" t="s">
        <v>3017</v>
      </c>
      <c r="D4" s="6">
        <v>11000</v>
      </c>
      <c r="E4" s="6">
        <v>27000</v>
      </c>
    </row>
    <row r="5" spans="1:5" x14ac:dyDescent="0.35">
      <c r="A5" s="4" t="s">
        <v>935</v>
      </c>
      <c r="B5" s="4" t="s">
        <v>3020</v>
      </c>
      <c r="C5" s="4" t="s">
        <v>3017</v>
      </c>
      <c r="D5" s="6">
        <v>9500</v>
      </c>
      <c r="E5" s="6">
        <v>22000</v>
      </c>
    </row>
    <row r="6" spans="1:5" x14ac:dyDescent="0.35">
      <c r="A6" s="4" t="s">
        <v>944</v>
      </c>
      <c r="B6" s="4" t="s">
        <v>3021</v>
      </c>
      <c r="C6" s="4" t="s">
        <v>3017</v>
      </c>
      <c r="D6" s="6">
        <v>14000</v>
      </c>
      <c r="E6" s="6">
        <v>32000</v>
      </c>
    </row>
    <row r="7" spans="1:5" x14ac:dyDescent="0.35">
      <c r="A7" s="4" t="s">
        <v>919</v>
      </c>
      <c r="B7" s="4" t="s">
        <v>3022</v>
      </c>
      <c r="C7" s="4" t="s">
        <v>3017</v>
      </c>
      <c r="D7" s="6">
        <v>8000</v>
      </c>
      <c r="E7" s="6">
        <v>20000</v>
      </c>
    </row>
    <row r="8" spans="1:5" x14ac:dyDescent="0.35">
      <c r="A8" s="4" t="s">
        <v>906</v>
      </c>
      <c r="B8" s="4" t="s">
        <v>3023</v>
      </c>
      <c r="C8" s="4" t="s">
        <v>3017</v>
      </c>
      <c r="D8" s="6">
        <v>12000</v>
      </c>
      <c r="E8" s="6">
        <v>28000</v>
      </c>
    </row>
    <row r="9" spans="1:5" x14ac:dyDescent="0.35">
      <c r="A9" s="4" t="s">
        <v>1019</v>
      </c>
      <c r="B9" s="4" t="s">
        <v>3024</v>
      </c>
      <c r="C9" s="4" t="s">
        <v>3017</v>
      </c>
      <c r="D9" s="6">
        <v>8500</v>
      </c>
      <c r="E9" s="6">
        <v>21000</v>
      </c>
    </row>
    <row r="10" spans="1:5" x14ac:dyDescent="0.35">
      <c r="A10" s="4" t="s">
        <v>896</v>
      </c>
      <c r="B10" s="4" t="s">
        <v>3025</v>
      </c>
      <c r="C10" s="4" t="s">
        <v>3017</v>
      </c>
      <c r="D10" s="6">
        <v>9000</v>
      </c>
      <c r="E10" s="6">
        <v>23000</v>
      </c>
    </row>
    <row r="11" spans="1:5" x14ac:dyDescent="0.35">
      <c r="A11" s="4" t="s">
        <v>904</v>
      </c>
      <c r="B11" s="4" t="s">
        <v>3026</v>
      </c>
      <c r="C11" s="4" t="s">
        <v>3017</v>
      </c>
      <c r="D11" s="6">
        <v>9500</v>
      </c>
      <c r="E11" s="6">
        <v>22000</v>
      </c>
    </row>
    <row r="12" spans="1:5" x14ac:dyDescent="0.35">
      <c r="A12" s="4" t="s">
        <v>1003</v>
      </c>
      <c r="B12" s="4" t="s">
        <v>3027</v>
      </c>
      <c r="C12" s="4" t="s">
        <v>3017</v>
      </c>
      <c r="D12" s="6">
        <v>13000</v>
      </c>
      <c r="E12" s="6">
        <v>29000</v>
      </c>
    </row>
    <row r="13" spans="1:5" x14ac:dyDescent="0.35">
      <c r="A13" s="4" t="s">
        <v>937</v>
      </c>
      <c r="B13" s="4" t="s">
        <v>3028</v>
      </c>
      <c r="C13" s="4" t="s">
        <v>3017</v>
      </c>
      <c r="D13" s="6">
        <v>11500</v>
      </c>
      <c r="E13" s="6">
        <v>26000</v>
      </c>
    </row>
    <row r="14" spans="1:5" x14ac:dyDescent="0.35">
      <c r="A14" s="4" t="s">
        <v>1059</v>
      </c>
      <c r="B14" s="4" t="s">
        <v>3029</v>
      </c>
      <c r="C14" s="4" t="s">
        <v>3030</v>
      </c>
      <c r="D14" s="6">
        <v>1500</v>
      </c>
      <c r="E14" s="6">
        <v>6000</v>
      </c>
    </row>
    <row r="15" spans="1:5" x14ac:dyDescent="0.35">
      <c r="A15" s="4" t="s">
        <v>900</v>
      </c>
      <c r="B15" s="4" t="s">
        <v>3031</v>
      </c>
      <c r="C15" s="4" t="s">
        <v>3030</v>
      </c>
      <c r="D15" s="6">
        <v>2500</v>
      </c>
      <c r="E15" s="6">
        <v>8000</v>
      </c>
    </row>
    <row r="16" spans="1:5" x14ac:dyDescent="0.35">
      <c r="A16" s="4" t="s">
        <v>916</v>
      </c>
      <c r="B16" s="4" t="s">
        <v>3032</v>
      </c>
      <c r="C16" s="4" t="s">
        <v>3030</v>
      </c>
      <c r="D16" s="6">
        <v>2000</v>
      </c>
      <c r="E16" s="6">
        <v>9000</v>
      </c>
    </row>
    <row r="17" spans="1:5" x14ac:dyDescent="0.35">
      <c r="A17" s="4" t="s">
        <v>890</v>
      </c>
      <c r="B17" s="4" t="s">
        <v>3033</v>
      </c>
      <c r="C17" s="4" t="s">
        <v>3030</v>
      </c>
      <c r="D17" s="6">
        <v>4500</v>
      </c>
      <c r="E17" s="6">
        <v>18000</v>
      </c>
    </row>
    <row r="18" spans="1:5" x14ac:dyDescent="0.35">
      <c r="A18" s="4" t="s">
        <v>908</v>
      </c>
      <c r="B18" s="4" t="s">
        <v>3034</v>
      </c>
      <c r="C18" s="4" t="s">
        <v>3030</v>
      </c>
      <c r="D18" s="6">
        <v>5500</v>
      </c>
      <c r="E18" s="6">
        <v>16000</v>
      </c>
    </row>
    <row r="19" spans="1:5" x14ac:dyDescent="0.35">
      <c r="A19" s="4" t="s">
        <v>902</v>
      </c>
      <c r="B19" s="4" t="s">
        <v>3035</v>
      </c>
      <c r="C19" s="4" t="s">
        <v>3030</v>
      </c>
      <c r="D19" s="6">
        <v>3000</v>
      </c>
      <c r="E19" s="6">
        <v>12000</v>
      </c>
    </row>
    <row r="20" spans="1:5" x14ac:dyDescent="0.35">
      <c r="A20" s="4" t="s">
        <v>894</v>
      </c>
      <c r="B20" s="4" t="s">
        <v>3036</v>
      </c>
      <c r="C20" s="4" t="s">
        <v>3030</v>
      </c>
      <c r="D20" s="6">
        <v>2000</v>
      </c>
      <c r="E20" s="6">
        <v>5000</v>
      </c>
    </row>
    <row r="21" spans="1:5" x14ac:dyDescent="0.35">
      <c r="A21" s="4" t="s">
        <v>955</v>
      </c>
      <c r="B21" s="4" t="s">
        <v>3037</v>
      </c>
      <c r="C21" s="4" t="s">
        <v>3030</v>
      </c>
      <c r="D21" s="6">
        <v>6000</v>
      </c>
      <c r="E21" s="6">
        <v>15000</v>
      </c>
    </row>
    <row r="22" spans="1:5" x14ac:dyDescent="0.35">
      <c r="A22" s="4" t="s">
        <v>940</v>
      </c>
      <c r="B22" s="4" t="s">
        <v>3038</v>
      </c>
      <c r="C22" s="4" t="s">
        <v>3039</v>
      </c>
      <c r="D22" s="6">
        <v>3500</v>
      </c>
      <c r="E22" s="6">
        <v>10000</v>
      </c>
    </row>
    <row r="23" spans="1:5" x14ac:dyDescent="0.35">
      <c r="A23" s="4" t="s">
        <v>942</v>
      </c>
      <c r="B23" s="4" t="s">
        <v>3040</v>
      </c>
      <c r="C23" s="4" t="s">
        <v>3039</v>
      </c>
      <c r="D23" s="6">
        <v>4000</v>
      </c>
      <c r="E23" s="6">
        <v>13000</v>
      </c>
    </row>
    <row r="24" spans="1:5" x14ac:dyDescent="0.35">
      <c r="A24" s="4" t="s">
        <v>931</v>
      </c>
      <c r="B24" s="4" t="s">
        <v>3041</v>
      </c>
      <c r="C24" s="4" t="s">
        <v>3039</v>
      </c>
      <c r="D24" s="6">
        <v>1500</v>
      </c>
      <c r="E24" s="6">
        <v>5000</v>
      </c>
    </row>
    <row r="25" spans="1:5" x14ac:dyDescent="0.35">
      <c r="A25" s="4" t="s">
        <v>892</v>
      </c>
      <c r="B25" s="4" t="s">
        <v>3042</v>
      </c>
      <c r="C25" s="4" t="s">
        <v>3039</v>
      </c>
      <c r="D25" s="6">
        <v>3000</v>
      </c>
      <c r="E25" s="6">
        <v>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8" customWidth="1"/>
    <col min="3" max="3" width="11" customWidth="1"/>
  </cols>
  <sheetData>
    <row r="1" spans="1:3" x14ac:dyDescent="0.35">
      <c r="A1" s="3" t="s">
        <v>17</v>
      </c>
      <c r="B1" s="3" t="s">
        <v>3043</v>
      </c>
      <c r="C1" s="3" t="s">
        <v>3044</v>
      </c>
    </row>
    <row r="2" spans="1:3" x14ac:dyDescent="0.35">
      <c r="A2" s="4" t="s">
        <v>22</v>
      </c>
      <c r="B2" s="4" t="s">
        <v>3045</v>
      </c>
      <c r="C2" s="4" t="s">
        <v>3046</v>
      </c>
    </row>
    <row r="3" spans="1:3" x14ac:dyDescent="0.35">
      <c r="A3" s="4" t="s">
        <v>43</v>
      </c>
      <c r="B3" s="4" t="s">
        <v>3047</v>
      </c>
      <c r="C3" s="4" t="s">
        <v>3048</v>
      </c>
    </row>
    <row r="4" spans="1:3" x14ac:dyDescent="0.35">
      <c r="A4" s="4" t="s">
        <v>31</v>
      </c>
      <c r="B4" s="4" t="s">
        <v>3049</v>
      </c>
      <c r="C4" s="4" t="s">
        <v>3050</v>
      </c>
    </row>
    <row r="5" spans="1:3" x14ac:dyDescent="0.35">
      <c r="A5" s="4" t="s">
        <v>27</v>
      </c>
      <c r="B5" s="4" t="s">
        <v>3051</v>
      </c>
      <c r="C5" s="4" t="s">
        <v>3052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CD6-7F9A-4C4F-A9EA-693DE9D87C43}">
  <dimension ref="A3:B19"/>
  <sheetViews>
    <sheetView workbookViewId="0">
      <selection activeCell="A4" sqref="A4:B6"/>
      <pivotSelection pane="bottomRight" showHeader="1" extendable="1" axis="axisRow" max="16" activeRow="3" previousRow="5" click="1" r:id="rId1">
        <pivotArea dataOnly="0" axis="axisRow" fieldPosition="0">
          <references count="1">
            <reference field="2" count="3">
              <x v="13"/>
              <x v="14"/>
              <x v="20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20.81640625" bestFit="1" customWidth="1"/>
  </cols>
  <sheetData>
    <row r="3" spans="1:2" x14ac:dyDescent="0.35">
      <c r="A3" s="16" t="s">
        <v>3053</v>
      </c>
      <c r="B3" t="s">
        <v>3055</v>
      </c>
    </row>
    <row r="4" spans="1:2" x14ac:dyDescent="0.35">
      <c r="A4" s="17" t="s">
        <v>3061</v>
      </c>
      <c r="B4" s="19">
        <v>117</v>
      </c>
    </row>
    <row r="5" spans="1:2" x14ac:dyDescent="0.35">
      <c r="A5" s="17" t="s">
        <v>3068</v>
      </c>
      <c r="B5" s="19">
        <v>107</v>
      </c>
    </row>
    <row r="6" spans="1:2" x14ac:dyDescent="0.35">
      <c r="A6" s="17" t="s">
        <v>3062</v>
      </c>
      <c r="B6" s="19">
        <v>89</v>
      </c>
    </row>
    <row r="7" spans="1:2" x14ac:dyDescent="0.35">
      <c r="A7" s="17" t="s">
        <v>3067</v>
      </c>
      <c r="B7" s="19">
        <v>85</v>
      </c>
    </row>
    <row r="8" spans="1:2" x14ac:dyDescent="0.35">
      <c r="A8" s="17" t="s">
        <v>3069</v>
      </c>
      <c r="B8" s="19">
        <v>77</v>
      </c>
    </row>
    <row r="9" spans="1:2" x14ac:dyDescent="0.35">
      <c r="A9" s="17" t="s">
        <v>3060</v>
      </c>
      <c r="B9" s="19">
        <v>67</v>
      </c>
    </row>
    <row r="10" spans="1:2" x14ac:dyDescent="0.35">
      <c r="A10" s="17" t="s">
        <v>3070</v>
      </c>
      <c r="B10" s="19">
        <v>50</v>
      </c>
    </row>
    <row r="11" spans="1:2" x14ac:dyDescent="0.35">
      <c r="A11" s="17" t="s">
        <v>3066</v>
      </c>
      <c r="B11" s="19">
        <v>46</v>
      </c>
    </row>
    <row r="12" spans="1:2" x14ac:dyDescent="0.35">
      <c r="A12" s="17" t="s">
        <v>3065</v>
      </c>
      <c r="B12" s="19">
        <v>37</v>
      </c>
    </row>
    <row r="13" spans="1:2" x14ac:dyDescent="0.35">
      <c r="A13" s="17" t="s">
        <v>3063</v>
      </c>
      <c r="B13" s="19">
        <v>37</v>
      </c>
    </row>
    <row r="14" spans="1:2" x14ac:dyDescent="0.35">
      <c r="A14" s="17" t="s">
        <v>3059</v>
      </c>
      <c r="B14" s="19">
        <v>35</v>
      </c>
    </row>
    <row r="15" spans="1:2" x14ac:dyDescent="0.35">
      <c r="A15" s="17" t="s">
        <v>3057</v>
      </c>
      <c r="B15" s="19">
        <v>33</v>
      </c>
    </row>
    <row r="16" spans="1:2" x14ac:dyDescent="0.35">
      <c r="A16" s="17" t="s">
        <v>3058</v>
      </c>
      <c r="B16" s="19">
        <v>26</v>
      </c>
    </row>
    <row r="17" spans="1:2" x14ac:dyDescent="0.35">
      <c r="A17" s="17" t="s">
        <v>3064</v>
      </c>
      <c r="B17" s="19">
        <v>24</v>
      </c>
    </row>
    <row r="18" spans="1:2" x14ac:dyDescent="0.35">
      <c r="A18" s="17" t="s">
        <v>3056</v>
      </c>
      <c r="B18" s="19">
        <v>20</v>
      </c>
    </row>
    <row r="19" spans="1:2" x14ac:dyDescent="0.35">
      <c r="A19" s="17" t="s">
        <v>3054</v>
      </c>
      <c r="B19" s="19">
        <v>850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E089-511C-469A-8A07-EEC681BD799A}">
  <dimension ref="A3:B11"/>
  <sheetViews>
    <sheetView workbookViewId="0">
      <selection activeCell="A4" sqref="A4:B6"/>
      <pivotSelection pane="bottomRight" showHeader="1" extendable="1" axis="axisRow" max="8" activeRow="3" previousRow="5" click="1" r:id="rId1">
        <pivotArea dataOnly="0" axis="axisRow" fieldPosition="0">
          <references count="1">
            <reference field="0" count="3">
              <x v="0"/>
              <x v="2"/>
              <x v="3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20.81640625" bestFit="1" customWidth="1"/>
  </cols>
  <sheetData>
    <row r="3" spans="1:2" x14ac:dyDescent="0.35">
      <c r="A3" s="16" t="s">
        <v>3053</v>
      </c>
      <c r="B3" t="s">
        <v>3055</v>
      </c>
    </row>
    <row r="4" spans="1:2" x14ac:dyDescent="0.35">
      <c r="A4" s="18" t="s">
        <v>3075</v>
      </c>
      <c r="B4" s="19">
        <v>166</v>
      </c>
    </row>
    <row r="5" spans="1:2" x14ac:dyDescent="0.35">
      <c r="A5" s="18" t="s">
        <v>3074</v>
      </c>
      <c r="B5" s="19">
        <v>163</v>
      </c>
    </row>
    <row r="6" spans="1:2" x14ac:dyDescent="0.35">
      <c r="A6" s="18" t="s">
        <v>3072</v>
      </c>
      <c r="B6" s="19">
        <v>115</v>
      </c>
    </row>
    <row r="7" spans="1:2" x14ac:dyDescent="0.35">
      <c r="A7" s="18" t="s">
        <v>3078</v>
      </c>
      <c r="B7" s="19">
        <v>106</v>
      </c>
    </row>
    <row r="8" spans="1:2" x14ac:dyDescent="0.35">
      <c r="A8" s="18" t="s">
        <v>3077</v>
      </c>
      <c r="B8" s="19">
        <v>106</v>
      </c>
    </row>
    <row r="9" spans="1:2" x14ac:dyDescent="0.35">
      <c r="A9" s="18" t="s">
        <v>3073</v>
      </c>
      <c r="B9" s="19">
        <v>98</v>
      </c>
    </row>
    <row r="10" spans="1:2" x14ac:dyDescent="0.35">
      <c r="A10" s="18" t="s">
        <v>3076</v>
      </c>
      <c r="B10" s="19">
        <v>96</v>
      </c>
    </row>
    <row r="11" spans="1:2" x14ac:dyDescent="0.35">
      <c r="A11" s="18" t="s">
        <v>3054</v>
      </c>
      <c r="B11" s="19">
        <v>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3CB-48EC-4558-8341-56304AF9DA54}">
  <dimension ref="A3:B8"/>
  <sheetViews>
    <sheetView tabSelected="1" workbookViewId="0">
      <selection activeCell="A11" sqref="A11"/>
    </sheetView>
  </sheetViews>
  <sheetFormatPr defaultRowHeight="14.5" x14ac:dyDescent="0.35"/>
  <cols>
    <col min="1" max="1" width="32.90625" bestFit="1" customWidth="1"/>
    <col min="2" max="2" width="20.81640625" bestFit="1" customWidth="1"/>
  </cols>
  <sheetData>
    <row r="3" spans="1:2" x14ac:dyDescent="0.35">
      <c r="A3" s="16" t="s">
        <v>3053</v>
      </c>
      <c r="B3" t="s">
        <v>3055</v>
      </c>
    </row>
    <row r="4" spans="1:2" x14ac:dyDescent="0.35">
      <c r="A4" s="18" t="s">
        <v>3049</v>
      </c>
      <c r="B4" s="19">
        <v>303</v>
      </c>
    </row>
    <row r="5" spans="1:2" x14ac:dyDescent="0.35">
      <c r="A5" s="18" t="s">
        <v>3051</v>
      </c>
      <c r="B5" s="19">
        <v>206</v>
      </c>
    </row>
    <row r="6" spans="1:2" x14ac:dyDescent="0.35">
      <c r="A6" s="18" t="s">
        <v>3045</v>
      </c>
      <c r="B6" s="19">
        <v>179</v>
      </c>
    </row>
    <row r="7" spans="1:2" x14ac:dyDescent="0.35">
      <c r="A7" s="18" t="s">
        <v>3047</v>
      </c>
      <c r="B7" s="19">
        <v>162</v>
      </c>
    </row>
    <row r="8" spans="1:2" x14ac:dyDescent="0.35">
      <c r="A8" s="18" t="s">
        <v>3054</v>
      </c>
      <c r="B8" s="19">
        <v>850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4387-6CF8-4D8E-BAA2-4BCC329625F3}">
  <dimension ref="A3:B28"/>
  <sheetViews>
    <sheetView topLeftCell="A3" zoomScale="78" zoomScaleNormal="78" workbookViewId="0">
      <selection activeCell="A4" sqref="A4:B6"/>
    </sheetView>
  </sheetViews>
  <sheetFormatPr defaultRowHeight="14.5" x14ac:dyDescent="0.35"/>
  <cols>
    <col min="1" max="1" width="25.90625" bestFit="1" customWidth="1"/>
    <col min="2" max="2" width="9.81640625" bestFit="1" customWidth="1"/>
  </cols>
  <sheetData>
    <row r="3" spans="1:2" x14ac:dyDescent="0.35">
      <c r="A3" s="16" t="s">
        <v>3053</v>
      </c>
      <c r="B3" t="s">
        <v>3083</v>
      </c>
    </row>
    <row r="4" spans="1:2" x14ac:dyDescent="0.35">
      <c r="A4" s="18" t="s">
        <v>3019</v>
      </c>
      <c r="B4" s="19">
        <v>694</v>
      </c>
    </row>
    <row r="5" spans="1:2" x14ac:dyDescent="0.35">
      <c r="A5" s="18" t="s">
        <v>3033</v>
      </c>
      <c r="B5" s="19">
        <v>240</v>
      </c>
    </row>
    <row r="6" spans="1:2" x14ac:dyDescent="0.35">
      <c r="A6" s="18" t="s">
        <v>3022</v>
      </c>
      <c r="B6" s="19">
        <v>193</v>
      </c>
    </row>
    <row r="7" spans="1:2" x14ac:dyDescent="0.35">
      <c r="A7" s="18" t="s">
        <v>3036</v>
      </c>
      <c r="B7" s="19">
        <v>166</v>
      </c>
    </row>
    <row r="8" spans="1:2" x14ac:dyDescent="0.35">
      <c r="A8" s="18" t="s">
        <v>3025</v>
      </c>
      <c r="B8" s="19">
        <v>162</v>
      </c>
    </row>
    <row r="9" spans="1:2" x14ac:dyDescent="0.35">
      <c r="A9" s="18" t="s">
        <v>3028</v>
      </c>
      <c r="B9" s="19">
        <v>161</v>
      </c>
    </row>
    <row r="10" spans="1:2" x14ac:dyDescent="0.35">
      <c r="A10" s="18" t="s">
        <v>3034</v>
      </c>
      <c r="B10" s="19">
        <v>135</v>
      </c>
    </row>
    <row r="11" spans="1:2" x14ac:dyDescent="0.35">
      <c r="A11" s="18" t="s">
        <v>3042</v>
      </c>
      <c r="B11" s="19">
        <v>134</v>
      </c>
    </row>
    <row r="12" spans="1:2" x14ac:dyDescent="0.35">
      <c r="A12" s="18" t="s">
        <v>3020</v>
      </c>
      <c r="B12" s="19">
        <v>115</v>
      </c>
    </row>
    <row r="13" spans="1:2" x14ac:dyDescent="0.35">
      <c r="A13" s="18" t="s">
        <v>3027</v>
      </c>
      <c r="B13" s="19">
        <v>98</v>
      </c>
    </row>
    <row r="14" spans="1:2" x14ac:dyDescent="0.35">
      <c r="A14" s="18" t="s">
        <v>3035</v>
      </c>
      <c r="B14" s="19">
        <v>90</v>
      </c>
    </row>
    <row r="15" spans="1:2" x14ac:dyDescent="0.35">
      <c r="A15" s="18" t="s">
        <v>3041</v>
      </c>
      <c r="B15" s="19">
        <v>89</v>
      </c>
    </row>
    <row r="16" spans="1:2" x14ac:dyDescent="0.35">
      <c r="A16" s="18" t="s">
        <v>3037</v>
      </c>
      <c r="B16" s="19">
        <v>80</v>
      </c>
    </row>
    <row r="17" spans="1:2" x14ac:dyDescent="0.35">
      <c r="A17" s="18" t="s">
        <v>3032</v>
      </c>
      <c r="B17" s="19">
        <v>76</v>
      </c>
    </row>
    <row r="18" spans="1:2" x14ac:dyDescent="0.35">
      <c r="A18" s="18" t="s">
        <v>3038</v>
      </c>
      <c r="B18" s="19">
        <v>66</v>
      </c>
    </row>
    <row r="19" spans="1:2" x14ac:dyDescent="0.35">
      <c r="A19" s="18" t="s">
        <v>3018</v>
      </c>
      <c r="B19" s="19">
        <v>65</v>
      </c>
    </row>
    <row r="20" spans="1:2" x14ac:dyDescent="0.35">
      <c r="A20" s="18" t="s">
        <v>3031</v>
      </c>
      <c r="B20" s="19">
        <v>52</v>
      </c>
    </row>
    <row r="21" spans="1:2" x14ac:dyDescent="0.35">
      <c r="A21" s="18" t="s">
        <v>3023</v>
      </c>
      <c r="B21" s="19">
        <v>43</v>
      </c>
    </row>
    <row r="22" spans="1:2" x14ac:dyDescent="0.35">
      <c r="A22" s="18" t="s">
        <v>3029</v>
      </c>
      <c r="B22" s="19">
        <v>33</v>
      </c>
    </row>
    <row r="23" spans="1:2" x14ac:dyDescent="0.35">
      <c r="A23" s="18" t="s">
        <v>3026</v>
      </c>
      <c r="B23" s="19">
        <v>27</v>
      </c>
    </row>
    <row r="24" spans="1:2" x14ac:dyDescent="0.35">
      <c r="A24" s="18" t="s">
        <v>3024</v>
      </c>
      <c r="B24" s="19">
        <v>22</v>
      </c>
    </row>
    <row r="25" spans="1:2" x14ac:dyDescent="0.35">
      <c r="A25" s="18" t="s">
        <v>3021</v>
      </c>
      <c r="B25" s="19">
        <v>21</v>
      </c>
    </row>
    <row r="26" spans="1:2" x14ac:dyDescent="0.35">
      <c r="A26" s="18" t="s">
        <v>3040</v>
      </c>
      <c r="B26" s="19">
        <v>17</v>
      </c>
    </row>
    <row r="27" spans="1:2" x14ac:dyDescent="0.35">
      <c r="A27" s="18" t="s">
        <v>3016</v>
      </c>
      <c r="B27" s="19">
        <v>5</v>
      </c>
    </row>
    <row r="28" spans="1:2" x14ac:dyDescent="0.35">
      <c r="A28" s="18" t="s">
        <v>3054</v>
      </c>
      <c r="B28" s="19">
        <v>2784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5D68-3380-413D-A0E6-6F5BCD12F1F6}">
  <dimension ref="A3:B28"/>
  <sheetViews>
    <sheetView topLeftCell="A3" zoomScale="78" zoomScaleNormal="78" workbookViewId="0">
      <selection activeCell="A4" sqref="A4:B6"/>
    </sheetView>
  </sheetViews>
  <sheetFormatPr defaultRowHeight="14.5" x14ac:dyDescent="0.35"/>
  <cols>
    <col min="1" max="1" width="25.90625" bestFit="1" customWidth="1"/>
    <col min="2" max="2" width="14" bestFit="1" customWidth="1"/>
  </cols>
  <sheetData>
    <row r="3" spans="1:2" x14ac:dyDescent="0.35">
      <c r="A3" s="16" t="s">
        <v>3053</v>
      </c>
      <c r="B3" t="s">
        <v>3082</v>
      </c>
    </row>
    <row r="4" spans="1:2" x14ac:dyDescent="0.35">
      <c r="A4" s="18" t="s">
        <v>3019</v>
      </c>
      <c r="B4" s="19">
        <v>18738000</v>
      </c>
    </row>
    <row r="5" spans="1:2" x14ac:dyDescent="0.35">
      <c r="A5" s="18" t="s">
        <v>3033</v>
      </c>
      <c r="B5" s="19">
        <v>4320000</v>
      </c>
    </row>
    <row r="6" spans="1:2" x14ac:dyDescent="0.35">
      <c r="A6" s="18" t="s">
        <v>3028</v>
      </c>
      <c r="B6" s="19">
        <v>4186000</v>
      </c>
    </row>
    <row r="7" spans="1:2" x14ac:dyDescent="0.35">
      <c r="A7" s="18" t="s">
        <v>3022</v>
      </c>
      <c r="B7" s="19">
        <v>3860000</v>
      </c>
    </row>
    <row r="8" spans="1:2" x14ac:dyDescent="0.35">
      <c r="A8" s="18" t="s">
        <v>3025</v>
      </c>
      <c r="B8" s="19">
        <v>3726000</v>
      </c>
    </row>
    <row r="9" spans="1:2" x14ac:dyDescent="0.35">
      <c r="A9" s="18" t="s">
        <v>3027</v>
      </c>
      <c r="B9" s="19">
        <v>2842000</v>
      </c>
    </row>
    <row r="10" spans="1:2" x14ac:dyDescent="0.35">
      <c r="A10" s="18" t="s">
        <v>3020</v>
      </c>
      <c r="B10" s="19">
        <v>2530000</v>
      </c>
    </row>
    <row r="11" spans="1:2" x14ac:dyDescent="0.35">
      <c r="A11" s="18" t="s">
        <v>3034</v>
      </c>
      <c r="B11" s="19">
        <v>2160000</v>
      </c>
    </row>
    <row r="12" spans="1:2" x14ac:dyDescent="0.35">
      <c r="A12" s="18" t="s">
        <v>3018</v>
      </c>
      <c r="B12" s="19">
        <v>1495000</v>
      </c>
    </row>
    <row r="13" spans="1:2" x14ac:dyDescent="0.35">
      <c r="A13" s="18" t="s">
        <v>3042</v>
      </c>
      <c r="B13" s="19">
        <v>1206000</v>
      </c>
    </row>
    <row r="14" spans="1:2" x14ac:dyDescent="0.35">
      <c r="A14" s="18" t="s">
        <v>3023</v>
      </c>
      <c r="B14" s="19">
        <v>1204000</v>
      </c>
    </row>
    <row r="15" spans="1:2" x14ac:dyDescent="0.35">
      <c r="A15" s="18" t="s">
        <v>3037</v>
      </c>
      <c r="B15" s="19">
        <v>1200000</v>
      </c>
    </row>
    <row r="16" spans="1:2" x14ac:dyDescent="0.35">
      <c r="A16" s="18" t="s">
        <v>3035</v>
      </c>
      <c r="B16" s="19">
        <v>1080000</v>
      </c>
    </row>
    <row r="17" spans="1:2" x14ac:dyDescent="0.35">
      <c r="A17" s="18" t="s">
        <v>3036</v>
      </c>
      <c r="B17" s="19">
        <v>830000</v>
      </c>
    </row>
    <row r="18" spans="1:2" x14ac:dyDescent="0.35">
      <c r="A18" s="18" t="s">
        <v>3032</v>
      </c>
      <c r="B18" s="19">
        <v>684000</v>
      </c>
    </row>
    <row r="19" spans="1:2" x14ac:dyDescent="0.35">
      <c r="A19" s="18" t="s">
        <v>3021</v>
      </c>
      <c r="B19" s="19">
        <v>672000</v>
      </c>
    </row>
    <row r="20" spans="1:2" x14ac:dyDescent="0.35">
      <c r="A20" s="18" t="s">
        <v>3038</v>
      </c>
      <c r="B20" s="19">
        <v>660000</v>
      </c>
    </row>
    <row r="21" spans="1:2" x14ac:dyDescent="0.35">
      <c r="A21" s="18" t="s">
        <v>3026</v>
      </c>
      <c r="B21" s="19">
        <v>594000</v>
      </c>
    </row>
    <row r="22" spans="1:2" x14ac:dyDescent="0.35">
      <c r="A22" s="18" t="s">
        <v>3024</v>
      </c>
      <c r="B22" s="19">
        <v>462000</v>
      </c>
    </row>
    <row r="23" spans="1:2" x14ac:dyDescent="0.35">
      <c r="A23" s="18" t="s">
        <v>3041</v>
      </c>
      <c r="B23" s="19">
        <v>445000</v>
      </c>
    </row>
    <row r="24" spans="1:2" x14ac:dyDescent="0.35">
      <c r="A24" s="18" t="s">
        <v>3031</v>
      </c>
      <c r="B24" s="19">
        <v>416000</v>
      </c>
    </row>
    <row r="25" spans="1:2" x14ac:dyDescent="0.35">
      <c r="A25" s="18" t="s">
        <v>3040</v>
      </c>
      <c r="B25" s="19">
        <v>221000</v>
      </c>
    </row>
    <row r="26" spans="1:2" x14ac:dyDescent="0.35">
      <c r="A26" s="18" t="s">
        <v>3029</v>
      </c>
      <c r="B26" s="19">
        <v>198000</v>
      </c>
    </row>
    <row r="27" spans="1:2" x14ac:dyDescent="0.35">
      <c r="A27" s="18" t="s">
        <v>3016</v>
      </c>
      <c r="B27" s="19">
        <v>125000</v>
      </c>
    </row>
    <row r="28" spans="1:2" x14ac:dyDescent="0.35">
      <c r="A28" s="18" t="s">
        <v>3054</v>
      </c>
      <c r="B28" s="19">
        <v>53854000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F14F-F47A-4353-A8B2-533ECD2AFA2B}">
  <dimension ref="A3:B28"/>
  <sheetViews>
    <sheetView topLeftCell="A2" zoomScale="75" zoomScaleNormal="75" workbookViewId="0">
      <selection activeCell="A4" sqref="A4:B6"/>
    </sheetView>
  </sheetViews>
  <sheetFormatPr defaultRowHeight="14.5" x14ac:dyDescent="0.35"/>
  <cols>
    <col min="1" max="1" width="25.90625" bestFit="1" customWidth="1"/>
    <col min="2" max="2" width="11.81640625" bestFit="1" customWidth="1"/>
  </cols>
  <sheetData>
    <row r="3" spans="1:2" x14ac:dyDescent="0.35">
      <c r="A3" s="16" t="s">
        <v>3053</v>
      </c>
      <c r="B3" t="s">
        <v>3084</v>
      </c>
    </row>
    <row r="4" spans="1:2" x14ac:dyDescent="0.35">
      <c r="A4" s="18" t="s">
        <v>3019</v>
      </c>
      <c r="B4" s="19">
        <v>11104000</v>
      </c>
    </row>
    <row r="5" spans="1:2" x14ac:dyDescent="0.35">
      <c r="A5" s="18" t="s">
        <v>3033</v>
      </c>
      <c r="B5" s="19">
        <v>3240000</v>
      </c>
    </row>
    <row r="6" spans="1:2" x14ac:dyDescent="0.35">
      <c r="A6" s="18" t="s">
        <v>3028</v>
      </c>
      <c r="B6" s="19">
        <v>2334500</v>
      </c>
    </row>
    <row r="7" spans="1:2" x14ac:dyDescent="0.35">
      <c r="A7" s="18" t="s">
        <v>3022</v>
      </c>
      <c r="B7" s="19">
        <v>2316000</v>
      </c>
    </row>
    <row r="8" spans="1:2" x14ac:dyDescent="0.35">
      <c r="A8" s="18" t="s">
        <v>3025</v>
      </c>
      <c r="B8" s="19">
        <v>2268000</v>
      </c>
    </row>
    <row r="9" spans="1:2" x14ac:dyDescent="0.35">
      <c r="A9" s="18" t="s">
        <v>3027</v>
      </c>
      <c r="B9" s="19">
        <v>1568000</v>
      </c>
    </row>
    <row r="10" spans="1:2" x14ac:dyDescent="0.35">
      <c r="A10" s="18" t="s">
        <v>3020</v>
      </c>
      <c r="B10" s="19">
        <v>1437500</v>
      </c>
    </row>
    <row r="11" spans="1:2" x14ac:dyDescent="0.35">
      <c r="A11" s="18" t="s">
        <v>3034</v>
      </c>
      <c r="B11" s="19">
        <v>1417500</v>
      </c>
    </row>
    <row r="12" spans="1:2" x14ac:dyDescent="0.35">
      <c r="A12" s="18" t="s">
        <v>3018</v>
      </c>
      <c r="B12" s="19">
        <v>942500</v>
      </c>
    </row>
    <row r="13" spans="1:2" x14ac:dyDescent="0.35">
      <c r="A13" s="18" t="s">
        <v>3035</v>
      </c>
      <c r="B13" s="19">
        <v>810000</v>
      </c>
    </row>
    <row r="14" spans="1:2" x14ac:dyDescent="0.35">
      <c r="A14" s="18" t="s">
        <v>3042</v>
      </c>
      <c r="B14" s="19">
        <v>804000</v>
      </c>
    </row>
    <row r="15" spans="1:2" x14ac:dyDescent="0.35">
      <c r="A15" s="18" t="s">
        <v>3037</v>
      </c>
      <c r="B15" s="19">
        <v>720000</v>
      </c>
    </row>
    <row r="16" spans="1:2" x14ac:dyDescent="0.35">
      <c r="A16" s="18" t="s">
        <v>3023</v>
      </c>
      <c r="B16" s="19">
        <v>688000</v>
      </c>
    </row>
    <row r="17" spans="1:2" x14ac:dyDescent="0.35">
      <c r="A17" s="18" t="s">
        <v>3032</v>
      </c>
      <c r="B17" s="19">
        <v>532000</v>
      </c>
    </row>
    <row r="18" spans="1:2" x14ac:dyDescent="0.35">
      <c r="A18" s="18" t="s">
        <v>3036</v>
      </c>
      <c r="B18" s="19">
        <v>498000</v>
      </c>
    </row>
    <row r="19" spans="1:2" x14ac:dyDescent="0.35">
      <c r="A19" s="18" t="s">
        <v>3038</v>
      </c>
      <c r="B19" s="19">
        <v>429000</v>
      </c>
    </row>
    <row r="20" spans="1:2" x14ac:dyDescent="0.35">
      <c r="A20" s="18" t="s">
        <v>3021</v>
      </c>
      <c r="B20" s="19">
        <v>378000</v>
      </c>
    </row>
    <row r="21" spans="1:2" x14ac:dyDescent="0.35">
      <c r="A21" s="18" t="s">
        <v>3026</v>
      </c>
      <c r="B21" s="19">
        <v>337500</v>
      </c>
    </row>
    <row r="22" spans="1:2" x14ac:dyDescent="0.35">
      <c r="A22" s="18" t="s">
        <v>3041</v>
      </c>
      <c r="B22" s="19">
        <v>311500</v>
      </c>
    </row>
    <row r="23" spans="1:2" x14ac:dyDescent="0.35">
      <c r="A23" s="18" t="s">
        <v>3031</v>
      </c>
      <c r="B23" s="19">
        <v>286000</v>
      </c>
    </row>
    <row r="24" spans="1:2" x14ac:dyDescent="0.35">
      <c r="A24" s="18" t="s">
        <v>3024</v>
      </c>
      <c r="B24" s="19">
        <v>275000</v>
      </c>
    </row>
    <row r="25" spans="1:2" x14ac:dyDescent="0.35">
      <c r="A25" s="18" t="s">
        <v>3040</v>
      </c>
      <c r="B25" s="19">
        <v>153000</v>
      </c>
    </row>
    <row r="26" spans="1:2" x14ac:dyDescent="0.35">
      <c r="A26" s="18" t="s">
        <v>3029</v>
      </c>
      <c r="B26" s="19">
        <v>148500</v>
      </c>
    </row>
    <row r="27" spans="1:2" x14ac:dyDescent="0.35">
      <c r="A27" s="18" t="s">
        <v>3016</v>
      </c>
      <c r="B27" s="19">
        <v>80000</v>
      </c>
    </row>
    <row r="28" spans="1:2" x14ac:dyDescent="0.35">
      <c r="A28" s="18" t="s">
        <v>3054</v>
      </c>
      <c r="B28" s="19">
        <v>33078500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transaksi</vt:lpstr>
      <vt:lpstr>transaksi_detail</vt:lpstr>
      <vt:lpstr>menu</vt:lpstr>
      <vt:lpstr>cabang</vt:lpstr>
      <vt:lpstr>Pivot_Transaksi_per_Jam</vt:lpstr>
      <vt:lpstr>Pivot_Transaksi_per_Hari</vt:lpstr>
      <vt:lpstr>Pivot_Transaksi_per_Cabang</vt:lpstr>
      <vt:lpstr>Pivot_Qty_per_Menu</vt:lpstr>
      <vt:lpstr>Pivot_Revenue_per_Menu</vt:lpstr>
      <vt:lpstr>Pivot_Profit_per_Menu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2026-06-21T11:20:01Z</dcterms:created>
  <dcterms:modified xsi:type="dcterms:W3CDTF">2026-06-23T07:21:58Z</dcterms:modified>
</cp:coreProperties>
</file>